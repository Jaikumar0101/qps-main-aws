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6D93669D-21A4-4F80-A035-C1A6E6D945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<sst xmlns="http://schemas.openxmlformats.org/spreadsheetml/2006/main" count="63" uniqueCount="46">
  <si>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</si>
  <si>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</si>
  <si>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</si>
  <si>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</si>
  <si>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</si>
  <si>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</si>
  <si>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</si>
  <si>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</si>
  <si>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</si>
  <si>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</si>
  <si>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</si>
  <si>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</si>
  <si>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</si>
  <si>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</si>
  <si>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</si>
  <si>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</si>
  <si>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</si>
  <si>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</si>
  <si>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</si>
  <si>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</si>
  <si>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</si>
  <si>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</si>
  <si>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</si>
  <si>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</si>
  <si>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</si>
  <si>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</si>
  <si>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</si>
  <si>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</si>
  <si>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</si>
  <si>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</si>
  <si>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</si>
  <si>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</si>
  <si>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</si>
  <si>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</si>
  <si>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</si>
  <si>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California - CA00 Claim Office</t>
  </si>
  <si>
    <t/>
  </si>
  <si>
    <t>Lukas Perry</t>
  </si>
  <si>
    <t>Stephanie Chavez</t>
  </si>
  <si>
    <t>Luciana Doyer</t>
  </si>
  <si>
    <t>Guardian Life Insurance Company of America</t>
  </si>
  <si>
    <t>Felipe Villa Jaramillo</t>
  </si>
  <si>
    <t>Nicolas Villa Araya</t>
  </si>
  <si>
    <t>United Concordia (Tricare Dental Plan)</t>
  </si>
  <si>
    <t>James Revekant</t>
  </si>
  <si>
    <t>Logan Revekant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</si>
</sst>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118689062803</v>
      </c>
      <c r="E2" s="3" t="s">
        <v>36</v>
      </c>
      <c r="F2" s="2" t="s">
        <v>37</v>
      </c>
      <c r="G2" s="4">
        <v>45234</v>
      </c>
      <c r="H2" s="5">
        <v>45889</v>
      </c>
      <c r="I2" s="5">
        <v>45889</v>
      </c>
      <c r="J2" s="6">
        <v>126</v>
      </c>
      <c r="K2" s="7">
        <v>72</v>
      </c>
      <c r="L2" s="7">
        <v>72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38</v>
      </c>
      <c r="D3" s="3">
        <v>118085556201</v>
      </c>
      <c r="E3" s="3" t="s">
        <v>36</v>
      </c>
      <c r="F3" s="2" t="s">
        <v>39</v>
      </c>
      <c r="G3" s="4">
        <v>43495</v>
      </c>
      <c r="H3" s="5">
        <v>45931</v>
      </c>
      <c r="I3" s="5">
        <v>45931</v>
      </c>
      <c r="J3" s="6">
        <v>179</v>
      </c>
      <c r="K3" s="7">
        <v>30</v>
      </c>
      <c r="L3" s="7">
        <v>30</v>
      </c>
      <c r="M3" s="7" t="s">
        <v>36</v>
      </c>
      <c r="N3" s="7" t="s">
        <v>36</v>
      </c>
    </row>
    <row r="4" spans="1:35" ht="21">
      <c r="A4" s="2" t="s">
        <v>40</v>
      </c>
      <c r="B4" s="2" t="s">
        <v>36</v>
      </c>
      <c r="C4" s="2" t="s">
        <v>41</v>
      </c>
      <c r="D4" s="3">
        <v>940353322</v>
      </c>
      <c r="E4" s="3" t="s">
        <v>36</v>
      </c>
      <c r="F4" s="2" t="s">
        <v>42</v>
      </c>
      <c r="G4" s="4">
        <v>40892</v>
      </c>
      <c r="H4" s="5">
        <v>45924</v>
      </c>
      <c r="I4" s="5">
        <v>45924</v>
      </c>
      <c r="J4" s="6">
        <v>451</v>
      </c>
      <c r="K4" s="7">
        <v>37</v>
      </c>
      <c r="L4" s="7">
        <v>37</v>
      </c>
      <c r="M4" s="7" t="s">
        <v>36</v>
      </c>
      <c r="N4" s="7" t="s">
        <v>36</v>
      </c>
    </row>
    <row r="5" spans="1:35" ht="21">
      <c r="A5" s="2" t="s">
        <v>43</v>
      </c>
      <c r="B5" s="2" t="s">
        <v>36</v>
      </c>
      <c r="C5" s="2" t="s">
        <v>44</v>
      </c>
      <c r="D5" s="3">
        <v>1594166800</v>
      </c>
      <c r="E5" s="3" t="s">
        <v>36</v>
      </c>
      <c r="F5" s="2" t="s">
        <v>45</v>
      </c>
      <c r="G5" s="4">
        <v>45556</v>
      </c>
      <c r="H5" s="5">
        <v>45933</v>
      </c>
      <c r="I5" s="5">
        <v>45933</v>
      </c>
      <c r="J5" s="6">
        <v>278</v>
      </c>
      <c r="K5" s="7">
        <v>28</v>
      </c>
      <c r="L5" s="7">
        <v>28</v>
      </c>
      <c r="M5" s="7" t="s">
        <v>36</v>
      </c>
      <c r="N5" s="7" t="s">
        <v>36</v>
      </c>
    </row>
    <row r="6" spans="1:35" ht="21">
      <c r="A6" s="2"/>
      <c r="B6" s="2"/>
      <c r="C6" s="2"/>
      <c r="D6" s="3"/>
      <c r="E6" s="3"/>
      <c r="F6" s="2"/>
      <c r="G6" s="4"/>
      <c r="H6" s="5"/>
      <c r="I6" s="5"/>
      <c r="J6" s="6"/>
      <c r="K6" s="7"/>
      <c r="L6" s="7"/>
      <c r="M6" s="7"/>
      <c r="N6" s="7"/>
    </row>
    <row r="7" spans="1:35" ht="21">
      <c r="A7" s="2"/>
      <c r="B7" s="2"/>
      <c r="C7" s="2"/>
      <c r="D7" s="3"/>
      <c r="E7" s="3"/>
      <c r="F7" s="2"/>
      <c r="G7" s="4"/>
      <c r="H7" s="5"/>
      <c r="I7" s="5"/>
      <c r="J7" s="6"/>
      <c r="K7" s="7"/>
      <c r="L7" s="7"/>
      <c r="M7" s="7"/>
      <c r="N7" s="7"/>
    </row>
    <row r="8" spans="1:35" ht="21">
      <c r="A8" s="2"/>
      <c r="B8" s="2"/>
      <c r="C8" s="2"/>
      <c r="D8" s="3"/>
      <c r="E8" s="3"/>
      <c r="F8" s="2"/>
      <c r="G8" s="4"/>
      <c r="H8" s="5"/>
      <c r="I8" s="5"/>
      <c r="J8" s="6"/>
      <c r="K8" s="7"/>
      <c r="L8" s="7"/>
      <c r="M8" s="7"/>
      <c r="N8" s="7"/>
    </row>
    <row r="9" spans="1:35" ht="21">
      <c r="A9" s="2"/>
      <c r="B9" s="2"/>
      <c r="C9" s="2"/>
      <c r="D9" s="3"/>
      <c r="E9" s="3"/>
      <c r="F9" s="2"/>
      <c r="G9" s="4"/>
      <c r="H9" s="5"/>
      <c r="I9" s="5"/>
      <c r="J9" s="6"/>
      <c r="K9" s="7"/>
      <c r="L9" s="7"/>
      <c r="M9" s="7"/>
      <c r="N9" s="7"/>
    </row>
    <row r="10" spans="1:35" ht="21">
      <c r="A10" s="2"/>
      <c r="B10" s="2"/>
      <c r="C10" s="2"/>
      <c r="D10" s="3"/>
      <c r="E10" s="3"/>
      <c r="F10" s="2"/>
      <c r="G10" s="4"/>
      <c r="H10" s="5"/>
      <c r="I10" s="5"/>
      <c r="J10" s="6"/>
      <c r="K10" s="7"/>
      <c r="L10" s="7"/>
      <c r="M10" s="7"/>
      <c r="N10" s="7"/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:N217">
    <cfRule type="expression" dxfId="9" priority="6">
      <formula>OR($AI6="Claim Closed in PMS",$AI6="Closed by QPS")</formula>
    </cfRule>
    <cfRule type="expression" dxfId="8" priority="7">
      <formula>AND($AC6="No",$K6&gt;=45)</formula>
    </cfRule>
    <cfRule type="expression" dxfId="7" priority="8">
      <formula>AND($A6="",$B6="",$C6="",$D6="",$E6="",$F6="",$G6="",$H6="",$I6="",$J6="",$K6="",$N6="")</formula>
    </cfRule>
    <cfRule type="expression" dxfId="6" priority="9">
      <formula>OR($A6&lt;&gt;"",$B6&lt;&gt;"",$C6&lt;&gt;"",$D6&lt;&gt;"",$E6&lt;&gt;"",$F6&lt;&gt;"",$G6&lt;&gt;"",$H6&lt;&gt;"",$I6&lt;&gt;"",$J6&lt;&gt;"",$K6&lt;&gt;"",$N6&lt;&gt;"")</formula>
    </cfRule>
    <cfRule type="expression" dxfId="5" priority="10">
      <formula>OR($AI6="Follow-Up Complete",$AI6="SDP Pending",$AI6="NV Pending",$AI6="Task Created",$AI6="Task to be Created")</formula>
    </cfRule>
  </conditionalFormatting>
  <conditionalFormatting sqref="A2:N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2025-11-01T00:38:27Z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