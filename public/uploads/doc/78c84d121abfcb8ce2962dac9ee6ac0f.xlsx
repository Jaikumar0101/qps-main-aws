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8_{432E1128-A2C0-4C07-A56A-AFAF273E4E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<sst xmlns="http://schemas.openxmlformats.org/spreadsheetml/2006/main" count="99" uniqueCount="55">
  <si>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</si>
  <si>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</si>
  <si>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</si>
  <si>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</si>
  <si>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</si>
  <si>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</si>
  <si>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</si>
  <si>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</si>
  <si>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</si>
  <si>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</si>
  <si>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</si>
  <si>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</si>
  <si>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</si>
  <si>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</si>
  <si>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</si>
  <si>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</si>
  <si>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</si>
  <si>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</si>
  <si>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</si>
  <si>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</si>
  <si>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</si>
  <si>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</si>
  <si>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</si>
  <si>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</si>
  <si>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</si>
  <si>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</si>
  <si>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</si>
  <si>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</si>
  <si>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</si>
  <si>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</si>
  <si>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</si>
  <si>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</si>
  <si>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</si>
  <si>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</si>
  <si>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</si>
  <si>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</t>
  </si>
  <si>
    <t/>
  </si>
  <si>
    <t>Chelsea Sherwood</t>
  </si>
  <si>
    <t>U96314469 03</t>
  </si>
  <si>
    <t>Rosemary Sherwood</t>
  </si>
  <si>
    <t>Delta Dental of California - CA00 Claim Office</t>
  </si>
  <si>
    <t>Lukas Perry</t>
  </si>
  <si>
    <t>Guardian Life Insurance Company of America</t>
  </si>
  <si>
    <t>Elias Azziz</t>
  </si>
  <si>
    <t>Jaxon Azziz</t>
  </si>
  <si>
    <t>Skylar Azziz</t>
  </si>
  <si>
    <t>Felipe Villa Jaramillo</t>
  </si>
  <si>
    <t>Nicolas Villa Araya</t>
  </si>
  <si>
    <t>United Concordia (Tricare Dental Plan)</t>
  </si>
  <si>
    <t>Stuart Whitaker</t>
  </si>
  <si>
    <t>Madelyn Whitaker</t>
  </si>
  <si>
    <t>Jackson Whitaker</t>
  </si>
  <si>
    <t>Braxton Hall</t>
  </si>
  <si>
    <t>Addisyn Culver</t>
  </si>
  <si>
    <t>Aliyah 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</si>
</sst>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43239</v>
      </c>
      <c r="H2" s="5">
        <v>45929</v>
      </c>
      <c r="I2" s="5">
        <v>45929</v>
      </c>
      <c r="J2" s="6">
        <v>2396</v>
      </c>
      <c r="K2" s="7">
        <v>21</v>
      </c>
      <c r="L2" s="7">
        <v>21</v>
      </c>
      <c r="M2" s="7" t="s">
        <v>36</v>
      </c>
      <c r="N2" s="7" t="s">
        <v>36</v>
      </c>
    </row>
    <row r="3" spans="1:35" ht="21">
      <c r="A3" s="2" t="s">
        <v>40</v>
      </c>
      <c r="B3" s="2" t="s">
        <v>36</v>
      </c>
      <c r="C3" s="2" t="s">
        <v>41</v>
      </c>
      <c r="D3" s="3">
        <v>118689062803</v>
      </c>
      <c r="E3" s="3" t="s">
        <v>36</v>
      </c>
      <c r="F3" s="2" t="s">
        <v>41</v>
      </c>
      <c r="G3" s="4">
        <v>45234</v>
      </c>
      <c r="H3" s="5">
        <v>45889</v>
      </c>
      <c r="I3" s="5">
        <v>45889</v>
      </c>
      <c r="J3" s="6">
        <v>126</v>
      </c>
      <c r="K3" s="7">
        <v>61</v>
      </c>
      <c r="L3" s="7">
        <v>61</v>
      </c>
      <c r="M3" s="7" t="s">
        <v>36</v>
      </c>
      <c r="N3" s="7" t="s">
        <v>36</v>
      </c>
    </row>
    <row r="4" spans="1:35" ht="21">
      <c r="A4" s="2" t="s">
        <v>42</v>
      </c>
      <c r="B4" s="2" t="s">
        <v>36</v>
      </c>
      <c r="C4" s="2" t="s">
        <v>43</v>
      </c>
      <c r="D4" s="3">
        <v>565799987</v>
      </c>
      <c r="E4" s="3" t="s">
        <v>36</v>
      </c>
      <c r="F4" s="2" t="s">
        <v>44</v>
      </c>
      <c r="G4" s="4">
        <v>42380</v>
      </c>
      <c r="H4" s="5">
        <v>45884</v>
      </c>
      <c r="I4" s="5">
        <v>45884</v>
      </c>
      <c r="J4" s="6">
        <v>390</v>
      </c>
      <c r="K4" s="7">
        <v>66</v>
      </c>
      <c r="L4" s="7">
        <v>66</v>
      </c>
      <c r="M4" s="7" t="s">
        <v>36</v>
      </c>
      <c r="N4" s="7" t="s">
        <v>36</v>
      </c>
    </row>
    <row r="5" spans="1:35" ht="21">
      <c r="A5" s="2" t="s">
        <v>42</v>
      </c>
      <c r="B5" s="2" t="s">
        <v>36</v>
      </c>
      <c r="C5" s="2" t="s">
        <v>43</v>
      </c>
      <c r="D5" s="3">
        <v>565799987</v>
      </c>
      <c r="E5" s="3" t="s">
        <v>36</v>
      </c>
      <c r="F5" s="2" t="s">
        <v>45</v>
      </c>
      <c r="G5" s="4">
        <v>41255</v>
      </c>
      <c r="H5" s="5">
        <v>45884</v>
      </c>
      <c r="I5" s="5">
        <v>45884</v>
      </c>
      <c r="J5" s="6">
        <v>451</v>
      </c>
      <c r="K5" s="7">
        <v>66</v>
      </c>
      <c r="L5" s="7">
        <v>66</v>
      </c>
      <c r="M5" s="7" t="s">
        <v>36</v>
      </c>
      <c r="N5" s="7" t="s">
        <v>36</v>
      </c>
    </row>
    <row r="6" spans="1:35" ht="21">
      <c r="A6" s="2" t="s">
        <v>42</v>
      </c>
      <c r="B6" s="2" t="s">
        <v>36</v>
      </c>
      <c r="C6" s="2" t="s">
        <v>46</v>
      </c>
      <c r="D6" s="3">
        <v>940353322</v>
      </c>
      <c r="E6" s="3" t="s">
        <v>36</v>
      </c>
      <c r="F6" s="2" t="s">
        <v>47</v>
      </c>
      <c r="G6" s="4">
        <v>40892</v>
      </c>
      <c r="H6" s="5">
        <v>45924</v>
      </c>
      <c r="I6" s="5">
        <v>45924</v>
      </c>
      <c r="J6" s="6">
        <v>451</v>
      </c>
      <c r="K6" s="7">
        <v>26</v>
      </c>
      <c r="L6" s="7">
        <v>26</v>
      </c>
      <c r="M6" s="7" t="s">
        <v>36</v>
      </c>
      <c r="N6" s="7" t="s">
        <v>36</v>
      </c>
    </row>
    <row r="7" spans="1:35" ht="21">
      <c r="A7" s="2" t="s">
        <v>48</v>
      </c>
      <c r="B7" s="2" t="s">
        <v>36</v>
      </c>
      <c r="C7" s="2" t="s">
        <v>49</v>
      </c>
      <c r="D7" s="3">
        <v>1052801200</v>
      </c>
      <c r="E7" s="3" t="s">
        <v>36</v>
      </c>
      <c r="F7" s="2" t="s">
        <v>50</v>
      </c>
      <c r="G7" s="4">
        <v>43612</v>
      </c>
      <c r="H7" s="5">
        <v>45926</v>
      </c>
      <c r="I7" s="5">
        <v>45926</v>
      </c>
      <c r="J7" s="6">
        <v>520</v>
      </c>
      <c r="K7" s="7">
        <v>24</v>
      </c>
      <c r="L7" s="7">
        <v>24</v>
      </c>
      <c r="M7" s="7" t="s">
        <v>36</v>
      </c>
      <c r="N7" s="7" t="s">
        <v>36</v>
      </c>
    </row>
    <row r="8" spans="1:35" ht="21">
      <c r="A8" s="2" t="s">
        <v>48</v>
      </c>
      <c r="B8" s="2" t="s">
        <v>36</v>
      </c>
      <c r="C8" s="2" t="s">
        <v>49</v>
      </c>
      <c r="D8" s="3">
        <v>1052801200</v>
      </c>
      <c r="E8" s="3" t="s">
        <v>36</v>
      </c>
      <c r="F8" s="2" t="s">
        <v>51</v>
      </c>
      <c r="G8" s="4">
        <v>42572</v>
      </c>
      <c r="H8" s="5">
        <v>45926</v>
      </c>
      <c r="I8" s="5">
        <v>45926</v>
      </c>
      <c r="J8" s="6">
        <v>659</v>
      </c>
      <c r="K8" s="7">
        <v>24</v>
      </c>
      <c r="L8" s="7">
        <v>24</v>
      </c>
      <c r="M8" s="7" t="s">
        <v>36</v>
      </c>
      <c r="N8" s="7" t="s">
        <v>36</v>
      </c>
    </row>
    <row r="9" spans="1:35" ht="21">
      <c r="A9" s="2" t="s">
        <v>48</v>
      </c>
      <c r="B9" s="2" t="s">
        <v>36</v>
      </c>
      <c r="C9" s="2" t="s">
        <v>52</v>
      </c>
      <c r="D9" s="3">
        <v>2132214300</v>
      </c>
      <c r="E9" s="3" t="s">
        <v>36</v>
      </c>
      <c r="F9" s="2" t="s">
        <v>53</v>
      </c>
      <c r="G9" s="4">
        <v>44041</v>
      </c>
      <c r="H9" s="5">
        <v>45929</v>
      </c>
      <c r="I9" s="5">
        <v>45929</v>
      </c>
      <c r="J9" s="6">
        <v>147.32</v>
      </c>
      <c r="K9" s="7">
        <v>21</v>
      </c>
      <c r="L9" s="7">
        <v>21</v>
      </c>
      <c r="M9" s="7" t="s">
        <v>36</v>
      </c>
      <c r="N9" s="7" t="s">
        <v>36</v>
      </c>
    </row>
    <row r="10" spans="1:35" ht="21">
      <c r="A10" s="2" t="s">
        <v>48</v>
      </c>
      <c r="B10" s="2" t="s">
        <v>36</v>
      </c>
      <c r="C10" s="2" t="s">
        <v>52</v>
      </c>
      <c r="D10" s="3">
        <v>2132214300</v>
      </c>
      <c r="E10" s="3" t="s">
        <v>36</v>
      </c>
      <c r="F10" s="2" t="s">
        <v>54</v>
      </c>
      <c r="G10" s="4">
        <v>44605</v>
      </c>
      <c r="H10" s="5">
        <v>45929</v>
      </c>
      <c r="I10" s="5">
        <v>45929</v>
      </c>
      <c r="J10" s="6">
        <v>100.5</v>
      </c>
      <c r="K10" s="7">
        <v>21</v>
      </c>
      <c r="L10" s="7">
        <v>21</v>
      </c>
      <c r="M10" s="7" t="s">
        <v>36</v>
      </c>
      <c r="N10" s="7" t="s">
        <v>36</v>
      </c>
    </row>
    <row r="11" spans="1:35" ht="21">
      <c r="A11" s="2"/>
      <c r="B11" s="2"/>
      <c r="C11" s="2"/>
      <c r="D11" s="3"/>
      <c r="E11" s="3"/>
      <c r="F11" s="2"/>
      <c r="G11" s="4"/>
      <c r="H11" s="5"/>
      <c r="I11" s="5"/>
      <c r="J11" s="6"/>
      <c r="K11" s="7"/>
      <c r="L11" s="7"/>
      <c r="M11" s="7"/>
      <c r="N11" s="7"/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:N217">
    <cfRule type="expression" dxfId="9" priority="6">
      <formula>OR($AI11="Claim Closed in PMS",$AI11="Closed by QPS")</formula>
    </cfRule>
    <cfRule type="expression" dxfId="8" priority="7">
      <formula>AND($AC11="No",$K11&gt;=45)</formula>
    </cfRule>
    <cfRule type="expression" dxfId="7" priority="8">
      <formula>AND($A11="",$B11="",$C11="",$D11="",$E11="",$F11="",$G11="",$H11="",$I11="",$J11="",$K11="",$N11="")</formula>
    </cfRule>
    <cfRule type="expression" dxfId="6" priority="9">
      <formula>OR($A11&lt;&gt;"",$B11&lt;&gt;"",$C11&lt;&gt;"",$D11&lt;&gt;"",$E11&lt;&gt;"",$F11&lt;&gt;"",$G11&lt;&gt;"",$H11&lt;&gt;"",$I11&lt;&gt;"",$J11&lt;&gt;"",$K11&lt;&gt;"",$N11&lt;&gt;"")</formula>
    </cfRule>
    <cfRule type="expression" dxfId="5" priority="10">
      <formula>OR($AI11="Follow-Up Complete",$AI11="SDP Pending",$AI11="NV Pending",$AI11="Task Created",$AI11="Task to be Created")</formula>
    </cfRule>
  </conditionalFormatting>
  <conditionalFormatting sqref="A2:N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2025-10-20T21:26:25Z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