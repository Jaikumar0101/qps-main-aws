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Z:\Claims Portal Project\Final AR Sheets\Current AR Reports\First Time Upload\"/>
    </mc:Choice>
  </mc:AlternateContent>
  <xr:revisionPtr revIDLastSave="0" documentId="13_ncr:1_{CBF4E4A9-C770-4F21-9240-5DA9F7CB3B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</definedName>
  </definedNames>
  <calcPr calcId="191029"/>
</workbook>
</file>

<file path=xl/sharedStrings.xml><?xml version="1.0" encoding="utf-8"?>
<sst xmlns="http://schemas.openxmlformats.org/spreadsheetml/2006/main" count="497" uniqueCount="125">
  <si>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</si>
  <si>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</si>
  <si>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</si>
  <si>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</si>
  <si>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</si>
  <si>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</si>
  <si>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</si>
  <si>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</si>
  <si>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</si>
  <si>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</si>
  <si>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</si>
  <si>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</si>
  <si>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</si>
  <si>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</si>
  <si>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</si>
  <si>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</si>
  <si>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</si>
  <si>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</si>
  <si>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</si>
  <si>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</si>
  <si>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</si>
  <si>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</si>
  <si>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</si>
  <si>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</si>
  <si>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</si>
  <si>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</si>
  <si>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</si>
  <si>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</si>
  <si>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</si>
  <si>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</si>
  <si>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</si>
  <si>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</si>
  <si>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</si>
  <si>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</si>
  <si>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</si>
  <si>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</si>
  <si>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Paid Amount:</t>
  </si>
  <si>
    <t>Paid Date:</t>
  </si>
  <si>
    <t>Bulk/Sep:</t>
  </si>
  <si>
    <t>Call Ref # Cust Rep:</t>
  </si>
  <si>
    <t xml:space="preserve">Task Cashed Chk Queue </t>
  </si>
  <si>
    <t>Yes</t>
  </si>
  <si>
    <t>YES</t>
  </si>
  <si>
    <t xml:space="preserve">V Team </t>
  </si>
  <si>
    <t>CK</t>
  </si>
  <si>
    <t>Closed by QPS</t>
  </si>
  <si>
    <t>CNOF Active</t>
  </si>
  <si>
    <t>Claim not on file. Patient is active ;</t>
  </si>
  <si>
    <t>Payor ID &amp; Address:</t>
  </si>
  <si>
    <t>Fax # (If Fax Yes):</t>
  </si>
  <si>
    <t>TFL in Mnths:</t>
  </si>
  <si>
    <t>Call Ref#:</t>
  </si>
  <si>
    <t>portal</t>
  </si>
  <si>
    <t>Cust Rep:</t>
  </si>
  <si>
    <t>Task Sub Pending Claims Queue</t>
  </si>
  <si>
    <t>NO</t>
  </si>
  <si>
    <t>VD</t>
  </si>
  <si>
    <t>Claim Closed in PMS</t>
  </si>
  <si>
    <t>Claim closed in PMS_QPS-VD</t>
  </si>
  <si>
    <t>single</t>
  </si>
  <si>
    <t>Task to be Created</t>
  </si>
  <si>
    <t>Portal</t>
  </si>
  <si>
    <t>Further Follow-Up</t>
  </si>
  <si>
    <t>Claim closed in PMS_QPS_VD</t>
  </si>
  <si>
    <t>PAID BY VCC</t>
  </si>
  <si>
    <t>Claim Paid by VCC;</t>
  </si>
  <si>
    <t>VCC/Draft#</t>
  </si>
  <si>
    <t>CLAIM PAID - EFT</t>
  </si>
  <si>
    <t>Claim Paid by EFT;</t>
  </si>
  <si>
    <t xml:space="preserve">EFT # </t>
  </si>
  <si>
    <t xml:space="preserve">Task Post Pmt Queue </t>
  </si>
  <si>
    <t>SDP PENDING</t>
  </si>
  <si>
    <t>CLAIM IN PROCESS</t>
  </si>
  <si>
    <t>Claim is in Process;</t>
  </si>
  <si>
    <t>No Action</t>
  </si>
  <si>
    <t>Task Created</t>
  </si>
  <si>
    <t>PORTAL</t>
  </si>
  <si>
    <t>United Health Care</t>
  </si>
  <si>
    <t>Lopez, Steve</t>
  </si>
  <si>
    <t>DOS:04/04/2024_INS_UHC_Worked date:7/31/2024_claim cleared on:07/25/2024_QPS_VD
DOS:04/04/2024_INS_UHC-Claim paid by VCC#:06170359, Claim rec on:07/16/2024, proc on:07/22/2024, issued on:07/22/2024, claim still pending, paid amt:$147.00, single payment, Claim#:241733221100, EOB Uploaded_QPS-VD</t>
  </si>
  <si>
    <t>Mandry, Lynne</t>
  </si>
  <si>
    <t>1. DOS:05/08/2024_INS_UHC_Worked date:08/14/2024, claim paid by VCC, Claim received on:08/02/2024, processed on:08/07/2024, issued on:08/08/2024, cleared on:08/13/2024, VCC#:529098356, Paid amt:$157.00, with the bulk amt/$528.40, EOB Uploaded_QPS_VD
2. DOS:07/31/2024_INS_UHC_Worked date:08/14/2024, claim paid by VCC, Claim received on:08/02/2024, processed and, payment issued on:08/06/2024, cleared on:08/09/2024, VCC#:528053230, Paid amt:$393.00, single payment, claim#:241811213900, EOB Uploaded_QPS_VD</t>
  </si>
  <si>
    <t>Mattox, William</t>
  </si>
  <si>
    <t>bulk/$870.00</t>
  </si>
  <si>
    <t>DOS:07/24/2024_INS_UHC_Worked date:8/14/2024, claim paid by VCC, claim received on:07/26/2024, processed and issued on:07/30/2024, cleared on:08/03/2024, VCC#:524981161, Paid amt:$870.00, with the bulk payment/$870.00, claim#:241770526300, EOB Uploaded_QPS</t>
  </si>
  <si>
    <t>Micklas, Ronald</t>
  </si>
  <si>
    <t>Claim already closed pms</t>
  </si>
  <si>
    <t>Milne, David</t>
  </si>
  <si>
    <t>BULK/739</t>
  </si>
  <si>
    <t>DOS:09/15/2023_INS_UHC_Worked date:08/28/2024, Claim partielly paid by VCC#:57832513, Claim rec on:07/20/2023, proc on:09/21/2023, issued on:09/22/2023, cleared on:09/28/2024, paid amt:$84.00, with the bulk/$739.00, EOB Uploaded, for D4381 is still pending there is no reason, need to know, Claim#:231817506100_QPS-VD</t>
  </si>
  <si>
    <t>Moye, James</t>
  </si>
  <si>
    <t>mailing:30567, sl, 84130, payer id:52133</t>
  </si>
  <si>
    <t>BULK/8$874.20</t>
  </si>
  <si>
    <t>DOS:04/23/2024_INS_UHC_Worked date:08/21/2024_claim paid by vcc, paid amt:$64.00, with the bulk amt:$872.00, there is no patient resp, paid on: 07/18/2024, claim received  and procesed on:07/17/2024, cleared on:07/23/2024, claim#:241710525800, VCC#:519844490, EOB Uploaded_rep:portal_QPS_VD
Submitted the claim through the electronically on 7/16/2024 QPS-PB///DOS:04/23/2024_INS_UHC_Claim not on file patient is active, effective date:01/01/2015, there is no termination, nee to submit the claim_QPS-VD</t>
  </si>
  <si>
    <t>Mussler, Corey</t>
  </si>
  <si>
    <t>Petrie, Rebecca</t>
  </si>
  <si>
    <t xml:space="preserve">DOS:02/20/2023_INS_UHC_Worked date:09/06/2024, claim in process, claim received on:09/02/2024, claim#:241990460300, need to wait for 20-30 days, ref: portal_QPS_VD
DOS_02/20/2023_INS_United Health Care
Submitted the Claim with Narrative and X rays through the electronically NEA#
 336065206 on 08/29/2024_QPS_UA///DOS:02/20/2023_INS_UHC_Worked date:08/28/2024, still claim not on file patient is active, effective date:08/06/2021, there is no termination, need to submit the claim, ref: portal_QPS_VD
</t>
  </si>
  <si>
    <t>Quispe, Mercedes</t>
  </si>
  <si>
    <t>bulk/1,201.28</t>
  </si>
  <si>
    <t>DOS:06/20/2024_INS_UHC_Worked date:08/27/2024, claim paid by vcc, paid amt:$49.00, patient responsibility:$15.00, with the bulk payment: 1,201.28, paid on:07/30/2024, claim received on:07/26/2024, processed on:07/29/2024, cleared on:08/02/2024, VCC#: 64993719, Claim#: 241780596300, EOB Uploade, ref:portal_QPS_VD
DOS-06/20/2024 INS-united Health care
Submitted the Claim through the FAX # 2487336372 on 7/26/2024 QPS-PB///DOS:06/20/2024-INS_UHC-Claim not on file patient is active, effective date:01/01/2023, there no termination, need to submit the claim_QPS_VD</t>
  </si>
  <si>
    <t>Reich, Lynn</t>
  </si>
  <si>
    <t>Worked date:06/27/2024, claim closed in PMS_QPS_VD////DOS-5/13/2024 ,Submitted the claim with narrative,perio chart through the FAX on 5/24/2024 QPS-PB///DOS:5/13/2024, Claim not on file patient is active, need to submit the claim, effective date:01/01/2023, termination on:12/31/2024</t>
  </si>
  <si>
    <t>Sabatini, Denise</t>
  </si>
  <si>
    <t>BULK/$1,201.28</t>
  </si>
  <si>
    <t>DOS:06/25/2024_INS_UHC_Worked date:08/27/2024, claim paid by vcc, paid amt: $64, patient responsibility: $25.00, paid on:07/30/2024, with the bulk amt/$1,201.28, claim received on:07/26/2024, processed on:07/29/2024, cleared on:08/02/2024, VCC#:64993719, Claim #:241780585700, EOB Uploaded, ref:portal_QPS_VD
DOS-06/25/2024 ,Submitted the Claim through the FAX # 2487336372 on 7/26/2024 QPS-PB ///DOS:06/25/2024-INS_UHC-Claim not on file patient is active, effective date:01/01/2019, there no termination, need to submit the claim_QPS_VD</t>
  </si>
  <si>
    <t>Shaw, Nia</t>
  </si>
  <si>
    <t>Simpson, Valrie</t>
  </si>
  <si>
    <t>DOS:08/08/2024_INS_UHC_Worked date:08/27/2024, claim paid by vcc, paid amt:$121.00, no patient responsibility, with the single payment, paid on:08/14/2024, claim received on:08/13/2024, processed on:08/13/2024, cleared on:08/17/2024, VCC#:65372567, Claim#:241872234300, EOB Uploaded, ref: portal_QPS_VD
1. DOS:08/08/2024_INS_UHC_Worked date:8/14/2024, claim in process, claim received on:08/13/2024, claim#:241872234300, we need to wait for, 10-15 days_QPS_VD
2. DOS:07/25/2024_INS_UHC_Worked date:08/14/2024, claim paid by VCC, Claim received on:07/29/2024, processed on:07/29/2024, issued on:07/30/2024, cleared on:08/02/2024, VCC#:524692806, Paid amt:$64.00, with the bulk amt:$1,201.28, claim#:241777555800, EOB Uploaded_QPS_VD</t>
  </si>
  <si>
    <t>Stafford, Chance</t>
  </si>
  <si>
    <t>bulk/337.40</t>
  </si>
  <si>
    <t>DOS:06/18/2024_INS_UHC_Worked date:08/27/2024, claim partially paid by vcc, paid mt:$59.00, patient responsibility, $26.00, with the bulk/ $337.40, for the D1206 is denied due to frequency limit,  claim received on:7/26/2024, processed on:07/30/2024, paid on:07/31/2024, cleared on:08/03/2024, VCC#:525084322, Claim#:241780612100, EOB Uploaded, Rep: portal_QPS_VD
DOS-06/18/2024 ,Submitted the Claim through the FAX #2487336372 on 7/26/2024 QPS-PB///DOS:06/18/2024_INS_UHC_Claim not on file patient is active, effective date:01/01/2022, there no termination, need to submit the claim_QPS-VD</t>
  </si>
  <si>
    <t>Stafford, Cherish</t>
  </si>
  <si>
    <t>1. DOS: 06/18/2024_INS_UHC_Worked date:09/04/2024, claim partially paid by vcc, paid amt:$105.00, paid on:07/31/2024, with the bulk/$337.40, vcc#:65021974, claim received on:07/26/2024, processed on:07/31/2024, claim#:241780469800, cleared on:08/03/2024, D0230 is denied due to Based on review of the patient's dental history this procedure code is not eligible, ref: portal, EOB Uploaded_QPS_VD
2.DOS:07/16/2024_INS_UHC_Worked date:09/04/2024, for D2392(tooth#: 31,30, 18), claim in process, need to wait for 10-15 days, claim received on:07/18/2024, claim#:241718597001, Ref: portal_QPS_VD
DOS-07/21/2023 ,Submitted the Claim through the FAX #2487336372 on 7/26/2024 QPS-PB ////DOS-06/18/2024 ,Submitted the Claim through the FAX #2487336372 on 7/26/2024 QPS-PB///1. DOS:07/21/2023, 2. DOS:06/18/2024_INS_UHC_Claim not on file patient is active, effective date:01/01/2022, tarminated on:12/31/2029, need to submit the claim_QPS_VD</t>
  </si>
  <si>
    <t>Valere-Dedier, Dya</t>
  </si>
  <si>
    <t>bulk/$872.00</t>
  </si>
  <si>
    <t>1. DOS:06/11/2024_INS_UHC_Claim paid by VCC#:64717807, Paid amt:$97.00, patient resp:$88.00, With the bulk/ $872.00, claim rec on:07/17/2024, proc on:07/17/2024, issued on:07/18/2024, cleared on:07/24/2024, claim#:241710895500, EOB Uploaded_QPS_VD
2. DOS:06/19/2024_INS_UHC_Claim paid by VCC#:64717807, Paid amt:$185.60, patient resp:$848.40, With the bulk/ $872.00, claim rec on:07/17/2024, proc on:07/17/2024, issued on:07/18/2024, cleared on:07/24/2024, claim#:241710058900, EOB Uploaded-QPS_VD</t>
  </si>
  <si>
    <t>Walker, Derek</t>
  </si>
  <si>
    <t>BULK/$337.40</t>
  </si>
  <si>
    <t>DOS:07/03/2024_INS_UHC_worked date:08/14/2024, Claim paid by VCC#:525084322, Claim#:241787500500, paid amt:$50.40, bulk amt/: $337.40, Claim received on:07/29/2024, claim processed on:07/30/2024, issued on:07/31/2024, cleared on:08/03/2024, Zelis payment, EOB Uploaded_QPS_VD</t>
  </si>
  <si>
    <t>Walker, Sherry</t>
  </si>
  <si>
    <t>BULK/872</t>
  </si>
  <si>
    <t>DOS:06/03/2024_INS-UHC_Claim paid by VCC#:64717807, Paid amt:$64.00, paid on:07/18/2024, with the bulk amt/$872.00, cliam rec on:7/17/2024, proc on:07/17/2024, issued on:07/18/2024, cleared on:07/23/2024, claim#:241710134400, EOB Uploaded-QPS-VD</t>
  </si>
  <si>
    <t>Yurt, Irene</t>
  </si>
  <si>
    <t>BULK/417.60</t>
  </si>
  <si>
    <t>DOS:07/16/2024_INS_UHC-Worked date:7/31/2024_claim cleared on:07/25/2024_QPS_VD
DOS:07/16/2024_INS_UHC_Claim paid by VCC#:64756627, Claim rec on:07/18/2024, proc on:07/18/2024, issued on:07/19/2024, claim still pending, paid amt:$229.60, with the bulk/417.60, claim#:241719413800, EOB Uploaded_QPS_VD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</si>
</sst>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333333"/>
      <name val="Roboto"/>
    </font>
    <font>
      <sz val="10"/>
      <color rgb="FF1E1E1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</cellXfs>
  <cellStyles count="2">
    <cellStyle name="Currency" xfId="1" builtinId="4"/>
    <cellStyle name="Normal" xfId="0" builtinId="0"/>
  </cellStyles>
  <dxfs count="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topLeftCell="A17" workbookViewId="0">
      <selection activeCell="A2" sqref="A2:A2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2.14062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20" max="20" width="13.140625" customWidth="1"/>
    <col min="22" max="22" width="13" customWidth="1"/>
    <col min="30" max="30" width="13.85546875" style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409.5">
      <c r="A2" s="2" t="s">
        <v>77</v>
      </c>
      <c r="B2" s="2" t="s">
        <v>35</v>
      </c>
      <c r="C2" s="2" t="s">
        <v>78</v>
      </c>
      <c r="D2" s="3">
        <v>123456789</v>
      </c>
      <c r="E2" s="3">
        <v>19887</v>
      </c>
      <c r="F2" s="2" t="s">
        <v>78</v>
      </c>
      <c r="G2" s="4">
        <v>37220</v>
      </c>
      <c r="H2" s="5">
        <v>37535</v>
      </c>
      <c r="I2" s="5" t="s">
        <v>35</v>
      </c>
      <c r="J2" s="6">
        <v>177</v>
      </c>
      <c r="K2" s="7" t="s">
        <v>35</v>
      </c>
      <c r="L2" s="7" t="s">
        <v>35</v>
      </c>
      <c r="M2" s="7" t="s">
        <v>35</v>
      </c>
      <c r="N2" s="7" t="s">
        <v>35</v>
      </c>
      <c r="O2" s="8" t="s">
        <v>64</v>
      </c>
      <c r="P2" s="9" t="s">
        <v>65</v>
      </c>
      <c r="Q2" s="11" t="s">
        <v>36</v>
      </c>
      <c r="R2" s="10">
        <v>147</v>
      </c>
      <c r="S2" s="11" t="s">
        <v>37</v>
      </c>
      <c r="T2" s="10">
        <v>45495</v>
      </c>
      <c r="U2" s="11" t="s">
        <v>66</v>
      </c>
      <c r="V2" s="16">
        <v>6170359</v>
      </c>
      <c r="W2" s="11" t="s">
        <v>38</v>
      </c>
      <c r="X2" s="16" t="s">
        <v>59</v>
      </c>
      <c r="Y2" s="11" t="s">
        <v>39</v>
      </c>
      <c r="Z2" s="16" t="s">
        <v>76</v>
      </c>
      <c r="AA2" s="19" t="s">
        <v>79</v>
      </c>
      <c r="AB2" s="2" t="s">
        <v>40</v>
      </c>
      <c r="AC2" s="10" t="s">
        <v>41</v>
      </c>
      <c r="AD2" s="12">
        <v>45548</v>
      </c>
      <c r="AE2" s="10" t="s">
        <v>42</v>
      </c>
      <c r="AF2" s="10" t="s">
        <v>43</v>
      </c>
      <c r="AG2" s="13" t="s">
        <v>56</v>
      </c>
      <c r="AH2" s="14">
        <v>45517</v>
      </c>
      <c r="AI2" s="13" t="s">
        <v>75</v>
      </c>
    </row>
    <row r="3" spans="1:35" ht="409.5">
      <c r="A3" s="2" t="s">
        <v>77</v>
      </c>
      <c r="B3" s="2" t="s">
        <v>35</v>
      </c>
      <c r="C3" s="2" t="s">
        <v>80</v>
      </c>
      <c r="D3" s="3">
        <v>123456789</v>
      </c>
      <c r="E3" s="3">
        <v>16222</v>
      </c>
      <c r="F3" s="2" t="s">
        <v>80</v>
      </c>
      <c r="G3" s="4">
        <v>37221</v>
      </c>
      <c r="H3" s="5">
        <v>37536</v>
      </c>
      <c r="I3" s="5" t="s">
        <v>35</v>
      </c>
      <c r="J3" s="6">
        <v>631</v>
      </c>
      <c r="K3" s="7" t="s">
        <v>35</v>
      </c>
      <c r="L3" s="7" t="s">
        <v>35</v>
      </c>
      <c r="M3" s="7" t="s">
        <v>35</v>
      </c>
      <c r="N3" s="7" t="s">
        <v>35</v>
      </c>
      <c r="O3" s="8" t="s">
        <v>64</v>
      </c>
      <c r="P3" s="9" t="s">
        <v>65</v>
      </c>
      <c r="Q3" s="11" t="s">
        <v>36</v>
      </c>
      <c r="R3" s="10"/>
      <c r="S3" s="11" t="s">
        <v>37</v>
      </c>
      <c r="T3" s="10"/>
      <c r="U3" s="11" t="s">
        <v>66</v>
      </c>
      <c r="V3" s="16"/>
      <c r="W3" s="11" t="s">
        <v>38</v>
      </c>
      <c r="X3" s="16"/>
      <c r="Y3" s="11" t="s">
        <v>39</v>
      </c>
      <c r="Z3" s="16"/>
      <c r="AA3" s="19" t="s">
        <v>81</v>
      </c>
      <c r="AB3" s="2" t="s">
        <v>40</v>
      </c>
      <c r="AC3" s="10" t="s">
        <v>41</v>
      </c>
      <c r="AD3" s="12">
        <v>45549</v>
      </c>
      <c r="AE3" s="10" t="s">
        <v>42</v>
      </c>
      <c r="AF3" s="10" t="s">
        <v>43</v>
      </c>
      <c r="AG3" s="13" t="s">
        <v>56</v>
      </c>
      <c r="AH3" s="14">
        <v>45518</v>
      </c>
      <c r="AI3" s="13" t="s">
        <v>75</v>
      </c>
    </row>
    <row r="4" spans="1:35" ht="63">
      <c r="A4" s="2" t="s">
        <v>77</v>
      </c>
      <c r="B4" s="2" t="s">
        <v>35</v>
      </c>
      <c r="C4" s="2" t="s">
        <v>82</v>
      </c>
      <c r="D4" s="3">
        <v>123456789</v>
      </c>
      <c r="E4" s="3">
        <v>19882</v>
      </c>
      <c r="F4" s="2" t="s">
        <v>82</v>
      </c>
      <c r="G4" s="4">
        <v>37222</v>
      </c>
      <c r="H4" s="5">
        <v>37537</v>
      </c>
      <c r="I4" s="5" t="s">
        <v>35</v>
      </c>
      <c r="J4" s="6">
        <v>861.2</v>
      </c>
      <c r="K4" s="7" t="s">
        <v>35</v>
      </c>
      <c r="L4" s="7" t="s">
        <v>35</v>
      </c>
      <c r="M4" s="7" t="s">
        <v>35</v>
      </c>
      <c r="N4" s="7" t="s">
        <v>35</v>
      </c>
      <c r="O4" s="8" t="s">
        <v>64</v>
      </c>
      <c r="P4" s="9" t="s">
        <v>65</v>
      </c>
      <c r="Q4" s="11" t="s">
        <v>36</v>
      </c>
      <c r="R4" s="15">
        <v>870</v>
      </c>
      <c r="S4" s="11" t="s">
        <v>37</v>
      </c>
      <c r="T4" s="12">
        <v>45503</v>
      </c>
      <c r="U4" s="11" t="s">
        <v>66</v>
      </c>
      <c r="V4" s="21">
        <v>524981161</v>
      </c>
      <c r="W4" s="11" t="s">
        <v>38</v>
      </c>
      <c r="X4" s="16" t="s">
        <v>83</v>
      </c>
      <c r="Y4" s="11" t="s">
        <v>39</v>
      </c>
      <c r="Z4" s="16" t="s">
        <v>76</v>
      </c>
      <c r="AA4" s="18" t="s">
        <v>84</v>
      </c>
      <c r="AB4" s="2" t="s">
        <v>40</v>
      </c>
      <c r="AC4" s="10" t="s">
        <v>41</v>
      </c>
      <c r="AD4" s="12">
        <v>45549</v>
      </c>
      <c r="AE4" s="10" t="s">
        <v>42</v>
      </c>
      <c r="AF4" s="10" t="s">
        <v>43</v>
      </c>
      <c r="AG4" s="13" t="s">
        <v>56</v>
      </c>
      <c r="AH4" s="14">
        <v>45518</v>
      </c>
      <c r="AI4" s="13" t="s">
        <v>75</v>
      </c>
    </row>
    <row r="5" spans="1:35" ht="63">
      <c r="A5" s="2" t="s">
        <v>77</v>
      </c>
      <c r="B5" s="2" t="s">
        <v>35</v>
      </c>
      <c r="C5" s="2" t="s">
        <v>85</v>
      </c>
      <c r="D5" s="3">
        <v>123456789</v>
      </c>
      <c r="E5" s="3">
        <v>16950</v>
      </c>
      <c r="F5" s="2" t="s">
        <v>85</v>
      </c>
      <c r="G5" s="4">
        <v>37223</v>
      </c>
      <c r="H5" s="5">
        <v>37538</v>
      </c>
      <c r="I5" s="5" t="s">
        <v>35</v>
      </c>
      <c r="J5" s="6">
        <v>50</v>
      </c>
      <c r="K5" s="7" t="s">
        <v>35</v>
      </c>
      <c r="L5" s="7" t="s">
        <v>35</v>
      </c>
      <c r="M5" s="7" t="s">
        <v>35</v>
      </c>
      <c r="N5" s="7" t="s">
        <v>35</v>
      </c>
      <c r="O5" s="8" t="s">
        <v>67</v>
      </c>
      <c r="P5" s="9" t="s">
        <v>68</v>
      </c>
      <c r="Q5" s="11" t="s">
        <v>36</v>
      </c>
      <c r="R5" s="10"/>
      <c r="S5" s="11" t="s">
        <v>37</v>
      </c>
      <c r="T5" s="10"/>
      <c r="U5" s="11" t="s">
        <v>69</v>
      </c>
      <c r="V5" s="16"/>
      <c r="W5" s="11" t="s">
        <v>38</v>
      </c>
      <c r="X5" s="16"/>
      <c r="Y5" s="11" t="s">
        <v>39</v>
      </c>
      <c r="Z5" s="16"/>
      <c r="AA5" s="18" t="s">
        <v>86</v>
      </c>
      <c r="AB5" s="2" t="s">
        <v>70</v>
      </c>
      <c r="AC5" s="10" t="s">
        <v>41</v>
      </c>
      <c r="AD5" s="12">
        <v>36161</v>
      </c>
      <c r="AE5" s="10" t="s">
        <v>42</v>
      </c>
      <c r="AF5" s="10" t="s">
        <v>43</v>
      </c>
      <c r="AG5" s="13" t="s">
        <v>44</v>
      </c>
      <c r="AH5" s="14">
        <v>45418</v>
      </c>
      <c r="AI5" s="13" t="s">
        <v>45</v>
      </c>
    </row>
    <row r="6" spans="1:35" ht="63">
      <c r="A6" s="2" t="s">
        <v>77</v>
      </c>
      <c r="B6" s="2" t="s">
        <v>35</v>
      </c>
      <c r="C6" s="2" t="s">
        <v>87</v>
      </c>
      <c r="D6" s="3">
        <v>123456789</v>
      </c>
      <c r="E6" s="3">
        <v>12388</v>
      </c>
      <c r="F6" s="2" t="s">
        <v>87</v>
      </c>
      <c r="G6" s="4">
        <v>37224</v>
      </c>
      <c r="H6" s="5">
        <v>37539</v>
      </c>
      <c r="I6" s="5" t="s">
        <v>35</v>
      </c>
      <c r="J6" s="6">
        <v>126</v>
      </c>
      <c r="K6" s="7" t="s">
        <v>35</v>
      </c>
      <c r="L6" s="7" t="s">
        <v>35</v>
      </c>
      <c r="M6" s="7" t="s">
        <v>35</v>
      </c>
      <c r="N6" s="7" t="s">
        <v>35</v>
      </c>
      <c r="O6" s="8" t="s">
        <v>64</v>
      </c>
      <c r="P6" s="9" t="s">
        <v>65</v>
      </c>
      <c r="Q6" s="11" t="s">
        <v>36</v>
      </c>
      <c r="R6" s="10">
        <v>84</v>
      </c>
      <c r="S6" s="11" t="s">
        <v>37</v>
      </c>
      <c r="T6" s="10">
        <v>45191</v>
      </c>
      <c r="U6" s="11" t="s">
        <v>66</v>
      </c>
      <c r="V6" s="16">
        <v>57832513</v>
      </c>
      <c r="W6" s="11" t="s">
        <v>38</v>
      </c>
      <c r="X6" s="16" t="s">
        <v>88</v>
      </c>
      <c r="Y6" s="11" t="s">
        <v>39</v>
      </c>
      <c r="Z6" s="16" t="s">
        <v>76</v>
      </c>
      <c r="AA6" s="18" t="s">
        <v>89</v>
      </c>
      <c r="AB6" s="2" t="s">
        <v>40</v>
      </c>
      <c r="AC6" s="10" t="s">
        <v>41</v>
      </c>
      <c r="AD6" s="12">
        <v>45563</v>
      </c>
      <c r="AE6" s="10" t="s">
        <v>42</v>
      </c>
      <c r="AF6" s="10" t="s">
        <v>43</v>
      </c>
      <c r="AG6" s="13" t="s">
        <v>56</v>
      </c>
      <c r="AH6" s="14">
        <v>45532</v>
      </c>
      <c r="AI6" s="13" t="s">
        <v>60</v>
      </c>
    </row>
    <row r="7" spans="1:35" ht="409.5">
      <c r="A7" s="2" t="s">
        <v>77</v>
      </c>
      <c r="B7" s="2" t="s">
        <v>35</v>
      </c>
      <c r="C7" s="2" t="s">
        <v>90</v>
      </c>
      <c r="D7" s="3">
        <v>123456789</v>
      </c>
      <c r="E7" s="3">
        <v>17659</v>
      </c>
      <c r="F7" s="2" t="s">
        <v>90</v>
      </c>
      <c r="G7" s="4">
        <v>37225</v>
      </c>
      <c r="H7" s="5">
        <v>37540</v>
      </c>
      <c r="I7" s="5" t="s">
        <v>35</v>
      </c>
      <c r="J7" s="6">
        <v>180.6</v>
      </c>
      <c r="K7" s="7" t="s">
        <v>35</v>
      </c>
      <c r="L7" s="7" t="s">
        <v>35</v>
      </c>
      <c r="M7" s="7" t="s">
        <v>35</v>
      </c>
      <c r="N7" s="7" t="s">
        <v>35</v>
      </c>
      <c r="O7" s="8" t="s">
        <v>64</v>
      </c>
      <c r="P7" s="9" t="s">
        <v>65</v>
      </c>
      <c r="Q7" s="11" t="s">
        <v>36</v>
      </c>
      <c r="R7" s="10" t="s">
        <v>91</v>
      </c>
      <c r="S7" s="11" t="s">
        <v>37</v>
      </c>
      <c r="T7" s="12">
        <v>45490</v>
      </c>
      <c r="U7" s="11" t="s">
        <v>66</v>
      </c>
      <c r="V7" s="16">
        <v>519844490</v>
      </c>
      <c r="W7" s="11" t="s">
        <v>38</v>
      </c>
      <c r="X7" s="16" t="s">
        <v>92</v>
      </c>
      <c r="Y7" s="11" t="s">
        <v>39</v>
      </c>
      <c r="Z7" s="16" t="s">
        <v>52</v>
      </c>
      <c r="AA7" s="19" t="s">
        <v>93</v>
      </c>
      <c r="AB7" s="2" t="s">
        <v>40</v>
      </c>
      <c r="AC7" s="10" t="s">
        <v>41</v>
      </c>
      <c r="AD7" s="12">
        <v>45556</v>
      </c>
      <c r="AE7" s="10" t="s">
        <v>42</v>
      </c>
      <c r="AF7" s="10" t="s">
        <v>43</v>
      </c>
      <c r="AG7" s="13" t="s">
        <v>56</v>
      </c>
      <c r="AH7" s="14">
        <v>45525</v>
      </c>
      <c r="AI7" s="13" t="s">
        <v>75</v>
      </c>
    </row>
    <row r="8" spans="1:35" ht="63">
      <c r="A8" s="2" t="s">
        <v>77</v>
      </c>
      <c r="B8" s="2" t="s">
        <v>35</v>
      </c>
      <c r="C8" s="2" t="s">
        <v>94</v>
      </c>
      <c r="D8" s="3">
        <v>123456789</v>
      </c>
      <c r="E8" s="3">
        <v>19538</v>
      </c>
      <c r="F8" s="2" t="s">
        <v>94</v>
      </c>
      <c r="G8" s="4">
        <v>37226</v>
      </c>
      <c r="H8" s="5">
        <v>37541</v>
      </c>
      <c r="I8" s="5" t="s">
        <v>35</v>
      </c>
      <c r="J8" s="6">
        <v>53.1</v>
      </c>
      <c r="K8" s="7" t="s">
        <v>35</v>
      </c>
      <c r="L8" s="7" t="s">
        <v>35</v>
      </c>
      <c r="M8" s="7" t="s">
        <v>35</v>
      </c>
      <c r="N8" s="7" t="s">
        <v>35</v>
      </c>
      <c r="O8" s="8" t="s">
        <v>64</v>
      </c>
      <c r="P8" s="9" t="s">
        <v>65</v>
      </c>
      <c r="Q8" s="11" t="s">
        <v>36</v>
      </c>
      <c r="R8" s="10"/>
      <c r="S8" s="11" t="s">
        <v>37</v>
      </c>
      <c r="T8" s="10"/>
      <c r="U8" s="11" t="s">
        <v>66</v>
      </c>
      <c r="V8" s="16"/>
      <c r="W8" s="11" t="s">
        <v>38</v>
      </c>
      <c r="X8" s="16"/>
      <c r="Y8" s="11" t="s">
        <v>39</v>
      </c>
      <c r="Z8" s="16"/>
      <c r="AA8" s="18" t="s">
        <v>58</v>
      </c>
      <c r="AB8" s="2" t="s">
        <v>40</v>
      </c>
      <c r="AC8" s="10" t="s">
        <v>41</v>
      </c>
      <c r="AD8" s="12">
        <v>45498</v>
      </c>
      <c r="AE8" s="10" t="s">
        <v>55</v>
      </c>
      <c r="AF8" s="10" t="s">
        <v>43</v>
      </c>
      <c r="AG8" s="13" t="s">
        <v>56</v>
      </c>
      <c r="AH8" s="14">
        <v>45498</v>
      </c>
      <c r="AI8" s="13" t="s">
        <v>57</v>
      </c>
    </row>
    <row r="9" spans="1:35" ht="409.5">
      <c r="A9" s="2" t="s">
        <v>77</v>
      </c>
      <c r="B9" s="2" t="s">
        <v>35</v>
      </c>
      <c r="C9" s="2" t="s">
        <v>95</v>
      </c>
      <c r="D9" s="3">
        <v>123456789</v>
      </c>
      <c r="E9" s="3">
        <v>16475</v>
      </c>
      <c r="F9" s="2" t="s">
        <v>95</v>
      </c>
      <c r="G9" s="4">
        <v>37227</v>
      </c>
      <c r="H9" s="5">
        <v>37542</v>
      </c>
      <c r="I9" s="5" t="s">
        <v>35</v>
      </c>
      <c r="J9" s="6">
        <v>335.4</v>
      </c>
      <c r="K9" s="7" t="s">
        <v>35</v>
      </c>
      <c r="L9" s="7" t="s">
        <v>35</v>
      </c>
      <c r="M9" s="7" t="s">
        <v>35</v>
      </c>
      <c r="N9" s="7" t="s">
        <v>35</v>
      </c>
      <c r="O9" s="8" t="s">
        <v>72</v>
      </c>
      <c r="P9" s="9" t="s">
        <v>73</v>
      </c>
      <c r="Q9" s="11" t="s">
        <v>51</v>
      </c>
      <c r="R9" s="10" t="s">
        <v>76</v>
      </c>
      <c r="S9" s="11" t="s">
        <v>53</v>
      </c>
      <c r="T9" s="10" t="s">
        <v>76</v>
      </c>
      <c r="U9" s="11">
        <v>0</v>
      </c>
      <c r="V9" s="16"/>
      <c r="W9" s="11">
        <v>0</v>
      </c>
      <c r="X9" s="16"/>
      <c r="Y9" s="11">
        <v>0</v>
      </c>
      <c r="Z9" s="16"/>
      <c r="AA9" s="19" t="s">
        <v>96</v>
      </c>
      <c r="AB9" s="2" t="s">
        <v>74</v>
      </c>
      <c r="AC9" s="10" t="s">
        <v>41</v>
      </c>
      <c r="AD9" s="17">
        <v>45544</v>
      </c>
      <c r="AE9" s="10" t="s">
        <v>55</v>
      </c>
      <c r="AF9" s="10" t="s">
        <v>43</v>
      </c>
      <c r="AG9" s="13" t="s">
        <v>56</v>
      </c>
      <c r="AH9" s="14">
        <v>45541</v>
      </c>
      <c r="AI9" s="13" t="s">
        <v>71</v>
      </c>
    </row>
    <row r="10" spans="1:35" ht="409.5">
      <c r="A10" s="2" t="s">
        <v>77</v>
      </c>
      <c r="B10" s="2" t="s">
        <v>35</v>
      </c>
      <c r="C10" s="2" t="s">
        <v>97</v>
      </c>
      <c r="D10" s="3">
        <v>123456789</v>
      </c>
      <c r="E10" s="3">
        <v>18609</v>
      </c>
      <c r="F10" s="2" t="s">
        <v>97</v>
      </c>
      <c r="G10" s="4">
        <v>37228</v>
      </c>
      <c r="H10" s="5">
        <v>37543</v>
      </c>
      <c r="I10" s="5" t="s">
        <v>35</v>
      </c>
      <c r="J10" s="6">
        <v>124</v>
      </c>
      <c r="K10" s="7" t="s">
        <v>35</v>
      </c>
      <c r="L10" s="7" t="s">
        <v>35</v>
      </c>
      <c r="M10" s="7" t="s">
        <v>35</v>
      </c>
      <c r="N10" s="7" t="s">
        <v>35</v>
      </c>
      <c r="O10" s="8" t="s">
        <v>64</v>
      </c>
      <c r="P10" s="9" t="s">
        <v>65</v>
      </c>
      <c r="Q10" s="11" t="s">
        <v>36</v>
      </c>
      <c r="R10" s="15">
        <v>49</v>
      </c>
      <c r="S10" s="11" t="s">
        <v>37</v>
      </c>
      <c r="T10" s="12">
        <v>45503</v>
      </c>
      <c r="U10" s="11" t="s">
        <v>66</v>
      </c>
      <c r="V10" s="20">
        <v>64993719</v>
      </c>
      <c r="W10" s="11" t="s">
        <v>38</v>
      </c>
      <c r="X10" s="16" t="s">
        <v>98</v>
      </c>
      <c r="Y10" s="11" t="s">
        <v>39</v>
      </c>
      <c r="Z10" s="16" t="s">
        <v>76</v>
      </c>
      <c r="AA10" s="19" t="s">
        <v>99</v>
      </c>
      <c r="AB10" s="2" t="s">
        <v>40</v>
      </c>
      <c r="AC10" s="10" t="s">
        <v>41</v>
      </c>
      <c r="AD10" s="12">
        <v>45562</v>
      </c>
      <c r="AE10" s="10" t="s">
        <v>42</v>
      </c>
      <c r="AF10" s="10" t="s">
        <v>43</v>
      </c>
      <c r="AG10" s="13" t="s">
        <v>56</v>
      </c>
      <c r="AH10" s="14">
        <v>45531</v>
      </c>
      <c r="AI10" s="13" t="s">
        <v>60</v>
      </c>
    </row>
    <row r="11" spans="1:35" ht="84">
      <c r="A11" s="2" t="s">
        <v>77</v>
      </c>
      <c r="B11" s="2" t="s">
        <v>35</v>
      </c>
      <c r="C11" s="2" t="s">
        <v>100</v>
      </c>
      <c r="D11" s="3">
        <v>123456789</v>
      </c>
      <c r="E11" s="3">
        <v>17957</v>
      </c>
      <c r="F11" s="2" t="s">
        <v>100</v>
      </c>
      <c r="G11" s="4">
        <v>37229</v>
      </c>
      <c r="H11" s="5">
        <v>37544</v>
      </c>
      <c r="I11" s="5" t="s">
        <v>35</v>
      </c>
      <c r="J11" s="6">
        <v>180</v>
      </c>
      <c r="K11" s="7" t="s">
        <v>35</v>
      </c>
      <c r="L11" s="7" t="s">
        <v>35</v>
      </c>
      <c r="M11" s="7" t="s">
        <v>35</v>
      </c>
      <c r="N11" s="7" t="s">
        <v>35</v>
      </c>
      <c r="O11" s="8" t="s">
        <v>46</v>
      </c>
      <c r="P11" s="9" t="s">
        <v>47</v>
      </c>
      <c r="Q11" s="11" t="s">
        <v>48</v>
      </c>
      <c r="R11" s="10"/>
      <c r="S11" s="11" t="s">
        <v>49</v>
      </c>
      <c r="T11" s="10"/>
      <c r="U11" s="11" t="s">
        <v>50</v>
      </c>
      <c r="V11" s="16"/>
      <c r="W11" s="11" t="s">
        <v>51</v>
      </c>
      <c r="X11" s="16" t="s">
        <v>61</v>
      </c>
      <c r="Y11" s="11" t="s">
        <v>53</v>
      </c>
      <c r="Z11" s="16" t="s">
        <v>61</v>
      </c>
      <c r="AA11" s="18" t="s">
        <v>101</v>
      </c>
      <c r="AB11" s="2" t="s">
        <v>54</v>
      </c>
      <c r="AC11" s="10" t="s">
        <v>41</v>
      </c>
      <c r="AD11" s="12">
        <v>45470</v>
      </c>
      <c r="AE11" s="10" t="s">
        <v>55</v>
      </c>
      <c r="AF11" s="10" t="s">
        <v>43</v>
      </c>
      <c r="AG11" s="13" t="s">
        <v>56</v>
      </c>
      <c r="AH11" s="14">
        <v>45470</v>
      </c>
      <c r="AI11" s="13" t="s">
        <v>57</v>
      </c>
    </row>
    <row r="12" spans="1:35" ht="409.5">
      <c r="A12" s="2" t="s">
        <v>77</v>
      </c>
      <c r="B12" s="2" t="s">
        <v>35</v>
      </c>
      <c r="C12" s="2" t="s">
        <v>102</v>
      </c>
      <c r="D12" s="3">
        <v>123456789</v>
      </c>
      <c r="E12" s="3">
        <v>16069</v>
      </c>
      <c r="F12" s="2" t="s">
        <v>102</v>
      </c>
      <c r="G12" s="4">
        <v>37230</v>
      </c>
      <c r="H12" s="5">
        <v>37545</v>
      </c>
      <c r="I12" s="5" t="s">
        <v>35</v>
      </c>
      <c r="J12" s="6">
        <v>39</v>
      </c>
      <c r="K12" s="7" t="s">
        <v>35</v>
      </c>
      <c r="L12" s="7" t="s">
        <v>35</v>
      </c>
      <c r="M12" s="7" t="s">
        <v>35</v>
      </c>
      <c r="N12" s="7" t="s">
        <v>35</v>
      </c>
      <c r="O12" s="8" t="s">
        <v>64</v>
      </c>
      <c r="P12" s="9" t="s">
        <v>65</v>
      </c>
      <c r="Q12" s="11" t="s">
        <v>36</v>
      </c>
      <c r="R12" s="15">
        <v>64</v>
      </c>
      <c r="S12" s="11" t="s">
        <v>37</v>
      </c>
      <c r="T12" s="12">
        <v>45503</v>
      </c>
      <c r="U12" s="11" t="s">
        <v>66</v>
      </c>
      <c r="V12" s="21">
        <v>524692806</v>
      </c>
      <c r="W12" s="11" t="s">
        <v>38</v>
      </c>
      <c r="X12" s="16" t="s">
        <v>103</v>
      </c>
      <c r="Y12" s="11" t="s">
        <v>39</v>
      </c>
      <c r="Z12" s="16" t="s">
        <v>76</v>
      </c>
      <c r="AA12" s="19" t="s">
        <v>104</v>
      </c>
      <c r="AB12" s="2" t="s">
        <v>40</v>
      </c>
      <c r="AC12" s="10" t="s">
        <v>41</v>
      </c>
      <c r="AD12" s="12">
        <v>45562</v>
      </c>
      <c r="AE12" s="10" t="s">
        <v>42</v>
      </c>
      <c r="AF12" s="10" t="s">
        <v>43</v>
      </c>
      <c r="AG12" s="13" t="s">
        <v>56</v>
      </c>
      <c r="AH12" s="14">
        <v>45531</v>
      </c>
      <c r="AI12" s="13" t="s">
        <v>60</v>
      </c>
    </row>
    <row r="13" spans="1:35" ht="63">
      <c r="A13" s="2" t="s">
        <v>77</v>
      </c>
      <c r="B13" s="2" t="s">
        <v>35</v>
      </c>
      <c r="C13" s="2" t="s">
        <v>105</v>
      </c>
      <c r="D13" s="3">
        <v>123456789</v>
      </c>
      <c r="E13" s="3">
        <v>18734</v>
      </c>
      <c r="F13" s="2" t="s">
        <v>105</v>
      </c>
      <c r="G13" s="4">
        <v>37231</v>
      </c>
      <c r="H13" s="5">
        <v>37546</v>
      </c>
      <c r="I13" s="5" t="s">
        <v>35</v>
      </c>
      <c r="J13" s="6">
        <v>158</v>
      </c>
      <c r="K13" s="7" t="s">
        <v>35</v>
      </c>
      <c r="L13" s="7" t="s">
        <v>35</v>
      </c>
      <c r="M13" s="7" t="s">
        <v>35</v>
      </c>
      <c r="N13" s="7" t="s">
        <v>35</v>
      </c>
      <c r="O13" s="8" t="s">
        <v>64</v>
      </c>
      <c r="P13" s="9" t="s">
        <v>65</v>
      </c>
      <c r="Q13" s="11" t="s">
        <v>36</v>
      </c>
      <c r="R13" s="10"/>
      <c r="S13" s="11" t="s">
        <v>37</v>
      </c>
      <c r="T13" s="10"/>
      <c r="U13" s="11" t="s">
        <v>66</v>
      </c>
      <c r="V13" s="16"/>
      <c r="W13" s="11" t="s">
        <v>38</v>
      </c>
      <c r="X13" s="16"/>
      <c r="Y13" s="11" t="s">
        <v>39</v>
      </c>
      <c r="Z13" s="16"/>
      <c r="AA13" s="18" t="s">
        <v>63</v>
      </c>
      <c r="AB13" s="2" t="s">
        <v>40</v>
      </c>
      <c r="AC13" s="10" t="s">
        <v>41</v>
      </c>
      <c r="AD13" s="12">
        <v>45518</v>
      </c>
      <c r="AE13" s="10" t="s">
        <v>42</v>
      </c>
      <c r="AF13" s="10" t="s">
        <v>43</v>
      </c>
      <c r="AG13" s="13" t="s">
        <v>56</v>
      </c>
      <c r="AH13" s="14">
        <v>45518</v>
      </c>
      <c r="AI13" s="13" t="s">
        <v>57</v>
      </c>
    </row>
    <row r="14" spans="1:35" ht="409.5">
      <c r="A14" s="2" t="s">
        <v>77</v>
      </c>
      <c r="B14" s="2" t="s">
        <v>35</v>
      </c>
      <c r="C14" s="2" t="s">
        <v>106</v>
      </c>
      <c r="D14" s="3">
        <v>123456789</v>
      </c>
      <c r="E14" s="3">
        <v>11693</v>
      </c>
      <c r="F14" s="2" t="s">
        <v>106</v>
      </c>
      <c r="G14" s="4">
        <v>37232</v>
      </c>
      <c r="H14" s="5">
        <v>37547</v>
      </c>
      <c r="I14" s="5" t="s">
        <v>35</v>
      </c>
      <c r="J14" s="6">
        <v>215</v>
      </c>
      <c r="K14" s="7" t="s">
        <v>35</v>
      </c>
      <c r="L14" s="7" t="s">
        <v>35</v>
      </c>
      <c r="M14" s="7" t="s">
        <v>35</v>
      </c>
      <c r="N14" s="7" t="s">
        <v>35</v>
      </c>
      <c r="O14" s="8" t="s">
        <v>64</v>
      </c>
      <c r="P14" s="9" t="s">
        <v>65</v>
      </c>
      <c r="Q14" s="11" t="s">
        <v>36</v>
      </c>
      <c r="R14" s="15">
        <v>121</v>
      </c>
      <c r="S14" s="11" t="s">
        <v>37</v>
      </c>
      <c r="T14" s="12">
        <v>45517</v>
      </c>
      <c r="U14" s="11" t="s">
        <v>66</v>
      </c>
      <c r="V14" s="21">
        <v>531627236</v>
      </c>
      <c r="W14" s="11" t="s">
        <v>38</v>
      </c>
      <c r="X14" s="16" t="s">
        <v>59</v>
      </c>
      <c r="Y14" s="11" t="s">
        <v>39</v>
      </c>
      <c r="Z14" s="16" t="s">
        <v>52</v>
      </c>
      <c r="AA14" s="19" t="s">
        <v>107</v>
      </c>
      <c r="AB14" s="2" t="s">
        <v>40</v>
      </c>
      <c r="AC14" s="10" t="s">
        <v>41</v>
      </c>
      <c r="AD14" s="12">
        <v>45562</v>
      </c>
      <c r="AE14" s="10" t="s">
        <v>42</v>
      </c>
      <c r="AF14" s="10" t="s">
        <v>43</v>
      </c>
      <c r="AG14" s="13" t="s">
        <v>56</v>
      </c>
      <c r="AH14" s="14">
        <v>45531</v>
      </c>
      <c r="AI14" s="13" t="s">
        <v>60</v>
      </c>
    </row>
    <row r="15" spans="1:35" ht="409.5">
      <c r="A15" s="2" t="s">
        <v>77</v>
      </c>
      <c r="B15" s="2" t="s">
        <v>35</v>
      </c>
      <c r="C15" s="2" t="s">
        <v>108</v>
      </c>
      <c r="D15" s="3">
        <v>123456789</v>
      </c>
      <c r="E15" s="3">
        <v>18207</v>
      </c>
      <c r="F15" s="2" t="s">
        <v>108</v>
      </c>
      <c r="G15" s="4">
        <v>37233</v>
      </c>
      <c r="H15" s="5">
        <v>37548</v>
      </c>
      <c r="I15" s="5" t="s">
        <v>35</v>
      </c>
      <c r="J15" s="6">
        <v>85</v>
      </c>
      <c r="K15" s="7" t="s">
        <v>35</v>
      </c>
      <c r="L15" s="7" t="s">
        <v>35</v>
      </c>
      <c r="M15" s="7" t="s">
        <v>35</v>
      </c>
      <c r="N15" s="7" t="s">
        <v>35</v>
      </c>
      <c r="O15" s="8" t="s">
        <v>64</v>
      </c>
      <c r="P15" s="9" t="s">
        <v>65</v>
      </c>
      <c r="Q15" s="11" t="s">
        <v>36</v>
      </c>
      <c r="R15" s="15">
        <v>59</v>
      </c>
      <c r="S15" s="11" t="s">
        <v>37</v>
      </c>
      <c r="T15" s="12">
        <v>45504</v>
      </c>
      <c r="U15" s="11" t="s">
        <v>66</v>
      </c>
      <c r="V15" s="21">
        <v>525084322</v>
      </c>
      <c r="W15" s="11" t="s">
        <v>38</v>
      </c>
      <c r="X15" s="16" t="s">
        <v>109</v>
      </c>
      <c r="Y15" s="11" t="s">
        <v>39</v>
      </c>
      <c r="Z15" s="16" t="s">
        <v>61</v>
      </c>
      <c r="AA15" s="19" t="s">
        <v>110</v>
      </c>
      <c r="AB15" s="2" t="s">
        <v>40</v>
      </c>
      <c r="AC15" s="10" t="s">
        <v>41</v>
      </c>
      <c r="AD15" s="12">
        <v>45562</v>
      </c>
      <c r="AE15" s="10" t="s">
        <v>42</v>
      </c>
      <c r="AF15" s="10" t="s">
        <v>43</v>
      </c>
      <c r="AG15" s="13" t="s">
        <v>56</v>
      </c>
      <c r="AH15" s="14">
        <v>45531</v>
      </c>
      <c r="AI15" s="13" t="s">
        <v>60</v>
      </c>
    </row>
    <row r="16" spans="1:35" ht="409.5">
      <c r="A16" s="2" t="s">
        <v>77</v>
      </c>
      <c r="B16" s="2" t="s">
        <v>35</v>
      </c>
      <c r="C16" s="2" t="s">
        <v>111</v>
      </c>
      <c r="D16" s="3">
        <v>123456789</v>
      </c>
      <c r="E16" s="3">
        <v>15901</v>
      </c>
      <c r="F16" s="2" t="s">
        <v>111</v>
      </c>
      <c r="G16" s="4">
        <v>37234</v>
      </c>
      <c r="H16" s="5">
        <v>37549</v>
      </c>
      <c r="I16" s="5" t="s">
        <v>35</v>
      </c>
      <c r="J16" s="6">
        <v>735.4</v>
      </c>
      <c r="K16" s="7" t="s">
        <v>35</v>
      </c>
      <c r="L16" s="7" t="s">
        <v>35</v>
      </c>
      <c r="M16" s="7" t="s">
        <v>35</v>
      </c>
      <c r="N16" s="7" t="s">
        <v>35</v>
      </c>
      <c r="O16" s="8" t="s">
        <v>72</v>
      </c>
      <c r="P16" s="9" t="s">
        <v>73</v>
      </c>
      <c r="Q16" s="11" t="s">
        <v>51</v>
      </c>
      <c r="R16" s="10" t="s">
        <v>76</v>
      </c>
      <c r="S16" s="11" t="s">
        <v>53</v>
      </c>
      <c r="T16" s="10" t="s">
        <v>76</v>
      </c>
      <c r="U16" s="11">
        <v>0</v>
      </c>
      <c r="V16" s="16"/>
      <c r="W16" s="11">
        <v>0</v>
      </c>
      <c r="X16" s="16"/>
      <c r="Y16" s="11">
        <v>0</v>
      </c>
      <c r="Z16" s="16"/>
      <c r="AA16" s="19" t="s">
        <v>112</v>
      </c>
      <c r="AB16" s="2" t="s">
        <v>74</v>
      </c>
      <c r="AC16" s="10" t="s">
        <v>41</v>
      </c>
      <c r="AD16" s="12">
        <v>45555</v>
      </c>
      <c r="AE16" s="10" t="s">
        <v>42</v>
      </c>
      <c r="AF16" s="10" t="s">
        <v>43</v>
      </c>
      <c r="AG16" s="13" t="s">
        <v>56</v>
      </c>
      <c r="AH16" s="14">
        <v>45539</v>
      </c>
      <c r="AI16" s="13" t="s">
        <v>62</v>
      </c>
    </row>
    <row r="17" spans="1:35" ht="63">
      <c r="A17" s="2" t="s">
        <v>77</v>
      </c>
      <c r="B17" s="2" t="s">
        <v>35</v>
      </c>
      <c r="C17" s="2" t="s">
        <v>113</v>
      </c>
      <c r="D17" s="3">
        <v>123456789</v>
      </c>
      <c r="E17" s="3">
        <v>17878</v>
      </c>
      <c r="F17" s="2" t="s">
        <v>113</v>
      </c>
      <c r="G17" s="4">
        <v>37235</v>
      </c>
      <c r="H17" s="5">
        <v>37550</v>
      </c>
      <c r="I17" s="5" t="s">
        <v>35</v>
      </c>
      <c r="J17" s="6">
        <v>752.6</v>
      </c>
      <c r="K17" s="7" t="s">
        <v>35</v>
      </c>
      <c r="L17" s="7" t="s">
        <v>35</v>
      </c>
      <c r="M17" s="7" t="s">
        <v>35</v>
      </c>
      <c r="N17" s="7" t="s">
        <v>35</v>
      </c>
      <c r="O17" s="8" t="s">
        <v>64</v>
      </c>
      <c r="P17" s="9" t="s">
        <v>65</v>
      </c>
      <c r="Q17" s="11" t="s">
        <v>36</v>
      </c>
      <c r="R17" s="10">
        <v>88</v>
      </c>
      <c r="S17" s="11" t="s">
        <v>37</v>
      </c>
      <c r="T17" s="10">
        <v>45491</v>
      </c>
      <c r="U17" s="11" t="s">
        <v>66</v>
      </c>
      <c r="V17" s="16">
        <v>64717807</v>
      </c>
      <c r="W17" s="11" t="s">
        <v>38</v>
      </c>
      <c r="X17" s="16" t="s">
        <v>114</v>
      </c>
      <c r="Y17" s="11" t="s">
        <v>39</v>
      </c>
      <c r="Z17" s="16" t="s">
        <v>61</v>
      </c>
      <c r="AA17" s="18" t="s">
        <v>115</v>
      </c>
      <c r="AB17" s="2" t="s">
        <v>40</v>
      </c>
      <c r="AC17" s="10" t="s">
        <v>41</v>
      </c>
      <c r="AD17" s="12">
        <v>45529</v>
      </c>
      <c r="AE17" s="10" t="s">
        <v>42</v>
      </c>
      <c r="AF17" s="10" t="s">
        <v>43</v>
      </c>
      <c r="AG17" s="13" t="s">
        <v>56</v>
      </c>
      <c r="AH17" s="14">
        <v>45498</v>
      </c>
      <c r="AI17" s="13" t="s">
        <v>75</v>
      </c>
    </row>
    <row r="18" spans="1:35" ht="63">
      <c r="A18" s="2" t="s">
        <v>77</v>
      </c>
      <c r="B18" s="2" t="s">
        <v>35</v>
      </c>
      <c r="C18" s="2" t="s">
        <v>116</v>
      </c>
      <c r="D18" s="3">
        <v>123456789</v>
      </c>
      <c r="E18" s="3">
        <v>11511</v>
      </c>
      <c r="F18" s="2" t="s">
        <v>116</v>
      </c>
      <c r="G18" s="4">
        <v>37236</v>
      </c>
      <c r="H18" s="5">
        <v>37551</v>
      </c>
      <c r="I18" s="5" t="s">
        <v>35</v>
      </c>
      <c r="J18" s="6">
        <v>273.39999999999998</v>
      </c>
      <c r="K18" s="7" t="s">
        <v>35</v>
      </c>
      <c r="L18" s="7" t="s">
        <v>35</v>
      </c>
      <c r="M18" s="7" t="s">
        <v>35</v>
      </c>
      <c r="N18" s="7" t="s">
        <v>35</v>
      </c>
      <c r="O18" s="8" t="s">
        <v>64</v>
      </c>
      <c r="P18" s="9" t="s">
        <v>65</v>
      </c>
      <c r="Q18" s="11" t="s">
        <v>36</v>
      </c>
      <c r="R18" s="15">
        <v>50.4</v>
      </c>
      <c r="S18" s="11" t="s">
        <v>37</v>
      </c>
      <c r="T18" s="12">
        <v>45504</v>
      </c>
      <c r="U18" s="11" t="s">
        <v>66</v>
      </c>
      <c r="V18" s="21">
        <v>525084322</v>
      </c>
      <c r="W18" s="11" t="s">
        <v>38</v>
      </c>
      <c r="X18" s="16" t="s">
        <v>117</v>
      </c>
      <c r="Y18" s="11" t="s">
        <v>39</v>
      </c>
      <c r="Z18" s="16" t="s">
        <v>52</v>
      </c>
      <c r="AA18" s="18" t="s">
        <v>118</v>
      </c>
      <c r="AB18" s="2" t="s">
        <v>40</v>
      </c>
      <c r="AC18" s="10" t="s">
        <v>41</v>
      </c>
      <c r="AD18" s="12">
        <v>45549</v>
      </c>
      <c r="AE18" s="10" t="s">
        <v>42</v>
      </c>
      <c r="AF18" s="10" t="s">
        <v>43</v>
      </c>
      <c r="AG18" s="13" t="s">
        <v>56</v>
      </c>
      <c r="AH18" s="14">
        <v>45518</v>
      </c>
      <c r="AI18" s="13" t="s">
        <v>75</v>
      </c>
    </row>
    <row r="19" spans="1:35" ht="63">
      <c r="A19" s="2" t="s">
        <v>77</v>
      </c>
      <c r="B19" s="2" t="s">
        <v>35</v>
      </c>
      <c r="C19" s="2" t="s">
        <v>119</v>
      </c>
      <c r="D19" s="3">
        <v>123456789</v>
      </c>
      <c r="E19" s="3">
        <v>10374</v>
      </c>
      <c r="F19" s="2" t="s">
        <v>119</v>
      </c>
      <c r="G19" s="4">
        <v>37237</v>
      </c>
      <c r="H19" s="5">
        <v>37552</v>
      </c>
      <c r="I19" s="5" t="s">
        <v>35</v>
      </c>
      <c r="J19" s="6">
        <v>70</v>
      </c>
      <c r="K19" s="7" t="s">
        <v>35</v>
      </c>
      <c r="L19" s="7" t="s">
        <v>35</v>
      </c>
      <c r="M19" s="7" t="s">
        <v>35</v>
      </c>
      <c r="N19" s="7" t="s">
        <v>35</v>
      </c>
      <c r="O19" s="8" t="s">
        <v>64</v>
      </c>
      <c r="P19" s="9" t="s">
        <v>65</v>
      </c>
      <c r="Q19" s="11" t="s">
        <v>36</v>
      </c>
      <c r="R19" s="10">
        <v>64</v>
      </c>
      <c r="S19" s="11" t="s">
        <v>37</v>
      </c>
      <c r="T19" s="10">
        <v>45491</v>
      </c>
      <c r="U19" s="11" t="s">
        <v>66</v>
      </c>
      <c r="V19" s="16">
        <v>64717807</v>
      </c>
      <c r="W19" s="11" t="s">
        <v>38</v>
      </c>
      <c r="X19" s="16" t="s">
        <v>120</v>
      </c>
      <c r="Y19" s="11" t="s">
        <v>39</v>
      </c>
      <c r="Z19" s="16" t="s">
        <v>61</v>
      </c>
      <c r="AA19" s="18" t="s">
        <v>121</v>
      </c>
      <c r="AB19" s="2" t="s">
        <v>40</v>
      </c>
      <c r="AC19" s="10" t="s">
        <v>41</v>
      </c>
      <c r="AD19" s="12">
        <v>45529</v>
      </c>
      <c r="AE19" s="10" t="s">
        <v>42</v>
      </c>
      <c r="AF19" s="10" t="s">
        <v>43</v>
      </c>
      <c r="AG19" s="13" t="s">
        <v>56</v>
      </c>
      <c r="AH19" s="14">
        <v>45498</v>
      </c>
      <c r="AI19" s="13" t="s">
        <v>75</v>
      </c>
    </row>
    <row r="20" spans="1:35" ht="63">
      <c r="A20" s="2" t="s">
        <v>77</v>
      </c>
      <c r="B20" s="2" t="s">
        <v>35</v>
      </c>
      <c r="C20" s="2" t="s">
        <v>122</v>
      </c>
      <c r="D20" s="3">
        <v>123456789</v>
      </c>
      <c r="E20" s="3">
        <v>18967</v>
      </c>
      <c r="F20" s="2" t="s">
        <v>122</v>
      </c>
      <c r="G20" s="4">
        <v>37238</v>
      </c>
      <c r="H20" s="5">
        <v>37553</v>
      </c>
      <c r="I20" s="5" t="s">
        <v>35</v>
      </c>
      <c r="J20" s="6">
        <v>226</v>
      </c>
      <c r="K20" s="7" t="s">
        <v>35</v>
      </c>
      <c r="L20" s="7" t="s">
        <v>35</v>
      </c>
      <c r="M20" s="7" t="s">
        <v>35</v>
      </c>
      <c r="N20" s="7" t="s">
        <v>35</v>
      </c>
      <c r="O20" s="8" t="s">
        <v>64</v>
      </c>
      <c r="P20" s="9" t="s">
        <v>65</v>
      </c>
      <c r="Q20" s="11" t="s">
        <v>36</v>
      </c>
      <c r="R20" s="10">
        <v>229.6</v>
      </c>
      <c r="S20" s="11" t="s">
        <v>37</v>
      </c>
      <c r="T20" s="10">
        <v>45492</v>
      </c>
      <c r="U20" s="11" t="s">
        <v>66</v>
      </c>
      <c r="V20" s="16">
        <v>64756627</v>
      </c>
      <c r="W20" s="11" t="s">
        <v>38</v>
      </c>
      <c r="X20" s="16" t="s">
        <v>123</v>
      </c>
      <c r="Y20" s="11" t="s">
        <v>39</v>
      </c>
      <c r="Z20" s="16" t="s">
        <v>61</v>
      </c>
      <c r="AA20" s="18" t="s">
        <v>124</v>
      </c>
      <c r="AB20" s="2" t="s">
        <v>40</v>
      </c>
      <c r="AC20" s="10" t="s">
        <v>41</v>
      </c>
      <c r="AD20" s="12">
        <v>45535</v>
      </c>
      <c r="AE20" s="10" t="s">
        <v>42</v>
      </c>
      <c r="AF20" s="10" t="s">
        <v>43</v>
      </c>
      <c r="AG20" s="13" t="s">
        <v>56</v>
      </c>
      <c r="AH20" s="14">
        <v>45504</v>
      </c>
      <c r="AI20" s="13" t="s">
        <v>75</v>
      </c>
    </row>
  </sheetData>
  <conditionalFormatting sqref="I4:U4 W4:AI4 I5:AI9 I10:U10 W10:AI10 I11:AI11 I12:U12 W12:AI12 I13:AI13 I14:U15 W14:AI15 I16:AI17 I18:U18 W18:AI18 I19:AI20 A2:H20 I2:AI3">
    <cfRule type="expression" dxfId="6" priority="4">
      <formula>OR($AI2="Claim Closed in PMS",$AI2="Closed by QPS")</formula>
    </cfRule>
    <cfRule type="expression" dxfId="5" priority="5">
      <formula>AND($AC2="No",$K2&gt;=45)</formula>
    </cfRule>
    <cfRule type="expression" dxfId="4" priority="6">
      <formula>AND($A2="",$B2="",$C2="",$D2="",$E2="",$F2="",$G2="",$H2="",$I2="",$J2="",$K2="",$N2="")</formula>
    </cfRule>
    <cfRule type="expression" dxfId="3" priority="7">
      <formula>OR($A2&lt;&gt;"",$B2&lt;&gt;"",$C2&lt;&gt;"",$D2&lt;&gt;"",$E2&lt;&gt;"",$F2&lt;&gt;"",$G2&lt;&gt;"",$H2&lt;&gt;"",$I2&lt;&gt;"",$J2&lt;&gt;"",$K2&lt;&gt;"",$N2&lt;&gt;"")</formula>
    </cfRule>
    <cfRule type="expression" dxfId="2" priority="8">
      <formula>OR($AI2="Follow-Up Complete",$AI2="SDP Pending",$AI2="NV Pending",$AI2="Task Created",$AI2="Task to be Created")</formula>
    </cfRule>
  </conditionalFormatting>
  <conditionalFormatting sqref="R2:R20">
    <cfRule type="expression" dxfId="1" priority="3">
      <formula>OR(Q2="Denial Date:",Q2="Issue Date:",Q2="Billed Date",Q2="Policy Term Dt:",Q2="Policy Term Date(s)",Q2="Paid Date:")</formula>
    </cfRule>
  </conditionalFormatting>
  <conditionalFormatting sqref="T2:T20">
    <cfRule type="expression" dxfId="0" priority="2">
      <formula>OR(S2="Paid Date:")</formula>
    </cfRule>
  </conditionalFormatting>
  <dataValidations count="1">
    <dataValidation type="list" allowBlank="1" showInputMessage="1" showErrorMessage="1" sqref="AC2:AC20" xr:uid="{E763914A-113F-406B-840F-2A58F5403128}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2024-09-09T17:19:03Z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