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6CF65D23-481C-47FA-B406-AA2013925E7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calcChain.xml><?xml version="1.0" encoding="utf-8"?>
<calcChain xmlns="http://schemas.openxmlformats.org/spreadsheetml/2006/main">
  <c r="AD50" i="1" l="1"/>
  <c r="AD46" i="1"/>
  <c r="AD45" i="1"/>
  <c r="AD44" i="1"/>
  <c r="AD30" i="1"/>
  <c r="AD28" i="1"/>
  <c r="AD25" i="1"/>
  <c r="AD21" i="1"/>
  <c r="AD10" i="1"/>
  <c r="AD9" i="1"/>
  <c r="AD6" i="1"/>
  <c r="AD5" i="1"/>
  <c r="AD2" i="1"/>
</calcChain>
</file>

<file path=xl/sharedStrings.xml><?xml version="1.0" encoding="utf-8"?>
<sst xmlns="http://schemas.openxmlformats.org/spreadsheetml/2006/main" count="1145" uniqueCount="329">
  <si>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</si>
  <si>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</si>
  <si>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</si>
  <si>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</si>
  <si>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</si>
  <si>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</si>
  <si>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</si>
  <si>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</si>
  <si>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</si>
  <si>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</si>
  <si>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</si>
  <si>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</si>
  <si>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</si>
  <si>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</si>
  <si>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</si>
  <si>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</si>
  <si>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</si>
  <si>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</si>
  <si>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</si>
  <si>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</si>
  <si>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</si>
  <si>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</si>
  <si>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</si>
  <si>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</si>
  <si>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</si>
  <si>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</si>
  <si>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</si>
  <si>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</si>
  <si>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</si>
  <si>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</si>
  <si>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</si>
  <si>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</si>
  <si>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</si>
  <si>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</si>
  <si>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</si>
  <si>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</si>
  <si>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(800)451-7715</t>
  </si>
  <si>
    <t/>
  </si>
  <si>
    <t>W217476929</t>
  </si>
  <si>
    <t>Wilson, Wesley S.</t>
  </si>
  <si>
    <t>CLAIM PAID - CHK</t>
  </si>
  <si>
    <t>Claim Paid by Check;</t>
  </si>
  <si>
    <t>Paid Amount:</t>
  </si>
  <si>
    <t>Paid Date:</t>
  </si>
  <si>
    <t>7/22/2024</t>
  </si>
  <si>
    <t>Check #</t>
  </si>
  <si>
    <t>Bulk/Sep:</t>
  </si>
  <si>
    <t>Single payment</t>
  </si>
  <si>
    <t>Call Ref # Cust Rep:</t>
  </si>
  <si>
    <t>Portal</t>
  </si>
  <si>
    <t>claim already closed in pms on 08/13/2024_Worked date 8/13/2024_DOS 07/18/2024_Claim#ETADDQSW900, Paid by Check, Check#048103580, paid amount $85.90, Patient res$2.37 , issue date 0</t>
  </si>
  <si>
    <t xml:space="preserve">Task Cashed Chk Queue </t>
  </si>
  <si>
    <t>Yes</t>
  </si>
  <si>
    <t>YES</t>
  </si>
  <si>
    <t xml:space="preserve">V Team </t>
  </si>
  <si>
    <t>CK</t>
  </si>
  <si>
    <t>Claim Closed in PMS</t>
  </si>
  <si>
    <t>Ameritas Life Ins. Co</t>
  </si>
  <si>
    <t>(800)487-5553</t>
  </si>
  <si>
    <t>Williams, Jocelyn</t>
  </si>
  <si>
    <t>single payment</t>
  </si>
  <si>
    <t>Chris/22022</t>
  </si>
  <si>
    <t>Task#35909125//Worked date 8/26/2024_INS: Ameritas life Ins.co-DOS 06/27/2024_Claim received on 07/12/2024 and processed on 07/19/2024 and claim got paid by Check#9727294 in a single payment issued on 07/23/2024 and the amount is $497.58 and patient responsibility  is $0.00 and cashed on 08/08/2024,paid to provider,  Claim#045093053420 , call ref#22022, rep:Chris  Requested for EOB. Rep stated that we'll receive the EOB in 10-15 min. QPS-SZ.</t>
  </si>
  <si>
    <t>NO</t>
  </si>
  <si>
    <t>HW</t>
  </si>
  <si>
    <t>Task Created</t>
  </si>
  <si>
    <t>Blue Cross Blue Shield Federal</t>
  </si>
  <si>
    <t>(877)668-4654</t>
  </si>
  <si>
    <t>F53820067</t>
  </si>
  <si>
    <t>Douglas, David M.</t>
  </si>
  <si>
    <t>CNOF Active</t>
  </si>
  <si>
    <t>Claim not on file. Patient is active ;</t>
  </si>
  <si>
    <t>Payor ID &amp; Address:</t>
  </si>
  <si>
    <t>BCAFD &amp; P.O. Box 75. Minneapolis, MN 55440-0075.</t>
  </si>
  <si>
    <t>Fax # (If Fax Yes):</t>
  </si>
  <si>
    <t>TFL in Mnths:</t>
  </si>
  <si>
    <t>24 MNTHS</t>
  </si>
  <si>
    <t>Call Ref#:</t>
  </si>
  <si>
    <t>Cust Rep:</t>
  </si>
  <si>
    <t>BRIONA</t>
  </si>
  <si>
    <t>Submitted the claim through dentalxchange on 08/23/2024 CLM ID 539766384 QPS_VS//DOS: 07/08/2024_INS: BCBS FEP- Dt Worked:08/22/2024
Claim not received by  insurance. Patient policy is active for the DOS. Effective date  01/01/2024. Timely filing window is 24 mnths  from DOS. Can Submit the claim to Payor ID: BCAFD;  Mailing Address:P.O. Box 75. Minneapolis, MN 55440-0075:   Rep: BRIONA; Call Ref#102753617 .QPS-SR.</t>
  </si>
  <si>
    <t>Task Sub Pending Claims Queue</t>
  </si>
  <si>
    <t>VS</t>
  </si>
  <si>
    <t>Rebilled</t>
  </si>
  <si>
    <t>R61497271</t>
  </si>
  <si>
    <t>Peirce, Debra L.</t>
  </si>
  <si>
    <t>DENIED - NOT COVERED</t>
  </si>
  <si>
    <t>Procedure is not a covered benefit;</t>
  </si>
  <si>
    <t xml:space="preserve">Why? </t>
  </si>
  <si>
    <t>portal</t>
  </si>
  <si>
    <t>DOS: 5/21/2024_INS: BCBS- Dt Worked:08/22/2024,  Previously we have issued with QPS share folder in PMS now its working we uploaded the EOB. Claim #24143417234, claim denied due to not covered, D0140 is denied due to not covered, EOB  uploaded in patient account,  Rep: ANGELA; Call Ref#3919903   ,QPS-SR. ////////worked date  8/20/2024, DOS-05/21/2024,Ins-BCBS FED, Claim #24143417234, claim denied due to not covered, D0140 is denied due to not covered, EOB not uploaded in patient account, ref-portal,QPS-SD.</t>
  </si>
  <si>
    <t xml:space="preserve">Task Client - Denied Claim Queue </t>
  </si>
  <si>
    <t>SR</t>
  </si>
  <si>
    <t>Closed by QPS</t>
  </si>
  <si>
    <t>DOS: 5/21/2024_INS: BCBS- Dt Worked:08/22/2024, Previously we have issued with QPS share folder in PMS now its working we uploaded the EOB.   Claim #24143417234, claim denied due to not covered, D0220 is denied due to not covered, EOB  uploaded in patient account,  Rep: ANGELA; Call Ref#3919903   ,QPS-SR. /////worked date  8/20/2024,  DOS-05/21/2024,Ins-BCBS FED, Claim #24143417227, claim denied due to not covered, D0220 is denied due to not covered, EOB downloaded but not uploaded in patient account, ref-portal,QPS-SD.</t>
  </si>
  <si>
    <t>Blue Cross Blue Shield of Oreg</t>
  </si>
  <si>
    <t>(800)452-6333</t>
  </si>
  <si>
    <t>XXA961247455</t>
  </si>
  <si>
    <t>Afghan (Gibbons), Wilhett</t>
  </si>
  <si>
    <t>12 months</t>
  </si>
  <si>
    <t>Claim submitted by corporate team on 08/20/2024.//Worked date 8/20/2024_Spoke to @kristie , Claim for DOS 01/25/2024 not on file patient is active on the dos and Effective date 05/15/2023 still active , Need to submit the claim with in 12 months from the dos , Payer ID# CBMA1 , PO BOX 986005 Boston MA   02298   , ref#LVI10688579 .////Claim docs sent to corp team - waiting for their response//We already submitted two times documents uploded in appeals corporate//Claim not on file  patient is active on the dos ,Effective date:05/15/2023 still active and  Need to submitt the claim for the date of service with in TFL</t>
  </si>
  <si>
    <t>No</t>
  </si>
  <si>
    <t>R59850095</t>
  </si>
  <si>
    <t>Blacketer, Charles D.</t>
  </si>
  <si>
    <t>procuderes not covered under dental services</t>
  </si>
  <si>
    <t>Afia</t>
  </si>
  <si>
    <t>worked date 8/7/2024,DOS-05/08/2024,Claim #24130408114,processed date 05/28/2024,claim denied due to not covered,D0140,D0364,D3320 is denied due to non covered dental services,EOB uploaded in patient acount,ref-24177047041636,rep-Afia,QPS-SD.ref-3904298, rep-Hunter.</t>
  </si>
  <si>
    <t>SD</t>
  </si>
  <si>
    <t>Crocker, Rachel K.</t>
  </si>
  <si>
    <t>Worked date 8/14/2024-DOS 07/16/2024_Claim got paid and posted $637.00 on 08/18/2024 by QPS</t>
  </si>
  <si>
    <t>MGT160101414</t>
  </si>
  <si>
    <t>Harper, Ross D.</t>
  </si>
  <si>
    <t>Worked date 8/14/2024-DOS 07/17/2024_Claim got paid and posted $866.40 on 08/18/2024 by QPS</t>
  </si>
  <si>
    <t>Simon, Jonathan W.</t>
  </si>
  <si>
    <t>worked date  8/20/2024, DOS-04/10/2024, INS-BCBS,Claim #E65270568200, claim denied due to not covered, D0364 is denied due to not covered, D3332 denied due to inclusive,EOB not uploaded in patient account, ref-portal,QPS-SD.</t>
  </si>
  <si>
    <t>Appealed</t>
  </si>
  <si>
    <t>worked date 8/20/2024, DOS-04/10/2024, INS-BCBS,Claim #E66089534400, claim denied due to not covered, D0364 is denied due to not covered, D3332 denied due to inclusive,EOB  not  uploaed in patient account,, ref-portal,QPS-SD.</t>
  </si>
  <si>
    <t>Winden, Catharine D.</t>
  </si>
  <si>
    <t>DENIED - TFL</t>
  </si>
  <si>
    <t>Denied due to Timely Filing Limit;</t>
  </si>
  <si>
    <t>TFL in months:</t>
  </si>
  <si>
    <t xml:space="preserve">Depends upon provider contract sometimes 90  /365 /60 days </t>
  </si>
  <si>
    <t>Claim Rec'd on:</t>
  </si>
  <si>
    <t>Mec J</t>
  </si>
  <si>
    <t>Waiting for client response//Worked date _09/03/2024Spoke with Lori at BCBS of Oregon regarding the appeal submitted on 07/30/2024. The appeal was upheld because it was received without supporting documentation. The representative suggested resubmitting the appeal with a copy of the provider contract that specifies TFL as 365 days, according to the contract terms.
We need a copy of the provider contract to appeal the claim again. FAX#8447891726.
Ref#242470016360_QPS  HW
08/2/2024_called 888-675-6570( per rep, call for status 8002530838) sine this was fieled through the fax this is reconsideration of claim DOS 11/27/2023 claim # E65081451400- Received . Not an appeal . this was not fieled through avility. So may not able to check status there. it may take up to 60 days for processing ref#/rep- 242150019843 Nary_ QPS_ER////////Appeal the claim with  through fax8883353013  on 07/30/2024 QPS_VS//Claim denied due to TFL , Need to appeal the claim along with dental exchange proof through the fax #888-335-3013 Att : Mec J.  , ref#242120018705 , Rep; Mec J//CLM#E60581451400 , denied due to TFL, Received date 03/26/2024 , TFL  : sometimes 90 days , 60 days and 365 days its depends upon provider contract and EOB uploaded in patient account</t>
  </si>
  <si>
    <t xml:space="preserve">Task Appeals Queue </t>
  </si>
  <si>
    <t>Delta Dental of California</t>
  </si>
  <si>
    <t>(888)335-8227</t>
  </si>
  <si>
    <t>Anderson, Britt K.</t>
  </si>
  <si>
    <t xml:space="preserve">Claim payer ID : 77777, PO box 997330 Sacramento, CA 95899-7330
</t>
  </si>
  <si>
    <t xml:space="preserve">Dos-07/01/2024 Submitted the claim through the portal CLM#20242335116331 on 8/20/2024 QPS-PB///Worked date 8/16/2024_DOS 07/01/2024_claim not on file patient is active on the dos and Effective date 08/01/2023 still active , Need to submit the claim through the portal with in TFL 12 months , Claim payer ID : 77777, PO box 997330 Sacramento, CA 95899-7330
</t>
  </si>
  <si>
    <t>PB</t>
  </si>
  <si>
    <t>Joobbani, Rostam</t>
  </si>
  <si>
    <t>DENIED - MORE INFO</t>
  </si>
  <si>
    <t>Ins needs more info, need to submit;</t>
  </si>
  <si>
    <t>What's needed?</t>
  </si>
  <si>
    <t>Narrative</t>
  </si>
  <si>
    <t>Larry</t>
  </si>
  <si>
    <t xml:space="preserve">Unable find the narrative in pms///Worked date 8/16/2024_DOS 07/09/2024_claim#20241916134280 ,D3332 #18 Claim processed and denied as related service has either been paid or denied then I was called to ins rep reviewed  the claim and patient  history there is no related services treated then rep suggest us to submit with narrative through the portal </t>
  </si>
  <si>
    <t xml:space="preserve">Task Sub Pending Claims Queue </t>
  </si>
  <si>
    <t>Lucas, Debra M.</t>
  </si>
  <si>
    <t>Need to submit to the correct address</t>
  </si>
  <si>
    <t>Lisa/Lisa-8/26/2024</t>
  </si>
  <si>
    <t>Lisa</t>
  </si>
  <si>
    <t>Need EOB/DOS:05/15/2024_INS: DD CA_Worked dt:8/26/2024, Claim got submitted to Delta dental of California Rep said to submit this claim to Delta dental of oregon and its payor id : CDOR1 , Claim#20241576034513,QPS-SZ.</t>
  </si>
  <si>
    <t>Further Follow-Up</t>
  </si>
  <si>
    <t>Wright, Anthony E.</t>
  </si>
  <si>
    <t>Lisa/Lisa_8/26/2024</t>
  </si>
  <si>
    <t>Resolved the claim  QPS-PB////Need to change the claim status to resolved on PMS as payment is already posted on 07/30/2024
DOS: 07/15/2024_INS: DD CA- Dt Worked: 8/26/2024
Claim Received on 07/16/2024 and processed on 07/22/2024. Claim paid  on Single Check# 0070191172 for $1102.4 Issued on 07/23/2024 and Cashed on 07/29/2024.  Confirmed Provider Details to be correct. Claim paid for $1102.4 and $365.00 Patient responsibility. Claim# 20241986014571. Rep: Lisa; Call Ref#Lisa-8/26/2024 .Requested Copy of EOB. QPS-SZ.</t>
  </si>
  <si>
    <t>Delta Dental of Idaho</t>
  </si>
  <si>
    <t>(208)489-3580</t>
  </si>
  <si>
    <t>Honma, Troy T.</t>
  </si>
  <si>
    <t>Payer ID#82029 , P.O. Box 2870 - Boise, ID 83701</t>
  </si>
  <si>
    <t>DOS-07/02/2024 INS-DD IDAHO ,Submitted the claim through the portal CLMID 538811743 on 8/20/2024  QPS-PB////Worked date 8/19/2024_DOS 07/02/2024_Claim not on file patient is active on the dos and Effective date 01/01/2022 still active , Need to submit the claim through the portal with in TFL 12 months from the dos and Payer ID#82029 , P.O. Box 2870 - Boise, ID 83701</t>
  </si>
  <si>
    <t>Nagel, Luceile L.</t>
  </si>
  <si>
    <t>82029 , P.O. Box 2870 - Boise, ID 83701</t>
  </si>
  <si>
    <t>DOS 07/11/2024_Submitted the claim through the Dental xchange CLM ID 538993967 on 8/21/2024 QPS-PB///Worked date 8/19/2024_DOS 07/11/2024_Claim not on file patient is active on the dos and Effective date 09/01/2020 still active , Need to submit the claim through the portal with in TFL 12 months from the dos and Payer ID#82029 , P.O. Box 2870 - Boise, ID 83701</t>
  </si>
  <si>
    <t>Delta Dental of Illinois</t>
  </si>
  <si>
    <t>(800)323-1743</t>
  </si>
  <si>
    <t>Miller, Troy F.</t>
  </si>
  <si>
    <t>07/17/2024</t>
  </si>
  <si>
    <t>lynneete 08202024</t>
  </si>
  <si>
    <t>Worked date 8/19/2024-DOS 07/10/2024_Claim#2-5024-381-91, Paid by Check. Check#9916748 , paid amount $244.00, Patient res$61.00 , issue date 07/17/2024 with single payment and cashed date  08/08/2024  and EOB didn't uploaded in patient account because of QPS share folder not working in pms , ref#lynneete 08202024</t>
  </si>
  <si>
    <t>Delta Dental of Mass.</t>
  </si>
  <si>
    <t>(800)872-0500</t>
  </si>
  <si>
    <t>Webster, Ronald F.</t>
  </si>
  <si>
    <t>Worked date 8/19/2024_DOS 07/16/2024_claim got paid and posted on 08/13/2024 by QPS</t>
  </si>
  <si>
    <t>Dentaquest, LLC</t>
  </si>
  <si>
    <t>(833)447-0693</t>
  </si>
  <si>
    <t>C3049319901</t>
  </si>
  <si>
    <t>Noall, David L.</t>
  </si>
  <si>
    <t>Cassie</t>
  </si>
  <si>
    <t>Worked date : 08/29/2024 Claim for the DOS: 05/01/2024 is denied as the code D0364 is not a covered benefits, code D3332 is denied after reviewing the documents that have been submitted, insurnace requesting us to submit to proper documentation that explain obstruction of root canal preventing achievement of apical seal, evidence; of non-restorability of tooth following start of therapy or evidence of root perforation.CLM#202417837554400
Task has been created reagarding above claim on 08/29/2024 with task#35860508
DOS: 05/01/2024_INS: Dentaquest,LLC- Dt Worked: 8/26/2024
Claim Received on 07/11/2024 and denied on 07/17/2024. Claim denied for the codes 0364 as not a covered benefit and code 3332 for the proper documentation for tooth 31 .  Claim# 202417837554400. Rep: Cassie; Call Ref#202403249888,When asked for the EOB , rep stated that they dont have tha EOB copy .QPS_SZ.</t>
  </si>
  <si>
    <t>FEP Blue Dental</t>
  </si>
  <si>
    <t>(855)504-2583</t>
  </si>
  <si>
    <t>F32438910</t>
  </si>
  <si>
    <t>Funaki, Yoko</t>
  </si>
  <si>
    <t>Serena/102791545</t>
  </si>
  <si>
    <t>DOS: 04/24/2024_INS: FEP Blue Dental- Dt Worked: 8/23/2024
Claim Received on 08/05/2024 and processed on 08/13/2024. Claim paid  on Single Check#107846757 for $484.50 Issued on08/14/2024 and still uncashed.  Confirmed Provider Details to be correct. Claim paid for $484.50and $724.50 Patient responsibility . Claim# 96318903. Rep: Serena; Call Ref#102791545 . EOB will be faxed. QPS-SZ.</t>
  </si>
  <si>
    <t>Will be faxed</t>
  </si>
  <si>
    <t>SZ</t>
  </si>
  <si>
    <t>Guardian</t>
  </si>
  <si>
    <t>(800)541-7846</t>
  </si>
  <si>
    <t>Rappo, Lara</t>
  </si>
  <si>
    <t>PATIENT NOT ELIGIBLE</t>
  </si>
  <si>
    <t>Not Active for the DOS/NOT eligible for Services</t>
  </si>
  <si>
    <t>Policy Term Date(s)</t>
  </si>
  <si>
    <t>Services Not Elig?</t>
  </si>
  <si>
    <t>All services</t>
  </si>
  <si>
    <t>Why:</t>
  </si>
  <si>
    <t>policy got terminated before the dos</t>
  </si>
  <si>
    <t>Lyesha</t>
  </si>
  <si>
    <t>Worked date 8/21/2024_DOS-06/12/2024, INS-Guardian, claim #21830G16600, claim denied due to patient not eligible for DOS,Effective date 06/01/2022, termination date 06/01/2024,EOB uploaded in patient account , ref-240736012389,rep-Lyesha,</t>
  </si>
  <si>
    <t>Guardian (DentalGuard Pref)</t>
  </si>
  <si>
    <t>Thayer, William K.</t>
  </si>
  <si>
    <t>Kaiser</t>
  </si>
  <si>
    <t>(866)653-0338</t>
  </si>
  <si>
    <t>Kasal, Jeri L.</t>
  </si>
  <si>
    <t xml:space="preserve">RP073 ; PO Box 6927, Columbia, SC 29260. </t>
  </si>
  <si>
    <t>803-870-8012</t>
  </si>
  <si>
    <t>365 DAYES</t>
  </si>
  <si>
    <t>KAYLA</t>
  </si>
  <si>
    <t>DOS_ 06/25/2024 INS_ Kaiser
Submitted the claim through dentalxchange on 08/23/2024 CLM ID 539767940 QPS_VS//DOS: 06/25/2024_INS: Kaiser- Dt Worked:08/22/2024
Claim not received by  insurance. Patient policy is active for the DOS. Effective date 01/01/2022. Timely filing window is 365 Days from DOS. Can Submit the claim to Payor ID: RP073; Fax#803-870-8012;  Mailing Address: PO Box 6927, Columbia, SC 29260:   Rep: kayla; Call Ref#52555 .QPS-SR.</t>
  </si>
  <si>
    <t>Kaiser Permanente Dental Choic</t>
  </si>
  <si>
    <t>KP23626169</t>
  </si>
  <si>
    <t>Bergner, Paul M.</t>
  </si>
  <si>
    <t>CLAIM IN PROCESS</t>
  </si>
  <si>
    <t>Claim is in Process;</t>
  </si>
  <si>
    <t>marquis</t>
  </si>
  <si>
    <t>DOS: 05/29/2024_INS: Kaiser- Dt Worked:08/22/2024
Claim Received on 08/14/2024and is still in process Need to wait for another 30 Days. Claim# 10117270-01. Rep: marquis;  Call Ref#52546  .QPS-SR.//////Submitted the claim with x-rays through the Dental x change CLM ID533068652 ,Attachment ID: DXC47509250 on 7/26/2024 QPS-PB//worked date 07/26/2024, DOS-05/29/2024,INS-Kaiser, claim not on file ,patient is active for DOS, effective date 04/01/2024, termination date 03/31/2024, need to submit the claim, fax #8038708012, PO BOX 6967 Columbia SC 29260, TFL-365 Days, ref-50666,rep-Kimberly, QPS-SD.</t>
  </si>
  <si>
    <t>No Action</t>
  </si>
  <si>
    <t>Lincoln Financial Group</t>
  </si>
  <si>
    <t>(800)423-2765</t>
  </si>
  <si>
    <t>Stephens, Nancy M.</t>
  </si>
  <si>
    <t>PAID BY VCC</t>
  </si>
  <si>
    <t>Claim Paid by VCC;</t>
  </si>
  <si>
    <t>06/14/2024</t>
  </si>
  <si>
    <t>VCC/Draft#</t>
  </si>
  <si>
    <t>LK07262024/Luyanda</t>
  </si>
  <si>
    <t>Worked date 8/21/2024_DOS 06/12/2024_Claim got paid and posted on 08/21/2024 by QPS//////////////worked date 07/26/2024, DOS-06/12/2024,INS-Limcoln finance, Claim #2024166100527, claim paid by VCC, VCC #333778328, Issued date 06/14/2024, paid amount $944.00, patient responsibility $236.00, not yet cashed, Single VCC, EOB  Downloaded, ref-LK07262024, Rep-Luyanda, QPS-SD.</t>
  </si>
  <si>
    <t>Metlife</t>
  </si>
  <si>
    <t>(877)638-3379</t>
  </si>
  <si>
    <t>Agnesse, Nancy J.</t>
  </si>
  <si>
    <t>DENIED - PRM PAID MAX</t>
  </si>
  <si>
    <t>Primary Ins paid Max allowable;</t>
  </si>
  <si>
    <t>Hilda</t>
  </si>
  <si>
    <t>Worked date 08/30/2024, DOS:04/03/2024 : Spoke to Pia @ Metlife (Secondary), caim denied due to primary paid max amount ($1406.00). Secondary allwod amount ($1256.00). Need to close the claim. Payment made to subscriber in the amount $195.00 under token of appreciations as patient have multiple insurance. The total amount suppose to pay to provider by ,metlife is $934.30 and that amount got denied as primary paid maximum, need ot close the claim Ref#207860050; QPS_HW
*********************************************************
DOS: 04/24/2024_INS: Metlife- Dt Worked: 8/26/2024
Claim Received on 05/09/2024 and processed on 05/14/2024. Claim paid  to the subscriber so the payment details was not provided by the rep, as primary insurance paid more than allowed money that is of $1406.00. . Claim# 4050999944. Rep: Hilda; Call Ref# 207296273. EOB  was not provided by the rep as it is paid to member . QPS-SZ./////////////////Please task to client**** Task #: #35563087//// we work on this account after receiving the responce from client</t>
  </si>
  <si>
    <t xml:space="preserve">Task Post Pmt Queue </t>
  </si>
  <si>
    <t>Bui, Thu Van T.</t>
  </si>
  <si>
    <t>PRTL - PAID EFT</t>
  </si>
  <si>
    <t>Claim Partially Paid by EFT; Add notes</t>
  </si>
  <si>
    <t>08/07/2024</t>
  </si>
  <si>
    <t xml:space="preserve">EFT # </t>
  </si>
  <si>
    <t>206588053 &amp; Ana</t>
  </si>
  <si>
    <t>Worked date 8/21/2024-DOS 06/26/2024_Claim#4080699962 99, Paid by EFT , EFT#000000045630876 , paid amount$24.00, patient res$65.00, issue date 08/07/2024 with single payment and D0140 denied due to frequency limit , frequen limit 1-6 months history dates 02/22/2024 and EOB uploaded in patient account</t>
  </si>
  <si>
    <t>Connell, Robert E.</t>
  </si>
  <si>
    <t>CLAIM PAID - EFT</t>
  </si>
  <si>
    <t>Claim Paid by EFT;</t>
  </si>
  <si>
    <t>62.36</t>
  </si>
  <si>
    <t xml:space="preserve"> Rep: RANIA; Call Ref#20684884</t>
  </si>
  <si>
    <t>DOS: 07/10/2024_INS: METLIFE- Dt Worked: 09/04/2024
Claim Received on 07/26/2024 and processed on 08/08/2024. Claim paid  on Single EFT# 45565552 paid amount $76.00   .  Confirmed Provider Details to be correct.  Patient responsibility from Total allowed amount of $0.00. Claim# 4072699996 99. Rep: RANIA; Call Ref#20684884 . EOB Uploaded. QPS-SR./////////We tasked to client we work on this account after receiving the responce from client</t>
  </si>
  <si>
    <t>NV Pending</t>
  </si>
  <si>
    <t>Moda Health PPO plan</t>
  </si>
  <si>
    <t>(888)873-1393</t>
  </si>
  <si>
    <t>F08398644</t>
  </si>
  <si>
    <t>Hakimoglu, David D.</t>
  </si>
  <si>
    <t xml:space="preserve">PRTL - PAID CHK </t>
  </si>
  <si>
    <t>Claim Partially Paid by Check; Add notes</t>
  </si>
  <si>
    <t xml:space="preserve">$786.40	</t>
  </si>
  <si>
    <t>08/03/2024</t>
  </si>
  <si>
    <t>bulk/1004.40</t>
  </si>
  <si>
    <t>Waiting for the check to be cashed//Worked date 8/26/2024-INS:Moda Health PPO Plan-DOS 07/11/2024_Claim#2419435135-00, Partially paid by Check with amount of $786.40 and D0364 denied due to not covered in plan and Paid through check#14003877 in a bulk of$1004.40 issued on 08/03/2024, reff#portal, claim received and processed details are not present in portal. EOB already present in patient account. QPS-SZ.</t>
  </si>
  <si>
    <t>J25967403</t>
  </si>
  <si>
    <t>Maher, Adelaide M.</t>
  </si>
  <si>
    <t>DENIED - PRIMARY EOB</t>
  </si>
  <si>
    <t>Denied for Primary EOB</t>
  </si>
  <si>
    <t>Denial Date:</t>
  </si>
  <si>
    <t>Is Prim Ins Med/ Dental?</t>
  </si>
  <si>
    <t>Dental</t>
  </si>
  <si>
    <t>Which other ins?</t>
  </si>
  <si>
    <t>UCCI</t>
  </si>
  <si>
    <t xml:space="preserve">DOS-03/18/2024 INS-United Concordia(Primary)
Submitted the claim with x-rays through the portal CLM#24241332702  on 8/28/2024 QPS-PB
DOS-02/21/2024 INS-United Concordia(Primary)
Submiited the claim through the Portal CLM#24241332720  on 8/28/2024_QPS-PB.
Both the claims are in process with the UHC, we'll submit the claim to secondary (moda health) as soon as we recevied EOB from Primary.
worked date 8/5/2024,UCCI (TriCare) Policy Start Date: 11/1/2020 (Policy Holder: Shane Maher),Moda/Delta Policy Start Date: 1/1/2022/Group Start Date: 5/1/2022 (Policy Holder: Shane Maher),I also see that there were 2 claims, the one from 2/21/24 says "resolved" but there is no payment. Reading the claim notes, looks like that one was denied for lack of info,Based on the dates of policy start date, UCCI should be the PRIMARY and MODA should be the SECONDARY. The Policy holder for both is Shane Maher,Please take the necessary steps to have these insurance switch and both resubmitted asap, these claims are from Feb and March////worked date 7/31/2024, As per PMS we can see MODA Health is primary and still deniying the claim telling that need Primary EOB, we have try to contact to the Moda health(DD of  OREGON), rep refuse to provide any information and disconnect the call telling that we are calling from third party. </t>
  </si>
  <si>
    <t>Moda Health Premier Plan</t>
  </si>
  <si>
    <t>G90254190</t>
  </si>
  <si>
    <t>BCBS OR</t>
  </si>
  <si>
    <t>Task#35909242// Already submitted through the Dental X change, there is no other submit option  All documents uploaded in appeals corporate ///Worked date 8/26/2024_INS: Mode Health Premier_DOS 06/20/2024_Claim 241943439900, denied due to primary EOB , Need to submit the claim with BCBS EOB  there is no received and deniel dates in portal. BCBS EOB already present in patient in patient account. ref#portal.QPS-SZ.</t>
  </si>
  <si>
    <t>E00260960</t>
  </si>
  <si>
    <t>Gross, Jeffrey J.</t>
  </si>
  <si>
    <t>5/18/2024</t>
  </si>
  <si>
    <t>Bulk $1995.23</t>
  </si>
  <si>
    <t>Need to reissue the check as the old check is still outstanding and rep unable to provide the date as telling that third party //Worked date 8/26/2024_INS: Moda Health Premier_DOS:05/15/2024_Claim#241371180400 , Partailly paid by Check, Check#13944877, paid amount $31.68, Patient res$ 121.00 , issue date 05/18/2024 with bulk amount $1995.28, check is out standing , D0140 denied due to frequency limit . Ref#Portal.EOB already uploaded in patient account. QPS-SZ.</t>
  </si>
  <si>
    <t>E00173750</t>
  </si>
  <si>
    <t>Worked date 8/26/2024_INS: Mode Health Premier-DOS 07/15/2024 and billed amount:$1715.00. Claim#2421917059-00,Claim Received on 08/06/2024 and is still in process. The usual processing time is 30 Days. Need to wait for another 30 Days. Ref :Portal.QPS-SZ.</t>
  </si>
  <si>
    <t>Pacific Source</t>
  </si>
  <si>
    <t>(541)225-1981</t>
  </si>
  <si>
    <t>Hohnstein, Cheryl J.</t>
  </si>
  <si>
    <t>Russel</t>
  </si>
  <si>
    <t>Worked date 8/23/2024_DOS 07/18/2024_Claim#247575909700  , Claim is in under manual reviewing , Received date 07/21/2024, usual processing time 30 days and its been 60 days till now and when asked for delaying reason the rep stated that they are just behind their schedule .requested to wait for few more days to get processed QPS-SZ.</t>
  </si>
  <si>
    <t>Rafalski, John P.</t>
  </si>
  <si>
    <t>06/16/2024</t>
  </si>
  <si>
    <t>Need to request new pament as old check is still uncashed//DOS-06/10/2024,Ins-Pacific Source,worked dt: 8/23/2024, Claim #247466044600, processed date 06/16/2024,Claim paid by check, check #594239, issued date 06/16/2024, paid amount $229.36, patient responsibility$0.00, single check,not cashed, EOB uploaded in patient account,ref-240823004054, rep-Russel, QPS-SZ.</t>
  </si>
  <si>
    <t>Chris</t>
  </si>
  <si>
    <t>DOS: 07/16/2024_INS: Pacific Sources- Dt Worked: 8/23/2024
Claim Received on 07/17/2024 and is still in process. The usual processing time is 30-60 Days. Rep suggested to  wait  for few more days . Claim# 247568520900. Rep: Chris;  Call Ref#240823003603 .QPS-SZ.</t>
  </si>
  <si>
    <t>Premera BCBS</t>
  </si>
  <si>
    <t>(866)986-1515</t>
  </si>
  <si>
    <t>VHL603622712</t>
  </si>
  <si>
    <t>Hale, Abigail E.</t>
  </si>
  <si>
    <t>Claim Received on xx/xx/2023 and is still in process. The usual processing time is XX Days. Need to wait for another XX Days. Claim# XXXXXXXXX. Rep: XXXXXX;  Call Ref#XXXX .QPS-XX.</t>
  </si>
  <si>
    <t xml:space="preserve">There is no submit option all Documents uploaded in appeals for corporate///Worked date 8/14/2024_DOS 07/18/2024_Claim not on file patient is active on the dos and effective date 01/01/2023 still active , Need to submit the claim with in TFL 12 months </t>
  </si>
  <si>
    <t>Sisco</t>
  </si>
  <si>
    <t>(800)457-4726</t>
  </si>
  <si>
    <t>Barvitz, Sachie</t>
  </si>
  <si>
    <t>Claim submitted by corporated team//Task creted to corporate team for mailing submission. Worked date: 08/05/2024 for DOS: 05/29/2024_INS_Sisco Unable to connect the isnsurnace and as pre IVR and Portal, patient is active for the DOS and we are able to find the claim for other DOS but not for this DOS, policy effective from 01/01/2024-12/31/2024, claim not on file with the insurance. Need to submit the claim. Downloaded the Eligibility and updated to patient account for refrence</t>
  </si>
  <si>
    <t>Standard Insurance</t>
  </si>
  <si>
    <t>(800)547-9515</t>
  </si>
  <si>
    <t>Higgins, Greg S.</t>
  </si>
  <si>
    <t>06/27/2024</t>
  </si>
  <si>
    <t>2441 alisa</t>
  </si>
  <si>
    <t>Claim posted by NV team on 09/03/2024//Worked date 8/21/2024_DOS-06/19/2024, Ins-Standard_Claim #045090564080, Partially paid by check, check #7372562 ,paid amount $497.37, patient responsibility $694.87,  issued date 06/27/2024 with single check  cashed date 07/10/2024 and D0364 denied deu to not covered in patient policy  and EOB uploaded in patient account</t>
  </si>
  <si>
    <t>Johnson, Priscilla J.</t>
  </si>
  <si>
    <t>Worked date 8/21/2024_DOS 07/18/2024_Claim already got paid and posted on 08/14/2024 by QPS</t>
  </si>
  <si>
    <t>Wingert, Dawn M.</t>
  </si>
  <si>
    <t>DENIED - FREQ</t>
  </si>
  <si>
    <t>Claim denied due to Frequency;</t>
  </si>
  <si>
    <t>Freq for Proc:</t>
  </si>
  <si>
    <t>D0140</t>
  </si>
  <si>
    <t>Hist dts:</t>
  </si>
  <si>
    <t>01/10/2024 &amp; 04/26/2024</t>
  </si>
  <si>
    <t>Helda</t>
  </si>
  <si>
    <t>Worked date 08/21/2024, DOS-05/23/2024, INS-Standard insurance_Claim #045087782170,  D0140 denied due to frequency limit , freq limit 2- 1 year, History dates 01/10/2024 &amp; 04/26/2024  and D0364 is not covered under patient policy, EOB uploaded in patient account</t>
  </si>
  <si>
    <t>UMR</t>
  </si>
  <si>
    <t>(800)343-2737</t>
  </si>
  <si>
    <t>Muller, Heather L.</t>
  </si>
  <si>
    <t>, 01/10/2024</t>
  </si>
  <si>
    <t>Murray, Robert R.</t>
  </si>
  <si>
    <t>Payer ID : 39026 &amp; PO BOX 30541 salt lake city UT    84130</t>
  </si>
  <si>
    <t xml:space="preserve">12 months </t>
  </si>
  <si>
    <t>Alisha</t>
  </si>
  <si>
    <t>DOS 07/18/2024 Submitted the claim with x-rays through the Dentalxchange CLM ID:539009876 , Attachment ID: DXC49079957 on 8/21/2024 QPS-PB///Worked date 8/14/2024_DOS 07/18/2024_Claim not on file patient is active on the dos and effective date 01/01/2024 still active , Need to submit the claim with in TFL 12 months , Payer  ID : 39026 &amp; PO BOX 30541 salt lake city UT    84130</t>
  </si>
  <si>
    <t>United Healthcare</t>
  </si>
  <si>
    <t>(877)816-3596</t>
  </si>
  <si>
    <t>Lindenmuth, David</t>
  </si>
  <si>
    <t>Gene</t>
  </si>
  <si>
    <t>Worked date 08/28/2024_Spoke with the Angel @ UHC code 0364 need to submit with complete bony impaction, implant and Repair of root canal or if the single code is performed need to submit the proper narrtive explaining why it performed_QPS PK
************************************************
DOS_06/12/2024_INS-United healthcare_Worked date_08/28/2024, recieved on 06/14/2024, processed and dinied on 06/15/2024, Dinied due to more info,  need to submit this code same day with extractions, complete bone additional narrative, cone beam must be perform inconjuction with a complete bone inpaction implant or retreatment or perforation retair root canal. claim#241511597900, Ref#INT78084328, Rep: Lina, EOB  uploaded, QPS_PK.//Please mention denial reason whats need codes or basic//worked date 08/05/2024, DOS-06/12/2024. INS-UHC,Claim #241511557900, claim denied due to more info,need to submit supportive documents to  procedure codes, EOB will be faxed, ref-73936457, rep-Gene, QPS-SD.</t>
  </si>
  <si>
    <t>McCuaig, Carolyn R.</t>
  </si>
  <si>
    <t>05/31/2024</t>
  </si>
  <si>
    <t>73936457/Gene</t>
  </si>
  <si>
    <t>Claim closed in PMS on 08/19/2024//DOS_05/29/2024_United healthcare_Worked date_08/28/2024, received on 05/30/2024, processed and issued on 05/31/2024, Paid Single/Chk#63573307, for  $135.20, No patient responsibilty from the total allowed amount $135.20, Claim#241414226300,  cashed on 06/12/2024, Ref#INT78084328, Rep: Lina, EOB  requested, waiting for the EOB,QPS_PK.//worked date 08/08/2024, we have requested EOB again on 08/08/2024///worked date 07/26/2024, DOS-05/29/2024, INS-UHC, Claim #241414226300, claim paid by check,check #63573307, issued date 05/31/2024, paid amount $135.30, patient resp $0.00, cashed date 06/12/2024, EOB will be faxed, ref-73936457, rep-Gene, QPS-SD.</t>
  </si>
  <si>
    <t>Worked date 8/14/2024_DOS 06/27/2024_Claim got paid and posted on 08/13/2024 by QPS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</si>
</sst>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Verdana"/>
      <family val="2"/>
    </font>
  </fonts>
  <fills count="2">
    <fill>
      <patternFill patternType="none"/>
    </fill>
    <fill>
      <patternFill patternType="gray125"/>
    </fill>
  </fills>
  <borders count="3">
    <border>
      <left/>
      <right/>
      <top/>
      <bottom/>
      <diagonal/>
    </border>
    <border>
      <left style="medium">
        <color indexed="64"/>
      </left>
      <right/>
      <top/>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8" fontId="2" fillId="0" borderId="0" xfId="0" applyNumberFormat="1"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quotePrefix="1" applyFont="1" applyAlignment="1" applyProtection="1">
      <alignment horizontal="left" vertical="top"/>
      <protection locked="0"/>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0" fontId="2"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2" fillId="0" borderId="0" xfId="0" quotePrefix="1" applyNumberFormat="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cellXfs>
  <cellStyles count="2">
    <cellStyle name="Currency" xfId="1" builtinId="4"/>
    <cellStyle name="Normal" xfId="0" builtinId="0"/>
  </cellStyles>
  <dxfs count="22">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2"/>
  <sheetViews>
    <sheetView tabSelected="1" topLeftCell="A49" workbookViewId="0">
      <selection activeCell="A50" sqref="A50"/>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t="s">
        <v>38</v>
      </c>
      <c r="E2" s="3" t="s">
        <v>37</v>
      </c>
      <c r="F2" s="2" t="s">
        <v>39</v>
      </c>
      <c r="G2" s="4">
        <v>28497</v>
      </c>
      <c r="H2" s="5">
        <v>45491</v>
      </c>
      <c r="I2" s="5">
        <v>45491</v>
      </c>
      <c r="J2" s="6">
        <v>169</v>
      </c>
      <c r="K2" s="7">
        <v>50</v>
      </c>
      <c r="L2" s="7">
        <v>25</v>
      </c>
      <c r="M2" s="7" t="s">
        <v>37</v>
      </c>
      <c r="N2" s="7" t="s">
        <v>37</v>
      </c>
      <c r="O2" s="8" t="s">
        <v>40</v>
      </c>
      <c r="P2" s="9" t="s">
        <v>41</v>
      </c>
      <c r="Q2" s="10" t="s">
        <v>42</v>
      </c>
      <c r="R2" s="11">
        <v>85.9</v>
      </c>
      <c r="S2" s="12" t="s">
        <v>43</v>
      </c>
      <c r="T2" s="13" t="s">
        <v>44</v>
      </c>
      <c r="U2" s="12" t="s">
        <v>45</v>
      </c>
      <c r="V2" s="14">
        <v>48103580</v>
      </c>
      <c r="W2" s="12" t="s">
        <v>46</v>
      </c>
      <c r="X2" s="14" t="s">
        <v>47</v>
      </c>
      <c r="Y2" s="12" t="s">
        <v>48</v>
      </c>
      <c r="Z2" s="14" t="s">
        <v>49</v>
      </c>
      <c r="AA2" s="15" t="s">
        <v>50</v>
      </c>
      <c r="AB2" s="2" t="s">
        <v>51</v>
      </c>
      <c r="AC2" s="16" t="s">
        <v>52</v>
      </c>
      <c r="AD2" s="17">
        <f>AH2</f>
        <v>45517</v>
      </c>
      <c r="AE2" s="16" t="s">
        <v>53</v>
      </c>
      <c r="AF2" s="16" t="s">
        <v>54</v>
      </c>
      <c r="AG2" s="18" t="s">
        <v>55</v>
      </c>
      <c r="AH2" s="19">
        <v>45517</v>
      </c>
      <c r="AI2" s="18" t="s">
        <v>56</v>
      </c>
    </row>
    <row r="3" spans="1:35" ht="63">
      <c r="A3" s="2" t="s">
        <v>57</v>
      </c>
      <c r="B3" s="2" t="s">
        <v>58</v>
      </c>
      <c r="C3" s="2" t="s">
        <v>37</v>
      </c>
      <c r="D3" s="3">
        <v>943182842</v>
      </c>
      <c r="E3" s="3" t="s">
        <v>37</v>
      </c>
      <c r="F3" s="2" t="s">
        <v>59</v>
      </c>
      <c r="G3" s="4">
        <v>20302</v>
      </c>
      <c r="H3" s="5">
        <v>45470</v>
      </c>
      <c r="I3" s="5">
        <v>45484</v>
      </c>
      <c r="J3" s="6">
        <v>1475</v>
      </c>
      <c r="K3" s="7">
        <v>71</v>
      </c>
      <c r="L3" s="7">
        <v>46</v>
      </c>
      <c r="M3" s="7" t="s">
        <v>37</v>
      </c>
      <c r="N3" s="7" t="s">
        <v>37</v>
      </c>
      <c r="O3" s="8" t="s">
        <v>40</v>
      </c>
      <c r="P3" s="9" t="s">
        <v>41</v>
      </c>
      <c r="Q3" s="10" t="s">
        <v>42</v>
      </c>
      <c r="R3" s="11">
        <v>497.58</v>
      </c>
      <c r="S3" s="12" t="s">
        <v>43</v>
      </c>
      <c r="T3" s="17">
        <v>45496</v>
      </c>
      <c r="U3" s="12" t="s">
        <v>45</v>
      </c>
      <c r="V3" s="14">
        <v>9727294</v>
      </c>
      <c r="W3" s="12" t="s">
        <v>46</v>
      </c>
      <c r="X3" s="14" t="s">
        <v>60</v>
      </c>
      <c r="Y3" s="12" t="s">
        <v>48</v>
      </c>
      <c r="Z3" s="14" t="s">
        <v>61</v>
      </c>
      <c r="AA3" s="15" t="s">
        <v>62</v>
      </c>
      <c r="AB3" s="2" t="s">
        <v>51</v>
      </c>
      <c r="AC3" s="16" t="s">
        <v>52</v>
      </c>
      <c r="AD3" s="17">
        <v>45569</v>
      </c>
      <c r="AE3" s="16" t="s">
        <v>63</v>
      </c>
      <c r="AF3" s="16" t="s">
        <v>54</v>
      </c>
      <c r="AG3" s="18" t="s">
        <v>64</v>
      </c>
      <c r="AH3" s="19">
        <v>45539</v>
      </c>
      <c r="AI3" s="18" t="s">
        <v>65</v>
      </c>
    </row>
    <row r="4" spans="1:35" ht="409.5">
      <c r="A4" s="2" t="s">
        <v>66</v>
      </c>
      <c r="B4" s="2" t="s">
        <v>67</v>
      </c>
      <c r="C4" s="2" t="s">
        <v>37</v>
      </c>
      <c r="D4" s="3" t="s">
        <v>68</v>
      </c>
      <c r="E4" s="3" t="s">
        <v>37</v>
      </c>
      <c r="F4" s="2" t="s">
        <v>69</v>
      </c>
      <c r="G4" s="4">
        <v>22237</v>
      </c>
      <c r="H4" s="5">
        <v>45481</v>
      </c>
      <c r="I4" s="5">
        <v>45481</v>
      </c>
      <c r="J4" s="6">
        <v>169</v>
      </c>
      <c r="K4" s="7">
        <v>60</v>
      </c>
      <c r="L4" s="7">
        <v>35</v>
      </c>
      <c r="M4" s="7" t="s">
        <v>37</v>
      </c>
      <c r="N4" s="7" t="s">
        <v>37</v>
      </c>
      <c r="O4" s="8" t="s">
        <v>70</v>
      </c>
      <c r="P4" s="9" t="s">
        <v>71</v>
      </c>
      <c r="Q4" s="10" t="s">
        <v>72</v>
      </c>
      <c r="R4" s="16" t="s">
        <v>73</v>
      </c>
      <c r="S4" s="12" t="s">
        <v>74</v>
      </c>
      <c r="T4" s="16"/>
      <c r="U4" s="12" t="s">
        <v>75</v>
      </c>
      <c r="V4" s="14" t="s">
        <v>76</v>
      </c>
      <c r="W4" s="12" t="s">
        <v>77</v>
      </c>
      <c r="X4" s="14">
        <v>102753617</v>
      </c>
      <c r="Y4" s="12" t="s">
        <v>78</v>
      </c>
      <c r="Z4" s="14" t="s">
        <v>79</v>
      </c>
      <c r="AA4" s="20" t="s">
        <v>80</v>
      </c>
      <c r="AB4" s="2" t="s">
        <v>81</v>
      </c>
      <c r="AC4" s="16" t="s">
        <v>52</v>
      </c>
      <c r="AD4" s="17">
        <v>45543</v>
      </c>
      <c r="AE4" s="16" t="s">
        <v>63</v>
      </c>
      <c r="AF4" s="16" t="s">
        <v>54</v>
      </c>
      <c r="AG4" s="18" t="s">
        <v>82</v>
      </c>
      <c r="AH4" s="19">
        <v>45527</v>
      </c>
      <c r="AI4" s="18" t="s">
        <v>83</v>
      </c>
    </row>
    <row r="5" spans="1:35" ht="63">
      <c r="A5" s="2" t="s">
        <v>66</v>
      </c>
      <c r="B5" s="2" t="s">
        <v>67</v>
      </c>
      <c r="C5" s="2" t="s">
        <v>37</v>
      </c>
      <c r="D5" s="3" t="s">
        <v>84</v>
      </c>
      <c r="E5" s="3" t="s">
        <v>37</v>
      </c>
      <c r="F5" s="2" t="s">
        <v>85</v>
      </c>
      <c r="G5" s="4">
        <v>21069</v>
      </c>
      <c r="H5" s="5">
        <v>45433</v>
      </c>
      <c r="I5" s="5">
        <v>45433</v>
      </c>
      <c r="J5" s="6">
        <v>126</v>
      </c>
      <c r="K5" s="7">
        <v>108</v>
      </c>
      <c r="L5" s="7">
        <v>83</v>
      </c>
      <c r="M5" s="7" t="s">
        <v>37</v>
      </c>
      <c r="N5" s="7" t="s">
        <v>37</v>
      </c>
      <c r="O5" s="8" t="s">
        <v>86</v>
      </c>
      <c r="P5" s="9" t="s">
        <v>87</v>
      </c>
      <c r="Q5" s="10" t="s">
        <v>88</v>
      </c>
      <c r="R5" s="16"/>
      <c r="S5" s="12" t="s">
        <v>77</v>
      </c>
      <c r="T5" s="16"/>
      <c r="U5" s="12" t="s">
        <v>78</v>
      </c>
      <c r="V5" s="14"/>
      <c r="W5" s="12">
        <v>0</v>
      </c>
      <c r="X5" s="14"/>
      <c r="Y5" s="12">
        <v>0</v>
      </c>
      <c r="Z5" s="14" t="s">
        <v>89</v>
      </c>
      <c r="AA5" s="15" t="s">
        <v>90</v>
      </c>
      <c r="AB5" s="2" t="s">
        <v>91</v>
      </c>
      <c r="AC5" s="16" t="s">
        <v>52</v>
      </c>
      <c r="AD5" s="17">
        <f t="shared" ref="AD5:AD6" si="0">AH5</f>
        <v>45526</v>
      </c>
      <c r="AE5" s="16" t="s">
        <v>53</v>
      </c>
      <c r="AF5" s="16" t="s">
        <v>54</v>
      </c>
      <c r="AG5" s="18" t="s">
        <v>92</v>
      </c>
      <c r="AH5" s="19">
        <v>45526</v>
      </c>
      <c r="AI5" s="18" t="s">
        <v>93</v>
      </c>
    </row>
    <row r="6" spans="1:35" ht="63">
      <c r="A6" s="2" t="s">
        <v>66</v>
      </c>
      <c r="B6" s="2" t="s">
        <v>67</v>
      </c>
      <c r="C6" s="2" t="s">
        <v>37</v>
      </c>
      <c r="D6" s="3" t="s">
        <v>84</v>
      </c>
      <c r="E6" s="3" t="s">
        <v>37</v>
      </c>
      <c r="F6" s="2" t="s">
        <v>85</v>
      </c>
      <c r="G6" s="4">
        <v>21069</v>
      </c>
      <c r="H6" s="5">
        <v>45433</v>
      </c>
      <c r="I6" s="5">
        <v>45433</v>
      </c>
      <c r="J6" s="6">
        <v>43</v>
      </c>
      <c r="K6" s="7">
        <v>108</v>
      </c>
      <c r="L6" s="7">
        <v>83</v>
      </c>
      <c r="M6" s="7" t="s">
        <v>37</v>
      </c>
      <c r="N6" s="7" t="s">
        <v>37</v>
      </c>
      <c r="O6" s="8" t="s">
        <v>86</v>
      </c>
      <c r="P6" s="9" t="s">
        <v>87</v>
      </c>
      <c r="Q6" s="10" t="s">
        <v>88</v>
      </c>
      <c r="R6" s="16"/>
      <c r="S6" s="12" t="s">
        <v>77</v>
      </c>
      <c r="T6" s="16"/>
      <c r="U6" s="12" t="s">
        <v>78</v>
      </c>
      <c r="V6" s="14"/>
      <c r="W6" s="12">
        <v>0</v>
      </c>
      <c r="X6" s="14"/>
      <c r="Y6" s="12">
        <v>0</v>
      </c>
      <c r="Z6" s="14" t="s">
        <v>89</v>
      </c>
      <c r="AA6" s="15" t="s">
        <v>94</v>
      </c>
      <c r="AB6" s="2" t="s">
        <v>91</v>
      </c>
      <c r="AC6" s="16" t="s">
        <v>52</v>
      </c>
      <c r="AD6" s="17">
        <f t="shared" si="0"/>
        <v>45526</v>
      </c>
      <c r="AE6" s="16" t="s">
        <v>53</v>
      </c>
      <c r="AF6" s="16" t="s">
        <v>54</v>
      </c>
      <c r="AG6" s="18" t="s">
        <v>92</v>
      </c>
      <c r="AH6" s="19">
        <v>45526</v>
      </c>
      <c r="AI6" s="18" t="s">
        <v>93</v>
      </c>
    </row>
    <row r="7" spans="1:35" ht="84">
      <c r="A7" s="2" t="s">
        <v>95</v>
      </c>
      <c r="B7" s="2" t="s">
        <v>96</v>
      </c>
      <c r="C7" s="2" t="s">
        <v>37</v>
      </c>
      <c r="D7" s="3" t="s">
        <v>97</v>
      </c>
      <c r="E7" s="3" t="s">
        <v>37</v>
      </c>
      <c r="F7" s="2" t="s">
        <v>98</v>
      </c>
      <c r="G7" s="4">
        <v>23031</v>
      </c>
      <c r="H7" s="5">
        <v>45316</v>
      </c>
      <c r="I7" s="5">
        <v>45316</v>
      </c>
      <c r="J7" s="6">
        <v>169</v>
      </c>
      <c r="K7" s="7">
        <v>225</v>
      </c>
      <c r="L7" s="7">
        <v>200</v>
      </c>
      <c r="M7" s="7" t="s">
        <v>37</v>
      </c>
      <c r="N7" s="7" t="s">
        <v>37</v>
      </c>
      <c r="O7" s="8" t="s">
        <v>70</v>
      </c>
      <c r="P7" s="9" t="s">
        <v>71</v>
      </c>
      <c r="Q7" s="10" t="s">
        <v>72</v>
      </c>
      <c r="R7" s="16">
        <v>648124</v>
      </c>
      <c r="S7" s="12" t="s">
        <v>74</v>
      </c>
      <c r="T7" s="16"/>
      <c r="U7" s="12" t="s">
        <v>75</v>
      </c>
      <c r="V7" s="14" t="s">
        <v>99</v>
      </c>
      <c r="W7" s="12" t="s">
        <v>77</v>
      </c>
      <c r="X7" s="14"/>
      <c r="Y7" s="12" t="s">
        <v>78</v>
      </c>
      <c r="Z7" s="14" t="s">
        <v>89</v>
      </c>
      <c r="AA7" s="15" t="s">
        <v>100</v>
      </c>
      <c r="AB7" s="2" t="s">
        <v>81</v>
      </c>
      <c r="AC7" s="16" t="s">
        <v>101</v>
      </c>
      <c r="AD7" s="17">
        <v>45540</v>
      </c>
      <c r="AE7" s="16" t="s">
        <v>63</v>
      </c>
      <c r="AF7" s="16" t="s">
        <v>54</v>
      </c>
      <c r="AG7" s="18" t="s">
        <v>64</v>
      </c>
      <c r="AH7" s="19">
        <v>45524</v>
      </c>
      <c r="AI7" s="18" t="s">
        <v>83</v>
      </c>
    </row>
    <row r="8" spans="1:35" ht="63">
      <c r="A8" s="2" t="s">
        <v>95</v>
      </c>
      <c r="B8" s="2" t="s">
        <v>96</v>
      </c>
      <c r="C8" s="2" t="s">
        <v>37</v>
      </c>
      <c r="D8" s="3" t="s">
        <v>102</v>
      </c>
      <c r="E8" s="3" t="s">
        <v>37</v>
      </c>
      <c r="F8" s="2" t="s">
        <v>103</v>
      </c>
      <c r="G8" s="4">
        <v>12946</v>
      </c>
      <c r="H8" s="5">
        <v>45420</v>
      </c>
      <c r="I8" s="5">
        <v>45420</v>
      </c>
      <c r="J8" s="6">
        <v>1611</v>
      </c>
      <c r="K8" s="7">
        <v>121</v>
      </c>
      <c r="L8" s="7">
        <v>96</v>
      </c>
      <c r="M8" s="7" t="s">
        <v>37</v>
      </c>
      <c r="N8" s="7" t="s">
        <v>37</v>
      </c>
      <c r="O8" s="8" t="s">
        <v>86</v>
      </c>
      <c r="P8" s="9" t="s">
        <v>87</v>
      </c>
      <c r="Q8" s="10" t="s">
        <v>88</v>
      </c>
      <c r="R8" s="16" t="s">
        <v>104</v>
      </c>
      <c r="S8" s="12" t="s">
        <v>77</v>
      </c>
      <c r="T8" s="16">
        <v>24177047041636</v>
      </c>
      <c r="U8" s="12" t="s">
        <v>78</v>
      </c>
      <c r="V8" s="14" t="s">
        <v>105</v>
      </c>
      <c r="W8" s="12">
        <v>0</v>
      </c>
      <c r="X8" s="14"/>
      <c r="Y8" s="12">
        <v>0</v>
      </c>
      <c r="Z8" s="14"/>
      <c r="AA8" s="15" t="s">
        <v>106</v>
      </c>
      <c r="AB8" s="2" t="s">
        <v>91</v>
      </c>
      <c r="AC8" s="16" t="s">
        <v>52</v>
      </c>
      <c r="AD8" s="17">
        <v>45542</v>
      </c>
      <c r="AE8" s="16" t="s">
        <v>53</v>
      </c>
      <c r="AF8" s="16" t="s">
        <v>54</v>
      </c>
      <c r="AG8" s="18" t="s">
        <v>107</v>
      </c>
      <c r="AH8" s="19">
        <v>45511</v>
      </c>
      <c r="AI8" s="18" t="s">
        <v>65</v>
      </c>
    </row>
    <row r="9" spans="1:35" ht="63">
      <c r="A9" s="2" t="s">
        <v>95</v>
      </c>
      <c r="B9" s="2" t="s">
        <v>96</v>
      </c>
      <c r="C9" s="2" t="s">
        <v>37</v>
      </c>
      <c r="D9" s="3">
        <v>170214446</v>
      </c>
      <c r="E9" s="3" t="s">
        <v>37</v>
      </c>
      <c r="F9" s="2" t="s">
        <v>108</v>
      </c>
      <c r="G9" s="4">
        <v>24565</v>
      </c>
      <c r="H9" s="5">
        <v>45489</v>
      </c>
      <c r="I9" s="5">
        <v>45489</v>
      </c>
      <c r="J9" s="6">
        <v>1715</v>
      </c>
      <c r="K9" s="7">
        <v>52</v>
      </c>
      <c r="L9" s="7">
        <v>27</v>
      </c>
      <c r="M9" s="7" t="s">
        <v>37</v>
      </c>
      <c r="N9" s="7" t="s">
        <v>37</v>
      </c>
      <c r="O9" s="8" t="s">
        <v>40</v>
      </c>
      <c r="P9" s="9" t="s">
        <v>41</v>
      </c>
      <c r="Q9" s="10" t="s">
        <v>42</v>
      </c>
      <c r="R9" s="16"/>
      <c r="S9" s="12" t="s">
        <v>43</v>
      </c>
      <c r="T9" s="16"/>
      <c r="U9" s="12" t="s">
        <v>45</v>
      </c>
      <c r="V9" s="14"/>
      <c r="W9" s="12" t="s">
        <v>46</v>
      </c>
      <c r="X9" s="14"/>
      <c r="Y9" s="12" t="s">
        <v>48</v>
      </c>
      <c r="Z9" s="14"/>
      <c r="AA9" s="15" t="s">
        <v>109</v>
      </c>
      <c r="AB9" s="2" t="s">
        <v>51</v>
      </c>
      <c r="AC9" s="16" t="s">
        <v>52</v>
      </c>
      <c r="AD9" s="17">
        <f t="shared" ref="AD9:AD10" si="1">AH9</f>
        <v>45518</v>
      </c>
      <c r="AE9" s="16" t="s">
        <v>53</v>
      </c>
      <c r="AF9" s="16" t="s">
        <v>54</v>
      </c>
      <c r="AG9" s="18" t="s">
        <v>55</v>
      </c>
      <c r="AH9" s="19">
        <v>45518</v>
      </c>
      <c r="AI9" s="18" t="s">
        <v>93</v>
      </c>
    </row>
    <row r="10" spans="1:35" ht="63">
      <c r="A10" s="2" t="s">
        <v>95</v>
      </c>
      <c r="B10" s="2" t="s">
        <v>96</v>
      </c>
      <c r="C10" s="2" t="s">
        <v>37</v>
      </c>
      <c r="D10" s="3" t="s">
        <v>110</v>
      </c>
      <c r="E10" s="3" t="s">
        <v>37</v>
      </c>
      <c r="F10" s="2" t="s">
        <v>111</v>
      </c>
      <c r="G10" s="4">
        <v>21816</v>
      </c>
      <c r="H10" s="5">
        <v>45490</v>
      </c>
      <c r="I10" s="5">
        <v>45490</v>
      </c>
      <c r="J10" s="6">
        <v>1786</v>
      </c>
      <c r="K10" s="7">
        <v>51</v>
      </c>
      <c r="L10" s="7">
        <v>26</v>
      </c>
      <c r="M10" s="7" t="s">
        <v>37</v>
      </c>
      <c r="N10" s="7" t="s">
        <v>37</v>
      </c>
      <c r="O10" s="8" t="s">
        <v>40</v>
      </c>
      <c r="P10" s="9" t="s">
        <v>41</v>
      </c>
      <c r="Q10" s="10" t="s">
        <v>42</v>
      </c>
      <c r="R10" s="16"/>
      <c r="S10" s="12" t="s">
        <v>43</v>
      </c>
      <c r="T10" s="16"/>
      <c r="U10" s="12" t="s">
        <v>45</v>
      </c>
      <c r="V10" s="14"/>
      <c r="W10" s="12" t="s">
        <v>46</v>
      </c>
      <c r="X10" s="14"/>
      <c r="Y10" s="12" t="s">
        <v>48</v>
      </c>
      <c r="Z10" s="14"/>
      <c r="AA10" s="15" t="s">
        <v>112</v>
      </c>
      <c r="AB10" s="2" t="s">
        <v>51</v>
      </c>
      <c r="AC10" s="16" t="s">
        <v>52</v>
      </c>
      <c r="AD10" s="17">
        <f t="shared" si="1"/>
        <v>45518</v>
      </c>
      <c r="AE10" s="16" t="s">
        <v>53</v>
      </c>
      <c r="AF10" s="16" t="s">
        <v>54</v>
      </c>
      <c r="AG10" s="18" t="s">
        <v>55</v>
      </c>
      <c r="AH10" s="19">
        <v>45518</v>
      </c>
      <c r="AI10" s="18" t="s">
        <v>93</v>
      </c>
    </row>
    <row r="11" spans="1:35" ht="63">
      <c r="A11" s="2" t="s">
        <v>95</v>
      </c>
      <c r="B11" s="2" t="s">
        <v>96</v>
      </c>
      <c r="C11" s="2" t="s">
        <v>37</v>
      </c>
      <c r="D11" s="3">
        <v>201089877</v>
      </c>
      <c r="E11" s="3" t="s">
        <v>37</v>
      </c>
      <c r="F11" s="2" t="s">
        <v>113</v>
      </c>
      <c r="G11" s="4">
        <v>29637</v>
      </c>
      <c r="H11" s="5">
        <v>45392</v>
      </c>
      <c r="I11" s="5">
        <v>45392</v>
      </c>
      <c r="J11" s="6">
        <v>845</v>
      </c>
      <c r="K11" s="7">
        <v>149</v>
      </c>
      <c r="L11" s="7">
        <v>124</v>
      </c>
      <c r="M11" s="7" t="s">
        <v>37</v>
      </c>
      <c r="N11" s="7" t="s">
        <v>37</v>
      </c>
      <c r="O11" s="8" t="s">
        <v>86</v>
      </c>
      <c r="P11" s="9" t="s">
        <v>87</v>
      </c>
      <c r="Q11" s="10" t="s">
        <v>88</v>
      </c>
      <c r="R11" s="16"/>
      <c r="S11" s="12" t="s">
        <v>77</v>
      </c>
      <c r="T11" s="16"/>
      <c r="U11" s="12" t="s">
        <v>78</v>
      </c>
      <c r="V11" s="14"/>
      <c r="W11" s="12">
        <v>0</v>
      </c>
      <c r="X11" s="21"/>
      <c r="Y11" s="12">
        <v>0</v>
      </c>
      <c r="Z11" s="21" t="s">
        <v>89</v>
      </c>
      <c r="AA11" s="15" t="s">
        <v>114</v>
      </c>
      <c r="AB11" s="2" t="s">
        <v>91</v>
      </c>
      <c r="AC11" s="16" t="s">
        <v>52</v>
      </c>
      <c r="AD11" s="17">
        <v>45538</v>
      </c>
      <c r="AE11" s="16" t="s">
        <v>53</v>
      </c>
      <c r="AF11" s="16" t="s">
        <v>54</v>
      </c>
      <c r="AG11" s="18" t="s">
        <v>64</v>
      </c>
      <c r="AH11" s="19">
        <v>45504</v>
      </c>
      <c r="AI11" s="18" t="s">
        <v>115</v>
      </c>
    </row>
    <row r="12" spans="1:35" ht="63">
      <c r="A12" s="2" t="s">
        <v>95</v>
      </c>
      <c r="B12" s="2" t="s">
        <v>96</v>
      </c>
      <c r="C12" s="2" t="s">
        <v>37</v>
      </c>
      <c r="D12" s="3">
        <v>201089877</v>
      </c>
      <c r="E12" s="3" t="s">
        <v>37</v>
      </c>
      <c r="F12" s="2" t="s">
        <v>113</v>
      </c>
      <c r="G12" s="4">
        <v>29637</v>
      </c>
      <c r="H12" s="5">
        <v>45392</v>
      </c>
      <c r="I12" s="5">
        <v>45463</v>
      </c>
      <c r="J12" s="6">
        <v>845</v>
      </c>
      <c r="K12" s="7">
        <v>149</v>
      </c>
      <c r="L12" s="7">
        <v>124</v>
      </c>
      <c r="M12" s="7" t="s">
        <v>37</v>
      </c>
      <c r="N12" s="7" t="s">
        <v>37</v>
      </c>
      <c r="O12" s="8" t="s">
        <v>86</v>
      </c>
      <c r="P12" s="9" t="s">
        <v>87</v>
      </c>
      <c r="Q12" s="10" t="s">
        <v>88</v>
      </c>
      <c r="R12" s="16"/>
      <c r="S12" s="12" t="s">
        <v>77</v>
      </c>
      <c r="T12" s="16"/>
      <c r="U12" s="12" t="s">
        <v>78</v>
      </c>
      <c r="V12" s="21"/>
      <c r="W12" s="12">
        <v>0</v>
      </c>
      <c r="X12" s="21"/>
      <c r="Y12" s="12">
        <v>0</v>
      </c>
      <c r="Z12" s="21"/>
      <c r="AA12" s="15" t="s">
        <v>116</v>
      </c>
      <c r="AB12" s="2" t="s">
        <v>91</v>
      </c>
      <c r="AC12" s="16" t="s">
        <v>52</v>
      </c>
      <c r="AD12" s="17">
        <v>45538</v>
      </c>
      <c r="AE12" s="16" t="s">
        <v>53</v>
      </c>
      <c r="AF12" s="16" t="s">
        <v>54</v>
      </c>
      <c r="AG12" s="18" t="s">
        <v>64</v>
      </c>
      <c r="AH12" s="19">
        <v>45504</v>
      </c>
      <c r="AI12" s="18" t="s">
        <v>115</v>
      </c>
    </row>
    <row r="13" spans="1:35" ht="409.5">
      <c r="A13" s="2" t="s">
        <v>95</v>
      </c>
      <c r="B13" s="2" t="s">
        <v>96</v>
      </c>
      <c r="C13" s="2" t="s">
        <v>37</v>
      </c>
      <c r="D13" s="3">
        <v>170233273</v>
      </c>
      <c r="E13" s="3" t="s">
        <v>37</v>
      </c>
      <c r="F13" s="2" t="s">
        <v>117</v>
      </c>
      <c r="G13" s="4">
        <v>20972</v>
      </c>
      <c r="H13" s="5">
        <v>45257</v>
      </c>
      <c r="I13" s="5">
        <v>45257</v>
      </c>
      <c r="J13" s="6">
        <v>1285</v>
      </c>
      <c r="K13" s="7">
        <v>284</v>
      </c>
      <c r="L13" s="7">
        <v>259</v>
      </c>
      <c r="M13" s="7" t="s">
        <v>37</v>
      </c>
      <c r="N13" s="7" t="s">
        <v>37</v>
      </c>
      <c r="O13" s="8" t="s">
        <v>118</v>
      </c>
      <c r="P13" s="9" t="s">
        <v>119</v>
      </c>
      <c r="Q13" s="10" t="s">
        <v>120</v>
      </c>
      <c r="R13" s="16" t="s">
        <v>121</v>
      </c>
      <c r="S13" s="12" t="s">
        <v>122</v>
      </c>
      <c r="T13" s="16">
        <v>45377</v>
      </c>
      <c r="U13" s="12" t="s">
        <v>77</v>
      </c>
      <c r="V13" s="21">
        <v>242120018705</v>
      </c>
      <c r="W13" s="12" t="s">
        <v>78</v>
      </c>
      <c r="X13" s="21" t="s">
        <v>123</v>
      </c>
      <c r="Y13" s="12">
        <v>0</v>
      </c>
      <c r="Z13" s="21"/>
      <c r="AA13" s="20" t="s">
        <v>124</v>
      </c>
      <c r="AB13" s="2" t="s">
        <v>125</v>
      </c>
      <c r="AC13" s="16" t="s">
        <v>52</v>
      </c>
      <c r="AD13" s="17">
        <v>45540</v>
      </c>
      <c r="AE13" s="16" t="s">
        <v>53</v>
      </c>
      <c r="AF13" s="16" t="s">
        <v>54</v>
      </c>
      <c r="AG13" s="18" t="s">
        <v>64</v>
      </c>
      <c r="AH13" s="19">
        <v>45538</v>
      </c>
      <c r="AI13" s="18" t="s">
        <v>65</v>
      </c>
    </row>
    <row r="14" spans="1:35" ht="409.5">
      <c r="A14" s="2" t="s">
        <v>126</v>
      </c>
      <c r="B14" s="2" t="s">
        <v>127</v>
      </c>
      <c r="C14" s="2" t="s">
        <v>37</v>
      </c>
      <c r="D14" s="3">
        <v>123765989801</v>
      </c>
      <c r="E14" s="3" t="s">
        <v>37</v>
      </c>
      <c r="F14" s="2" t="s">
        <v>128</v>
      </c>
      <c r="G14" s="4">
        <v>25886</v>
      </c>
      <c r="H14" s="5">
        <v>45474</v>
      </c>
      <c r="I14" s="5">
        <v>45474</v>
      </c>
      <c r="J14" s="6">
        <v>366</v>
      </c>
      <c r="K14" s="7">
        <v>67</v>
      </c>
      <c r="L14" s="7">
        <v>42</v>
      </c>
      <c r="M14" s="7" t="s">
        <v>37</v>
      </c>
      <c r="N14" s="7" t="s">
        <v>37</v>
      </c>
      <c r="O14" s="8" t="s">
        <v>70</v>
      </c>
      <c r="P14" s="9" t="s">
        <v>71</v>
      </c>
      <c r="Q14" s="10" t="s">
        <v>72</v>
      </c>
      <c r="R14" s="14" t="s">
        <v>129</v>
      </c>
      <c r="S14" s="12" t="s">
        <v>74</v>
      </c>
      <c r="T14" s="16"/>
      <c r="U14" s="12" t="s">
        <v>75</v>
      </c>
      <c r="V14" s="21" t="s">
        <v>99</v>
      </c>
      <c r="W14" s="12" t="s">
        <v>77</v>
      </c>
      <c r="X14" s="21"/>
      <c r="Y14" s="12" t="s">
        <v>78</v>
      </c>
      <c r="Z14" s="21" t="s">
        <v>49</v>
      </c>
      <c r="AA14" s="20" t="s">
        <v>130</v>
      </c>
      <c r="AB14" s="2" t="s">
        <v>81</v>
      </c>
      <c r="AC14" s="16" t="s">
        <v>52</v>
      </c>
      <c r="AD14" s="17">
        <v>45540</v>
      </c>
      <c r="AE14" s="16" t="s">
        <v>63</v>
      </c>
      <c r="AF14" s="16" t="s">
        <v>54</v>
      </c>
      <c r="AG14" s="18" t="s">
        <v>131</v>
      </c>
      <c r="AH14" s="19">
        <v>45524</v>
      </c>
      <c r="AI14" s="18" t="s">
        <v>83</v>
      </c>
    </row>
    <row r="15" spans="1:35" ht="63">
      <c r="A15" s="2" t="s">
        <v>126</v>
      </c>
      <c r="B15" s="2" t="s">
        <v>127</v>
      </c>
      <c r="C15" s="2" t="s">
        <v>37</v>
      </c>
      <c r="D15" s="3">
        <v>815209186</v>
      </c>
      <c r="E15" s="3" t="s">
        <v>37</v>
      </c>
      <c r="F15" s="2" t="s">
        <v>132</v>
      </c>
      <c r="G15" s="4">
        <v>19229</v>
      </c>
      <c r="H15" s="5">
        <v>45482</v>
      </c>
      <c r="I15" s="5">
        <v>45482</v>
      </c>
      <c r="J15" s="6">
        <v>605</v>
      </c>
      <c r="K15" s="7">
        <v>59</v>
      </c>
      <c r="L15" s="7">
        <v>34</v>
      </c>
      <c r="M15" s="7" t="s">
        <v>37</v>
      </c>
      <c r="N15" s="7" t="s">
        <v>37</v>
      </c>
      <c r="O15" s="8" t="s">
        <v>133</v>
      </c>
      <c r="P15" s="9" t="s">
        <v>134</v>
      </c>
      <c r="Q15" s="10" t="s">
        <v>135</v>
      </c>
      <c r="R15" s="16" t="s">
        <v>136</v>
      </c>
      <c r="S15" s="12" t="s">
        <v>74</v>
      </c>
      <c r="T15" s="16"/>
      <c r="U15" s="12" t="s">
        <v>77</v>
      </c>
      <c r="V15" s="21">
        <v>8162024</v>
      </c>
      <c r="W15" s="12" t="s">
        <v>78</v>
      </c>
      <c r="X15" s="21" t="s">
        <v>137</v>
      </c>
      <c r="Y15" s="12">
        <v>0</v>
      </c>
      <c r="Z15" s="21"/>
      <c r="AA15" s="15" t="s">
        <v>138</v>
      </c>
      <c r="AB15" s="2" t="s">
        <v>139</v>
      </c>
      <c r="AC15" s="16" t="s">
        <v>52</v>
      </c>
      <c r="AD15" s="17">
        <v>45555</v>
      </c>
      <c r="AE15" s="16" t="s">
        <v>63</v>
      </c>
      <c r="AF15" s="16" t="s">
        <v>54</v>
      </c>
      <c r="AG15" s="18" t="s">
        <v>131</v>
      </c>
      <c r="AH15" s="19">
        <v>45524</v>
      </c>
      <c r="AI15" s="18" t="s">
        <v>65</v>
      </c>
    </row>
    <row r="16" spans="1:35" ht="66">
      <c r="A16" s="2" t="s">
        <v>126</v>
      </c>
      <c r="B16" s="2" t="s">
        <v>127</v>
      </c>
      <c r="C16" s="2" t="s">
        <v>37</v>
      </c>
      <c r="D16" s="3">
        <v>230965479201</v>
      </c>
      <c r="E16" s="3" t="s">
        <v>37</v>
      </c>
      <c r="F16" s="2" t="s">
        <v>140</v>
      </c>
      <c r="G16" s="4">
        <v>22342</v>
      </c>
      <c r="H16" s="5">
        <v>45427</v>
      </c>
      <c r="I16" s="5">
        <v>45447</v>
      </c>
      <c r="J16" s="6">
        <v>1841</v>
      </c>
      <c r="K16" s="7">
        <v>114</v>
      </c>
      <c r="L16" s="7">
        <v>89</v>
      </c>
      <c r="M16" s="7" t="s">
        <v>37</v>
      </c>
      <c r="N16" s="7" t="s">
        <v>37</v>
      </c>
      <c r="O16" s="8" t="s">
        <v>133</v>
      </c>
      <c r="P16" s="9" t="s">
        <v>134</v>
      </c>
      <c r="Q16" s="10" t="s">
        <v>135</v>
      </c>
      <c r="R16" s="16" t="s">
        <v>141</v>
      </c>
      <c r="S16" s="12" t="s">
        <v>74</v>
      </c>
      <c r="T16" s="16"/>
      <c r="U16" s="12" t="s">
        <v>77</v>
      </c>
      <c r="V16" s="21" t="s">
        <v>142</v>
      </c>
      <c r="W16" s="12" t="s">
        <v>78</v>
      </c>
      <c r="X16" s="21" t="s">
        <v>143</v>
      </c>
      <c r="Y16" s="12">
        <v>0</v>
      </c>
      <c r="Z16" s="21"/>
      <c r="AA16" s="15" t="s">
        <v>144</v>
      </c>
      <c r="AB16" s="2" t="s">
        <v>139</v>
      </c>
      <c r="AC16" s="16" t="s">
        <v>52</v>
      </c>
      <c r="AD16" s="17">
        <v>45540</v>
      </c>
      <c r="AE16" s="16" t="s">
        <v>63</v>
      </c>
      <c r="AF16" s="16" t="s">
        <v>54</v>
      </c>
      <c r="AG16" s="18" t="s">
        <v>64</v>
      </c>
      <c r="AH16" s="19">
        <v>45539</v>
      </c>
      <c r="AI16" s="18" t="s">
        <v>145</v>
      </c>
    </row>
    <row r="17" spans="1:35" ht="409.5">
      <c r="A17" s="2" t="s">
        <v>126</v>
      </c>
      <c r="B17" s="2" t="s">
        <v>127</v>
      </c>
      <c r="C17" s="2" t="s">
        <v>37</v>
      </c>
      <c r="D17" s="3">
        <v>123097294401</v>
      </c>
      <c r="E17" s="3" t="s">
        <v>37</v>
      </c>
      <c r="F17" s="2" t="s">
        <v>146</v>
      </c>
      <c r="G17" s="4">
        <v>31028</v>
      </c>
      <c r="H17" s="5">
        <v>45488</v>
      </c>
      <c r="I17" s="5">
        <v>45488</v>
      </c>
      <c r="J17" s="6">
        <v>1715</v>
      </c>
      <c r="K17" s="7">
        <v>53</v>
      </c>
      <c r="L17" s="7">
        <v>28</v>
      </c>
      <c r="M17" s="7" t="s">
        <v>37</v>
      </c>
      <c r="N17" s="7" t="s">
        <v>37</v>
      </c>
      <c r="O17" s="8" t="s">
        <v>40</v>
      </c>
      <c r="P17" s="9" t="s">
        <v>41</v>
      </c>
      <c r="Q17" s="10" t="s">
        <v>42</v>
      </c>
      <c r="R17" s="11">
        <v>1102.4000000000001</v>
      </c>
      <c r="S17" s="12" t="s">
        <v>43</v>
      </c>
      <c r="T17" s="17">
        <v>45496</v>
      </c>
      <c r="U17" s="12" t="s">
        <v>45</v>
      </c>
      <c r="V17" s="21">
        <v>70191172</v>
      </c>
      <c r="W17" s="12" t="s">
        <v>46</v>
      </c>
      <c r="X17" s="21" t="s">
        <v>47</v>
      </c>
      <c r="Y17" s="12" t="s">
        <v>48</v>
      </c>
      <c r="Z17" s="21" t="s">
        <v>147</v>
      </c>
      <c r="AA17" s="20" t="s">
        <v>148</v>
      </c>
      <c r="AB17" s="2" t="s">
        <v>51</v>
      </c>
      <c r="AC17" s="16" t="s">
        <v>52</v>
      </c>
      <c r="AD17" s="17">
        <v>45540</v>
      </c>
      <c r="AE17" s="16" t="s">
        <v>63</v>
      </c>
      <c r="AF17" s="16" t="s">
        <v>54</v>
      </c>
      <c r="AG17" s="19" t="s">
        <v>131</v>
      </c>
      <c r="AH17" s="19">
        <v>45540</v>
      </c>
      <c r="AI17" s="18" t="s">
        <v>93</v>
      </c>
    </row>
    <row r="18" spans="1:35" ht="84">
      <c r="A18" s="2" t="s">
        <v>149</v>
      </c>
      <c r="B18" s="2" t="s">
        <v>150</v>
      </c>
      <c r="C18" s="2" t="s">
        <v>37</v>
      </c>
      <c r="D18" s="3">
        <v>995075902</v>
      </c>
      <c r="E18" s="3" t="s">
        <v>37</v>
      </c>
      <c r="F18" s="2" t="s">
        <v>151</v>
      </c>
      <c r="G18" s="4">
        <v>23431</v>
      </c>
      <c r="H18" s="5">
        <v>45475</v>
      </c>
      <c r="I18" s="5">
        <v>45475</v>
      </c>
      <c r="J18" s="6">
        <v>366</v>
      </c>
      <c r="K18" s="7">
        <v>66</v>
      </c>
      <c r="L18" s="7">
        <v>41</v>
      </c>
      <c r="M18" s="7" t="s">
        <v>37</v>
      </c>
      <c r="N18" s="7" t="s">
        <v>37</v>
      </c>
      <c r="O18" s="8" t="s">
        <v>70</v>
      </c>
      <c r="P18" s="9" t="s">
        <v>71</v>
      </c>
      <c r="Q18" s="10" t="s">
        <v>72</v>
      </c>
      <c r="R18" s="16" t="s">
        <v>152</v>
      </c>
      <c r="S18" s="12" t="s">
        <v>74</v>
      </c>
      <c r="T18" s="16"/>
      <c r="U18" s="12" t="s">
        <v>75</v>
      </c>
      <c r="V18" s="21" t="s">
        <v>99</v>
      </c>
      <c r="W18" s="12" t="s">
        <v>77</v>
      </c>
      <c r="X18" s="21"/>
      <c r="Y18" s="12" t="s">
        <v>78</v>
      </c>
      <c r="Z18" s="21" t="s">
        <v>49</v>
      </c>
      <c r="AA18" s="15" t="s">
        <v>153</v>
      </c>
      <c r="AB18" s="2" t="s">
        <v>81</v>
      </c>
      <c r="AC18" s="16" t="s">
        <v>52</v>
      </c>
      <c r="AD18" s="17">
        <v>45540</v>
      </c>
      <c r="AE18" s="16" t="s">
        <v>63</v>
      </c>
      <c r="AF18" s="16" t="s">
        <v>54</v>
      </c>
      <c r="AG18" s="19" t="s">
        <v>131</v>
      </c>
      <c r="AH18" s="19">
        <v>45524</v>
      </c>
      <c r="AI18" s="18" t="s">
        <v>83</v>
      </c>
    </row>
    <row r="19" spans="1:35" ht="84">
      <c r="A19" s="2" t="s">
        <v>149</v>
      </c>
      <c r="B19" s="2" t="s">
        <v>150</v>
      </c>
      <c r="C19" s="2" t="s">
        <v>37</v>
      </c>
      <c r="D19" s="3">
        <v>994025216</v>
      </c>
      <c r="E19" s="3" t="s">
        <v>37</v>
      </c>
      <c r="F19" s="2" t="s">
        <v>154</v>
      </c>
      <c r="G19" s="4">
        <v>15447</v>
      </c>
      <c r="H19" s="5">
        <v>45484</v>
      </c>
      <c r="I19" s="5">
        <v>45484</v>
      </c>
      <c r="J19" s="6">
        <v>366</v>
      </c>
      <c r="K19" s="7">
        <v>57</v>
      </c>
      <c r="L19" s="7">
        <v>32</v>
      </c>
      <c r="M19" s="7" t="s">
        <v>37</v>
      </c>
      <c r="N19" s="7" t="s">
        <v>37</v>
      </c>
      <c r="O19" s="8" t="s">
        <v>70</v>
      </c>
      <c r="P19" s="9" t="s">
        <v>71</v>
      </c>
      <c r="Q19" s="10" t="s">
        <v>72</v>
      </c>
      <c r="R19" s="16" t="s">
        <v>155</v>
      </c>
      <c r="S19" s="12" t="s">
        <v>74</v>
      </c>
      <c r="T19" s="16"/>
      <c r="U19" s="12" t="s">
        <v>75</v>
      </c>
      <c r="V19" s="21" t="s">
        <v>99</v>
      </c>
      <c r="W19" s="12" t="s">
        <v>77</v>
      </c>
      <c r="X19" s="21"/>
      <c r="Y19" s="12" t="s">
        <v>78</v>
      </c>
      <c r="Z19" s="21" t="s">
        <v>49</v>
      </c>
      <c r="AA19" s="15" t="s">
        <v>156</v>
      </c>
      <c r="AB19" s="2" t="s">
        <v>81</v>
      </c>
      <c r="AC19" s="16" t="s">
        <v>52</v>
      </c>
      <c r="AD19" s="17">
        <v>45542</v>
      </c>
      <c r="AE19" s="16" t="s">
        <v>63</v>
      </c>
      <c r="AF19" s="16" t="s">
        <v>54</v>
      </c>
      <c r="AG19" s="18" t="s">
        <v>131</v>
      </c>
      <c r="AH19" s="19">
        <v>45526</v>
      </c>
      <c r="AI19" s="18" t="s">
        <v>83</v>
      </c>
    </row>
    <row r="20" spans="1:35" ht="66">
      <c r="A20" s="2" t="s">
        <v>157</v>
      </c>
      <c r="B20" s="2" t="s">
        <v>158</v>
      </c>
      <c r="C20" s="2" t="s">
        <v>37</v>
      </c>
      <c r="D20" s="3">
        <v>8038601782</v>
      </c>
      <c r="E20" s="3" t="s">
        <v>37</v>
      </c>
      <c r="F20" s="2" t="s">
        <v>159</v>
      </c>
      <c r="G20" s="4">
        <v>22869</v>
      </c>
      <c r="H20" s="5">
        <v>45483</v>
      </c>
      <c r="I20" s="5">
        <v>45497</v>
      </c>
      <c r="J20" s="6">
        <v>366</v>
      </c>
      <c r="K20" s="7">
        <v>58</v>
      </c>
      <c r="L20" s="7">
        <v>33</v>
      </c>
      <c r="M20" s="7" t="s">
        <v>37</v>
      </c>
      <c r="N20" s="7" t="s">
        <v>37</v>
      </c>
      <c r="O20" s="8" t="s">
        <v>40</v>
      </c>
      <c r="P20" s="9" t="s">
        <v>41</v>
      </c>
      <c r="Q20" s="10" t="s">
        <v>42</v>
      </c>
      <c r="R20" s="11">
        <v>244</v>
      </c>
      <c r="S20" s="12" t="s">
        <v>43</v>
      </c>
      <c r="T20" s="13" t="s">
        <v>160</v>
      </c>
      <c r="U20" s="12" t="s">
        <v>45</v>
      </c>
      <c r="V20" s="21">
        <v>9916748</v>
      </c>
      <c r="W20" s="12" t="s">
        <v>46</v>
      </c>
      <c r="X20" s="21" t="s">
        <v>60</v>
      </c>
      <c r="Y20" s="12" t="s">
        <v>48</v>
      </c>
      <c r="Z20" s="21" t="s">
        <v>161</v>
      </c>
      <c r="AA20" s="15" t="s">
        <v>162</v>
      </c>
      <c r="AB20" s="2" t="s">
        <v>51</v>
      </c>
      <c r="AC20" s="16" t="s">
        <v>52</v>
      </c>
      <c r="AD20" s="17">
        <v>45554</v>
      </c>
      <c r="AE20" s="16" t="s">
        <v>53</v>
      </c>
      <c r="AF20" s="16" t="s">
        <v>54</v>
      </c>
      <c r="AG20" s="18" t="s">
        <v>55</v>
      </c>
      <c r="AH20" s="19">
        <v>45523</v>
      </c>
      <c r="AI20" s="18" t="s">
        <v>65</v>
      </c>
    </row>
    <row r="21" spans="1:35" ht="63">
      <c r="A21" s="2" t="s">
        <v>163</v>
      </c>
      <c r="B21" s="2" t="s">
        <v>164</v>
      </c>
      <c r="C21" s="2" t="s">
        <v>37</v>
      </c>
      <c r="D21" s="3">
        <v>987761115</v>
      </c>
      <c r="E21" s="3" t="s">
        <v>37</v>
      </c>
      <c r="F21" s="2" t="s">
        <v>165</v>
      </c>
      <c r="G21" s="4">
        <v>25029</v>
      </c>
      <c r="H21" s="5">
        <v>45489</v>
      </c>
      <c r="I21" s="5">
        <v>45489</v>
      </c>
      <c r="J21" s="6">
        <v>43</v>
      </c>
      <c r="K21" s="7">
        <v>52</v>
      </c>
      <c r="L21" s="7">
        <v>27</v>
      </c>
      <c r="M21" s="7" t="s">
        <v>37</v>
      </c>
      <c r="N21" s="7" t="s">
        <v>37</v>
      </c>
      <c r="O21" s="8" t="s">
        <v>40</v>
      </c>
      <c r="P21" s="9" t="s">
        <v>41</v>
      </c>
      <c r="Q21" s="10" t="s">
        <v>42</v>
      </c>
      <c r="R21" s="16"/>
      <c r="S21" s="12" t="s">
        <v>43</v>
      </c>
      <c r="T21" s="16"/>
      <c r="U21" s="12" t="s">
        <v>45</v>
      </c>
      <c r="V21" s="21"/>
      <c r="W21" s="12" t="s">
        <v>46</v>
      </c>
      <c r="X21" s="21"/>
      <c r="Y21" s="12" t="s">
        <v>48</v>
      </c>
      <c r="Z21" s="21"/>
      <c r="AA21" s="15" t="s">
        <v>166</v>
      </c>
      <c r="AB21" s="2" t="s">
        <v>51</v>
      </c>
      <c r="AC21" s="16" t="s">
        <v>52</v>
      </c>
      <c r="AD21" s="17">
        <f>AH21</f>
        <v>45523</v>
      </c>
      <c r="AE21" s="16" t="s">
        <v>53</v>
      </c>
      <c r="AF21" s="16" t="s">
        <v>54</v>
      </c>
      <c r="AG21" s="18" t="s">
        <v>55</v>
      </c>
      <c r="AH21" s="19">
        <v>45523</v>
      </c>
      <c r="AI21" s="18" t="s">
        <v>56</v>
      </c>
    </row>
    <row r="22" spans="1:35" ht="409.5">
      <c r="A22" s="2" t="s">
        <v>167</v>
      </c>
      <c r="B22" s="2" t="s">
        <v>168</v>
      </c>
      <c r="C22" s="2" t="s">
        <v>37</v>
      </c>
      <c r="D22" s="3" t="s">
        <v>169</v>
      </c>
      <c r="E22" s="3" t="s">
        <v>37</v>
      </c>
      <c r="F22" s="2" t="s">
        <v>170</v>
      </c>
      <c r="G22" s="4">
        <v>16602</v>
      </c>
      <c r="H22" s="5">
        <v>45413</v>
      </c>
      <c r="I22" s="5">
        <v>45413</v>
      </c>
      <c r="J22" s="6">
        <v>845</v>
      </c>
      <c r="K22" s="7">
        <v>128</v>
      </c>
      <c r="L22" s="7">
        <v>103</v>
      </c>
      <c r="M22" s="7" t="s">
        <v>37</v>
      </c>
      <c r="N22" s="7" t="s">
        <v>37</v>
      </c>
      <c r="O22" s="8" t="s">
        <v>133</v>
      </c>
      <c r="P22" s="9" t="s">
        <v>134</v>
      </c>
      <c r="Q22" s="10" t="s">
        <v>135</v>
      </c>
      <c r="R22" s="16" t="s">
        <v>104</v>
      </c>
      <c r="S22" s="12" t="s">
        <v>74</v>
      </c>
      <c r="T22" s="16"/>
      <c r="U22" s="12" t="s">
        <v>77</v>
      </c>
      <c r="V22" s="21">
        <v>202403249888</v>
      </c>
      <c r="W22" s="12" t="s">
        <v>78</v>
      </c>
      <c r="X22" s="21" t="s">
        <v>171</v>
      </c>
      <c r="Y22" s="12">
        <v>0</v>
      </c>
      <c r="Z22" s="21"/>
      <c r="AA22" s="20" t="s">
        <v>172</v>
      </c>
      <c r="AB22" s="2" t="s">
        <v>139</v>
      </c>
      <c r="AC22" s="16" t="s">
        <v>52</v>
      </c>
      <c r="AD22" s="17">
        <v>45540</v>
      </c>
      <c r="AE22" s="16" t="s">
        <v>53</v>
      </c>
      <c r="AF22" s="16" t="s">
        <v>54</v>
      </c>
      <c r="AG22" s="18" t="s">
        <v>64</v>
      </c>
      <c r="AH22" s="19">
        <v>45533</v>
      </c>
      <c r="AI22" s="18" t="s">
        <v>65</v>
      </c>
    </row>
    <row r="23" spans="1:35" ht="409.5">
      <c r="A23" s="2" t="s">
        <v>173</v>
      </c>
      <c r="B23" s="2" t="s">
        <v>174</v>
      </c>
      <c r="C23" s="2" t="s">
        <v>37</v>
      </c>
      <c r="D23" s="3" t="s">
        <v>175</v>
      </c>
      <c r="E23" s="3" t="s">
        <v>37</v>
      </c>
      <c r="F23" s="2" t="s">
        <v>176</v>
      </c>
      <c r="G23" s="4">
        <v>19546</v>
      </c>
      <c r="H23" s="5">
        <v>45406</v>
      </c>
      <c r="I23" s="5">
        <v>45419</v>
      </c>
      <c r="J23" s="6">
        <v>1485</v>
      </c>
      <c r="K23" s="7">
        <v>135</v>
      </c>
      <c r="L23" s="7">
        <v>110</v>
      </c>
      <c r="M23" s="7" t="s">
        <v>37</v>
      </c>
      <c r="N23" s="7" t="s">
        <v>37</v>
      </c>
      <c r="O23" s="8" t="s">
        <v>40</v>
      </c>
      <c r="P23" s="9" t="s">
        <v>41</v>
      </c>
      <c r="Q23" s="10" t="s">
        <v>42</v>
      </c>
      <c r="R23" s="11">
        <v>484.5</v>
      </c>
      <c r="S23" s="12" t="s">
        <v>43</v>
      </c>
      <c r="T23" s="17">
        <v>45518</v>
      </c>
      <c r="U23" s="12" t="s">
        <v>45</v>
      </c>
      <c r="V23" s="21">
        <v>107846757</v>
      </c>
      <c r="W23" s="12" t="s">
        <v>46</v>
      </c>
      <c r="X23" s="21" t="s">
        <v>47</v>
      </c>
      <c r="Y23" s="12" t="s">
        <v>48</v>
      </c>
      <c r="Z23" s="21" t="s">
        <v>177</v>
      </c>
      <c r="AA23" s="20" t="s">
        <v>178</v>
      </c>
      <c r="AB23" s="2" t="s">
        <v>51</v>
      </c>
      <c r="AC23" s="16" t="s">
        <v>52</v>
      </c>
      <c r="AD23" s="17">
        <v>45547</v>
      </c>
      <c r="AE23" s="16" t="s">
        <v>179</v>
      </c>
      <c r="AF23" s="16" t="s">
        <v>54</v>
      </c>
      <c r="AG23" s="18" t="s">
        <v>180</v>
      </c>
      <c r="AH23" s="19">
        <v>45527</v>
      </c>
      <c r="AI23" s="18" t="s">
        <v>145</v>
      </c>
    </row>
    <row r="24" spans="1:35" ht="99">
      <c r="A24" s="2" t="s">
        <v>181</v>
      </c>
      <c r="B24" s="2" t="s">
        <v>182</v>
      </c>
      <c r="C24" s="2" t="s">
        <v>37</v>
      </c>
      <c r="D24" s="3">
        <v>942543692</v>
      </c>
      <c r="E24" s="3" t="s">
        <v>37</v>
      </c>
      <c r="F24" s="2" t="s">
        <v>183</v>
      </c>
      <c r="G24" s="4">
        <v>29831</v>
      </c>
      <c r="H24" s="5">
        <v>45455</v>
      </c>
      <c r="I24" s="5">
        <v>45455</v>
      </c>
      <c r="J24" s="6">
        <v>2120</v>
      </c>
      <c r="K24" s="7">
        <v>86</v>
      </c>
      <c r="L24" s="7">
        <v>61</v>
      </c>
      <c r="M24" s="7" t="s">
        <v>37</v>
      </c>
      <c r="N24" s="7" t="s">
        <v>37</v>
      </c>
      <c r="O24" s="8" t="s">
        <v>184</v>
      </c>
      <c r="P24" s="9" t="s">
        <v>185</v>
      </c>
      <c r="Q24" s="10" t="s">
        <v>186</v>
      </c>
      <c r="R24" s="16">
        <v>45444</v>
      </c>
      <c r="S24" s="12" t="s">
        <v>187</v>
      </c>
      <c r="T24" s="16" t="s">
        <v>188</v>
      </c>
      <c r="U24" s="12" t="s">
        <v>189</v>
      </c>
      <c r="V24" s="21" t="s">
        <v>190</v>
      </c>
      <c r="W24" s="12" t="s">
        <v>77</v>
      </c>
      <c r="X24" s="21">
        <v>240736012389</v>
      </c>
      <c r="Y24" s="12" t="s">
        <v>78</v>
      </c>
      <c r="Z24" s="21" t="s">
        <v>191</v>
      </c>
      <c r="AA24" s="15" t="s">
        <v>192</v>
      </c>
      <c r="AB24" s="2" t="s">
        <v>91</v>
      </c>
      <c r="AC24" s="16" t="s">
        <v>52</v>
      </c>
      <c r="AD24" s="17">
        <v>45556</v>
      </c>
      <c r="AE24" s="16" t="s">
        <v>53</v>
      </c>
      <c r="AF24" s="16" t="s">
        <v>54</v>
      </c>
      <c r="AG24" s="18" t="s">
        <v>55</v>
      </c>
      <c r="AH24" s="19">
        <v>45525</v>
      </c>
      <c r="AI24" s="18" t="s">
        <v>65</v>
      </c>
    </row>
    <row r="25" spans="1:35" ht="63">
      <c r="A25" s="2" t="s">
        <v>193</v>
      </c>
      <c r="B25" s="2" t="s">
        <v>182</v>
      </c>
      <c r="C25" s="2" t="s">
        <v>37</v>
      </c>
      <c r="D25" s="3">
        <v>558725541</v>
      </c>
      <c r="E25" s="3" t="s">
        <v>37</v>
      </c>
      <c r="F25" s="2" t="s">
        <v>194</v>
      </c>
      <c r="G25" s="4">
        <v>20617</v>
      </c>
      <c r="H25" s="5">
        <v>45489</v>
      </c>
      <c r="I25" s="5">
        <v>45489</v>
      </c>
      <c r="J25" s="6">
        <v>169</v>
      </c>
      <c r="K25" s="7">
        <v>52</v>
      </c>
      <c r="L25" s="7">
        <v>27</v>
      </c>
      <c r="M25" s="7" t="s">
        <v>37</v>
      </c>
      <c r="N25" s="7" t="s">
        <v>37</v>
      </c>
      <c r="O25" s="8" t="s">
        <v>40</v>
      </c>
      <c r="P25" s="9" t="s">
        <v>41</v>
      </c>
      <c r="Q25" s="10" t="s">
        <v>42</v>
      </c>
      <c r="R25" s="16"/>
      <c r="S25" s="12" t="s">
        <v>43</v>
      </c>
      <c r="T25" s="16"/>
      <c r="U25" s="12" t="s">
        <v>45</v>
      </c>
      <c r="V25" s="21"/>
      <c r="W25" s="12" t="s">
        <v>46</v>
      </c>
      <c r="X25" s="21"/>
      <c r="Y25" s="12" t="s">
        <v>48</v>
      </c>
      <c r="Z25" s="21"/>
      <c r="AA25" s="15" t="s">
        <v>166</v>
      </c>
      <c r="AB25" s="2" t="s">
        <v>51</v>
      </c>
      <c r="AC25" s="16" t="s">
        <v>52</v>
      </c>
      <c r="AD25" s="17">
        <f>AH25</f>
        <v>45523</v>
      </c>
      <c r="AE25" s="16" t="s">
        <v>53</v>
      </c>
      <c r="AF25" s="16" t="s">
        <v>54</v>
      </c>
      <c r="AG25" s="18" t="s">
        <v>55</v>
      </c>
      <c r="AH25" s="19">
        <v>45523</v>
      </c>
      <c r="AI25" s="18" t="s">
        <v>56</v>
      </c>
    </row>
    <row r="26" spans="1:35" ht="409.5">
      <c r="A26" s="2" t="s">
        <v>195</v>
      </c>
      <c r="B26" s="2" t="s">
        <v>196</v>
      </c>
      <c r="C26" s="2" t="s">
        <v>37</v>
      </c>
      <c r="D26" s="3">
        <v>1145385</v>
      </c>
      <c r="E26" s="3" t="s">
        <v>37</v>
      </c>
      <c r="F26" s="2" t="s">
        <v>197</v>
      </c>
      <c r="G26" s="4">
        <v>21781</v>
      </c>
      <c r="H26" s="5">
        <v>45468</v>
      </c>
      <c r="I26" s="5">
        <v>45468</v>
      </c>
      <c r="J26" s="6">
        <v>169</v>
      </c>
      <c r="K26" s="7">
        <v>73</v>
      </c>
      <c r="L26" s="7">
        <v>48</v>
      </c>
      <c r="M26" s="7" t="s">
        <v>37</v>
      </c>
      <c r="N26" s="7" t="s">
        <v>37</v>
      </c>
      <c r="O26" s="8" t="s">
        <v>70</v>
      </c>
      <c r="P26" s="9" t="s">
        <v>71</v>
      </c>
      <c r="Q26" s="10" t="s">
        <v>72</v>
      </c>
      <c r="R26" s="16" t="s">
        <v>198</v>
      </c>
      <c r="S26" s="12" t="s">
        <v>74</v>
      </c>
      <c r="T26" s="16" t="s">
        <v>199</v>
      </c>
      <c r="U26" s="12" t="s">
        <v>75</v>
      </c>
      <c r="V26" s="21" t="s">
        <v>200</v>
      </c>
      <c r="W26" s="12" t="s">
        <v>77</v>
      </c>
      <c r="X26" s="21">
        <v>52555</v>
      </c>
      <c r="Y26" s="12" t="s">
        <v>78</v>
      </c>
      <c r="Z26" s="21" t="s">
        <v>201</v>
      </c>
      <c r="AA26" s="20" t="s">
        <v>202</v>
      </c>
      <c r="AB26" s="2" t="s">
        <v>81</v>
      </c>
      <c r="AC26" s="16" t="s">
        <v>52</v>
      </c>
      <c r="AD26" s="17">
        <v>45543</v>
      </c>
      <c r="AE26" s="16" t="s">
        <v>63</v>
      </c>
      <c r="AF26" s="16" t="s">
        <v>54</v>
      </c>
      <c r="AG26" s="18" t="s">
        <v>82</v>
      </c>
      <c r="AH26" s="19">
        <v>45527</v>
      </c>
      <c r="AI26" s="18" t="s">
        <v>83</v>
      </c>
    </row>
    <row r="27" spans="1:35" ht="409.5">
      <c r="A27" s="2" t="s">
        <v>203</v>
      </c>
      <c r="B27" s="2" t="s">
        <v>196</v>
      </c>
      <c r="C27" s="2" t="s">
        <v>37</v>
      </c>
      <c r="D27" s="3" t="s">
        <v>204</v>
      </c>
      <c r="E27" s="3" t="s">
        <v>37</v>
      </c>
      <c r="F27" s="2" t="s">
        <v>205</v>
      </c>
      <c r="G27" s="4">
        <v>17521</v>
      </c>
      <c r="H27" s="5">
        <v>45441</v>
      </c>
      <c r="I27" s="5">
        <v>45441</v>
      </c>
      <c r="J27" s="6">
        <v>1330</v>
      </c>
      <c r="K27" s="7">
        <v>100</v>
      </c>
      <c r="L27" s="7">
        <v>75</v>
      </c>
      <c r="M27" s="7" t="s">
        <v>37</v>
      </c>
      <c r="N27" s="7" t="s">
        <v>37</v>
      </c>
      <c r="O27" s="8" t="s">
        <v>206</v>
      </c>
      <c r="P27" s="9" t="s">
        <v>207</v>
      </c>
      <c r="Q27" s="10" t="s">
        <v>77</v>
      </c>
      <c r="R27" s="16">
        <v>52546</v>
      </c>
      <c r="S27" s="12" t="s">
        <v>78</v>
      </c>
      <c r="T27" s="16" t="s">
        <v>208</v>
      </c>
      <c r="U27" s="12">
        <v>0</v>
      </c>
      <c r="V27" s="21"/>
      <c r="W27" s="12">
        <v>0</v>
      </c>
      <c r="X27" s="21"/>
      <c r="Y27" s="12">
        <v>0</v>
      </c>
      <c r="Z27" s="21"/>
      <c r="AA27" s="20" t="s">
        <v>209</v>
      </c>
      <c r="AB27" s="2" t="s">
        <v>210</v>
      </c>
      <c r="AC27" s="16" t="s">
        <v>52</v>
      </c>
      <c r="AD27" s="17">
        <v>45549</v>
      </c>
      <c r="AE27" s="16" t="s">
        <v>63</v>
      </c>
      <c r="AF27" s="16" t="s">
        <v>54</v>
      </c>
      <c r="AG27" s="18" t="s">
        <v>92</v>
      </c>
      <c r="AH27" s="19">
        <v>45526</v>
      </c>
      <c r="AI27" s="18" t="s">
        <v>145</v>
      </c>
    </row>
    <row r="28" spans="1:35" ht="63">
      <c r="A28" s="2" t="s">
        <v>211</v>
      </c>
      <c r="B28" s="2" t="s">
        <v>212</v>
      </c>
      <c r="C28" s="2" t="s">
        <v>37</v>
      </c>
      <c r="D28" s="3">
        <v>563319039</v>
      </c>
      <c r="E28" s="3" t="s">
        <v>37</v>
      </c>
      <c r="F28" s="2" t="s">
        <v>213</v>
      </c>
      <c r="G28" s="4">
        <v>21098</v>
      </c>
      <c r="H28" s="5">
        <v>45455</v>
      </c>
      <c r="I28" s="5">
        <v>45455</v>
      </c>
      <c r="J28" s="6">
        <v>1475</v>
      </c>
      <c r="K28" s="7">
        <v>86</v>
      </c>
      <c r="L28" s="7">
        <v>61</v>
      </c>
      <c r="M28" s="7" t="s">
        <v>37</v>
      </c>
      <c r="N28" s="7" t="s">
        <v>37</v>
      </c>
      <c r="O28" s="8" t="s">
        <v>214</v>
      </c>
      <c r="P28" s="9" t="s">
        <v>215</v>
      </c>
      <c r="Q28" s="10" t="s">
        <v>42</v>
      </c>
      <c r="R28" s="16">
        <v>944</v>
      </c>
      <c r="S28" s="12" t="s">
        <v>43</v>
      </c>
      <c r="T28" s="16" t="s">
        <v>216</v>
      </c>
      <c r="U28" s="12" t="s">
        <v>217</v>
      </c>
      <c r="V28" s="21">
        <v>333778328</v>
      </c>
      <c r="W28" s="12" t="s">
        <v>46</v>
      </c>
      <c r="X28" s="21" t="s">
        <v>60</v>
      </c>
      <c r="Y28" s="12" t="s">
        <v>48</v>
      </c>
      <c r="Z28" s="21" t="s">
        <v>218</v>
      </c>
      <c r="AA28" s="15" t="s">
        <v>219</v>
      </c>
      <c r="AB28" s="2" t="s">
        <v>51</v>
      </c>
      <c r="AC28" s="16" t="s">
        <v>52</v>
      </c>
      <c r="AD28" s="17">
        <f>AH28</f>
        <v>45525</v>
      </c>
      <c r="AE28" s="16" t="s">
        <v>53</v>
      </c>
      <c r="AF28" s="16" t="s">
        <v>54</v>
      </c>
      <c r="AG28" s="18" t="s">
        <v>55</v>
      </c>
      <c r="AH28" s="19">
        <v>45525</v>
      </c>
      <c r="AI28" s="18" t="s">
        <v>56</v>
      </c>
    </row>
    <row r="29" spans="1:35" ht="409.5">
      <c r="A29" s="2" t="s">
        <v>220</v>
      </c>
      <c r="B29" s="2" t="s">
        <v>221</v>
      </c>
      <c r="C29" s="2" t="s">
        <v>37</v>
      </c>
      <c r="D29" s="3">
        <v>554899846</v>
      </c>
      <c r="E29" s="3" t="s">
        <v>37</v>
      </c>
      <c r="F29" s="2" t="s">
        <v>222</v>
      </c>
      <c r="G29" s="4">
        <v>25658</v>
      </c>
      <c r="H29" s="5">
        <v>45406</v>
      </c>
      <c r="I29" s="5">
        <v>45420</v>
      </c>
      <c r="J29" s="6">
        <v>1841</v>
      </c>
      <c r="K29" s="7">
        <v>135</v>
      </c>
      <c r="L29" s="7">
        <v>110</v>
      </c>
      <c r="M29" s="7" t="s">
        <v>37</v>
      </c>
      <c r="N29" s="7" t="s">
        <v>37</v>
      </c>
      <c r="O29" s="8" t="s">
        <v>223</v>
      </c>
      <c r="P29" s="9" t="s">
        <v>224</v>
      </c>
      <c r="Q29" s="10" t="s">
        <v>77</v>
      </c>
      <c r="R29" s="16">
        <v>207296273</v>
      </c>
      <c r="S29" s="12" t="s">
        <v>78</v>
      </c>
      <c r="T29" s="16" t="s">
        <v>225</v>
      </c>
      <c r="U29" s="12">
        <v>0</v>
      </c>
      <c r="V29" s="21"/>
      <c r="W29" s="12">
        <v>0</v>
      </c>
      <c r="X29" s="21"/>
      <c r="Y29" s="12">
        <v>0</v>
      </c>
      <c r="Z29" s="21"/>
      <c r="AA29" s="20" t="s">
        <v>226</v>
      </c>
      <c r="AB29" s="2" t="s">
        <v>227</v>
      </c>
      <c r="AC29" s="16" t="s">
        <v>52</v>
      </c>
      <c r="AD29" s="17">
        <v>45539</v>
      </c>
      <c r="AE29" s="16" t="s">
        <v>63</v>
      </c>
      <c r="AF29" s="16" t="s">
        <v>54</v>
      </c>
      <c r="AG29" s="18" t="s">
        <v>82</v>
      </c>
      <c r="AH29" s="19">
        <v>45539</v>
      </c>
      <c r="AI29" s="18" t="s">
        <v>56</v>
      </c>
    </row>
    <row r="30" spans="1:35" ht="63">
      <c r="A30" s="2" t="s">
        <v>220</v>
      </c>
      <c r="B30" s="2" t="s">
        <v>221</v>
      </c>
      <c r="C30" s="2" t="s">
        <v>37</v>
      </c>
      <c r="D30" s="3">
        <v>872746346</v>
      </c>
      <c r="E30" s="3" t="s">
        <v>37</v>
      </c>
      <c r="F30" s="2" t="s">
        <v>228</v>
      </c>
      <c r="G30" s="4">
        <v>23103</v>
      </c>
      <c r="H30" s="5">
        <v>45469</v>
      </c>
      <c r="I30" s="5">
        <v>45509</v>
      </c>
      <c r="J30" s="6">
        <v>169</v>
      </c>
      <c r="K30" s="7">
        <v>72</v>
      </c>
      <c r="L30" s="7">
        <v>47</v>
      </c>
      <c r="M30" s="7" t="s">
        <v>37</v>
      </c>
      <c r="N30" s="7" t="s">
        <v>37</v>
      </c>
      <c r="O30" s="8" t="s">
        <v>229</v>
      </c>
      <c r="P30" s="9" t="s">
        <v>230</v>
      </c>
      <c r="Q30" s="10" t="s">
        <v>42</v>
      </c>
      <c r="R30" s="11">
        <v>24</v>
      </c>
      <c r="S30" s="12" t="s">
        <v>43</v>
      </c>
      <c r="T30" s="13" t="s">
        <v>231</v>
      </c>
      <c r="U30" s="12" t="s">
        <v>232</v>
      </c>
      <c r="V30" s="21">
        <v>45630876</v>
      </c>
      <c r="W30" s="12" t="s">
        <v>46</v>
      </c>
      <c r="X30" s="21" t="s">
        <v>47</v>
      </c>
      <c r="Y30" s="12" t="s">
        <v>48</v>
      </c>
      <c r="Z30" s="21" t="s">
        <v>233</v>
      </c>
      <c r="AA30" s="15" t="s">
        <v>234</v>
      </c>
      <c r="AB30" s="2" t="s">
        <v>227</v>
      </c>
      <c r="AC30" s="16" t="s">
        <v>52</v>
      </c>
      <c r="AD30" s="17">
        <f>AH30</f>
        <v>45525</v>
      </c>
      <c r="AE30" s="16" t="s">
        <v>53</v>
      </c>
      <c r="AF30" s="16" t="s">
        <v>54</v>
      </c>
      <c r="AG30" s="18" t="s">
        <v>55</v>
      </c>
      <c r="AH30" s="19">
        <v>45525</v>
      </c>
      <c r="AI30" s="18" t="s">
        <v>93</v>
      </c>
    </row>
    <row r="31" spans="1:35" ht="409.5">
      <c r="A31" s="2" t="s">
        <v>220</v>
      </c>
      <c r="B31" s="2" t="s">
        <v>221</v>
      </c>
      <c r="C31" s="2" t="s">
        <v>37</v>
      </c>
      <c r="D31" s="3">
        <v>516924126</v>
      </c>
      <c r="E31" s="3" t="s">
        <v>37</v>
      </c>
      <c r="F31" s="2" t="s">
        <v>235</v>
      </c>
      <c r="G31" s="4">
        <v>19005</v>
      </c>
      <c r="H31" s="5">
        <v>45483</v>
      </c>
      <c r="I31" s="5">
        <v>45498</v>
      </c>
      <c r="J31" s="6">
        <v>169</v>
      </c>
      <c r="K31" s="7">
        <v>58</v>
      </c>
      <c r="L31" s="7">
        <v>33</v>
      </c>
      <c r="M31" s="7" t="s">
        <v>37</v>
      </c>
      <c r="N31" s="7" t="s">
        <v>37</v>
      </c>
      <c r="O31" s="8" t="s">
        <v>236</v>
      </c>
      <c r="P31" s="9" t="s">
        <v>237</v>
      </c>
      <c r="Q31" s="10" t="s">
        <v>42</v>
      </c>
      <c r="R31" s="22" t="s">
        <v>238</v>
      </c>
      <c r="S31" s="12" t="s">
        <v>43</v>
      </c>
      <c r="T31" s="23">
        <v>45506</v>
      </c>
      <c r="U31" s="12" t="s">
        <v>232</v>
      </c>
      <c r="V31" s="24">
        <v>45565552</v>
      </c>
      <c r="W31" s="12" t="s">
        <v>46</v>
      </c>
      <c r="X31" s="21" t="s">
        <v>47</v>
      </c>
      <c r="Y31" s="12" t="s">
        <v>48</v>
      </c>
      <c r="Z31" s="21" t="s">
        <v>239</v>
      </c>
      <c r="AA31" s="20" t="s">
        <v>240</v>
      </c>
      <c r="AB31" s="2" t="s">
        <v>227</v>
      </c>
      <c r="AC31" s="16" t="s">
        <v>52</v>
      </c>
      <c r="AD31" s="17">
        <v>45530</v>
      </c>
      <c r="AE31" s="16" t="s">
        <v>53</v>
      </c>
      <c r="AF31" s="16" t="s">
        <v>54</v>
      </c>
      <c r="AG31" s="18" t="s">
        <v>82</v>
      </c>
      <c r="AH31" s="19">
        <v>45539</v>
      </c>
      <c r="AI31" s="18" t="s">
        <v>241</v>
      </c>
    </row>
    <row r="32" spans="1:35" ht="63">
      <c r="A32" s="2" t="s">
        <v>242</v>
      </c>
      <c r="B32" s="2" t="s">
        <v>243</v>
      </c>
      <c r="C32" s="2" t="s">
        <v>37</v>
      </c>
      <c r="D32" s="3" t="s">
        <v>244</v>
      </c>
      <c r="E32" s="3" t="s">
        <v>37</v>
      </c>
      <c r="F32" s="2" t="s">
        <v>245</v>
      </c>
      <c r="G32" s="4">
        <v>24660</v>
      </c>
      <c r="H32" s="5">
        <v>45484</v>
      </c>
      <c r="I32" s="5">
        <v>45484</v>
      </c>
      <c r="J32" s="6">
        <v>1485</v>
      </c>
      <c r="K32" s="7">
        <v>57</v>
      </c>
      <c r="L32" s="7">
        <v>32</v>
      </c>
      <c r="M32" s="7" t="s">
        <v>37</v>
      </c>
      <c r="N32" s="7" t="s">
        <v>37</v>
      </c>
      <c r="O32" s="8" t="s">
        <v>246</v>
      </c>
      <c r="P32" s="9" t="s">
        <v>247</v>
      </c>
      <c r="Q32" s="10" t="s">
        <v>42</v>
      </c>
      <c r="R32" s="16" t="s">
        <v>248</v>
      </c>
      <c r="S32" s="12" t="s">
        <v>43</v>
      </c>
      <c r="T32" s="13" t="s">
        <v>249</v>
      </c>
      <c r="U32" s="12" t="s">
        <v>45</v>
      </c>
      <c r="V32" s="25">
        <v>14003877</v>
      </c>
      <c r="W32" s="12" t="s">
        <v>46</v>
      </c>
      <c r="X32" s="21" t="s">
        <v>250</v>
      </c>
      <c r="Y32" s="12" t="s">
        <v>48</v>
      </c>
      <c r="Z32" s="21" t="s">
        <v>49</v>
      </c>
      <c r="AA32" s="15" t="s">
        <v>251</v>
      </c>
      <c r="AB32" s="2" t="s">
        <v>51</v>
      </c>
      <c r="AC32" s="16" t="s">
        <v>52</v>
      </c>
      <c r="AD32" s="17">
        <v>45540</v>
      </c>
      <c r="AE32" s="16" t="s">
        <v>53</v>
      </c>
      <c r="AF32" s="16" t="s">
        <v>54</v>
      </c>
      <c r="AG32" s="18" t="s">
        <v>64</v>
      </c>
      <c r="AH32" s="19">
        <v>45539</v>
      </c>
      <c r="AI32" s="18" t="s">
        <v>56</v>
      </c>
    </row>
    <row r="33" spans="1:35" ht="409.5">
      <c r="A33" s="2" t="s">
        <v>242</v>
      </c>
      <c r="B33" s="2" t="s">
        <v>243</v>
      </c>
      <c r="C33" s="2" t="s">
        <v>37</v>
      </c>
      <c r="D33" s="3" t="s">
        <v>252</v>
      </c>
      <c r="E33" s="3" t="s">
        <v>37</v>
      </c>
      <c r="F33" s="2" t="s">
        <v>253</v>
      </c>
      <c r="G33" s="4">
        <v>40212</v>
      </c>
      <c r="H33" s="5">
        <v>45369</v>
      </c>
      <c r="I33" s="5">
        <v>45369</v>
      </c>
      <c r="J33" s="6">
        <v>1715</v>
      </c>
      <c r="K33" s="7">
        <v>172</v>
      </c>
      <c r="L33" s="7">
        <v>147</v>
      </c>
      <c r="M33" s="7" t="s">
        <v>37</v>
      </c>
      <c r="N33" s="7" t="s">
        <v>37</v>
      </c>
      <c r="O33" s="8" t="s">
        <v>254</v>
      </c>
      <c r="P33" s="9" t="s">
        <v>255</v>
      </c>
      <c r="Q33" s="10" t="s">
        <v>256</v>
      </c>
      <c r="R33" s="16">
        <v>45381</v>
      </c>
      <c r="S33" s="12" t="s">
        <v>257</v>
      </c>
      <c r="T33" s="16" t="s">
        <v>258</v>
      </c>
      <c r="U33" s="12" t="s">
        <v>259</v>
      </c>
      <c r="V33" s="21" t="s">
        <v>260</v>
      </c>
      <c r="W33" s="12" t="s">
        <v>77</v>
      </c>
      <c r="X33" s="21" t="s">
        <v>89</v>
      </c>
      <c r="Y33" s="12" t="s">
        <v>78</v>
      </c>
      <c r="Z33" s="21" t="s">
        <v>89</v>
      </c>
      <c r="AA33" s="20" t="s">
        <v>261</v>
      </c>
      <c r="AB33" s="2" t="s">
        <v>91</v>
      </c>
      <c r="AC33" s="16" t="s">
        <v>52</v>
      </c>
      <c r="AD33" s="17">
        <v>45540</v>
      </c>
      <c r="AE33" s="16" t="s">
        <v>53</v>
      </c>
      <c r="AF33" s="16" t="s">
        <v>54</v>
      </c>
      <c r="AG33" s="18" t="s">
        <v>131</v>
      </c>
      <c r="AH33" s="19">
        <v>45532</v>
      </c>
      <c r="AI33" s="18" t="s">
        <v>83</v>
      </c>
    </row>
    <row r="34" spans="1:35" ht="84">
      <c r="A34" s="2" t="s">
        <v>262</v>
      </c>
      <c r="B34" s="2" t="s">
        <v>243</v>
      </c>
      <c r="C34" s="2" t="s">
        <v>37</v>
      </c>
      <c r="D34" s="3" t="s">
        <v>263</v>
      </c>
      <c r="E34" s="3" t="s">
        <v>37</v>
      </c>
      <c r="F34" s="2" t="s">
        <v>108</v>
      </c>
      <c r="G34" s="4">
        <v>24565</v>
      </c>
      <c r="H34" s="5">
        <v>45463</v>
      </c>
      <c r="I34" s="5">
        <v>45484</v>
      </c>
      <c r="J34" s="6">
        <v>169</v>
      </c>
      <c r="K34" s="7">
        <v>78</v>
      </c>
      <c r="L34" s="7">
        <v>53</v>
      </c>
      <c r="M34" s="7" t="s">
        <v>37</v>
      </c>
      <c r="N34" s="7" t="s">
        <v>37</v>
      </c>
      <c r="O34" s="8" t="s">
        <v>254</v>
      </c>
      <c r="P34" s="9" t="s">
        <v>255</v>
      </c>
      <c r="Q34" s="10" t="s">
        <v>256</v>
      </c>
      <c r="R34" s="16">
        <v>45493</v>
      </c>
      <c r="S34" s="12" t="s">
        <v>257</v>
      </c>
      <c r="T34" s="16" t="s">
        <v>258</v>
      </c>
      <c r="U34" s="12" t="s">
        <v>259</v>
      </c>
      <c r="V34" s="21" t="s">
        <v>264</v>
      </c>
      <c r="W34" s="12" t="s">
        <v>77</v>
      </c>
      <c r="X34" s="21"/>
      <c r="Y34" s="12" t="s">
        <v>78</v>
      </c>
      <c r="Z34" s="21" t="s">
        <v>49</v>
      </c>
      <c r="AA34" s="15" t="s">
        <v>265</v>
      </c>
      <c r="AB34" s="2" t="s">
        <v>91</v>
      </c>
      <c r="AC34" s="16" t="s">
        <v>52</v>
      </c>
      <c r="AD34" s="17">
        <v>45540</v>
      </c>
      <c r="AE34" s="16" t="s">
        <v>63</v>
      </c>
      <c r="AF34" s="16" t="s">
        <v>54</v>
      </c>
      <c r="AG34" s="18" t="s">
        <v>64</v>
      </c>
      <c r="AH34" s="19">
        <v>45539</v>
      </c>
      <c r="AI34" s="18" t="s">
        <v>65</v>
      </c>
    </row>
    <row r="35" spans="1:35" ht="63">
      <c r="A35" s="2" t="s">
        <v>262</v>
      </c>
      <c r="B35" s="2" t="s">
        <v>243</v>
      </c>
      <c r="C35" s="2" t="s">
        <v>37</v>
      </c>
      <c r="D35" s="3" t="s">
        <v>266</v>
      </c>
      <c r="E35" s="3" t="s">
        <v>37</v>
      </c>
      <c r="F35" s="2" t="s">
        <v>267</v>
      </c>
      <c r="G35" s="4">
        <v>24420</v>
      </c>
      <c r="H35" s="5">
        <v>45427</v>
      </c>
      <c r="I35" s="5">
        <v>45427</v>
      </c>
      <c r="J35" s="6">
        <v>169</v>
      </c>
      <c r="K35" s="7">
        <v>114</v>
      </c>
      <c r="L35" s="7">
        <v>89</v>
      </c>
      <c r="M35" s="7" t="s">
        <v>37</v>
      </c>
      <c r="N35" s="7" t="s">
        <v>37</v>
      </c>
      <c r="O35" s="8" t="s">
        <v>246</v>
      </c>
      <c r="P35" s="9" t="s">
        <v>247</v>
      </c>
      <c r="Q35" s="10" t="s">
        <v>42</v>
      </c>
      <c r="R35" s="11">
        <v>31.68</v>
      </c>
      <c r="S35" s="12" t="s">
        <v>43</v>
      </c>
      <c r="T35" s="23" t="s">
        <v>268</v>
      </c>
      <c r="U35" s="12" t="s">
        <v>45</v>
      </c>
      <c r="V35" s="21">
        <v>13944877</v>
      </c>
      <c r="W35" s="12" t="s">
        <v>46</v>
      </c>
      <c r="X35" s="21" t="s">
        <v>269</v>
      </c>
      <c r="Y35" s="12" t="s">
        <v>48</v>
      </c>
      <c r="Z35" s="21" t="s">
        <v>49</v>
      </c>
      <c r="AA35" s="15" t="s">
        <v>270</v>
      </c>
      <c r="AB35" s="2" t="s">
        <v>51</v>
      </c>
      <c r="AC35" s="16" t="s">
        <v>52</v>
      </c>
      <c r="AD35" s="17">
        <v>45540</v>
      </c>
      <c r="AE35" s="16" t="s">
        <v>53</v>
      </c>
      <c r="AF35" s="16" t="s">
        <v>54</v>
      </c>
      <c r="AG35" s="18" t="s">
        <v>64</v>
      </c>
      <c r="AH35" s="19">
        <v>45540</v>
      </c>
      <c r="AI35" s="18" t="s">
        <v>56</v>
      </c>
    </row>
    <row r="36" spans="1:35" ht="42">
      <c r="A36" s="2" t="s">
        <v>262</v>
      </c>
      <c r="B36" s="2" t="s">
        <v>243</v>
      </c>
      <c r="C36" s="2" t="s">
        <v>37</v>
      </c>
      <c r="D36" s="3" t="s">
        <v>271</v>
      </c>
      <c r="E36" s="3" t="s">
        <v>37</v>
      </c>
      <c r="F36" s="2" t="s">
        <v>146</v>
      </c>
      <c r="G36" s="4">
        <v>31028</v>
      </c>
      <c r="H36" s="5">
        <v>45488</v>
      </c>
      <c r="I36" s="5">
        <v>45509</v>
      </c>
      <c r="J36" s="6">
        <v>1715</v>
      </c>
      <c r="K36" s="7">
        <v>53</v>
      </c>
      <c r="L36" s="7">
        <v>28</v>
      </c>
      <c r="M36" s="7" t="s">
        <v>37</v>
      </c>
      <c r="N36" s="7" t="s">
        <v>37</v>
      </c>
      <c r="O36" s="8" t="s">
        <v>206</v>
      </c>
      <c r="P36" s="9" t="s">
        <v>207</v>
      </c>
      <c r="Q36" s="10" t="s">
        <v>77</v>
      </c>
      <c r="R36" s="11"/>
      <c r="S36" s="12" t="s">
        <v>78</v>
      </c>
      <c r="T36" s="16" t="s">
        <v>89</v>
      </c>
      <c r="U36" s="12">
        <v>0</v>
      </c>
      <c r="V36" s="21"/>
      <c r="W36" s="12">
        <v>0</v>
      </c>
      <c r="X36" s="21"/>
      <c r="Y36" s="12">
        <v>0</v>
      </c>
      <c r="Z36" s="21"/>
      <c r="AA36" s="15" t="s">
        <v>272</v>
      </c>
      <c r="AB36" s="2" t="s">
        <v>210</v>
      </c>
      <c r="AC36" s="16" t="s">
        <v>52</v>
      </c>
      <c r="AD36" s="17">
        <v>45541</v>
      </c>
      <c r="AE36" s="16" t="s">
        <v>63</v>
      </c>
      <c r="AF36" s="16" t="s">
        <v>54</v>
      </c>
      <c r="AG36" s="18" t="s">
        <v>180</v>
      </c>
      <c r="AH36" s="19">
        <v>45530</v>
      </c>
      <c r="AI36" s="18" t="s">
        <v>145</v>
      </c>
    </row>
    <row r="37" spans="1:35" ht="42">
      <c r="A37" s="2" t="s">
        <v>273</v>
      </c>
      <c r="B37" s="2" t="s">
        <v>274</v>
      </c>
      <c r="C37" s="2" t="s">
        <v>37</v>
      </c>
      <c r="D37" s="3">
        <v>610237918</v>
      </c>
      <c r="E37" s="3" t="s">
        <v>37</v>
      </c>
      <c r="F37" s="2" t="s">
        <v>275</v>
      </c>
      <c r="G37" s="4">
        <v>16622</v>
      </c>
      <c r="H37" s="5">
        <v>45491</v>
      </c>
      <c r="I37" s="5">
        <v>45491</v>
      </c>
      <c r="J37" s="6">
        <v>1715</v>
      </c>
      <c r="K37" s="7">
        <v>50</v>
      </c>
      <c r="L37" s="7">
        <v>25</v>
      </c>
      <c r="M37" s="7" t="s">
        <v>37</v>
      </c>
      <c r="N37" s="7" t="s">
        <v>37</v>
      </c>
      <c r="O37" s="8" t="s">
        <v>206</v>
      </c>
      <c r="P37" s="9" t="s">
        <v>207</v>
      </c>
      <c r="Q37" s="10" t="s">
        <v>77</v>
      </c>
      <c r="R37" s="16">
        <v>240823004054</v>
      </c>
      <c r="S37" s="12" t="s">
        <v>78</v>
      </c>
      <c r="T37" s="16" t="s">
        <v>276</v>
      </c>
      <c r="U37" s="12">
        <v>0</v>
      </c>
      <c r="V37" s="21"/>
      <c r="W37" s="12">
        <v>0</v>
      </c>
      <c r="X37" s="21"/>
      <c r="Y37" s="12">
        <v>0</v>
      </c>
      <c r="Z37" s="21"/>
      <c r="AA37" s="15" t="s">
        <v>277</v>
      </c>
      <c r="AB37" s="2" t="s">
        <v>210</v>
      </c>
      <c r="AC37" s="16" t="s">
        <v>52</v>
      </c>
      <c r="AD37" s="17">
        <v>45536</v>
      </c>
      <c r="AE37" s="16" t="s">
        <v>63</v>
      </c>
      <c r="AF37" s="16" t="s">
        <v>54</v>
      </c>
      <c r="AG37" s="18" t="s">
        <v>180</v>
      </c>
      <c r="AH37" s="19">
        <v>45527</v>
      </c>
      <c r="AI37" s="18" t="s">
        <v>145</v>
      </c>
    </row>
    <row r="38" spans="1:35" ht="63">
      <c r="A38" s="2" t="s">
        <v>273</v>
      </c>
      <c r="B38" s="2" t="s">
        <v>274</v>
      </c>
      <c r="C38" s="2" t="s">
        <v>37</v>
      </c>
      <c r="D38" s="3">
        <v>610084055</v>
      </c>
      <c r="E38" s="3" t="s">
        <v>37</v>
      </c>
      <c r="F38" s="2" t="s">
        <v>278</v>
      </c>
      <c r="G38" s="4">
        <v>18937</v>
      </c>
      <c r="H38" s="5">
        <v>45453</v>
      </c>
      <c r="I38" s="5">
        <v>45453</v>
      </c>
      <c r="J38" s="6">
        <v>366</v>
      </c>
      <c r="K38" s="7">
        <v>88</v>
      </c>
      <c r="L38" s="7">
        <v>63</v>
      </c>
      <c r="M38" s="7" t="s">
        <v>37</v>
      </c>
      <c r="N38" s="7" t="s">
        <v>37</v>
      </c>
      <c r="O38" s="8" t="s">
        <v>40</v>
      </c>
      <c r="P38" s="9" t="s">
        <v>41</v>
      </c>
      <c r="Q38" s="10" t="s">
        <v>42</v>
      </c>
      <c r="R38" s="16">
        <v>229.36</v>
      </c>
      <c r="S38" s="12" t="s">
        <v>43</v>
      </c>
      <c r="T38" s="16" t="s">
        <v>279</v>
      </c>
      <c r="U38" s="12" t="s">
        <v>45</v>
      </c>
      <c r="V38" s="21">
        <v>594239</v>
      </c>
      <c r="W38" s="12" t="s">
        <v>46</v>
      </c>
      <c r="X38" s="21" t="s">
        <v>60</v>
      </c>
      <c r="Y38" s="12" t="s">
        <v>48</v>
      </c>
      <c r="Z38" s="21">
        <v>240823004013</v>
      </c>
      <c r="AA38" s="15" t="s">
        <v>280</v>
      </c>
      <c r="AB38" s="2" t="s">
        <v>51</v>
      </c>
      <c r="AC38" s="16" t="s">
        <v>52</v>
      </c>
      <c r="AD38" s="17">
        <v>45558</v>
      </c>
      <c r="AE38" s="16" t="s">
        <v>53</v>
      </c>
      <c r="AF38" s="16" t="s">
        <v>54</v>
      </c>
      <c r="AG38" s="18" t="s">
        <v>180</v>
      </c>
      <c r="AH38" s="19">
        <v>45527</v>
      </c>
      <c r="AI38" s="18" t="s">
        <v>145</v>
      </c>
    </row>
    <row r="39" spans="1:35" ht="409.5">
      <c r="A39" s="2" t="s">
        <v>273</v>
      </c>
      <c r="B39" s="2" t="s">
        <v>274</v>
      </c>
      <c r="C39" s="2" t="s">
        <v>37</v>
      </c>
      <c r="D39" s="3">
        <v>610084055</v>
      </c>
      <c r="E39" s="3" t="s">
        <v>37</v>
      </c>
      <c r="F39" s="2" t="s">
        <v>278</v>
      </c>
      <c r="G39" s="4">
        <v>18937</v>
      </c>
      <c r="H39" s="5">
        <v>45489</v>
      </c>
      <c r="I39" s="5">
        <v>45489</v>
      </c>
      <c r="J39" s="6">
        <v>605</v>
      </c>
      <c r="K39" s="7">
        <v>52</v>
      </c>
      <c r="L39" s="7">
        <v>27</v>
      </c>
      <c r="M39" s="7" t="s">
        <v>37</v>
      </c>
      <c r="N39" s="7" t="s">
        <v>37</v>
      </c>
      <c r="O39" s="8" t="s">
        <v>206</v>
      </c>
      <c r="P39" s="9" t="s">
        <v>207</v>
      </c>
      <c r="Q39" s="10" t="s">
        <v>77</v>
      </c>
      <c r="R39" s="16">
        <v>240823003603</v>
      </c>
      <c r="S39" s="12" t="s">
        <v>78</v>
      </c>
      <c r="T39" s="16" t="s">
        <v>281</v>
      </c>
      <c r="U39" s="12">
        <v>0</v>
      </c>
      <c r="V39" s="21"/>
      <c r="W39" s="12">
        <v>0</v>
      </c>
      <c r="X39" s="21"/>
      <c r="Y39" s="12">
        <v>0</v>
      </c>
      <c r="Z39" s="21"/>
      <c r="AA39" s="20" t="s">
        <v>282</v>
      </c>
      <c r="AB39" s="2" t="s">
        <v>210</v>
      </c>
      <c r="AC39" s="16" t="s">
        <v>52</v>
      </c>
      <c r="AD39" s="17">
        <v>45558</v>
      </c>
      <c r="AE39" s="16" t="s">
        <v>63</v>
      </c>
      <c r="AF39" s="16" t="s">
        <v>54</v>
      </c>
      <c r="AG39" s="18" t="s">
        <v>180</v>
      </c>
      <c r="AH39" s="19">
        <v>45527</v>
      </c>
      <c r="AI39" s="18" t="s">
        <v>145</v>
      </c>
    </row>
    <row r="40" spans="1:35" ht="84">
      <c r="A40" s="2" t="s">
        <v>283</v>
      </c>
      <c r="B40" s="2" t="s">
        <v>284</v>
      </c>
      <c r="C40" s="2" t="s">
        <v>37</v>
      </c>
      <c r="D40" s="3" t="s">
        <v>285</v>
      </c>
      <c r="E40" s="3" t="s">
        <v>37</v>
      </c>
      <c r="F40" s="2" t="s">
        <v>286</v>
      </c>
      <c r="G40" s="4">
        <v>35660</v>
      </c>
      <c r="H40" s="5">
        <v>45467</v>
      </c>
      <c r="I40" s="5">
        <v>45467</v>
      </c>
      <c r="J40" s="6">
        <v>169</v>
      </c>
      <c r="K40" s="7">
        <v>74</v>
      </c>
      <c r="L40" s="7">
        <v>49</v>
      </c>
      <c r="M40" s="7" t="s">
        <v>37</v>
      </c>
      <c r="N40" s="7" t="s">
        <v>37</v>
      </c>
      <c r="O40" s="8" t="s">
        <v>70</v>
      </c>
      <c r="P40" s="9" t="s">
        <v>71</v>
      </c>
      <c r="Q40" s="10" t="s">
        <v>72</v>
      </c>
      <c r="R40" s="16"/>
      <c r="S40" s="12" t="s">
        <v>74</v>
      </c>
      <c r="T40" s="16"/>
      <c r="U40" s="12" t="s">
        <v>75</v>
      </c>
      <c r="V40" s="21" t="s">
        <v>99</v>
      </c>
      <c r="W40" s="12" t="s">
        <v>77</v>
      </c>
      <c r="X40" s="21"/>
      <c r="Y40" s="12" t="s">
        <v>78</v>
      </c>
      <c r="Z40" s="21" t="s">
        <v>49</v>
      </c>
      <c r="AA40" s="15" t="s">
        <v>287</v>
      </c>
      <c r="AB40" s="2" t="s">
        <v>81</v>
      </c>
      <c r="AC40" s="16" t="s">
        <v>101</v>
      </c>
      <c r="AD40" s="17">
        <v>45557</v>
      </c>
      <c r="AE40" s="16" t="s">
        <v>63</v>
      </c>
      <c r="AF40" s="16" t="s">
        <v>54</v>
      </c>
      <c r="AG40" s="18" t="s">
        <v>131</v>
      </c>
      <c r="AH40" s="19">
        <v>45526</v>
      </c>
      <c r="AI40" s="18" t="s">
        <v>115</v>
      </c>
    </row>
    <row r="41" spans="1:35" ht="84">
      <c r="A41" s="2" t="s">
        <v>283</v>
      </c>
      <c r="B41" s="2" t="s">
        <v>284</v>
      </c>
      <c r="C41" s="2" t="s">
        <v>37</v>
      </c>
      <c r="D41" s="3" t="s">
        <v>285</v>
      </c>
      <c r="E41" s="3" t="s">
        <v>37</v>
      </c>
      <c r="F41" s="2" t="s">
        <v>286</v>
      </c>
      <c r="G41" s="4">
        <v>35660</v>
      </c>
      <c r="H41" s="5">
        <v>45491</v>
      </c>
      <c r="I41" s="5">
        <v>45491</v>
      </c>
      <c r="J41" s="6">
        <v>1715</v>
      </c>
      <c r="K41" s="7">
        <v>50</v>
      </c>
      <c r="L41" s="7">
        <v>25</v>
      </c>
      <c r="M41" s="7" t="s">
        <v>37</v>
      </c>
      <c r="N41" s="7" t="s">
        <v>37</v>
      </c>
      <c r="O41" s="8" t="s">
        <v>70</v>
      </c>
      <c r="P41" s="9" t="s">
        <v>71</v>
      </c>
      <c r="Q41" s="10" t="s">
        <v>72</v>
      </c>
      <c r="R41" s="16"/>
      <c r="S41" s="12" t="s">
        <v>74</v>
      </c>
      <c r="T41" s="16"/>
      <c r="U41" s="12" t="s">
        <v>75</v>
      </c>
      <c r="V41" s="21" t="s">
        <v>99</v>
      </c>
      <c r="W41" s="12" t="s">
        <v>77</v>
      </c>
      <c r="X41" s="21"/>
      <c r="Y41" s="12" t="s">
        <v>78</v>
      </c>
      <c r="Z41" s="21" t="s">
        <v>49</v>
      </c>
      <c r="AA41" s="15" t="s">
        <v>288</v>
      </c>
      <c r="AB41" s="2" t="s">
        <v>81</v>
      </c>
      <c r="AC41" s="16" t="s">
        <v>101</v>
      </c>
      <c r="AD41" s="17">
        <v>45557</v>
      </c>
      <c r="AE41" s="16" t="s">
        <v>63</v>
      </c>
      <c r="AF41" s="16" t="s">
        <v>54</v>
      </c>
      <c r="AG41" s="18" t="s">
        <v>131</v>
      </c>
      <c r="AH41" s="19">
        <v>45526</v>
      </c>
      <c r="AI41" s="18" t="s">
        <v>115</v>
      </c>
    </row>
    <row r="42" spans="1:35" ht="409.5">
      <c r="A42" s="2" t="s">
        <v>289</v>
      </c>
      <c r="B42" s="2" t="s">
        <v>290</v>
      </c>
      <c r="C42" s="2" t="s">
        <v>37</v>
      </c>
      <c r="D42" s="3">
        <v>993832726</v>
      </c>
      <c r="E42" s="3" t="s">
        <v>37</v>
      </c>
      <c r="F42" s="2" t="s">
        <v>291</v>
      </c>
      <c r="G42" s="4">
        <v>26612</v>
      </c>
      <c r="H42" s="5">
        <v>45441</v>
      </c>
      <c r="I42" s="5">
        <v>45441</v>
      </c>
      <c r="J42" s="6">
        <v>1715</v>
      </c>
      <c r="K42" s="7">
        <v>100</v>
      </c>
      <c r="L42" s="7">
        <v>75</v>
      </c>
      <c r="M42" s="7" t="s">
        <v>37</v>
      </c>
      <c r="N42" s="7" t="s">
        <v>37</v>
      </c>
      <c r="O42" s="8" t="s">
        <v>70</v>
      </c>
      <c r="P42" s="9" t="s">
        <v>71</v>
      </c>
      <c r="Q42" s="10" t="s">
        <v>72</v>
      </c>
      <c r="R42" s="16">
        <v>44827</v>
      </c>
      <c r="S42" s="12" t="s">
        <v>74</v>
      </c>
      <c r="T42" s="16"/>
      <c r="U42" s="12" t="s">
        <v>75</v>
      </c>
      <c r="V42" s="21"/>
      <c r="W42" s="12" t="s">
        <v>77</v>
      </c>
      <c r="X42" s="21" t="s">
        <v>89</v>
      </c>
      <c r="Y42" s="12" t="s">
        <v>78</v>
      </c>
      <c r="Z42" s="21"/>
      <c r="AA42" s="20" t="s">
        <v>292</v>
      </c>
      <c r="AB42" s="2" t="s">
        <v>81</v>
      </c>
      <c r="AC42" s="16" t="s">
        <v>101</v>
      </c>
      <c r="AD42" s="17">
        <v>45557</v>
      </c>
      <c r="AE42" s="16" t="s">
        <v>63</v>
      </c>
      <c r="AF42" s="16" t="s">
        <v>54</v>
      </c>
      <c r="AG42" s="18" t="s">
        <v>64</v>
      </c>
      <c r="AH42" s="19">
        <v>45526</v>
      </c>
      <c r="AI42" s="18" t="s">
        <v>83</v>
      </c>
    </row>
    <row r="43" spans="1:35" ht="63">
      <c r="A43" s="2" t="s">
        <v>293</v>
      </c>
      <c r="B43" s="2" t="s">
        <v>294</v>
      </c>
      <c r="C43" s="2" t="s">
        <v>37</v>
      </c>
      <c r="D43" s="3">
        <v>92931</v>
      </c>
      <c r="E43" s="3" t="s">
        <v>37</v>
      </c>
      <c r="F43" s="2" t="s">
        <v>295</v>
      </c>
      <c r="G43" s="4">
        <v>21207</v>
      </c>
      <c r="H43" s="5">
        <v>45462</v>
      </c>
      <c r="I43" s="5">
        <v>45462</v>
      </c>
      <c r="J43" s="6">
        <v>1730</v>
      </c>
      <c r="K43" s="7">
        <v>79</v>
      </c>
      <c r="L43" s="7">
        <v>54</v>
      </c>
      <c r="M43" s="7" t="s">
        <v>37</v>
      </c>
      <c r="N43" s="7" t="s">
        <v>37</v>
      </c>
      <c r="O43" s="8" t="s">
        <v>246</v>
      </c>
      <c r="P43" s="9" t="s">
        <v>247</v>
      </c>
      <c r="Q43" s="10" t="s">
        <v>42</v>
      </c>
      <c r="R43" s="16">
        <v>497.37</v>
      </c>
      <c r="S43" s="12" t="s">
        <v>43</v>
      </c>
      <c r="T43" s="16" t="s">
        <v>296</v>
      </c>
      <c r="U43" s="12" t="s">
        <v>45</v>
      </c>
      <c r="V43" s="21">
        <v>7372562</v>
      </c>
      <c r="W43" s="12" t="s">
        <v>46</v>
      </c>
      <c r="X43" s="21" t="s">
        <v>60</v>
      </c>
      <c r="Y43" s="12" t="s">
        <v>48</v>
      </c>
      <c r="Z43" s="21" t="s">
        <v>297</v>
      </c>
      <c r="AA43" s="15" t="s">
        <v>298</v>
      </c>
      <c r="AB43" s="2" t="s">
        <v>51</v>
      </c>
      <c r="AC43" s="16" t="s">
        <v>52</v>
      </c>
      <c r="AD43" s="17">
        <v>45556</v>
      </c>
      <c r="AE43" s="16" t="s">
        <v>53</v>
      </c>
      <c r="AF43" s="16" t="s">
        <v>54</v>
      </c>
      <c r="AG43" s="18" t="s">
        <v>64</v>
      </c>
      <c r="AH43" s="19">
        <v>45539</v>
      </c>
      <c r="AI43" s="18" t="s">
        <v>56</v>
      </c>
    </row>
    <row r="44" spans="1:35" ht="63">
      <c r="A44" s="2" t="s">
        <v>293</v>
      </c>
      <c r="B44" s="2" t="s">
        <v>294</v>
      </c>
      <c r="C44" s="2" t="s">
        <v>37</v>
      </c>
      <c r="D44" s="3">
        <v>2440779</v>
      </c>
      <c r="E44" s="3" t="s">
        <v>37</v>
      </c>
      <c r="F44" s="2" t="s">
        <v>299</v>
      </c>
      <c r="G44" s="4">
        <v>23658</v>
      </c>
      <c r="H44" s="5">
        <v>45491</v>
      </c>
      <c r="I44" s="5">
        <v>45491</v>
      </c>
      <c r="J44" s="6">
        <v>605</v>
      </c>
      <c r="K44" s="7">
        <v>50</v>
      </c>
      <c r="L44" s="7">
        <v>25</v>
      </c>
      <c r="M44" s="7" t="s">
        <v>37</v>
      </c>
      <c r="N44" s="7" t="s">
        <v>37</v>
      </c>
      <c r="O44" s="8" t="s">
        <v>40</v>
      </c>
      <c r="P44" s="9" t="s">
        <v>41</v>
      </c>
      <c r="Q44" s="10" t="s">
        <v>42</v>
      </c>
      <c r="R44" s="16"/>
      <c r="S44" s="12" t="s">
        <v>43</v>
      </c>
      <c r="T44" s="16"/>
      <c r="U44" s="12" t="s">
        <v>45</v>
      </c>
      <c r="V44" s="21"/>
      <c r="W44" s="12" t="s">
        <v>46</v>
      </c>
      <c r="X44" s="21"/>
      <c r="Y44" s="12" t="s">
        <v>48</v>
      </c>
      <c r="Z44" s="21"/>
      <c r="AA44" s="15" t="s">
        <v>300</v>
      </c>
      <c r="AB44" s="2" t="s">
        <v>51</v>
      </c>
      <c r="AC44" s="16" t="s">
        <v>52</v>
      </c>
      <c r="AD44" s="17">
        <f t="shared" ref="AD44:AD46" si="2">AH44</f>
        <v>45525</v>
      </c>
      <c r="AE44" s="16" t="s">
        <v>53</v>
      </c>
      <c r="AF44" s="16" t="s">
        <v>54</v>
      </c>
      <c r="AG44" s="18" t="s">
        <v>55</v>
      </c>
      <c r="AH44" s="19">
        <v>45525</v>
      </c>
      <c r="AI44" s="18" t="s">
        <v>56</v>
      </c>
    </row>
    <row r="45" spans="1:35" ht="63">
      <c r="A45" s="2" t="s">
        <v>293</v>
      </c>
      <c r="B45" s="2" t="s">
        <v>294</v>
      </c>
      <c r="C45" s="2" t="s">
        <v>37</v>
      </c>
      <c r="D45" s="3">
        <v>1329823</v>
      </c>
      <c r="E45" s="3" t="s">
        <v>37</v>
      </c>
      <c r="F45" s="2" t="s">
        <v>301</v>
      </c>
      <c r="G45" s="4">
        <v>22303</v>
      </c>
      <c r="H45" s="5">
        <v>45435</v>
      </c>
      <c r="I45" s="5">
        <v>45435</v>
      </c>
      <c r="J45" s="6">
        <v>366</v>
      </c>
      <c r="K45" s="7">
        <v>106</v>
      </c>
      <c r="L45" s="7">
        <v>81</v>
      </c>
      <c r="M45" s="7" t="s">
        <v>37</v>
      </c>
      <c r="N45" s="7" t="s">
        <v>37</v>
      </c>
      <c r="O45" s="8" t="s">
        <v>302</v>
      </c>
      <c r="P45" s="9" t="s">
        <v>303</v>
      </c>
      <c r="Q45" s="10" t="s">
        <v>304</v>
      </c>
      <c r="R45" s="16" t="s">
        <v>305</v>
      </c>
      <c r="S45" s="12" t="s">
        <v>306</v>
      </c>
      <c r="T45" s="16" t="s">
        <v>307</v>
      </c>
      <c r="U45" s="12" t="s">
        <v>77</v>
      </c>
      <c r="V45" s="21">
        <v>2932</v>
      </c>
      <c r="W45" s="12" t="s">
        <v>78</v>
      </c>
      <c r="X45" s="21" t="s">
        <v>308</v>
      </c>
      <c r="Y45" s="12">
        <v>0</v>
      </c>
      <c r="Z45" s="21"/>
      <c r="AA45" s="15" t="s">
        <v>309</v>
      </c>
      <c r="AB45" s="2" t="s">
        <v>227</v>
      </c>
      <c r="AC45" s="16" t="s">
        <v>52</v>
      </c>
      <c r="AD45" s="17">
        <f t="shared" si="2"/>
        <v>45525</v>
      </c>
      <c r="AE45" s="16" t="s">
        <v>53</v>
      </c>
      <c r="AF45" s="16" t="s">
        <v>54</v>
      </c>
      <c r="AG45" s="18" t="s">
        <v>55</v>
      </c>
      <c r="AH45" s="19">
        <v>45525</v>
      </c>
      <c r="AI45" s="18" t="s">
        <v>93</v>
      </c>
    </row>
    <row r="46" spans="1:35" ht="63">
      <c r="A46" s="2" t="s">
        <v>310</v>
      </c>
      <c r="B46" s="2" t="s">
        <v>311</v>
      </c>
      <c r="C46" s="2" t="s">
        <v>37</v>
      </c>
      <c r="D46" s="3">
        <v>34401049</v>
      </c>
      <c r="E46" s="3" t="s">
        <v>37</v>
      </c>
      <c r="F46" s="2" t="s">
        <v>312</v>
      </c>
      <c r="G46" s="4">
        <v>29951</v>
      </c>
      <c r="H46" s="5">
        <v>45488</v>
      </c>
      <c r="I46" s="5">
        <v>45488</v>
      </c>
      <c r="J46" s="6">
        <v>169</v>
      </c>
      <c r="K46" s="7">
        <v>53</v>
      </c>
      <c r="L46" s="7">
        <v>28</v>
      </c>
      <c r="M46" s="7" t="s">
        <v>37</v>
      </c>
      <c r="N46" s="7" t="s">
        <v>37</v>
      </c>
      <c r="O46" s="8" t="s">
        <v>40</v>
      </c>
      <c r="P46" s="9" t="s">
        <v>41</v>
      </c>
      <c r="Q46" s="10" t="s">
        <v>42</v>
      </c>
      <c r="R46" s="16"/>
      <c r="S46" s="12" t="s">
        <v>43</v>
      </c>
      <c r="T46" s="16"/>
      <c r="U46" s="12" t="s">
        <v>45</v>
      </c>
      <c r="V46" s="21"/>
      <c r="W46" s="12" t="s">
        <v>46</v>
      </c>
      <c r="X46" s="21"/>
      <c r="Y46" s="12" t="s">
        <v>48</v>
      </c>
      <c r="Z46" s="21"/>
      <c r="AA46" s="15" t="s">
        <v>313</v>
      </c>
      <c r="AB46" s="2" t="s">
        <v>51</v>
      </c>
      <c r="AC46" s="16" t="s">
        <v>52</v>
      </c>
      <c r="AD46" s="17">
        <f t="shared" si="2"/>
        <v>45525</v>
      </c>
      <c r="AE46" s="16" t="s">
        <v>53</v>
      </c>
      <c r="AF46" s="16" t="s">
        <v>54</v>
      </c>
      <c r="AG46" s="18" t="s">
        <v>55</v>
      </c>
      <c r="AH46" s="19">
        <v>45525</v>
      </c>
      <c r="AI46" s="18" t="s">
        <v>56</v>
      </c>
    </row>
    <row r="47" spans="1:35" ht="84">
      <c r="A47" s="2" t="s">
        <v>310</v>
      </c>
      <c r="B47" s="2" t="s">
        <v>311</v>
      </c>
      <c r="C47" s="2" t="s">
        <v>37</v>
      </c>
      <c r="D47" s="3">
        <v>41277740</v>
      </c>
      <c r="E47" s="3" t="s">
        <v>37</v>
      </c>
      <c r="F47" s="2" t="s">
        <v>314</v>
      </c>
      <c r="G47" s="4">
        <v>32625</v>
      </c>
      <c r="H47" s="5">
        <v>45491</v>
      </c>
      <c r="I47" s="5">
        <v>45491</v>
      </c>
      <c r="J47" s="6">
        <v>1715</v>
      </c>
      <c r="K47" s="7">
        <v>50</v>
      </c>
      <c r="L47" s="7">
        <v>25</v>
      </c>
      <c r="M47" s="7" t="s">
        <v>37</v>
      </c>
      <c r="N47" s="7" t="s">
        <v>37</v>
      </c>
      <c r="O47" s="8" t="s">
        <v>70</v>
      </c>
      <c r="P47" s="9" t="s">
        <v>71</v>
      </c>
      <c r="Q47" s="10" t="s">
        <v>72</v>
      </c>
      <c r="R47" s="16" t="s">
        <v>315</v>
      </c>
      <c r="S47" s="12" t="s">
        <v>74</v>
      </c>
      <c r="T47" s="16"/>
      <c r="U47" s="12" t="s">
        <v>75</v>
      </c>
      <c r="V47" s="21" t="s">
        <v>316</v>
      </c>
      <c r="W47" s="12" t="s">
        <v>77</v>
      </c>
      <c r="X47" s="21">
        <v>204081400071606</v>
      </c>
      <c r="Y47" s="12" t="s">
        <v>78</v>
      </c>
      <c r="Z47" s="21" t="s">
        <v>317</v>
      </c>
      <c r="AA47" s="15" t="s">
        <v>318</v>
      </c>
      <c r="AB47" s="2" t="s">
        <v>81</v>
      </c>
      <c r="AC47" s="16" t="s">
        <v>101</v>
      </c>
      <c r="AD47" s="17">
        <v>45542</v>
      </c>
      <c r="AE47" s="16" t="s">
        <v>63</v>
      </c>
      <c r="AF47" s="16" t="s">
        <v>54</v>
      </c>
      <c r="AG47" s="18" t="s">
        <v>131</v>
      </c>
      <c r="AH47" s="19">
        <v>45526</v>
      </c>
      <c r="AI47" s="18" t="s">
        <v>83</v>
      </c>
    </row>
    <row r="48" spans="1:35" ht="409.5">
      <c r="A48" s="2" t="s">
        <v>319</v>
      </c>
      <c r="B48" s="2" t="s">
        <v>320</v>
      </c>
      <c r="C48" s="2" t="s">
        <v>37</v>
      </c>
      <c r="D48" s="3">
        <v>984317050</v>
      </c>
      <c r="E48" s="3" t="s">
        <v>37</v>
      </c>
      <c r="F48" s="2" t="s">
        <v>321</v>
      </c>
      <c r="G48" s="4">
        <v>20912</v>
      </c>
      <c r="H48" s="5">
        <v>45455</v>
      </c>
      <c r="I48" s="5">
        <v>45455</v>
      </c>
      <c r="J48" s="6">
        <v>240</v>
      </c>
      <c r="K48" s="7">
        <v>86</v>
      </c>
      <c r="L48" s="7">
        <v>61</v>
      </c>
      <c r="M48" s="7" t="s">
        <v>37</v>
      </c>
      <c r="N48" s="7" t="s">
        <v>37</v>
      </c>
      <c r="O48" s="8" t="s">
        <v>133</v>
      </c>
      <c r="P48" s="9" t="s">
        <v>134</v>
      </c>
      <c r="Q48" s="10" t="s">
        <v>135</v>
      </c>
      <c r="R48" s="16"/>
      <c r="S48" s="12" t="s">
        <v>74</v>
      </c>
      <c r="T48" s="16"/>
      <c r="U48" s="12" t="s">
        <v>77</v>
      </c>
      <c r="V48" s="21">
        <v>73936457</v>
      </c>
      <c r="W48" s="12" t="s">
        <v>78</v>
      </c>
      <c r="X48" s="21" t="s">
        <v>322</v>
      </c>
      <c r="Y48" s="12">
        <v>0</v>
      </c>
      <c r="Z48" s="21"/>
      <c r="AA48" s="20" t="s">
        <v>323</v>
      </c>
      <c r="AB48" s="2" t="s">
        <v>139</v>
      </c>
      <c r="AC48" s="16" t="s">
        <v>52</v>
      </c>
      <c r="AD48" s="17">
        <v>45547</v>
      </c>
      <c r="AE48" s="16" t="s">
        <v>53</v>
      </c>
      <c r="AF48" s="16" t="s">
        <v>54</v>
      </c>
      <c r="AG48" s="18" t="s">
        <v>64</v>
      </c>
      <c r="AH48" s="19">
        <v>45532</v>
      </c>
      <c r="AI48" s="18" t="s">
        <v>65</v>
      </c>
    </row>
    <row r="49" spans="1:35" ht="63">
      <c r="A49" s="2" t="s">
        <v>319</v>
      </c>
      <c r="B49" s="2" t="s">
        <v>320</v>
      </c>
      <c r="C49" s="2" t="s">
        <v>37</v>
      </c>
      <c r="D49" s="3">
        <v>990599045</v>
      </c>
      <c r="E49" s="3" t="s">
        <v>37</v>
      </c>
      <c r="F49" s="2" t="s">
        <v>324</v>
      </c>
      <c r="G49" s="4">
        <v>21670</v>
      </c>
      <c r="H49" s="5">
        <v>45441</v>
      </c>
      <c r="I49" s="5">
        <v>45441</v>
      </c>
      <c r="J49" s="6">
        <v>169</v>
      </c>
      <c r="K49" s="7">
        <v>100</v>
      </c>
      <c r="L49" s="7">
        <v>75</v>
      </c>
      <c r="M49" s="7" t="s">
        <v>37</v>
      </c>
      <c r="N49" s="7" t="s">
        <v>37</v>
      </c>
      <c r="O49" s="8" t="s">
        <v>40</v>
      </c>
      <c r="P49" s="9" t="s">
        <v>41</v>
      </c>
      <c r="Q49" s="10" t="s">
        <v>42</v>
      </c>
      <c r="R49" s="16">
        <v>135.30000000000001</v>
      </c>
      <c r="S49" s="12" t="s">
        <v>43</v>
      </c>
      <c r="T49" s="16" t="s">
        <v>325</v>
      </c>
      <c r="U49" s="12" t="s">
        <v>45</v>
      </c>
      <c r="V49" s="21">
        <v>36573307</v>
      </c>
      <c r="W49" s="12" t="s">
        <v>46</v>
      </c>
      <c r="X49" s="21" t="s">
        <v>60</v>
      </c>
      <c r="Y49" s="12" t="s">
        <v>48</v>
      </c>
      <c r="Z49" s="21" t="s">
        <v>326</v>
      </c>
      <c r="AA49" s="15" t="s">
        <v>327</v>
      </c>
      <c r="AB49" s="2" t="s">
        <v>51</v>
      </c>
      <c r="AC49" s="16" t="s">
        <v>52</v>
      </c>
      <c r="AD49" s="17">
        <v>45532</v>
      </c>
      <c r="AE49" s="16" t="s">
        <v>53</v>
      </c>
      <c r="AF49" s="16" t="s">
        <v>54</v>
      </c>
      <c r="AG49" s="18" t="s">
        <v>64</v>
      </c>
      <c r="AH49" s="19">
        <v>45532</v>
      </c>
      <c r="AI49" s="18" t="s">
        <v>56</v>
      </c>
    </row>
    <row r="50" spans="1:35" ht="63">
      <c r="A50" s="2" t="s">
        <v>319</v>
      </c>
      <c r="B50" s="2" t="s">
        <v>320</v>
      </c>
      <c r="C50" s="2" t="s">
        <v>37</v>
      </c>
      <c r="D50" s="3">
        <v>983011923</v>
      </c>
      <c r="E50" s="3" t="s">
        <v>37</v>
      </c>
      <c r="F50" s="2" t="s">
        <v>59</v>
      </c>
      <c r="G50" s="4">
        <v>20302</v>
      </c>
      <c r="H50" s="5">
        <v>45470</v>
      </c>
      <c r="I50" s="5">
        <v>45470</v>
      </c>
      <c r="J50" s="6">
        <v>1475</v>
      </c>
      <c r="K50" s="7">
        <v>71</v>
      </c>
      <c r="L50" s="7">
        <v>46</v>
      </c>
      <c r="M50" s="7" t="s">
        <v>37</v>
      </c>
      <c r="N50" s="7" t="s">
        <v>37</v>
      </c>
      <c r="O50" s="8" t="s">
        <v>40</v>
      </c>
      <c r="P50" s="9" t="s">
        <v>41</v>
      </c>
      <c r="Q50" s="10" t="s">
        <v>42</v>
      </c>
      <c r="R50" s="16"/>
      <c r="S50" s="12" t="s">
        <v>43</v>
      </c>
      <c r="T50" s="16"/>
      <c r="U50" s="12" t="s">
        <v>45</v>
      </c>
      <c r="V50" s="21"/>
      <c r="W50" s="12" t="s">
        <v>46</v>
      </c>
      <c r="X50" s="21"/>
      <c r="Y50" s="12" t="s">
        <v>48</v>
      </c>
      <c r="Z50" s="21"/>
      <c r="AA50" s="15" t="s">
        <v>328</v>
      </c>
      <c r="AB50" s="2" t="s">
        <v>51</v>
      </c>
      <c r="AC50" s="16" t="s">
        <v>52</v>
      </c>
      <c r="AD50" s="17">
        <f>AH50</f>
        <v>45518</v>
      </c>
      <c r="AE50" s="16" t="s">
        <v>53</v>
      </c>
      <c r="AF50" s="16" t="s">
        <v>54</v>
      </c>
      <c r="AG50" s="18" t="s">
        <v>55</v>
      </c>
      <c r="AH50" s="19">
        <v>45518</v>
      </c>
      <c r="AI50" s="18" t="s">
        <v>93</v>
      </c>
    </row>
    <row r="51" spans="1:35">
      <c r="G51"/>
      <c r="H51"/>
      <c r="I51"/>
      <c r="AD51"/>
      <c r="AH51"/>
    </row>
    <row r="52" spans="1:35">
      <c r="G52"/>
      <c r="H52"/>
      <c r="I52"/>
      <c r="AD52"/>
      <c r="AH52"/>
    </row>
    <row r="53" spans="1:35">
      <c r="G53"/>
      <c r="H53"/>
      <c r="I53"/>
      <c r="AD53"/>
      <c r="AH53"/>
    </row>
    <row r="54" spans="1:35">
      <c r="G54"/>
      <c r="H54"/>
      <c r="I54"/>
      <c r="AD54"/>
      <c r="AH54"/>
    </row>
    <row r="55" spans="1:35">
      <c r="G55"/>
      <c r="H55"/>
      <c r="I55"/>
      <c r="AD55"/>
      <c r="AH55"/>
    </row>
    <row r="56" spans="1:35">
      <c r="G56"/>
      <c r="H56"/>
      <c r="I56"/>
      <c r="AD56"/>
      <c r="AH56"/>
    </row>
    <row r="57" spans="1:35">
      <c r="G57"/>
      <c r="H57"/>
      <c r="I57"/>
      <c r="AD57"/>
      <c r="AH57"/>
    </row>
    <row r="58" spans="1:35">
      <c r="G58"/>
      <c r="H58"/>
      <c r="I58"/>
      <c r="AD58"/>
      <c r="AH58"/>
    </row>
    <row r="59" spans="1:35">
      <c r="G59"/>
      <c r="H59"/>
      <c r="I59"/>
      <c r="AD59"/>
      <c r="AH59"/>
    </row>
    <row r="60" spans="1:35">
      <c r="G60"/>
      <c r="H60"/>
      <c r="I60"/>
      <c r="AD60"/>
      <c r="AH60"/>
    </row>
    <row r="61" spans="1:35">
      <c r="G61"/>
      <c r="H61"/>
      <c r="I61"/>
      <c r="AD61"/>
      <c r="AH61"/>
    </row>
    <row r="62" spans="1:35">
      <c r="G62"/>
      <c r="H62"/>
      <c r="I62"/>
      <c r="AD62"/>
      <c r="AH62"/>
    </row>
  </sheetData>
  <conditionalFormatting sqref="R2:R50">
    <cfRule type="expression" dxfId="21" priority="17">
      <formula>OR(Q2="Denial Date:",Q2="Issue Date:",Q2="Billed Date",Q2="Policy Term Dt:",Q2="Policy Term Date(s)",Q2="Paid Date:")</formula>
    </cfRule>
  </conditionalFormatting>
  <conditionalFormatting sqref="T2:T50">
    <cfRule type="expression" dxfId="20" priority="16">
      <formula>OR(S2="Paid Date:")</formula>
    </cfRule>
  </conditionalFormatting>
  <conditionalFormatting sqref="A12:N12 P12:Z12 AB12 AD12 A2:AI11 A13:AI50">
    <cfRule type="expression" dxfId="19" priority="19">
      <formula>AND($AC2="No",$K2&gt;=45)</formula>
    </cfRule>
    <cfRule type="expression" dxfId="18" priority="20">
      <formula>AND($A2="",$B2="",$C2="",$D2="",$E2="",$F2="",$G2="",$H2="",$I2="",$J2="",$K2="",$N2="")</formula>
    </cfRule>
    <cfRule type="expression" dxfId="17" priority="21">
      <formula>OR($A2&lt;&gt;"",$B2&lt;&gt;"",$C2&lt;&gt;"",$D2&lt;&gt;"",$E2&lt;&gt;"",$F2&lt;&gt;"",$G2&lt;&gt;"",$H2&lt;&gt;"",$I2&lt;&gt;"",$J2&lt;&gt;"",$K2&lt;&gt;"",$N2&lt;&gt;"")</formula>
    </cfRule>
  </conditionalFormatting>
  <conditionalFormatting sqref="A12:N12 P12:Z12 AB12 AD12 A2:AI11 A13:AI50">
    <cfRule type="expression" dxfId="16" priority="18">
      <formula>OR($AI2="Claim Closed in PMS",$AI2="Closed by QPS")</formula>
    </cfRule>
    <cfRule type="expression" dxfId="15" priority="22">
      <formula>OR($AI2="Follow-Up Complete",$AI2="SDP Pending",$AI2="NV Pending",$AI2="Task Created",$AI2="Task to be Created")</formula>
    </cfRule>
  </conditionalFormatting>
  <conditionalFormatting sqref="O12">
    <cfRule type="expression" dxfId="14" priority="12">
      <formula>AND($AC12="No",$K12&gt;=45)</formula>
    </cfRule>
    <cfRule type="expression" dxfId="13" priority="13">
      <formula>AND($A12="",$B12="",$C12="",$D12="",$E12="",$F12="",$G12="",$H12="",$I12="",$J12="",$K12="",$N12="")</formula>
    </cfRule>
    <cfRule type="expression" dxfId="12" priority="14">
      <formula>OR($A12&lt;&gt;"",$B12&lt;&gt;"",$C12&lt;&gt;"",$D12&lt;&gt;"",$E12&lt;&gt;"",$F12&lt;&gt;"",$G12&lt;&gt;"",$H12&lt;&gt;"",$I12&lt;&gt;"",$J12&lt;&gt;"",$K12&lt;&gt;"",$N12&lt;&gt;"")</formula>
    </cfRule>
  </conditionalFormatting>
  <conditionalFormatting sqref="O12">
    <cfRule type="expression" dxfId="11" priority="11">
      <formula>OR($AI12="Claim Closed in PMS",$AI12="Closed by QPS")</formula>
    </cfRule>
    <cfRule type="expression" dxfId="10" priority="15">
      <formula>OR($AI12="Follow-Up Complete",$AI12="SDP Pending",$AI12="NV Pending",$AI12="Task Created",$AI12="Task to be Created")</formula>
    </cfRule>
  </conditionalFormatting>
  <conditionalFormatting sqref="AA12">
    <cfRule type="expression" dxfId="9" priority="7">
      <formula>AND($AC12="No",$K12&gt;=45)</formula>
    </cfRule>
    <cfRule type="expression" dxfId="8" priority="8">
      <formula>AND($A12="",$B12="",$C12="",$D12="",$E12="",$F12="",$G12="",$H12="",$I12="",$J12="",$K12="",$N12="")</formula>
    </cfRule>
    <cfRule type="expression" dxfId="7" priority="9">
      <formula>OR($A12&lt;&gt;"",$B12&lt;&gt;"",$C12&lt;&gt;"",$D12&lt;&gt;"",$E12&lt;&gt;"",$F12&lt;&gt;"",$G12&lt;&gt;"",$H12&lt;&gt;"",$I12&lt;&gt;"",$J12&lt;&gt;"",$K12&lt;&gt;"",$N12&lt;&gt;"")</formula>
    </cfRule>
  </conditionalFormatting>
  <conditionalFormatting sqref="AA12">
    <cfRule type="expression" dxfId="6" priority="6">
      <formula>OR($AI12="Claim Closed in PMS",$AI12="Closed by QPS")</formula>
    </cfRule>
    <cfRule type="expression" dxfId="5" priority="10">
      <formula>OR($AI12="Follow-Up Complete",$AI12="SDP Pending",$AI12="NV Pending",$AI12="Task Created",$AI12="Task to be Created")</formula>
    </cfRule>
  </conditionalFormatting>
  <conditionalFormatting sqref="AC12 AE12:AI12">
    <cfRule type="expression" dxfId="4" priority="2">
      <formula>AND($AC12="No",$K12&gt;=45)</formula>
    </cfRule>
    <cfRule type="expression" dxfId="3" priority="3">
      <formula>AND($A12="",$B12="",$C12="",$D12="",$E12="",$F12="",$G12="",$H12="",$I12="",$J12="",$K12="",$N12="")</formula>
    </cfRule>
    <cfRule type="expression" dxfId="2" priority="4">
      <formula>OR($A12&lt;&gt;"",$B12&lt;&gt;"",$C12&lt;&gt;"",$D12&lt;&gt;"",$E12&lt;&gt;"",$F12&lt;&gt;"",$G12&lt;&gt;"",$H12&lt;&gt;"",$I12&lt;&gt;"",$J12&lt;&gt;"",$K12&lt;&gt;"",$N12&lt;&gt;"")</formula>
    </cfRule>
  </conditionalFormatting>
  <conditionalFormatting sqref="AC12 AE12:AI12">
    <cfRule type="expression" dxfId="1" priority="1">
      <formula>OR($AI12="Claim Closed in PMS",$AI12="Closed by QPS")</formula>
    </cfRule>
    <cfRule type="expression" dxfId="0" priority="5">
      <formula>OR($AI12="Follow-Up Complete",$AI12="SDP Pending",$AI12="NV Pending",$AI12="Task Created",$AI12="Task to be Created")</formula>
    </cfRule>
  </conditionalFormatting>
  <dataValidations count="1">
    <dataValidation type="list" allowBlank="1" showInputMessage="1" showErrorMessage="1" sqref="AC2:AC50" xr:uid="{AC14E757-BD7E-4891-96C0-E274C5782BAD}">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