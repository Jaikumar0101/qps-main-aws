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defaultThemeVersion="166925"/>
  <mc:AlternateContent xmlns:mc="http://schemas.openxmlformats.org/markup-compatibility/2006">
    <mc:Choice Requires="x15">
      <x15ac:absPath xmlns:x15ac="http://schemas.microsoft.com/office/spreadsheetml/2010/11/ac" url="Z:\04 - INSB - PRODUCTION (AR FOLLOWUP)\12.SWEET SMILES FAMILY DENTISTRY\01. AR REPORTS\Old Reports\"/>
    </mc:Choice>
  </mc:AlternateContent>
  <xr:revisionPtr revIDLastSave="0" documentId="13_ncr:1_{0937ED45-D7D7-466A-92D5-1219D84C8124}" xr6:coauthVersionLast="47" xr6:coauthVersionMax="47" xr10:uidLastSave="{00000000-0000-0000-0000-000000000000}"/>
  <bookViews>
    <workbookView xWindow="-120" yWindow="-120" windowWidth="15600" windowHeight="10545" activeTab="1" xr2:uid="{00000000-000D-0000-FFFF-FFFF00000000}"/>
  </bookViews>
  <sheets>
    <sheet name="Summary " sheetId="8" r:id="rId1"/>
    <sheet name="Level 1" sheetId="1" r:id="rId2"/>
    <sheet name="Level 2" sheetId="9" r:id="rId3"/>
    <sheet name="Data" sheetId="3" r:id="rId4"/>
    <sheet name="Provider Info" sheetId="11" r:id="rId5"/>
    <sheet name="Creating Tasks" sheetId="10" state="veryHidden" r:id="rId6"/>
    <sheet name="QPS Codes" sheetId="2" state="veryHidden" r:id="rId7"/>
  </sheets>
  <definedNames>
    <definedName name="_xlnm._FilterDatabase" localSheetId="3" hidden="1">Data!$A$1:$K$190</definedName>
    <definedName name="_xlnm._FilterDatabase" localSheetId="1" hidden="1">'Level 1'!$A$4:$AP$1217</definedName>
    <definedName name="_xlnm._FilterDatabase" localSheetId="2" hidden="1">'Level 2'!$A$4:$F$1200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L1200" i="1" l="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5" i="1"/>
  <c r="C15" i="8"/>
  <c r="E3" i="9"/>
  <c r="F2" i="9"/>
  <c r="F1" i="9"/>
  <c r="E2" i="9"/>
  <c r="H2" i="1"/>
  <c r="N485" i="1"/>
  <c r="O485" i="1"/>
  <c r="Q485" i="1"/>
  <c r="S485" i="1"/>
  <c r="N486" i="1"/>
  <c r="O486" i="1"/>
  <c r="Q486" i="1"/>
  <c r="S486" i="1"/>
  <c r="N487" i="1"/>
  <c r="O487" i="1"/>
  <c r="Q487" i="1"/>
  <c r="S487" i="1"/>
  <c r="N488" i="1"/>
  <c r="O488" i="1"/>
  <c r="Q488" i="1"/>
  <c r="S488" i="1"/>
  <c r="N489" i="1"/>
  <c r="O489" i="1"/>
  <c r="Q489" i="1"/>
  <c r="S489" i="1"/>
  <c r="N490" i="1"/>
  <c r="O490" i="1"/>
  <c r="Q490" i="1"/>
  <c r="S490" i="1"/>
  <c r="N491" i="1"/>
  <c r="O491" i="1"/>
  <c r="Q491" i="1"/>
  <c r="S491" i="1"/>
  <c r="N492" i="1"/>
  <c r="O492" i="1"/>
  <c r="Q492" i="1"/>
  <c r="S492" i="1"/>
  <c r="N493" i="1"/>
  <c r="O493" i="1"/>
  <c r="Q493" i="1"/>
  <c r="S493" i="1"/>
  <c r="N494" i="1"/>
  <c r="O494" i="1"/>
  <c r="Q494" i="1"/>
  <c r="S494" i="1"/>
  <c r="N495" i="1"/>
  <c r="O495" i="1"/>
  <c r="Q495" i="1"/>
  <c r="S495" i="1"/>
  <c r="N496" i="1"/>
  <c r="O496" i="1"/>
  <c r="Q496" i="1"/>
  <c r="S496" i="1"/>
  <c r="N497" i="1"/>
  <c r="O497" i="1"/>
  <c r="Q497" i="1"/>
  <c r="S497" i="1"/>
  <c r="N498" i="1"/>
  <c r="O498" i="1"/>
  <c r="Q498" i="1"/>
  <c r="S498" i="1"/>
  <c r="N499" i="1"/>
  <c r="O499" i="1"/>
  <c r="Q499" i="1"/>
  <c r="S499" i="1"/>
  <c r="N500" i="1"/>
  <c r="O500" i="1"/>
  <c r="Q500" i="1"/>
  <c r="S500" i="1"/>
  <c r="N501" i="1"/>
  <c r="O501" i="1"/>
  <c r="Q501" i="1"/>
  <c r="S501" i="1"/>
  <c r="N502" i="1"/>
  <c r="O502" i="1"/>
  <c r="Q502" i="1"/>
  <c r="S502" i="1"/>
  <c r="N503" i="1"/>
  <c r="O503" i="1"/>
  <c r="Q503" i="1"/>
  <c r="S503" i="1"/>
  <c r="N504" i="1"/>
  <c r="O504" i="1"/>
  <c r="Q504" i="1"/>
  <c r="S504" i="1"/>
  <c r="N505" i="1"/>
  <c r="O505" i="1"/>
  <c r="Q505" i="1"/>
  <c r="S505" i="1"/>
  <c r="N506" i="1"/>
  <c r="O506" i="1"/>
  <c r="Q506" i="1"/>
  <c r="S506" i="1"/>
  <c r="N507" i="1"/>
  <c r="O507" i="1"/>
  <c r="Q507" i="1"/>
  <c r="S507" i="1"/>
  <c r="N508" i="1"/>
  <c r="O508" i="1"/>
  <c r="Q508" i="1"/>
  <c r="S508" i="1"/>
  <c r="N509" i="1"/>
  <c r="O509" i="1"/>
  <c r="Q509" i="1"/>
  <c r="S509" i="1"/>
  <c r="N510" i="1"/>
  <c r="O510" i="1"/>
  <c r="Q510" i="1"/>
  <c r="S510" i="1"/>
  <c r="N511" i="1"/>
  <c r="O511" i="1"/>
  <c r="Q511" i="1"/>
  <c r="S511" i="1"/>
  <c r="N512" i="1"/>
  <c r="O512" i="1"/>
  <c r="Q512" i="1"/>
  <c r="S512" i="1"/>
  <c r="N513" i="1"/>
  <c r="O513" i="1"/>
  <c r="Q513" i="1"/>
  <c r="S513" i="1"/>
  <c r="N514" i="1"/>
  <c r="O514" i="1"/>
  <c r="Q514" i="1"/>
  <c r="S514" i="1"/>
  <c r="N515" i="1"/>
  <c r="O515" i="1"/>
  <c r="Q515" i="1"/>
  <c r="S515" i="1"/>
  <c r="N516" i="1"/>
  <c r="O516" i="1"/>
  <c r="Q516" i="1"/>
  <c r="S516" i="1"/>
  <c r="N517" i="1"/>
  <c r="O517" i="1"/>
  <c r="Q517" i="1"/>
  <c r="S517" i="1"/>
  <c r="N518" i="1"/>
  <c r="O518" i="1"/>
  <c r="Q518" i="1"/>
  <c r="S518" i="1"/>
  <c r="N519" i="1"/>
  <c r="O519" i="1"/>
  <c r="Q519" i="1"/>
  <c r="S519" i="1"/>
  <c r="N520" i="1"/>
  <c r="O520" i="1"/>
  <c r="Q520" i="1"/>
  <c r="S520" i="1"/>
  <c r="N521" i="1"/>
  <c r="O521" i="1"/>
  <c r="Q521" i="1"/>
  <c r="S521" i="1"/>
  <c r="N522" i="1"/>
  <c r="O522" i="1"/>
  <c r="Q522" i="1"/>
  <c r="S522" i="1"/>
  <c r="N523" i="1"/>
  <c r="O523" i="1"/>
  <c r="Q523" i="1"/>
  <c r="S523" i="1"/>
  <c r="N524" i="1"/>
  <c r="O524" i="1"/>
  <c r="Q524" i="1"/>
  <c r="S524" i="1"/>
  <c r="N525" i="1"/>
  <c r="O525" i="1"/>
  <c r="Q525" i="1"/>
  <c r="S525" i="1"/>
  <c r="N526" i="1"/>
  <c r="O526" i="1"/>
  <c r="Q526" i="1"/>
  <c r="S526" i="1"/>
  <c r="N527" i="1"/>
  <c r="O527" i="1"/>
  <c r="Q527" i="1"/>
  <c r="S527" i="1"/>
  <c r="N528" i="1"/>
  <c r="O528" i="1"/>
  <c r="Q528" i="1"/>
  <c r="S528" i="1"/>
  <c r="N529" i="1"/>
  <c r="O529" i="1"/>
  <c r="Q529" i="1"/>
  <c r="S529" i="1"/>
  <c r="N530" i="1"/>
  <c r="O530" i="1"/>
  <c r="Q530" i="1"/>
  <c r="S530" i="1"/>
  <c r="N531" i="1"/>
  <c r="O531" i="1"/>
  <c r="Q531" i="1"/>
  <c r="S531" i="1"/>
  <c r="N532" i="1"/>
  <c r="O532" i="1"/>
  <c r="Q532" i="1"/>
  <c r="S532" i="1"/>
  <c r="N533" i="1"/>
  <c r="O533" i="1"/>
  <c r="Q533" i="1"/>
  <c r="S533" i="1"/>
  <c r="N534" i="1"/>
  <c r="O534" i="1"/>
  <c r="Q534" i="1"/>
  <c r="S534" i="1"/>
  <c r="N535" i="1"/>
  <c r="O535" i="1"/>
  <c r="Q535" i="1"/>
  <c r="S535" i="1"/>
  <c r="N536" i="1"/>
  <c r="O536" i="1"/>
  <c r="Q536" i="1"/>
  <c r="S536" i="1"/>
  <c r="N537" i="1"/>
  <c r="O537" i="1"/>
  <c r="Q537" i="1"/>
  <c r="S537" i="1"/>
  <c r="N538" i="1"/>
  <c r="O538" i="1"/>
  <c r="Q538" i="1"/>
  <c r="S538" i="1"/>
  <c r="N539" i="1"/>
  <c r="O539" i="1"/>
  <c r="Q539" i="1"/>
  <c r="S539" i="1"/>
  <c r="N540" i="1"/>
  <c r="O540" i="1"/>
  <c r="Q540" i="1"/>
  <c r="S540" i="1"/>
  <c r="N541" i="1"/>
  <c r="O541" i="1"/>
  <c r="Q541" i="1"/>
  <c r="S541" i="1"/>
  <c r="N542" i="1"/>
  <c r="O542" i="1"/>
  <c r="Q542" i="1"/>
  <c r="S542" i="1"/>
  <c r="N543" i="1"/>
  <c r="O543" i="1"/>
  <c r="Q543" i="1"/>
  <c r="S543" i="1"/>
  <c r="N544" i="1"/>
  <c r="O544" i="1"/>
  <c r="Q544" i="1"/>
  <c r="S544" i="1"/>
  <c r="N545" i="1"/>
  <c r="O545" i="1"/>
  <c r="Q545" i="1"/>
  <c r="S545" i="1"/>
  <c r="N546" i="1"/>
  <c r="O546" i="1"/>
  <c r="Q546" i="1"/>
  <c r="S546" i="1"/>
  <c r="N547" i="1"/>
  <c r="O547" i="1"/>
  <c r="Q547" i="1"/>
  <c r="S547" i="1"/>
  <c r="N548" i="1"/>
  <c r="O548" i="1"/>
  <c r="Q548" i="1"/>
  <c r="S548" i="1"/>
  <c r="N549" i="1"/>
  <c r="O549" i="1"/>
  <c r="Q549" i="1"/>
  <c r="S549" i="1"/>
  <c r="N550" i="1"/>
  <c r="O550" i="1"/>
  <c r="Q550" i="1"/>
  <c r="S550" i="1"/>
  <c r="N551" i="1"/>
  <c r="O551" i="1"/>
  <c r="Q551" i="1"/>
  <c r="S551" i="1"/>
  <c r="N552" i="1"/>
  <c r="O552" i="1"/>
  <c r="Q552" i="1"/>
  <c r="S552" i="1"/>
  <c r="N553" i="1"/>
  <c r="O553" i="1"/>
  <c r="Q553" i="1"/>
  <c r="S553" i="1"/>
  <c r="N554" i="1"/>
  <c r="O554" i="1"/>
  <c r="Q554" i="1"/>
  <c r="S554" i="1"/>
  <c r="N555" i="1"/>
  <c r="O555" i="1"/>
  <c r="Q555" i="1"/>
  <c r="S555" i="1"/>
  <c r="N556" i="1"/>
  <c r="O556" i="1"/>
  <c r="Q556" i="1"/>
  <c r="S556" i="1"/>
  <c r="N557" i="1"/>
  <c r="O557" i="1"/>
  <c r="Q557" i="1"/>
  <c r="S557" i="1"/>
  <c r="N558" i="1"/>
  <c r="O558" i="1"/>
  <c r="Q558" i="1"/>
  <c r="S558" i="1"/>
  <c r="N559" i="1"/>
  <c r="O559" i="1"/>
  <c r="Q559" i="1"/>
  <c r="S559" i="1"/>
  <c r="N560" i="1"/>
  <c r="O560" i="1"/>
  <c r="Q560" i="1"/>
  <c r="S560" i="1"/>
  <c r="N561" i="1"/>
  <c r="O561" i="1"/>
  <c r="Q561" i="1"/>
  <c r="S561" i="1"/>
  <c r="N562" i="1"/>
  <c r="O562" i="1"/>
  <c r="Q562" i="1"/>
  <c r="S562" i="1"/>
  <c r="N563" i="1"/>
  <c r="O563" i="1"/>
  <c r="Q563" i="1"/>
  <c r="S563" i="1"/>
  <c r="N564" i="1"/>
  <c r="O564" i="1"/>
  <c r="Q564" i="1"/>
  <c r="S564" i="1"/>
  <c r="N565" i="1"/>
  <c r="O565" i="1"/>
  <c r="Q565" i="1"/>
  <c r="S565" i="1"/>
  <c r="N566" i="1"/>
  <c r="O566" i="1"/>
  <c r="Q566" i="1"/>
  <c r="S566" i="1"/>
  <c r="N567" i="1"/>
  <c r="O567" i="1"/>
  <c r="Q567" i="1"/>
  <c r="S567" i="1"/>
  <c r="N568" i="1"/>
  <c r="O568" i="1"/>
  <c r="Q568" i="1"/>
  <c r="S568" i="1"/>
  <c r="N569" i="1"/>
  <c r="O569" i="1"/>
  <c r="Q569" i="1"/>
  <c r="S569" i="1"/>
  <c r="N570" i="1"/>
  <c r="O570" i="1"/>
  <c r="Q570" i="1"/>
  <c r="S570" i="1"/>
  <c r="N571" i="1"/>
  <c r="O571" i="1"/>
  <c r="Q571" i="1"/>
  <c r="S571" i="1"/>
  <c r="N572" i="1"/>
  <c r="O572" i="1"/>
  <c r="Q572" i="1"/>
  <c r="S572" i="1"/>
  <c r="N573" i="1"/>
  <c r="O573" i="1"/>
  <c r="Q573" i="1"/>
  <c r="S573" i="1"/>
  <c r="N574" i="1"/>
  <c r="O574" i="1"/>
  <c r="Q574" i="1"/>
  <c r="S574" i="1"/>
  <c r="N575" i="1"/>
  <c r="O575" i="1"/>
  <c r="Q575" i="1"/>
  <c r="S575" i="1"/>
  <c r="N576" i="1"/>
  <c r="O576" i="1"/>
  <c r="Q576" i="1"/>
  <c r="S576" i="1"/>
  <c r="N577" i="1"/>
  <c r="O577" i="1"/>
  <c r="Q577" i="1"/>
  <c r="S577" i="1"/>
  <c r="N578" i="1"/>
  <c r="O578" i="1"/>
  <c r="Q578" i="1"/>
  <c r="S578" i="1"/>
  <c r="N579" i="1"/>
  <c r="O579" i="1"/>
  <c r="Q579" i="1"/>
  <c r="S579" i="1"/>
  <c r="N580" i="1"/>
  <c r="O580" i="1"/>
  <c r="Q580" i="1"/>
  <c r="S580" i="1"/>
  <c r="N581" i="1"/>
  <c r="O581" i="1"/>
  <c r="Q581" i="1"/>
  <c r="S581" i="1"/>
  <c r="N582" i="1"/>
  <c r="O582" i="1"/>
  <c r="Q582" i="1"/>
  <c r="S582" i="1"/>
  <c r="N583" i="1"/>
  <c r="O583" i="1"/>
  <c r="Q583" i="1"/>
  <c r="S583" i="1"/>
  <c r="N584" i="1"/>
  <c r="O584" i="1"/>
  <c r="Q584" i="1"/>
  <c r="S584" i="1"/>
  <c r="N585" i="1"/>
  <c r="O585" i="1"/>
  <c r="Q585" i="1"/>
  <c r="S585" i="1"/>
  <c r="N586" i="1"/>
  <c r="O586" i="1"/>
  <c r="Q586" i="1"/>
  <c r="S586" i="1"/>
  <c r="N587" i="1"/>
  <c r="O587" i="1"/>
  <c r="Q587" i="1"/>
  <c r="S587" i="1"/>
  <c r="N588" i="1"/>
  <c r="O588" i="1"/>
  <c r="Q588" i="1"/>
  <c r="S588" i="1"/>
  <c r="N589" i="1"/>
  <c r="O589" i="1"/>
  <c r="Q589" i="1"/>
  <c r="S589" i="1"/>
  <c r="N590" i="1"/>
  <c r="O590" i="1"/>
  <c r="Q590" i="1"/>
  <c r="S590" i="1"/>
  <c r="N591" i="1"/>
  <c r="O591" i="1"/>
  <c r="Q591" i="1"/>
  <c r="S591" i="1"/>
  <c r="N592" i="1"/>
  <c r="O592" i="1"/>
  <c r="Q592" i="1"/>
  <c r="S592" i="1"/>
  <c r="N593" i="1"/>
  <c r="O593" i="1"/>
  <c r="Q593" i="1"/>
  <c r="S593" i="1"/>
  <c r="N594" i="1"/>
  <c r="O594" i="1"/>
  <c r="Q594" i="1"/>
  <c r="S594" i="1"/>
  <c r="N595" i="1"/>
  <c r="O595" i="1"/>
  <c r="Q595" i="1"/>
  <c r="S595" i="1"/>
  <c r="N596" i="1"/>
  <c r="O596" i="1"/>
  <c r="Q596" i="1"/>
  <c r="S596" i="1"/>
  <c r="N597" i="1"/>
  <c r="O597" i="1"/>
  <c r="Q597" i="1"/>
  <c r="S597" i="1"/>
  <c r="N598" i="1"/>
  <c r="O598" i="1"/>
  <c r="Q598" i="1"/>
  <c r="S598" i="1"/>
  <c r="N599" i="1"/>
  <c r="O599" i="1"/>
  <c r="Q599" i="1"/>
  <c r="S599" i="1"/>
  <c r="N600" i="1"/>
  <c r="O600" i="1"/>
  <c r="Q600" i="1"/>
  <c r="S600" i="1"/>
  <c r="N601" i="1"/>
  <c r="O601" i="1"/>
  <c r="Q601" i="1"/>
  <c r="S601" i="1"/>
  <c r="N602" i="1"/>
  <c r="O602" i="1"/>
  <c r="Q602" i="1"/>
  <c r="S602" i="1"/>
  <c r="N603" i="1"/>
  <c r="O603" i="1"/>
  <c r="Q603" i="1"/>
  <c r="S603" i="1"/>
  <c r="N604" i="1"/>
  <c r="O604" i="1"/>
  <c r="Q604" i="1"/>
  <c r="S604" i="1"/>
  <c r="N605" i="1"/>
  <c r="O605" i="1"/>
  <c r="Q605" i="1"/>
  <c r="S605" i="1"/>
  <c r="N606" i="1"/>
  <c r="O606" i="1"/>
  <c r="Q606" i="1"/>
  <c r="S606" i="1"/>
  <c r="N607" i="1"/>
  <c r="O607" i="1"/>
  <c r="Q607" i="1"/>
  <c r="S607" i="1"/>
  <c r="N608" i="1"/>
  <c r="O608" i="1"/>
  <c r="Q608" i="1"/>
  <c r="S608" i="1"/>
  <c r="N609" i="1"/>
  <c r="O609" i="1"/>
  <c r="Q609" i="1"/>
  <c r="S609" i="1"/>
  <c r="N610" i="1"/>
  <c r="O610" i="1"/>
  <c r="Q610" i="1"/>
  <c r="S610" i="1"/>
  <c r="N611" i="1"/>
  <c r="O611" i="1"/>
  <c r="Q611" i="1"/>
  <c r="S611" i="1"/>
  <c r="N612" i="1"/>
  <c r="O612" i="1"/>
  <c r="Q612" i="1"/>
  <c r="S612" i="1"/>
  <c r="N613" i="1"/>
  <c r="O613" i="1"/>
  <c r="Q613" i="1"/>
  <c r="S613" i="1"/>
  <c r="N614" i="1"/>
  <c r="O614" i="1"/>
  <c r="Q614" i="1"/>
  <c r="S614" i="1"/>
  <c r="N615" i="1"/>
  <c r="O615" i="1"/>
  <c r="Q615" i="1"/>
  <c r="S615" i="1"/>
  <c r="N616" i="1"/>
  <c r="O616" i="1"/>
  <c r="Q616" i="1"/>
  <c r="S616" i="1"/>
  <c r="N617" i="1"/>
  <c r="O617" i="1"/>
  <c r="Q617" i="1"/>
  <c r="S617" i="1"/>
  <c r="N618" i="1"/>
  <c r="O618" i="1"/>
  <c r="Q618" i="1"/>
  <c r="S618" i="1"/>
  <c r="N619" i="1"/>
  <c r="O619" i="1"/>
  <c r="Q619" i="1"/>
  <c r="S619" i="1"/>
  <c r="N620" i="1"/>
  <c r="O620" i="1"/>
  <c r="Q620" i="1"/>
  <c r="S620" i="1"/>
  <c r="N621" i="1"/>
  <c r="O621" i="1"/>
  <c r="Q621" i="1"/>
  <c r="S621" i="1"/>
  <c r="N622" i="1"/>
  <c r="O622" i="1"/>
  <c r="Q622" i="1"/>
  <c r="S622" i="1"/>
  <c r="N623" i="1"/>
  <c r="O623" i="1"/>
  <c r="Q623" i="1"/>
  <c r="S623" i="1"/>
  <c r="N624" i="1"/>
  <c r="O624" i="1"/>
  <c r="Q624" i="1"/>
  <c r="S624" i="1"/>
  <c r="N625" i="1"/>
  <c r="O625" i="1"/>
  <c r="Q625" i="1"/>
  <c r="S625" i="1"/>
  <c r="N626" i="1"/>
  <c r="O626" i="1"/>
  <c r="Q626" i="1"/>
  <c r="S626" i="1"/>
  <c r="N627" i="1"/>
  <c r="O627" i="1"/>
  <c r="Q627" i="1"/>
  <c r="S627" i="1"/>
  <c r="N628" i="1"/>
  <c r="O628" i="1"/>
  <c r="Q628" i="1"/>
  <c r="S628" i="1"/>
  <c r="N629" i="1"/>
  <c r="O629" i="1"/>
  <c r="Q629" i="1"/>
  <c r="S629" i="1"/>
  <c r="N630" i="1"/>
  <c r="O630" i="1"/>
  <c r="Q630" i="1"/>
  <c r="S630" i="1"/>
  <c r="N631" i="1"/>
  <c r="O631" i="1"/>
  <c r="Q631" i="1"/>
  <c r="S631" i="1"/>
  <c r="N632" i="1"/>
  <c r="O632" i="1"/>
  <c r="Q632" i="1"/>
  <c r="S632" i="1"/>
  <c r="N633" i="1"/>
  <c r="O633" i="1"/>
  <c r="Q633" i="1"/>
  <c r="S633" i="1"/>
  <c r="N634" i="1"/>
  <c r="O634" i="1"/>
  <c r="Q634" i="1"/>
  <c r="S634" i="1"/>
  <c r="N635" i="1"/>
  <c r="O635" i="1"/>
  <c r="Q635" i="1"/>
  <c r="S635" i="1"/>
  <c r="N636" i="1"/>
  <c r="O636" i="1"/>
  <c r="Q636" i="1"/>
  <c r="S636" i="1"/>
  <c r="N637" i="1"/>
  <c r="O637" i="1"/>
  <c r="Q637" i="1"/>
  <c r="S637" i="1"/>
  <c r="N638" i="1"/>
  <c r="O638" i="1"/>
  <c r="Q638" i="1"/>
  <c r="S638" i="1"/>
  <c r="N639" i="1"/>
  <c r="O639" i="1"/>
  <c r="Q639" i="1"/>
  <c r="S639" i="1"/>
  <c r="N640" i="1"/>
  <c r="O640" i="1"/>
  <c r="Q640" i="1"/>
  <c r="S640" i="1"/>
  <c r="N641" i="1"/>
  <c r="O641" i="1"/>
  <c r="Q641" i="1"/>
  <c r="S641" i="1"/>
  <c r="N642" i="1"/>
  <c r="O642" i="1"/>
  <c r="Q642" i="1"/>
  <c r="S642" i="1"/>
  <c r="N643" i="1"/>
  <c r="O643" i="1"/>
  <c r="Q643" i="1"/>
  <c r="S643" i="1"/>
  <c r="N644" i="1"/>
  <c r="O644" i="1"/>
  <c r="Q644" i="1"/>
  <c r="S644" i="1"/>
  <c r="N645" i="1"/>
  <c r="O645" i="1"/>
  <c r="Q645" i="1"/>
  <c r="S645" i="1"/>
  <c r="N646" i="1"/>
  <c r="O646" i="1"/>
  <c r="Q646" i="1"/>
  <c r="S646" i="1"/>
  <c r="N647" i="1"/>
  <c r="O647" i="1"/>
  <c r="Q647" i="1"/>
  <c r="S647" i="1"/>
  <c r="N648" i="1"/>
  <c r="O648" i="1"/>
  <c r="Q648" i="1"/>
  <c r="S648" i="1"/>
  <c r="N649" i="1"/>
  <c r="O649" i="1"/>
  <c r="Q649" i="1"/>
  <c r="S649" i="1"/>
  <c r="N650" i="1"/>
  <c r="O650" i="1"/>
  <c r="Q650" i="1"/>
  <c r="S650" i="1"/>
  <c r="N651" i="1"/>
  <c r="O651" i="1"/>
  <c r="Q651" i="1"/>
  <c r="S651" i="1"/>
  <c r="N652" i="1"/>
  <c r="O652" i="1"/>
  <c r="Q652" i="1"/>
  <c r="S652" i="1"/>
  <c r="N653" i="1"/>
  <c r="O653" i="1"/>
  <c r="Q653" i="1"/>
  <c r="S653" i="1"/>
  <c r="N654" i="1"/>
  <c r="O654" i="1"/>
  <c r="Q654" i="1"/>
  <c r="S654" i="1"/>
  <c r="N655" i="1"/>
  <c r="O655" i="1"/>
  <c r="Q655" i="1"/>
  <c r="S655" i="1"/>
  <c r="N656" i="1"/>
  <c r="O656" i="1"/>
  <c r="Q656" i="1"/>
  <c r="S656" i="1"/>
  <c r="N657" i="1"/>
  <c r="O657" i="1"/>
  <c r="Q657" i="1"/>
  <c r="S657" i="1"/>
  <c r="N658" i="1"/>
  <c r="O658" i="1"/>
  <c r="Q658" i="1"/>
  <c r="S658" i="1"/>
  <c r="N659" i="1"/>
  <c r="O659" i="1"/>
  <c r="Q659" i="1"/>
  <c r="S659" i="1"/>
  <c r="N660" i="1"/>
  <c r="O660" i="1"/>
  <c r="Q660" i="1"/>
  <c r="S660" i="1"/>
  <c r="N661" i="1"/>
  <c r="O661" i="1"/>
  <c r="Q661" i="1"/>
  <c r="S661" i="1"/>
  <c r="N662" i="1"/>
  <c r="O662" i="1"/>
  <c r="Q662" i="1"/>
  <c r="S662" i="1"/>
  <c r="N663" i="1"/>
  <c r="O663" i="1"/>
  <c r="Q663" i="1"/>
  <c r="S663" i="1"/>
  <c r="N664" i="1"/>
  <c r="O664" i="1"/>
  <c r="Q664" i="1"/>
  <c r="S664" i="1"/>
  <c r="N665" i="1"/>
  <c r="O665" i="1"/>
  <c r="Q665" i="1"/>
  <c r="S665" i="1"/>
  <c r="N666" i="1"/>
  <c r="O666" i="1"/>
  <c r="Q666" i="1"/>
  <c r="S666" i="1"/>
  <c r="N667" i="1"/>
  <c r="O667" i="1"/>
  <c r="Q667" i="1"/>
  <c r="S667" i="1"/>
  <c r="N668" i="1"/>
  <c r="O668" i="1"/>
  <c r="Q668" i="1"/>
  <c r="S668" i="1"/>
  <c r="N669" i="1"/>
  <c r="O669" i="1"/>
  <c r="Q669" i="1"/>
  <c r="S669" i="1"/>
  <c r="N670" i="1"/>
  <c r="O670" i="1"/>
  <c r="Q670" i="1"/>
  <c r="S670" i="1"/>
  <c r="N671" i="1"/>
  <c r="O671" i="1"/>
  <c r="Q671" i="1"/>
  <c r="S671" i="1"/>
  <c r="N672" i="1"/>
  <c r="O672" i="1"/>
  <c r="Q672" i="1"/>
  <c r="S672" i="1"/>
  <c r="N673" i="1"/>
  <c r="O673" i="1"/>
  <c r="Q673" i="1"/>
  <c r="S673" i="1"/>
  <c r="N674" i="1"/>
  <c r="O674" i="1"/>
  <c r="Q674" i="1"/>
  <c r="S674" i="1"/>
  <c r="N675" i="1"/>
  <c r="O675" i="1"/>
  <c r="Q675" i="1"/>
  <c r="S675" i="1"/>
  <c r="N676" i="1"/>
  <c r="O676" i="1"/>
  <c r="Q676" i="1"/>
  <c r="S676" i="1"/>
  <c r="N677" i="1"/>
  <c r="O677" i="1"/>
  <c r="Q677" i="1"/>
  <c r="S677" i="1"/>
  <c r="N678" i="1"/>
  <c r="O678" i="1"/>
  <c r="Q678" i="1"/>
  <c r="S678" i="1"/>
  <c r="N679" i="1"/>
  <c r="O679" i="1"/>
  <c r="Q679" i="1"/>
  <c r="S679" i="1"/>
  <c r="N680" i="1"/>
  <c r="O680" i="1"/>
  <c r="Q680" i="1"/>
  <c r="S680" i="1"/>
  <c r="N681" i="1"/>
  <c r="O681" i="1"/>
  <c r="Q681" i="1"/>
  <c r="S681" i="1"/>
  <c r="N682" i="1"/>
  <c r="O682" i="1"/>
  <c r="Q682" i="1"/>
  <c r="S682" i="1"/>
  <c r="N683" i="1"/>
  <c r="O683" i="1"/>
  <c r="Q683" i="1"/>
  <c r="S683" i="1"/>
  <c r="N684" i="1"/>
  <c r="O684" i="1"/>
  <c r="Q684" i="1"/>
  <c r="S684" i="1"/>
  <c r="N685" i="1"/>
  <c r="O685" i="1"/>
  <c r="Q685" i="1"/>
  <c r="S685" i="1"/>
  <c r="N686" i="1"/>
  <c r="O686" i="1"/>
  <c r="Q686" i="1"/>
  <c r="S686" i="1"/>
  <c r="N687" i="1"/>
  <c r="O687" i="1"/>
  <c r="Q687" i="1"/>
  <c r="S687" i="1"/>
  <c r="N688" i="1"/>
  <c r="O688" i="1"/>
  <c r="Q688" i="1"/>
  <c r="S688" i="1"/>
  <c r="N689" i="1"/>
  <c r="O689" i="1"/>
  <c r="Q689" i="1"/>
  <c r="S689" i="1"/>
  <c r="N690" i="1"/>
  <c r="O690" i="1"/>
  <c r="Q690" i="1"/>
  <c r="S690" i="1"/>
  <c r="N691" i="1"/>
  <c r="O691" i="1"/>
  <c r="Q691" i="1"/>
  <c r="S691" i="1"/>
  <c r="N692" i="1"/>
  <c r="O692" i="1"/>
  <c r="Q692" i="1"/>
  <c r="S692" i="1"/>
  <c r="N693" i="1"/>
  <c r="O693" i="1"/>
  <c r="Q693" i="1"/>
  <c r="S693" i="1"/>
  <c r="N694" i="1"/>
  <c r="O694" i="1"/>
  <c r="Q694" i="1"/>
  <c r="S694" i="1"/>
  <c r="N695" i="1"/>
  <c r="O695" i="1"/>
  <c r="Q695" i="1"/>
  <c r="S695" i="1"/>
  <c r="N696" i="1"/>
  <c r="O696" i="1"/>
  <c r="Q696" i="1"/>
  <c r="S696" i="1"/>
  <c r="N697" i="1"/>
  <c r="O697" i="1"/>
  <c r="Q697" i="1"/>
  <c r="S697" i="1"/>
  <c r="N698" i="1"/>
  <c r="O698" i="1"/>
  <c r="Q698" i="1"/>
  <c r="S698" i="1"/>
  <c r="N699" i="1"/>
  <c r="O699" i="1"/>
  <c r="Q699" i="1"/>
  <c r="S699" i="1"/>
  <c r="N700" i="1"/>
  <c r="O700" i="1"/>
  <c r="Q700" i="1"/>
  <c r="S700" i="1"/>
  <c r="N701" i="1"/>
  <c r="O701" i="1"/>
  <c r="Q701" i="1"/>
  <c r="S701" i="1"/>
  <c r="N702" i="1"/>
  <c r="O702" i="1"/>
  <c r="Q702" i="1"/>
  <c r="S702" i="1"/>
  <c r="N703" i="1"/>
  <c r="O703" i="1"/>
  <c r="Q703" i="1"/>
  <c r="S703" i="1"/>
  <c r="N704" i="1"/>
  <c r="O704" i="1"/>
  <c r="Q704" i="1"/>
  <c r="S704" i="1"/>
  <c r="N705" i="1"/>
  <c r="O705" i="1"/>
  <c r="Q705" i="1"/>
  <c r="S705" i="1"/>
  <c r="N706" i="1"/>
  <c r="O706" i="1"/>
  <c r="Q706" i="1"/>
  <c r="S706" i="1"/>
  <c r="N707" i="1"/>
  <c r="O707" i="1"/>
  <c r="Q707" i="1"/>
  <c r="S707" i="1"/>
  <c r="N708" i="1"/>
  <c r="O708" i="1"/>
  <c r="Q708" i="1"/>
  <c r="S708" i="1"/>
  <c r="N709" i="1"/>
  <c r="O709" i="1"/>
  <c r="Q709" i="1"/>
  <c r="S709" i="1"/>
  <c r="N710" i="1"/>
  <c r="O710" i="1"/>
  <c r="Q710" i="1"/>
  <c r="S710" i="1"/>
  <c r="N711" i="1"/>
  <c r="O711" i="1"/>
  <c r="Q711" i="1"/>
  <c r="S711" i="1"/>
  <c r="N712" i="1"/>
  <c r="O712" i="1"/>
  <c r="Q712" i="1"/>
  <c r="S712" i="1"/>
  <c r="N713" i="1"/>
  <c r="O713" i="1"/>
  <c r="Q713" i="1"/>
  <c r="S713" i="1"/>
  <c r="N714" i="1"/>
  <c r="O714" i="1"/>
  <c r="Q714" i="1"/>
  <c r="S714" i="1"/>
  <c r="N715" i="1"/>
  <c r="O715" i="1"/>
  <c r="Q715" i="1"/>
  <c r="S715" i="1"/>
  <c r="N716" i="1"/>
  <c r="O716" i="1"/>
  <c r="Q716" i="1"/>
  <c r="S716" i="1"/>
  <c r="N717" i="1"/>
  <c r="O717" i="1"/>
  <c r="Q717" i="1"/>
  <c r="S717" i="1"/>
  <c r="N718" i="1"/>
  <c r="O718" i="1"/>
  <c r="Q718" i="1"/>
  <c r="S718" i="1"/>
  <c r="N719" i="1"/>
  <c r="O719" i="1"/>
  <c r="Q719" i="1"/>
  <c r="S719" i="1"/>
  <c r="N720" i="1"/>
  <c r="O720" i="1"/>
  <c r="Q720" i="1"/>
  <c r="S720" i="1"/>
  <c r="N721" i="1"/>
  <c r="O721" i="1"/>
  <c r="Q721" i="1"/>
  <c r="S721" i="1"/>
  <c r="N722" i="1"/>
  <c r="O722" i="1"/>
  <c r="Q722" i="1"/>
  <c r="S722" i="1"/>
  <c r="N723" i="1"/>
  <c r="O723" i="1"/>
  <c r="Q723" i="1"/>
  <c r="S723" i="1"/>
  <c r="N724" i="1"/>
  <c r="O724" i="1"/>
  <c r="Q724" i="1"/>
  <c r="S724" i="1"/>
  <c r="N725" i="1"/>
  <c r="O725" i="1"/>
  <c r="Q725" i="1"/>
  <c r="S725" i="1"/>
  <c r="N726" i="1"/>
  <c r="O726" i="1"/>
  <c r="Q726" i="1"/>
  <c r="S726" i="1"/>
  <c r="N727" i="1"/>
  <c r="O727" i="1"/>
  <c r="Q727" i="1"/>
  <c r="S727" i="1"/>
  <c r="N728" i="1"/>
  <c r="O728" i="1"/>
  <c r="Q728" i="1"/>
  <c r="S728" i="1"/>
  <c r="N729" i="1"/>
  <c r="O729" i="1"/>
  <c r="Q729" i="1"/>
  <c r="S729" i="1"/>
  <c r="N730" i="1"/>
  <c r="O730" i="1"/>
  <c r="Q730" i="1"/>
  <c r="S730" i="1"/>
  <c r="N731" i="1"/>
  <c r="O731" i="1"/>
  <c r="Q731" i="1"/>
  <c r="S731" i="1"/>
  <c r="N732" i="1"/>
  <c r="O732" i="1"/>
  <c r="Q732" i="1"/>
  <c r="S732" i="1"/>
  <c r="N733" i="1"/>
  <c r="O733" i="1"/>
  <c r="Q733" i="1"/>
  <c r="S733" i="1"/>
  <c r="N734" i="1"/>
  <c r="O734" i="1"/>
  <c r="Q734" i="1"/>
  <c r="S734" i="1"/>
  <c r="N735" i="1"/>
  <c r="O735" i="1"/>
  <c r="Q735" i="1"/>
  <c r="S735" i="1"/>
  <c r="N736" i="1"/>
  <c r="O736" i="1"/>
  <c r="Q736" i="1"/>
  <c r="S736" i="1"/>
  <c r="N737" i="1"/>
  <c r="O737" i="1"/>
  <c r="Q737" i="1"/>
  <c r="S737" i="1"/>
  <c r="N738" i="1"/>
  <c r="O738" i="1"/>
  <c r="Q738" i="1"/>
  <c r="S738" i="1"/>
  <c r="N739" i="1"/>
  <c r="O739" i="1"/>
  <c r="Q739" i="1"/>
  <c r="S739" i="1"/>
  <c r="N740" i="1"/>
  <c r="O740" i="1"/>
  <c r="Q740" i="1"/>
  <c r="S740" i="1"/>
  <c r="N741" i="1"/>
  <c r="O741" i="1"/>
  <c r="Q741" i="1"/>
  <c r="S741" i="1"/>
  <c r="N742" i="1"/>
  <c r="O742" i="1"/>
  <c r="Q742" i="1"/>
  <c r="S742" i="1"/>
  <c r="N743" i="1"/>
  <c r="O743" i="1"/>
  <c r="Q743" i="1"/>
  <c r="S743" i="1"/>
  <c r="N744" i="1"/>
  <c r="O744" i="1"/>
  <c r="Q744" i="1"/>
  <c r="S744" i="1"/>
  <c r="N745" i="1"/>
  <c r="O745" i="1"/>
  <c r="Q745" i="1"/>
  <c r="S745" i="1"/>
  <c r="N746" i="1"/>
  <c r="O746" i="1"/>
  <c r="Q746" i="1"/>
  <c r="S746" i="1"/>
  <c r="N747" i="1"/>
  <c r="O747" i="1"/>
  <c r="Q747" i="1"/>
  <c r="S747" i="1"/>
  <c r="N748" i="1"/>
  <c r="O748" i="1"/>
  <c r="Q748" i="1"/>
  <c r="S748" i="1"/>
  <c r="N749" i="1"/>
  <c r="O749" i="1"/>
  <c r="Q749" i="1"/>
  <c r="S749" i="1"/>
  <c r="N750" i="1"/>
  <c r="O750" i="1"/>
  <c r="Q750" i="1"/>
  <c r="S750" i="1"/>
  <c r="N751" i="1"/>
  <c r="O751" i="1"/>
  <c r="Q751" i="1"/>
  <c r="S751" i="1"/>
  <c r="N752" i="1"/>
  <c r="O752" i="1"/>
  <c r="Q752" i="1"/>
  <c r="S752" i="1"/>
  <c r="N753" i="1"/>
  <c r="O753" i="1"/>
  <c r="Q753" i="1"/>
  <c r="S753" i="1"/>
  <c r="N754" i="1"/>
  <c r="O754" i="1"/>
  <c r="Q754" i="1"/>
  <c r="S754" i="1"/>
  <c r="N755" i="1"/>
  <c r="O755" i="1"/>
  <c r="Q755" i="1"/>
  <c r="S755" i="1"/>
  <c r="N756" i="1"/>
  <c r="O756" i="1"/>
  <c r="Q756" i="1"/>
  <c r="S756" i="1"/>
  <c r="N757" i="1"/>
  <c r="O757" i="1"/>
  <c r="Q757" i="1"/>
  <c r="S757" i="1"/>
  <c r="N758" i="1"/>
  <c r="O758" i="1"/>
  <c r="Q758" i="1"/>
  <c r="S758" i="1"/>
  <c r="N759" i="1"/>
  <c r="O759" i="1"/>
  <c r="Q759" i="1"/>
  <c r="S759" i="1"/>
  <c r="N760" i="1"/>
  <c r="O760" i="1"/>
  <c r="Q760" i="1"/>
  <c r="S760" i="1"/>
  <c r="N761" i="1"/>
  <c r="O761" i="1"/>
  <c r="Q761" i="1"/>
  <c r="S761" i="1"/>
  <c r="N762" i="1"/>
  <c r="O762" i="1"/>
  <c r="Q762" i="1"/>
  <c r="S762" i="1"/>
  <c r="N763" i="1"/>
  <c r="O763" i="1"/>
  <c r="Q763" i="1"/>
  <c r="S763" i="1"/>
  <c r="N764" i="1"/>
  <c r="O764" i="1"/>
  <c r="Q764" i="1"/>
  <c r="S764" i="1"/>
  <c r="N765" i="1"/>
  <c r="O765" i="1"/>
  <c r="Q765" i="1"/>
  <c r="S765" i="1"/>
  <c r="N766" i="1"/>
  <c r="O766" i="1"/>
  <c r="Q766" i="1"/>
  <c r="S766" i="1"/>
  <c r="N767" i="1"/>
  <c r="O767" i="1"/>
  <c r="Q767" i="1"/>
  <c r="S767" i="1"/>
  <c r="N768" i="1"/>
  <c r="O768" i="1"/>
  <c r="Q768" i="1"/>
  <c r="S768" i="1"/>
  <c r="N769" i="1"/>
  <c r="O769" i="1"/>
  <c r="Q769" i="1"/>
  <c r="S769" i="1"/>
  <c r="N770" i="1"/>
  <c r="O770" i="1"/>
  <c r="Q770" i="1"/>
  <c r="S770" i="1"/>
  <c r="N771" i="1"/>
  <c r="O771" i="1"/>
  <c r="Q771" i="1"/>
  <c r="S771" i="1"/>
  <c r="N772" i="1"/>
  <c r="O772" i="1"/>
  <c r="Q772" i="1"/>
  <c r="S772" i="1"/>
  <c r="N773" i="1"/>
  <c r="O773" i="1"/>
  <c r="Q773" i="1"/>
  <c r="S773" i="1"/>
  <c r="N774" i="1"/>
  <c r="O774" i="1"/>
  <c r="Q774" i="1"/>
  <c r="S774" i="1"/>
  <c r="N775" i="1"/>
  <c r="O775" i="1"/>
  <c r="Q775" i="1"/>
  <c r="S775" i="1"/>
  <c r="N776" i="1"/>
  <c r="O776" i="1"/>
  <c r="Q776" i="1"/>
  <c r="S776" i="1"/>
  <c r="N777" i="1"/>
  <c r="O777" i="1"/>
  <c r="Q777" i="1"/>
  <c r="S777" i="1"/>
  <c r="N778" i="1"/>
  <c r="O778" i="1"/>
  <c r="Q778" i="1"/>
  <c r="S778" i="1"/>
  <c r="N779" i="1"/>
  <c r="O779" i="1"/>
  <c r="Q779" i="1"/>
  <c r="S779" i="1"/>
  <c r="N780" i="1"/>
  <c r="O780" i="1"/>
  <c r="Q780" i="1"/>
  <c r="S780" i="1"/>
  <c r="N781" i="1"/>
  <c r="O781" i="1"/>
  <c r="Q781" i="1"/>
  <c r="S781" i="1"/>
  <c r="N782" i="1"/>
  <c r="O782" i="1"/>
  <c r="Q782" i="1"/>
  <c r="S782" i="1"/>
  <c r="N783" i="1"/>
  <c r="O783" i="1"/>
  <c r="Q783" i="1"/>
  <c r="S783" i="1"/>
  <c r="N784" i="1"/>
  <c r="O784" i="1"/>
  <c r="Q784" i="1"/>
  <c r="S784" i="1"/>
  <c r="N785" i="1"/>
  <c r="O785" i="1"/>
  <c r="Q785" i="1"/>
  <c r="S785" i="1"/>
  <c r="N786" i="1"/>
  <c r="O786" i="1"/>
  <c r="Q786" i="1"/>
  <c r="S786" i="1"/>
  <c r="N787" i="1"/>
  <c r="O787" i="1"/>
  <c r="Q787" i="1"/>
  <c r="S787" i="1"/>
  <c r="N788" i="1"/>
  <c r="O788" i="1"/>
  <c r="Q788" i="1"/>
  <c r="S788" i="1"/>
  <c r="N789" i="1"/>
  <c r="O789" i="1"/>
  <c r="Q789" i="1"/>
  <c r="S789" i="1"/>
  <c r="N790" i="1"/>
  <c r="O790" i="1"/>
  <c r="Q790" i="1"/>
  <c r="S790" i="1"/>
  <c r="N791" i="1"/>
  <c r="O791" i="1"/>
  <c r="Q791" i="1"/>
  <c r="S791" i="1"/>
  <c r="N792" i="1"/>
  <c r="O792" i="1"/>
  <c r="Q792" i="1"/>
  <c r="S792" i="1"/>
  <c r="N793" i="1"/>
  <c r="O793" i="1"/>
  <c r="Q793" i="1"/>
  <c r="S793" i="1"/>
  <c r="N794" i="1"/>
  <c r="O794" i="1"/>
  <c r="Q794" i="1"/>
  <c r="S794" i="1"/>
  <c r="N795" i="1"/>
  <c r="O795" i="1"/>
  <c r="Q795" i="1"/>
  <c r="S795" i="1"/>
  <c r="N796" i="1"/>
  <c r="O796" i="1"/>
  <c r="Q796" i="1"/>
  <c r="S796" i="1"/>
  <c r="N797" i="1"/>
  <c r="O797" i="1"/>
  <c r="Q797" i="1"/>
  <c r="S797" i="1"/>
  <c r="N798" i="1"/>
  <c r="O798" i="1"/>
  <c r="Q798" i="1"/>
  <c r="S798" i="1"/>
  <c r="N799" i="1"/>
  <c r="O799" i="1"/>
  <c r="Q799" i="1"/>
  <c r="S799" i="1"/>
  <c r="N800" i="1"/>
  <c r="O800" i="1"/>
  <c r="Q800" i="1"/>
  <c r="S800" i="1"/>
  <c r="N801" i="1"/>
  <c r="O801" i="1"/>
  <c r="Q801" i="1"/>
  <c r="S801" i="1"/>
  <c r="N802" i="1"/>
  <c r="O802" i="1"/>
  <c r="Q802" i="1"/>
  <c r="S802" i="1"/>
  <c r="N803" i="1"/>
  <c r="O803" i="1"/>
  <c r="Q803" i="1"/>
  <c r="S803" i="1"/>
  <c r="N804" i="1"/>
  <c r="O804" i="1"/>
  <c r="Q804" i="1"/>
  <c r="S804" i="1"/>
  <c r="N805" i="1"/>
  <c r="O805" i="1"/>
  <c r="Q805" i="1"/>
  <c r="S805" i="1"/>
  <c r="N806" i="1"/>
  <c r="O806" i="1"/>
  <c r="Q806" i="1"/>
  <c r="S806" i="1"/>
  <c r="N807" i="1"/>
  <c r="O807" i="1"/>
  <c r="Q807" i="1"/>
  <c r="S807" i="1"/>
  <c r="N808" i="1"/>
  <c r="O808" i="1"/>
  <c r="Q808" i="1"/>
  <c r="S808" i="1"/>
  <c r="N809" i="1"/>
  <c r="O809" i="1"/>
  <c r="Q809" i="1"/>
  <c r="S809" i="1"/>
  <c r="N810" i="1"/>
  <c r="O810" i="1"/>
  <c r="Q810" i="1"/>
  <c r="S810" i="1"/>
  <c r="N811" i="1"/>
  <c r="O811" i="1"/>
  <c r="Q811" i="1"/>
  <c r="S811" i="1"/>
  <c r="N812" i="1"/>
  <c r="O812" i="1"/>
  <c r="Q812" i="1"/>
  <c r="S812" i="1"/>
  <c r="N813" i="1"/>
  <c r="O813" i="1"/>
  <c r="Q813" i="1"/>
  <c r="S813" i="1"/>
  <c r="N814" i="1"/>
  <c r="O814" i="1"/>
  <c r="Q814" i="1"/>
  <c r="S814" i="1"/>
  <c r="N815" i="1"/>
  <c r="O815" i="1"/>
  <c r="Q815" i="1"/>
  <c r="S815" i="1"/>
  <c r="N816" i="1"/>
  <c r="O816" i="1"/>
  <c r="Q816" i="1"/>
  <c r="S816" i="1"/>
  <c r="N817" i="1"/>
  <c r="O817" i="1"/>
  <c r="Q817" i="1"/>
  <c r="S817" i="1"/>
  <c r="N818" i="1"/>
  <c r="O818" i="1"/>
  <c r="Q818" i="1"/>
  <c r="S818" i="1"/>
  <c r="N819" i="1"/>
  <c r="O819" i="1"/>
  <c r="Q819" i="1"/>
  <c r="S819" i="1"/>
  <c r="N820" i="1"/>
  <c r="O820" i="1"/>
  <c r="Q820" i="1"/>
  <c r="S820" i="1"/>
  <c r="N821" i="1"/>
  <c r="O821" i="1"/>
  <c r="Q821" i="1"/>
  <c r="S821" i="1"/>
  <c r="N822" i="1"/>
  <c r="O822" i="1"/>
  <c r="Q822" i="1"/>
  <c r="S822" i="1"/>
  <c r="N823" i="1"/>
  <c r="O823" i="1"/>
  <c r="Q823" i="1"/>
  <c r="S823" i="1"/>
  <c r="N824" i="1"/>
  <c r="O824" i="1"/>
  <c r="Q824" i="1"/>
  <c r="S824" i="1"/>
  <c r="N825" i="1"/>
  <c r="O825" i="1"/>
  <c r="Q825" i="1"/>
  <c r="S825" i="1"/>
  <c r="N826" i="1"/>
  <c r="O826" i="1"/>
  <c r="Q826" i="1"/>
  <c r="S826" i="1"/>
  <c r="N827" i="1"/>
  <c r="O827" i="1"/>
  <c r="Q827" i="1"/>
  <c r="S827" i="1"/>
  <c r="N828" i="1"/>
  <c r="O828" i="1"/>
  <c r="Q828" i="1"/>
  <c r="S828" i="1"/>
  <c r="N829" i="1"/>
  <c r="O829" i="1"/>
  <c r="Q829" i="1"/>
  <c r="S829" i="1"/>
  <c r="N830" i="1"/>
  <c r="O830" i="1"/>
  <c r="Q830" i="1"/>
  <c r="S830" i="1"/>
  <c r="N831" i="1"/>
  <c r="O831" i="1"/>
  <c r="Q831" i="1"/>
  <c r="S831" i="1"/>
  <c r="N832" i="1"/>
  <c r="O832" i="1"/>
  <c r="Q832" i="1"/>
  <c r="S832" i="1"/>
  <c r="N833" i="1"/>
  <c r="O833" i="1"/>
  <c r="Q833" i="1"/>
  <c r="S833" i="1"/>
  <c r="N834" i="1"/>
  <c r="O834" i="1"/>
  <c r="Q834" i="1"/>
  <c r="S834" i="1"/>
  <c r="N835" i="1"/>
  <c r="O835" i="1"/>
  <c r="Q835" i="1"/>
  <c r="S835" i="1"/>
  <c r="N836" i="1"/>
  <c r="O836" i="1"/>
  <c r="Q836" i="1"/>
  <c r="S836" i="1"/>
  <c r="N837" i="1"/>
  <c r="O837" i="1"/>
  <c r="Q837" i="1"/>
  <c r="S837" i="1"/>
  <c r="N838" i="1"/>
  <c r="O838" i="1"/>
  <c r="Q838" i="1"/>
  <c r="S838" i="1"/>
  <c r="N839" i="1"/>
  <c r="O839" i="1"/>
  <c r="Q839" i="1"/>
  <c r="S839" i="1"/>
  <c r="N840" i="1"/>
  <c r="O840" i="1"/>
  <c r="Q840" i="1"/>
  <c r="S840" i="1"/>
  <c r="N841" i="1"/>
  <c r="O841" i="1"/>
  <c r="Q841" i="1"/>
  <c r="S841" i="1"/>
  <c r="N842" i="1"/>
  <c r="O842" i="1"/>
  <c r="Q842" i="1"/>
  <c r="S842" i="1"/>
  <c r="N843" i="1"/>
  <c r="O843" i="1"/>
  <c r="Q843" i="1"/>
  <c r="S843" i="1"/>
  <c r="N844" i="1"/>
  <c r="O844" i="1"/>
  <c r="Q844" i="1"/>
  <c r="S844" i="1"/>
  <c r="N845" i="1"/>
  <c r="O845" i="1"/>
  <c r="Q845" i="1"/>
  <c r="S845" i="1"/>
  <c r="N846" i="1"/>
  <c r="O846" i="1"/>
  <c r="Q846" i="1"/>
  <c r="S846" i="1"/>
  <c r="N847" i="1"/>
  <c r="O847" i="1"/>
  <c r="Q847" i="1"/>
  <c r="S847" i="1"/>
  <c r="N848" i="1"/>
  <c r="O848" i="1"/>
  <c r="Q848" i="1"/>
  <c r="S848" i="1"/>
  <c r="N849" i="1"/>
  <c r="O849" i="1"/>
  <c r="Q849" i="1"/>
  <c r="S849" i="1"/>
  <c r="N850" i="1"/>
  <c r="O850" i="1"/>
  <c r="Q850" i="1"/>
  <c r="S850" i="1"/>
  <c r="N851" i="1"/>
  <c r="O851" i="1"/>
  <c r="Q851" i="1"/>
  <c r="S851" i="1"/>
  <c r="N852" i="1"/>
  <c r="O852" i="1"/>
  <c r="Q852" i="1"/>
  <c r="S852" i="1"/>
  <c r="N853" i="1"/>
  <c r="O853" i="1"/>
  <c r="Q853" i="1"/>
  <c r="S853" i="1"/>
  <c r="N854" i="1"/>
  <c r="O854" i="1"/>
  <c r="Q854" i="1"/>
  <c r="S854" i="1"/>
  <c r="N855" i="1"/>
  <c r="O855" i="1"/>
  <c r="Q855" i="1"/>
  <c r="S855" i="1"/>
  <c r="N856" i="1"/>
  <c r="O856" i="1"/>
  <c r="Q856" i="1"/>
  <c r="S856" i="1"/>
  <c r="N857" i="1"/>
  <c r="O857" i="1"/>
  <c r="Q857" i="1"/>
  <c r="S857" i="1"/>
  <c r="N858" i="1"/>
  <c r="O858" i="1"/>
  <c r="Q858" i="1"/>
  <c r="S858" i="1"/>
  <c r="N859" i="1"/>
  <c r="O859" i="1"/>
  <c r="Q859" i="1"/>
  <c r="S859" i="1"/>
  <c r="N860" i="1"/>
  <c r="O860" i="1"/>
  <c r="Q860" i="1"/>
  <c r="S860" i="1"/>
  <c r="N861" i="1"/>
  <c r="O861" i="1"/>
  <c r="Q861" i="1"/>
  <c r="S861" i="1"/>
  <c r="N862" i="1"/>
  <c r="O862" i="1"/>
  <c r="Q862" i="1"/>
  <c r="S862" i="1"/>
  <c r="N863" i="1"/>
  <c r="O863" i="1"/>
  <c r="Q863" i="1"/>
  <c r="S863" i="1"/>
  <c r="N864" i="1"/>
  <c r="O864" i="1"/>
  <c r="Q864" i="1"/>
  <c r="S864" i="1"/>
  <c r="N865" i="1"/>
  <c r="O865" i="1"/>
  <c r="Q865" i="1"/>
  <c r="S865" i="1"/>
  <c r="N866" i="1"/>
  <c r="O866" i="1"/>
  <c r="Q866" i="1"/>
  <c r="S866" i="1"/>
  <c r="N867" i="1"/>
  <c r="O867" i="1"/>
  <c r="Q867" i="1"/>
  <c r="S867" i="1"/>
  <c r="N868" i="1"/>
  <c r="O868" i="1"/>
  <c r="Q868" i="1"/>
  <c r="S868" i="1"/>
  <c r="N869" i="1"/>
  <c r="O869" i="1"/>
  <c r="Q869" i="1"/>
  <c r="S869" i="1"/>
  <c r="N870" i="1"/>
  <c r="O870" i="1"/>
  <c r="Q870" i="1"/>
  <c r="S870" i="1"/>
  <c r="N871" i="1"/>
  <c r="O871" i="1"/>
  <c r="Q871" i="1"/>
  <c r="S871" i="1"/>
  <c r="N872" i="1"/>
  <c r="O872" i="1"/>
  <c r="Q872" i="1"/>
  <c r="S872" i="1"/>
  <c r="N873" i="1"/>
  <c r="O873" i="1"/>
  <c r="Q873" i="1"/>
  <c r="S873" i="1"/>
  <c r="N874" i="1"/>
  <c r="O874" i="1"/>
  <c r="Q874" i="1"/>
  <c r="S874" i="1"/>
  <c r="N875" i="1"/>
  <c r="O875" i="1"/>
  <c r="Q875" i="1"/>
  <c r="S875" i="1"/>
  <c r="N876" i="1"/>
  <c r="O876" i="1"/>
  <c r="Q876" i="1"/>
  <c r="S876" i="1"/>
  <c r="N877" i="1"/>
  <c r="O877" i="1"/>
  <c r="Q877" i="1"/>
  <c r="S877" i="1"/>
  <c r="N878" i="1"/>
  <c r="O878" i="1"/>
  <c r="Q878" i="1"/>
  <c r="S878" i="1"/>
  <c r="N879" i="1"/>
  <c r="O879" i="1"/>
  <c r="Q879" i="1"/>
  <c r="S879" i="1"/>
  <c r="N880" i="1"/>
  <c r="O880" i="1"/>
  <c r="Q880" i="1"/>
  <c r="S880" i="1"/>
  <c r="N881" i="1"/>
  <c r="O881" i="1"/>
  <c r="Q881" i="1"/>
  <c r="S881" i="1"/>
  <c r="N882" i="1"/>
  <c r="O882" i="1"/>
  <c r="Q882" i="1"/>
  <c r="S882" i="1"/>
  <c r="N883" i="1"/>
  <c r="O883" i="1"/>
  <c r="Q883" i="1"/>
  <c r="S883" i="1"/>
  <c r="N884" i="1"/>
  <c r="O884" i="1"/>
  <c r="Q884" i="1"/>
  <c r="S884" i="1"/>
  <c r="N885" i="1"/>
  <c r="O885" i="1"/>
  <c r="Q885" i="1"/>
  <c r="S885" i="1"/>
  <c r="N886" i="1"/>
  <c r="O886" i="1"/>
  <c r="Q886" i="1"/>
  <c r="S886" i="1"/>
  <c r="N887" i="1"/>
  <c r="O887" i="1"/>
  <c r="Q887" i="1"/>
  <c r="S887" i="1"/>
  <c r="N888" i="1"/>
  <c r="O888" i="1"/>
  <c r="Q888" i="1"/>
  <c r="S888" i="1"/>
  <c r="N889" i="1"/>
  <c r="O889" i="1"/>
  <c r="Q889" i="1"/>
  <c r="S889" i="1"/>
  <c r="N890" i="1"/>
  <c r="O890" i="1"/>
  <c r="Q890" i="1"/>
  <c r="S890" i="1"/>
  <c r="N891" i="1"/>
  <c r="O891" i="1"/>
  <c r="Q891" i="1"/>
  <c r="S891" i="1"/>
  <c r="N892" i="1"/>
  <c r="O892" i="1"/>
  <c r="Q892" i="1"/>
  <c r="S892" i="1"/>
  <c r="N893" i="1"/>
  <c r="O893" i="1"/>
  <c r="Q893" i="1"/>
  <c r="S893" i="1"/>
  <c r="N894" i="1"/>
  <c r="O894" i="1"/>
  <c r="Q894" i="1"/>
  <c r="S894" i="1"/>
  <c r="N895" i="1"/>
  <c r="O895" i="1"/>
  <c r="Q895" i="1"/>
  <c r="S895" i="1"/>
  <c r="N896" i="1"/>
  <c r="O896" i="1"/>
  <c r="Q896" i="1"/>
  <c r="S896" i="1"/>
  <c r="N897" i="1"/>
  <c r="O897" i="1"/>
  <c r="Q897" i="1"/>
  <c r="S897" i="1"/>
  <c r="N898" i="1"/>
  <c r="O898" i="1"/>
  <c r="Q898" i="1"/>
  <c r="S898" i="1"/>
  <c r="N899" i="1"/>
  <c r="O899" i="1"/>
  <c r="Q899" i="1"/>
  <c r="S899" i="1"/>
  <c r="N900" i="1"/>
  <c r="O900" i="1"/>
  <c r="Q900" i="1"/>
  <c r="S900" i="1"/>
  <c r="N901" i="1"/>
  <c r="O901" i="1"/>
  <c r="Q901" i="1"/>
  <c r="S901" i="1"/>
  <c r="N902" i="1"/>
  <c r="O902" i="1"/>
  <c r="Q902" i="1"/>
  <c r="S902" i="1"/>
  <c r="N903" i="1"/>
  <c r="O903" i="1"/>
  <c r="Q903" i="1"/>
  <c r="S903" i="1"/>
  <c r="N904" i="1"/>
  <c r="O904" i="1"/>
  <c r="Q904" i="1"/>
  <c r="S904" i="1"/>
  <c r="N905" i="1"/>
  <c r="O905" i="1"/>
  <c r="Q905" i="1"/>
  <c r="S905" i="1"/>
  <c r="N906" i="1"/>
  <c r="O906" i="1"/>
  <c r="Q906" i="1"/>
  <c r="S906" i="1"/>
  <c r="N907" i="1"/>
  <c r="O907" i="1"/>
  <c r="Q907" i="1"/>
  <c r="S907" i="1"/>
  <c r="N908" i="1"/>
  <c r="O908" i="1"/>
  <c r="Q908" i="1"/>
  <c r="S908" i="1"/>
  <c r="N909" i="1"/>
  <c r="O909" i="1"/>
  <c r="Q909" i="1"/>
  <c r="S909" i="1"/>
  <c r="N910" i="1"/>
  <c r="O910" i="1"/>
  <c r="Q910" i="1"/>
  <c r="S910" i="1"/>
  <c r="N911" i="1"/>
  <c r="O911" i="1"/>
  <c r="Q911" i="1"/>
  <c r="S911" i="1"/>
  <c r="N912" i="1"/>
  <c r="O912" i="1"/>
  <c r="Q912" i="1"/>
  <c r="S912" i="1"/>
  <c r="N913" i="1"/>
  <c r="O913" i="1"/>
  <c r="Q913" i="1"/>
  <c r="S913" i="1"/>
  <c r="N914" i="1"/>
  <c r="O914" i="1"/>
  <c r="Q914" i="1"/>
  <c r="S914" i="1"/>
  <c r="N915" i="1"/>
  <c r="O915" i="1"/>
  <c r="Q915" i="1"/>
  <c r="S915" i="1"/>
  <c r="N916" i="1"/>
  <c r="O916" i="1"/>
  <c r="Q916" i="1"/>
  <c r="S916" i="1"/>
  <c r="N917" i="1"/>
  <c r="O917" i="1"/>
  <c r="Q917" i="1"/>
  <c r="S917" i="1"/>
  <c r="N918" i="1"/>
  <c r="O918" i="1"/>
  <c r="Q918" i="1"/>
  <c r="S918" i="1"/>
  <c r="N919" i="1"/>
  <c r="O919" i="1"/>
  <c r="Q919" i="1"/>
  <c r="S919" i="1"/>
  <c r="N920" i="1"/>
  <c r="O920" i="1"/>
  <c r="Q920" i="1"/>
  <c r="S920" i="1"/>
  <c r="N921" i="1"/>
  <c r="O921" i="1"/>
  <c r="Q921" i="1"/>
  <c r="S921" i="1"/>
  <c r="N922" i="1"/>
  <c r="O922" i="1"/>
  <c r="Q922" i="1"/>
  <c r="S922" i="1"/>
  <c r="N923" i="1"/>
  <c r="O923" i="1"/>
  <c r="Q923" i="1"/>
  <c r="S923" i="1"/>
  <c r="N924" i="1"/>
  <c r="O924" i="1"/>
  <c r="Q924" i="1"/>
  <c r="S924" i="1"/>
  <c r="N925" i="1"/>
  <c r="O925" i="1"/>
  <c r="Q925" i="1"/>
  <c r="S925" i="1"/>
  <c r="N926" i="1"/>
  <c r="O926" i="1"/>
  <c r="Q926" i="1"/>
  <c r="S926" i="1"/>
  <c r="N927" i="1"/>
  <c r="O927" i="1"/>
  <c r="Q927" i="1"/>
  <c r="S927" i="1"/>
  <c r="N928" i="1"/>
  <c r="O928" i="1"/>
  <c r="Q928" i="1"/>
  <c r="S928" i="1"/>
  <c r="N929" i="1"/>
  <c r="O929" i="1"/>
  <c r="Q929" i="1"/>
  <c r="S929" i="1"/>
  <c r="N930" i="1"/>
  <c r="O930" i="1"/>
  <c r="Q930" i="1"/>
  <c r="S930" i="1"/>
  <c r="N931" i="1"/>
  <c r="O931" i="1"/>
  <c r="Q931" i="1"/>
  <c r="S931" i="1"/>
  <c r="N932" i="1"/>
  <c r="O932" i="1"/>
  <c r="Q932" i="1"/>
  <c r="S932" i="1"/>
  <c r="N933" i="1"/>
  <c r="O933" i="1"/>
  <c r="Q933" i="1"/>
  <c r="S933" i="1"/>
  <c r="N934" i="1"/>
  <c r="O934" i="1"/>
  <c r="Q934" i="1"/>
  <c r="S934" i="1"/>
  <c r="N935" i="1"/>
  <c r="O935" i="1"/>
  <c r="Q935" i="1"/>
  <c r="S935" i="1"/>
  <c r="N936" i="1"/>
  <c r="O936" i="1"/>
  <c r="Q936" i="1"/>
  <c r="S936" i="1"/>
  <c r="N937" i="1"/>
  <c r="O937" i="1"/>
  <c r="Q937" i="1"/>
  <c r="S937" i="1"/>
  <c r="N938" i="1"/>
  <c r="O938" i="1"/>
  <c r="Q938" i="1"/>
  <c r="S938" i="1"/>
  <c r="N939" i="1"/>
  <c r="O939" i="1"/>
  <c r="Q939" i="1"/>
  <c r="S939" i="1"/>
  <c r="N940" i="1"/>
  <c r="O940" i="1"/>
  <c r="Q940" i="1"/>
  <c r="S940" i="1"/>
  <c r="N941" i="1"/>
  <c r="O941" i="1"/>
  <c r="Q941" i="1"/>
  <c r="S941" i="1"/>
  <c r="N942" i="1"/>
  <c r="O942" i="1"/>
  <c r="Q942" i="1"/>
  <c r="S942" i="1"/>
  <c r="N943" i="1"/>
  <c r="O943" i="1"/>
  <c r="Q943" i="1"/>
  <c r="S943" i="1"/>
  <c r="N944" i="1"/>
  <c r="O944" i="1"/>
  <c r="Q944" i="1"/>
  <c r="S944" i="1"/>
  <c r="N945" i="1"/>
  <c r="O945" i="1"/>
  <c r="Q945" i="1"/>
  <c r="S945" i="1"/>
  <c r="N946" i="1"/>
  <c r="O946" i="1"/>
  <c r="Q946" i="1"/>
  <c r="S946" i="1"/>
  <c r="N947" i="1"/>
  <c r="O947" i="1"/>
  <c r="Q947" i="1"/>
  <c r="S947" i="1"/>
  <c r="N948" i="1"/>
  <c r="O948" i="1"/>
  <c r="Q948" i="1"/>
  <c r="S948" i="1"/>
  <c r="N949" i="1"/>
  <c r="O949" i="1"/>
  <c r="Q949" i="1"/>
  <c r="S949" i="1"/>
  <c r="N950" i="1"/>
  <c r="O950" i="1"/>
  <c r="Q950" i="1"/>
  <c r="S950" i="1"/>
  <c r="N951" i="1"/>
  <c r="O951" i="1"/>
  <c r="Q951" i="1"/>
  <c r="S951" i="1"/>
  <c r="N952" i="1"/>
  <c r="O952" i="1"/>
  <c r="Q952" i="1"/>
  <c r="S952" i="1"/>
  <c r="N953" i="1"/>
  <c r="O953" i="1"/>
  <c r="Q953" i="1"/>
  <c r="S953" i="1"/>
  <c r="N954" i="1"/>
  <c r="O954" i="1"/>
  <c r="Q954" i="1"/>
  <c r="S954" i="1"/>
  <c r="N955" i="1"/>
  <c r="O955" i="1"/>
  <c r="Q955" i="1"/>
  <c r="S955" i="1"/>
  <c r="N956" i="1"/>
  <c r="O956" i="1"/>
  <c r="Q956" i="1"/>
  <c r="S956" i="1"/>
  <c r="N957" i="1"/>
  <c r="O957" i="1"/>
  <c r="Q957" i="1"/>
  <c r="S957" i="1"/>
  <c r="N958" i="1"/>
  <c r="O958" i="1"/>
  <c r="Q958" i="1"/>
  <c r="S958" i="1"/>
  <c r="N959" i="1"/>
  <c r="O959" i="1"/>
  <c r="Q959" i="1"/>
  <c r="S959" i="1"/>
  <c r="N960" i="1"/>
  <c r="O960" i="1"/>
  <c r="Q960" i="1"/>
  <c r="S960" i="1"/>
  <c r="N961" i="1"/>
  <c r="O961" i="1"/>
  <c r="Q961" i="1"/>
  <c r="S961" i="1"/>
  <c r="N962" i="1"/>
  <c r="O962" i="1"/>
  <c r="Q962" i="1"/>
  <c r="S962" i="1"/>
  <c r="N963" i="1"/>
  <c r="O963" i="1"/>
  <c r="Q963" i="1"/>
  <c r="S963" i="1"/>
  <c r="N964" i="1"/>
  <c r="O964" i="1"/>
  <c r="Q964" i="1"/>
  <c r="S964" i="1"/>
  <c r="N965" i="1"/>
  <c r="O965" i="1"/>
  <c r="Q965" i="1"/>
  <c r="S965" i="1"/>
  <c r="N966" i="1"/>
  <c r="O966" i="1"/>
  <c r="Q966" i="1"/>
  <c r="S966" i="1"/>
  <c r="N967" i="1"/>
  <c r="O967" i="1"/>
  <c r="Q967" i="1"/>
  <c r="S967" i="1"/>
  <c r="N968" i="1"/>
  <c r="O968" i="1"/>
  <c r="Q968" i="1"/>
  <c r="S968" i="1"/>
  <c r="N969" i="1"/>
  <c r="O969" i="1"/>
  <c r="Q969" i="1"/>
  <c r="S969" i="1"/>
  <c r="N970" i="1"/>
  <c r="O970" i="1"/>
  <c r="Q970" i="1"/>
  <c r="S970" i="1"/>
  <c r="N971" i="1"/>
  <c r="O971" i="1"/>
  <c r="Q971" i="1"/>
  <c r="S971" i="1"/>
  <c r="N972" i="1"/>
  <c r="O972" i="1"/>
  <c r="Q972" i="1"/>
  <c r="S972" i="1"/>
  <c r="N973" i="1"/>
  <c r="O973" i="1"/>
  <c r="Q973" i="1"/>
  <c r="S973" i="1"/>
  <c r="N974" i="1"/>
  <c r="O974" i="1"/>
  <c r="Q974" i="1"/>
  <c r="S974" i="1"/>
  <c r="N975" i="1"/>
  <c r="O975" i="1"/>
  <c r="Q975" i="1"/>
  <c r="S975" i="1"/>
  <c r="N976" i="1"/>
  <c r="O976" i="1"/>
  <c r="Q976" i="1"/>
  <c r="S976" i="1"/>
  <c r="N977" i="1"/>
  <c r="O977" i="1"/>
  <c r="Q977" i="1"/>
  <c r="S977" i="1"/>
  <c r="N978" i="1"/>
  <c r="O978" i="1"/>
  <c r="Q978" i="1"/>
  <c r="S978" i="1"/>
  <c r="N979" i="1"/>
  <c r="O979" i="1"/>
  <c r="Q979" i="1"/>
  <c r="S979" i="1"/>
  <c r="N980" i="1"/>
  <c r="O980" i="1"/>
  <c r="Q980" i="1"/>
  <c r="S980" i="1"/>
  <c r="N981" i="1"/>
  <c r="O981" i="1"/>
  <c r="Q981" i="1"/>
  <c r="S981" i="1"/>
  <c r="N982" i="1"/>
  <c r="O982" i="1"/>
  <c r="Q982" i="1"/>
  <c r="S982" i="1"/>
  <c r="N983" i="1"/>
  <c r="O983" i="1"/>
  <c r="Q983" i="1"/>
  <c r="S983" i="1"/>
  <c r="N984" i="1"/>
  <c r="O984" i="1"/>
  <c r="Q984" i="1"/>
  <c r="S984" i="1"/>
  <c r="N985" i="1"/>
  <c r="O985" i="1"/>
  <c r="Q985" i="1"/>
  <c r="S985" i="1"/>
  <c r="N986" i="1"/>
  <c r="O986" i="1"/>
  <c r="Q986" i="1"/>
  <c r="S986" i="1"/>
  <c r="N987" i="1"/>
  <c r="O987" i="1"/>
  <c r="Q987" i="1"/>
  <c r="S987" i="1"/>
  <c r="N988" i="1"/>
  <c r="O988" i="1"/>
  <c r="Q988" i="1"/>
  <c r="S988" i="1"/>
  <c r="N989" i="1"/>
  <c r="O989" i="1"/>
  <c r="Q989" i="1"/>
  <c r="S989" i="1"/>
  <c r="N990" i="1"/>
  <c r="O990" i="1"/>
  <c r="Q990" i="1"/>
  <c r="S990" i="1"/>
  <c r="N991" i="1"/>
  <c r="O991" i="1"/>
  <c r="Q991" i="1"/>
  <c r="S991" i="1"/>
  <c r="N992" i="1"/>
  <c r="O992" i="1"/>
  <c r="Q992" i="1"/>
  <c r="S992" i="1"/>
  <c r="N993" i="1"/>
  <c r="O993" i="1"/>
  <c r="Q993" i="1"/>
  <c r="S993" i="1"/>
  <c r="N994" i="1"/>
  <c r="O994" i="1"/>
  <c r="Q994" i="1"/>
  <c r="S994" i="1"/>
  <c r="N995" i="1"/>
  <c r="O995" i="1"/>
  <c r="Q995" i="1"/>
  <c r="S995" i="1"/>
  <c r="N996" i="1"/>
  <c r="O996" i="1"/>
  <c r="Q996" i="1"/>
  <c r="S996" i="1"/>
  <c r="N997" i="1"/>
  <c r="O997" i="1"/>
  <c r="Q997" i="1"/>
  <c r="S997" i="1"/>
  <c r="N998" i="1"/>
  <c r="O998" i="1"/>
  <c r="Q998" i="1"/>
  <c r="S998" i="1"/>
  <c r="N999" i="1"/>
  <c r="O999" i="1"/>
  <c r="Q999" i="1"/>
  <c r="S999" i="1"/>
  <c r="N1000" i="1"/>
  <c r="O1000" i="1"/>
  <c r="Q1000" i="1"/>
  <c r="S1000" i="1"/>
  <c r="N1001" i="1"/>
  <c r="O1001" i="1"/>
  <c r="Q1001" i="1"/>
  <c r="S1001" i="1"/>
  <c r="N1002" i="1"/>
  <c r="O1002" i="1"/>
  <c r="Q1002" i="1"/>
  <c r="S1002" i="1"/>
  <c r="N1003" i="1"/>
  <c r="O1003" i="1"/>
  <c r="Q1003" i="1"/>
  <c r="S1003" i="1"/>
  <c r="N1004" i="1"/>
  <c r="O1004" i="1"/>
  <c r="Q1004" i="1"/>
  <c r="S1004" i="1"/>
  <c r="N1005" i="1"/>
  <c r="O1005" i="1"/>
  <c r="Q1005" i="1"/>
  <c r="S1005" i="1"/>
  <c r="N1006" i="1"/>
  <c r="O1006" i="1"/>
  <c r="Q1006" i="1"/>
  <c r="S1006" i="1"/>
  <c r="N1007" i="1"/>
  <c r="O1007" i="1"/>
  <c r="Q1007" i="1"/>
  <c r="S1007" i="1"/>
  <c r="N1008" i="1"/>
  <c r="O1008" i="1"/>
  <c r="Q1008" i="1"/>
  <c r="S1008" i="1"/>
  <c r="N1009" i="1"/>
  <c r="O1009" i="1"/>
  <c r="Q1009" i="1"/>
  <c r="S1009" i="1"/>
  <c r="N1010" i="1"/>
  <c r="O1010" i="1"/>
  <c r="Q1010" i="1"/>
  <c r="S1010" i="1"/>
  <c r="N1011" i="1"/>
  <c r="O1011" i="1"/>
  <c r="Q1011" i="1"/>
  <c r="S1011" i="1"/>
  <c r="N1012" i="1"/>
  <c r="O1012" i="1"/>
  <c r="Q1012" i="1"/>
  <c r="S1012" i="1"/>
  <c r="N1013" i="1"/>
  <c r="O1013" i="1"/>
  <c r="Q1013" i="1"/>
  <c r="S1013" i="1"/>
  <c r="N1014" i="1"/>
  <c r="O1014" i="1"/>
  <c r="Q1014" i="1"/>
  <c r="S1014" i="1"/>
  <c r="N1015" i="1"/>
  <c r="O1015" i="1"/>
  <c r="Q1015" i="1"/>
  <c r="S1015" i="1"/>
  <c r="N1016" i="1"/>
  <c r="O1016" i="1"/>
  <c r="Q1016" i="1"/>
  <c r="S1016" i="1"/>
  <c r="N1017" i="1"/>
  <c r="O1017" i="1"/>
  <c r="Q1017" i="1"/>
  <c r="S1017" i="1"/>
  <c r="N1018" i="1"/>
  <c r="O1018" i="1"/>
  <c r="Q1018" i="1"/>
  <c r="S1018" i="1"/>
  <c r="N1019" i="1"/>
  <c r="O1019" i="1"/>
  <c r="Q1019" i="1"/>
  <c r="S1019" i="1"/>
  <c r="N1020" i="1"/>
  <c r="O1020" i="1"/>
  <c r="Q1020" i="1"/>
  <c r="S1020" i="1"/>
  <c r="N1021" i="1"/>
  <c r="O1021" i="1"/>
  <c r="Q1021" i="1"/>
  <c r="S1021" i="1"/>
  <c r="N1022" i="1"/>
  <c r="O1022" i="1"/>
  <c r="Q1022" i="1"/>
  <c r="S1022" i="1"/>
  <c r="N1023" i="1"/>
  <c r="O1023" i="1"/>
  <c r="Q1023" i="1"/>
  <c r="S1023" i="1"/>
  <c r="N1024" i="1"/>
  <c r="O1024" i="1"/>
  <c r="Q1024" i="1"/>
  <c r="S1024" i="1"/>
  <c r="N1025" i="1"/>
  <c r="O1025" i="1"/>
  <c r="Q1025" i="1"/>
  <c r="S1025" i="1"/>
  <c r="N1026" i="1"/>
  <c r="O1026" i="1"/>
  <c r="Q1026" i="1"/>
  <c r="S1026" i="1"/>
  <c r="N1027" i="1"/>
  <c r="O1027" i="1"/>
  <c r="Q1027" i="1"/>
  <c r="S1027" i="1"/>
  <c r="N1028" i="1"/>
  <c r="O1028" i="1"/>
  <c r="Q1028" i="1"/>
  <c r="S1028" i="1"/>
  <c r="N1029" i="1"/>
  <c r="O1029" i="1"/>
  <c r="Q1029" i="1"/>
  <c r="S1029" i="1"/>
  <c r="N1030" i="1"/>
  <c r="O1030" i="1"/>
  <c r="Q1030" i="1"/>
  <c r="S1030" i="1"/>
  <c r="N1031" i="1"/>
  <c r="O1031" i="1"/>
  <c r="Q1031" i="1"/>
  <c r="S1031" i="1"/>
  <c r="N1032" i="1"/>
  <c r="O1032" i="1"/>
  <c r="Q1032" i="1"/>
  <c r="S1032" i="1"/>
  <c r="N1033" i="1"/>
  <c r="O1033" i="1"/>
  <c r="Q1033" i="1"/>
  <c r="S1033" i="1"/>
  <c r="N1034" i="1"/>
  <c r="O1034" i="1"/>
  <c r="Q1034" i="1"/>
  <c r="S1034" i="1"/>
  <c r="N1035" i="1"/>
  <c r="O1035" i="1"/>
  <c r="Q1035" i="1"/>
  <c r="S1035" i="1"/>
  <c r="N1036" i="1"/>
  <c r="O1036" i="1"/>
  <c r="Q1036" i="1"/>
  <c r="S1036" i="1"/>
  <c r="N1037" i="1"/>
  <c r="O1037" i="1"/>
  <c r="Q1037" i="1"/>
  <c r="S1037" i="1"/>
  <c r="N1038" i="1"/>
  <c r="O1038" i="1"/>
  <c r="Q1038" i="1"/>
  <c r="S1038" i="1"/>
  <c r="N1039" i="1"/>
  <c r="O1039" i="1"/>
  <c r="Q1039" i="1"/>
  <c r="S1039" i="1"/>
  <c r="N1040" i="1"/>
  <c r="O1040" i="1"/>
  <c r="Q1040" i="1"/>
  <c r="S1040" i="1"/>
  <c r="N1041" i="1"/>
  <c r="O1041" i="1"/>
  <c r="Q1041" i="1"/>
  <c r="S1041" i="1"/>
  <c r="N1042" i="1"/>
  <c r="O1042" i="1"/>
  <c r="Q1042" i="1"/>
  <c r="S1042" i="1"/>
  <c r="N1043" i="1"/>
  <c r="O1043" i="1"/>
  <c r="Q1043" i="1"/>
  <c r="S1043" i="1"/>
  <c r="N1044" i="1"/>
  <c r="O1044" i="1"/>
  <c r="Q1044" i="1"/>
  <c r="S1044" i="1"/>
  <c r="N1045" i="1"/>
  <c r="O1045" i="1"/>
  <c r="Q1045" i="1"/>
  <c r="S1045" i="1"/>
  <c r="N1046" i="1"/>
  <c r="O1046" i="1"/>
  <c r="Q1046" i="1"/>
  <c r="S1046" i="1"/>
  <c r="N1047" i="1"/>
  <c r="O1047" i="1"/>
  <c r="Q1047" i="1"/>
  <c r="S1047" i="1"/>
  <c r="N1048" i="1"/>
  <c r="O1048" i="1"/>
  <c r="Q1048" i="1"/>
  <c r="S1048" i="1"/>
  <c r="N1049" i="1"/>
  <c r="O1049" i="1"/>
  <c r="Q1049" i="1"/>
  <c r="S1049" i="1"/>
  <c r="N1050" i="1"/>
  <c r="O1050" i="1"/>
  <c r="Q1050" i="1"/>
  <c r="S1050" i="1"/>
  <c r="N1051" i="1"/>
  <c r="O1051" i="1"/>
  <c r="Q1051" i="1"/>
  <c r="S1051" i="1"/>
  <c r="N1052" i="1"/>
  <c r="O1052" i="1"/>
  <c r="Q1052" i="1"/>
  <c r="S1052" i="1"/>
  <c r="N1053" i="1"/>
  <c r="O1053" i="1"/>
  <c r="Q1053" i="1"/>
  <c r="S1053" i="1"/>
  <c r="N1054" i="1"/>
  <c r="O1054" i="1"/>
  <c r="Q1054" i="1"/>
  <c r="S1054" i="1"/>
  <c r="N1055" i="1"/>
  <c r="O1055" i="1"/>
  <c r="Q1055" i="1"/>
  <c r="S1055" i="1"/>
  <c r="N1056" i="1"/>
  <c r="O1056" i="1"/>
  <c r="Q1056" i="1"/>
  <c r="S1056" i="1"/>
  <c r="N1057" i="1"/>
  <c r="O1057" i="1"/>
  <c r="Q1057" i="1"/>
  <c r="S1057" i="1"/>
  <c r="N1058" i="1"/>
  <c r="O1058" i="1"/>
  <c r="Q1058" i="1"/>
  <c r="S1058" i="1"/>
  <c r="N1059" i="1"/>
  <c r="O1059" i="1"/>
  <c r="Q1059" i="1"/>
  <c r="S1059" i="1"/>
  <c r="N1060" i="1"/>
  <c r="O1060" i="1"/>
  <c r="Q1060" i="1"/>
  <c r="S1060" i="1"/>
  <c r="N1061" i="1"/>
  <c r="O1061" i="1"/>
  <c r="Q1061" i="1"/>
  <c r="S1061" i="1"/>
  <c r="N1062" i="1"/>
  <c r="O1062" i="1"/>
  <c r="Q1062" i="1"/>
  <c r="S1062" i="1"/>
  <c r="N1063" i="1"/>
  <c r="O1063" i="1"/>
  <c r="Q1063" i="1"/>
  <c r="S1063" i="1"/>
  <c r="N1064" i="1"/>
  <c r="O1064" i="1"/>
  <c r="Q1064" i="1"/>
  <c r="S1064" i="1"/>
  <c r="N1065" i="1"/>
  <c r="O1065" i="1"/>
  <c r="Q1065" i="1"/>
  <c r="S1065" i="1"/>
  <c r="N1066" i="1"/>
  <c r="O1066" i="1"/>
  <c r="Q1066" i="1"/>
  <c r="S1066" i="1"/>
  <c r="N1067" i="1"/>
  <c r="O1067" i="1"/>
  <c r="Q1067" i="1"/>
  <c r="S1067" i="1"/>
  <c r="N1068" i="1"/>
  <c r="O1068" i="1"/>
  <c r="Q1068" i="1"/>
  <c r="S1068" i="1"/>
  <c r="N1069" i="1"/>
  <c r="O1069" i="1"/>
  <c r="Q1069" i="1"/>
  <c r="S1069" i="1"/>
  <c r="N1070" i="1"/>
  <c r="O1070" i="1"/>
  <c r="Q1070" i="1"/>
  <c r="S1070" i="1"/>
  <c r="N1071" i="1"/>
  <c r="O1071" i="1"/>
  <c r="Q1071" i="1"/>
  <c r="S1071" i="1"/>
  <c r="N1072" i="1"/>
  <c r="O1072" i="1"/>
  <c r="Q1072" i="1"/>
  <c r="S1072" i="1"/>
  <c r="N1073" i="1"/>
  <c r="O1073" i="1"/>
  <c r="Q1073" i="1"/>
  <c r="S1073" i="1"/>
  <c r="N1074" i="1"/>
  <c r="O1074" i="1"/>
  <c r="Q1074" i="1"/>
  <c r="S1074" i="1"/>
  <c r="N1075" i="1"/>
  <c r="O1075" i="1"/>
  <c r="Q1075" i="1"/>
  <c r="S1075" i="1"/>
  <c r="N1076" i="1"/>
  <c r="O1076" i="1"/>
  <c r="Q1076" i="1"/>
  <c r="S1076" i="1"/>
  <c r="N1077" i="1"/>
  <c r="O1077" i="1"/>
  <c r="Q1077" i="1"/>
  <c r="S1077" i="1"/>
  <c r="N1078" i="1"/>
  <c r="O1078" i="1"/>
  <c r="Q1078" i="1"/>
  <c r="S1078" i="1"/>
  <c r="N1079" i="1"/>
  <c r="O1079" i="1"/>
  <c r="Q1079" i="1"/>
  <c r="S1079" i="1"/>
  <c r="N1080" i="1"/>
  <c r="O1080" i="1"/>
  <c r="Q1080" i="1"/>
  <c r="S1080" i="1"/>
  <c r="N1081" i="1"/>
  <c r="O1081" i="1"/>
  <c r="Q1081" i="1"/>
  <c r="S1081" i="1"/>
  <c r="N1082" i="1"/>
  <c r="O1082" i="1"/>
  <c r="Q1082" i="1"/>
  <c r="S1082" i="1"/>
  <c r="N1083" i="1"/>
  <c r="O1083" i="1"/>
  <c r="Q1083" i="1"/>
  <c r="S1083" i="1"/>
  <c r="N1084" i="1"/>
  <c r="O1084" i="1"/>
  <c r="Q1084" i="1"/>
  <c r="S1084" i="1"/>
  <c r="N1085" i="1"/>
  <c r="O1085" i="1"/>
  <c r="Q1085" i="1"/>
  <c r="S1085" i="1"/>
  <c r="N1086" i="1"/>
  <c r="O1086" i="1"/>
  <c r="Q1086" i="1"/>
  <c r="S1086" i="1"/>
  <c r="N1087" i="1"/>
  <c r="O1087" i="1"/>
  <c r="Q1087" i="1"/>
  <c r="S1087" i="1"/>
  <c r="N1088" i="1"/>
  <c r="O1088" i="1"/>
  <c r="Q1088" i="1"/>
  <c r="S1088" i="1"/>
  <c r="N1089" i="1"/>
  <c r="O1089" i="1"/>
  <c r="Q1089" i="1"/>
  <c r="S1089" i="1"/>
  <c r="N1090" i="1"/>
  <c r="O1090" i="1"/>
  <c r="Q1090" i="1"/>
  <c r="S1090" i="1"/>
  <c r="N1091" i="1"/>
  <c r="O1091" i="1"/>
  <c r="Q1091" i="1"/>
  <c r="S1091" i="1"/>
  <c r="N1092" i="1"/>
  <c r="O1092" i="1"/>
  <c r="Q1092" i="1"/>
  <c r="S1092" i="1"/>
  <c r="N1093" i="1"/>
  <c r="O1093" i="1"/>
  <c r="Q1093" i="1"/>
  <c r="S1093" i="1"/>
  <c r="N1094" i="1"/>
  <c r="O1094" i="1"/>
  <c r="Q1094" i="1"/>
  <c r="S1094" i="1"/>
  <c r="N1095" i="1"/>
  <c r="O1095" i="1"/>
  <c r="Q1095" i="1"/>
  <c r="S1095" i="1"/>
  <c r="N1096" i="1"/>
  <c r="O1096" i="1"/>
  <c r="Q1096" i="1"/>
  <c r="S1096" i="1"/>
  <c r="N1097" i="1"/>
  <c r="O1097" i="1"/>
  <c r="Q1097" i="1"/>
  <c r="S1097" i="1"/>
  <c r="N1098" i="1"/>
  <c r="O1098" i="1"/>
  <c r="Q1098" i="1"/>
  <c r="S1098" i="1"/>
  <c r="N1099" i="1"/>
  <c r="O1099" i="1"/>
  <c r="Q1099" i="1"/>
  <c r="S1099" i="1"/>
  <c r="N1100" i="1"/>
  <c r="O1100" i="1"/>
  <c r="Q1100" i="1"/>
  <c r="S1100" i="1"/>
  <c r="N1101" i="1"/>
  <c r="O1101" i="1"/>
  <c r="Q1101" i="1"/>
  <c r="S1101" i="1"/>
  <c r="N1102" i="1"/>
  <c r="O1102" i="1"/>
  <c r="Q1102" i="1"/>
  <c r="S1102" i="1"/>
  <c r="N1103" i="1"/>
  <c r="O1103" i="1"/>
  <c r="Q1103" i="1"/>
  <c r="S1103" i="1"/>
  <c r="N1104" i="1"/>
  <c r="O1104" i="1"/>
  <c r="Q1104" i="1"/>
  <c r="S1104" i="1"/>
  <c r="N1105" i="1"/>
  <c r="O1105" i="1"/>
  <c r="Q1105" i="1"/>
  <c r="S1105" i="1"/>
  <c r="N1106" i="1"/>
  <c r="O1106" i="1"/>
  <c r="Q1106" i="1"/>
  <c r="S1106" i="1"/>
  <c r="N1107" i="1"/>
  <c r="O1107" i="1"/>
  <c r="Q1107" i="1"/>
  <c r="S1107" i="1"/>
  <c r="N1108" i="1"/>
  <c r="O1108" i="1"/>
  <c r="Q1108" i="1"/>
  <c r="S1108" i="1"/>
  <c r="N1109" i="1"/>
  <c r="O1109" i="1"/>
  <c r="Q1109" i="1"/>
  <c r="S1109" i="1"/>
  <c r="N1110" i="1"/>
  <c r="O1110" i="1"/>
  <c r="Q1110" i="1"/>
  <c r="S1110" i="1"/>
  <c r="N1111" i="1"/>
  <c r="O1111" i="1"/>
  <c r="Q1111" i="1"/>
  <c r="S1111" i="1"/>
  <c r="N1112" i="1"/>
  <c r="O1112" i="1"/>
  <c r="Q1112" i="1"/>
  <c r="S1112" i="1"/>
  <c r="N1113" i="1"/>
  <c r="O1113" i="1"/>
  <c r="Q1113" i="1"/>
  <c r="S1113" i="1"/>
  <c r="N1114" i="1"/>
  <c r="O1114" i="1"/>
  <c r="Q1114" i="1"/>
  <c r="S1114" i="1"/>
  <c r="N1115" i="1"/>
  <c r="O1115" i="1"/>
  <c r="Q1115" i="1"/>
  <c r="S1115" i="1"/>
  <c r="N1116" i="1"/>
  <c r="O1116" i="1"/>
  <c r="Q1116" i="1"/>
  <c r="S1116" i="1"/>
  <c r="N1117" i="1"/>
  <c r="O1117" i="1"/>
  <c r="Q1117" i="1"/>
  <c r="S1117" i="1"/>
  <c r="N1118" i="1"/>
  <c r="O1118" i="1"/>
  <c r="Q1118" i="1"/>
  <c r="S1118" i="1"/>
  <c r="N1119" i="1"/>
  <c r="O1119" i="1"/>
  <c r="Q1119" i="1"/>
  <c r="S1119" i="1"/>
  <c r="N1120" i="1"/>
  <c r="O1120" i="1"/>
  <c r="Q1120" i="1"/>
  <c r="S1120" i="1"/>
  <c r="N1121" i="1"/>
  <c r="O1121" i="1"/>
  <c r="Q1121" i="1"/>
  <c r="S1121" i="1"/>
  <c r="N1122" i="1"/>
  <c r="O1122" i="1"/>
  <c r="Q1122" i="1"/>
  <c r="S1122" i="1"/>
  <c r="N1123" i="1"/>
  <c r="O1123" i="1"/>
  <c r="Q1123" i="1"/>
  <c r="S1123" i="1"/>
  <c r="N1124" i="1"/>
  <c r="O1124" i="1"/>
  <c r="Q1124" i="1"/>
  <c r="S1124" i="1"/>
  <c r="N1125" i="1"/>
  <c r="O1125" i="1"/>
  <c r="Q1125" i="1"/>
  <c r="S1125" i="1"/>
  <c r="N1126" i="1"/>
  <c r="O1126" i="1"/>
  <c r="Q1126" i="1"/>
  <c r="S1126" i="1"/>
  <c r="N1127" i="1"/>
  <c r="O1127" i="1"/>
  <c r="Q1127" i="1"/>
  <c r="S1127" i="1"/>
  <c r="N1128" i="1"/>
  <c r="O1128" i="1"/>
  <c r="Q1128" i="1"/>
  <c r="S1128" i="1"/>
  <c r="N1129" i="1"/>
  <c r="O1129" i="1"/>
  <c r="Q1129" i="1"/>
  <c r="S1129" i="1"/>
  <c r="N1130" i="1"/>
  <c r="O1130" i="1"/>
  <c r="Q1130" i="1"/>
  <c r="S1130" i="1"/>
  <c r="N1131" i="1"/>
  <c r="O1131" i="1"/>
  <c r="Q1131" i="1"/>
  <c r="S1131" i="1"/>
  <c r="N1132" i="1"/>
  <c r="O1132" i="1"/>
  <c r="Q1132" i="1"/>
  <c r="S1132" i="1"/>
  <c r="N1133" i="1"/>
  <c r="O1133" i="1"/>
  <c r="Q1133" i="1"/>
  <c r="S1133" i="1"/>
  <c r="N1134" i="1"/>
  <c r="O1134" i="1"/>
  <c r="Q1134" i="1"/>
  <c r="S1134" i="1"/>
  <c r="N1135" i="1"/>
  <c r="O1135" i="1"/>
  <c r="Q1135" i="1"/>
  <c r="S1135" i="1"/>
  <c r="N1136" i="1"/>
  <c r="O1136" i="1"/>
  <c r="Q1136" i="1"/>
  <c r="S1136" i="1"/>
  <c r="N1137" i="1"/>
  <c r="O1137" i="1"/>
  <c r="Q1137" i="1"/>
  <c r="S1137" i="1"/>
  <c r="N1138" i="1"/>
  <c r="O1138" i="1"/>
  <c r="Q1138" i="1"/>
  <c r="S1138" i="1"/>
  <c r="N1139" i="1"/>
  <c r="O1139" i="1"/>
  <c r="Q1139" i="1"/>
  <c r="S1139" i="1"/>
  <c r="N1140" i="1"/>
  <c r="O1140" i="1"/>
  <c r="Q1140" i="1"/>
  <c r="S1140" i="1"/>
  <c r="N1141" i="1"/>
  <c r="O1141" i="1"/>
  <c r="Q1141" i="1"/>
  <c r="S1141" i="1"/>
  <c r="N1142" i="1"/>
  <c r="O1142" i="1"/>
  <c r="Q1142" i="1"/>
  <c r="S1142" i="1"/>
  <c r="N1143" i="1"/>
  <c r="O1143" i="1"/>
  <c r="Q1143" i="1"/>
  <c r="S1143" i="1"/>
  <c r="N1144" i="1"/>
  <c r="O1144" i="1"/>
  <c r="Q1144" i="1"/>
  <c r="S1144" i="1"/>
  <c r="N1145" i="1"/>
  <c r="O1145" i="1"/>
  <c r="Q1145" i="1"/>
  <c r="S1145" i="1"/>
  <c r="N1146" i="1"/>
  <c r="O1146" i="1"/>
  <c r="Q1146" i="1"/>
  <c r="S1146" i="1"/>
  <c r="N1147" i="1"/>
  <c r="O1147" i="1"/>
  <c r="Q1147" i="1"/>
  <c r="S1147" i="1"/>
  <c r="N1148" i="1"/>
  <c r="O1148" i="1"/>
  <c r="Q1148" i="1"/>
  <c r="S1148" i="1"/>
  <c r="N1149" i="1"/>
  <c r="O1149" i="1"/>
  <c r="Q1149" i="1"/>
  <c r="S1149" i="1"/>
  <c r="N1150" i="1"/>
  <c r="O1150" i="1"/>
  <c r="Q1150" i="1"/>
  <c r="S1150" i="1"/>
  <c r="N1151" i="1"/>
  <c r="O1151" i="1"/>
  <c r="Q1151" i="1"/>
  <c r="S1151" i="1"/>
  <c r="N1152" i="1"/>
  <c r="O1152" i="1"/>
  <c r="Q1152" i="1"/>
  <c r="S1152" i="1"/>
  <c r="N1153" i="1"/>
  <c r="O1153" i="1"/>
  <c r="Q1153" i="1"/>
  <c r="S1153" i="1"/>
  <c r="N1154" i="1"/>
  <c r="O1154" i="1"/>
  <c r="Q1154" i="1"/>
  <c r="S1154" i="1"/>
  <c r="N1155" i="1"/>
  <c r="O1155" i="1"/>
  <c r="Q1155" i="1"/>
  <c r="S1155" i="1"/>
  <c r="N1156" i="1"/>
  <c r="O1156" i="1"/>
  <c r="Q1156" i="1"/>
  <c r="S1156" i="1"/>
  <c r="N1157" i="1"/>
  <c r="O1157" i="1"/>
  <c r="Q1157" i="1"/>
  <c r="S1157" i="1"/>
  <c r="N1158" i="1"/>
  <c r="O1158" i="1"/>
  <c r="Q1158" i="1"/>
  <c r="S1158" i="1"/>
  <c r="N1159" i="1"/>
  <c r="O1159" i="1"/>
  <c r="Q1159" i="1"/>
  <c r="S1159" i="1"/>
  <c r="N1160" i="1"/>
  <c r="O1160" i="1"/>
  <c r="Q1160" i="1"/>
  <c r="S1160" i="1"/>
  <c r="N1161" i="1"/>
  <c r="O1161" i="1"/>
  <c r="Q1161" i="1"/>
  <c r="S1161" i="1"/>
  <c r="N1162" i="1"/>
  <c r="O1162" i="1"/>
  <c r="Q1162" i="1"/>
  <c r="S1162" i="1"/>
  <c r="N1163" i="1"/>
  <c r="O1163" i="1"/>
  <c r="Q1163" i="1"/>
  <c r="S1163" i="1"/>
  <c r="N1164" i="1"/>
  <c r="O1164" i="1"/>
  <c r="Q1164" i="1"/>
  <c r="S1164" i="1"/>
  <c r="N1165" i="1"/>
  <c r="O1165" i="1"/>
  <c r="Q1165" i="1"/>
  <c r="S1165" i="1"/>
  <c r="N1166" i="1"/>
  <c r="O1166" i="1"/>
  <c r="Q1166" i="1"/>
  <c r="S1166" i="1"/>
  <c r="N1167" i="1"/>
  <c r="O1167" i="1"/>
  <c r="Q1167" i="1"/>
  <c r="S1167" i="1"/>
  <c r="N1168" i="1"/>
  <c r="O1168" i="1"/>
  <c r="Q1168" i="1"/>
  <c r="S1168" i="1"/>
  <c r="N1169" i="1"/>
  <c r="O1169" i="1"/>
  <c r="Q1169" i="1"/>
  <c r="S1169" i="1"/>
  <c r="N1170" i="1"/>
  <c r="O1170" i="1"/>
  <c r="Q1170" i="1"/>
  <c r="S1170" i="1"/>
  <c r="N1171" i="1"/>
  <c r="O1171" i="1"/>
  <c r="Q1171" i="1"/>
  <c r="S1171" i="1"/>
  <c r="N1172" i="1"/>
  <c r="O1172" i="1"/>
  <c r="Q1172" i="1"/>
  <c r="S1172" i="1"/>
  <c r="N1173" i="1"/>
  <c r="O1173" i="1"/>
  <c r="Q1173" i="1"/>
  <c r="S1173" i="1"/>
  <c r="N1174" i="1"/>
  <c r="O1174" i="1"/>
  <c r="Q1174" i="1"/>
  <c r="S1174" i="1"/>
  <c r="N1175" i="1"/>
  <c r="O1175" i="1"/>
  <c r="Q1175" i="1"/>
  <c r="S1175" i="1"/>
  <c r="N1176" i="1"/>
  <c r="O1176" i="1"/>
  <c r="Q1176" i="1"/>
  <c r="S1176" i="1"/>
  <c r="N1177" i="1"/>
  <c r="O1177" i="1"/>
  <c r="Q1177" i="1"/>
  <c r="S1177" i="1"/>
  <c r="N1178" i="1"/>
  <c r="O1178" i="1"/>
  <c r="Q1178" i="1"/>
  <c r="S1178" i="1"/>
  <c r="N1179" i="1"/>
  <c r="O1179" i="1"/>
  <c r="Q1179" i="1"/>
  <c r="S1179" i="1"/>
  <c r="N1180" i="1"/>
  <c r="O1180" i="1"/>
  <c r="Q1180" i="1"/>
  <c r="S1180" i="1"/>
  <c r="N1181" i="1"/>
  <c r="O1181" i="1"/>
  <c r="Q1181" i="1"/>
  <c r="S1181" i="1"/>
  <c r="N1182" i="1"/>
  <c r="O1182" i="1"/>
  <c r="Q1182" i="1"/>
  <c r="S1182" i="1"/>
  <c r="N1183" i="1"/>
  <c r="O1183" i="1"/>
  <c r="Q1183" i="1"/>
  <c r="S1183" i="1"/>
  <c r="N1184" i="1"/>
  <c r="O1184" i="1"/>
  <c r="Q1184" i="1"/>
  <c r="S1184" i="1"/>
  <c r="N1185" i="1"/>
  <c r="O1185" i="1"/>
  <c r="Q1185" i="1"/>
  <c r="S1185" i="1"/>
  <c r="N1186" i="1"/>
  <c r="O1186" i="1"/>
  <c r="Q1186" i="1"/>
  <c r="S1186" i="1"/>
  <c r="N1187" i="1"/>
  <c r="O1187" i="1"/>
  <c r="Q1187" i="1"/>
  <c r="S1187" i="1"/>
  <c r="N1188" i="1"/>
  <c r="O1188" i="1"/>
  <c r="Q1188" i="1"/>
  <c r="S1188" i="1"/>
  <c r="N1189" i="1"/>
  <c r="O1189" i="1"/>
  <c r="Q1189" i="1"/>
  <c r="S1189" i="1"/>
  <c r="N1190" i="1"/>
  <c r="O1190" i="1"/>
  <c r="Q1190" i="1"/>
  <c r="S1190" i="1"/>
  <c r="N1191" i="1"/>
  <c r="O1191" i="1"/>
  <c r="Q1191" i="1"/>
  <c r="S1191" i="1"/>
  <c r="N1192" i="1"/>
  <c r="O1192" i="1"/>
  <c r="Q1192" i="1"/>
  <c r="S1192" i="1"/>
  <c r="N1193" i="1"/>
  <c r="O1193" i="1"/>
  <c r="Q1193" i="1"/>
  <c r="S1193" i="1"/>
  <c r="N1194" i="1"/>
  <c r="O1194" i="1"/>
  <c r="Q1194" i="1"/>
  <c r="S1194" i="1"/>
  <c r="N1195" i="1"/>
  <c r="O1195" i="1"/>
  <c r="Q1195" i="1"/>
  <c r="S1195" i="1"/>
  <c r="N1196" i="1"/>
  <c r="O1196" i="1"/>
  <c r="Q1196" i="1"/>
  <c r="S1196" i="1"/>
  <c r="N1197" i="1"/>
  <c r="O1197" i="1"/>
  <c r="Q1197" i="1"/>
  <c r="S1197" i="1"/>
  <c r="N1198" i="1"/>
  <c r="O1198" i="1"/>
  <c r="Q1198" i="1"/>
  <c r="S1198" i="1"/>
  <c r="N1199" i="1"/>
  <c r="O1199" i="1"/>
  <c r="Q1199" i="1"/>
  <c r="S1199" i="1"/>
  <c r="N1200" i="1"/>
  <c r="O1200" i="1"/>
  <c r="Q1200" i="1"/>
  <c r="S1200" i="1"/>
  <c r="I488" i="1"/>
  <c r="K488" i="1" s="1"/>
  <c r="J488" i="1"/>
  <c r="I489" i="1"/>
  <c r="K489" i="1" s="1"/>
  <c r="J489" i="1"/>
  <c r="I490" i="1"/>
  <c r="K490" i="1" s="1"/>
  <c r="J490" i="1"/>
  <c r="I491" i="1"/>
  <c r="K491" i="1" s="1"/>
  <c r="J491" i="1"/>
  <c r="I492" i="1"/>
  <c r="K492" i="1" s="1"/>
  <c r="J492" i="1"/>
  <c r="I493" i="1"/>
  <c r="K493" i="1" s="1"/>
  <c r="J493" i="1"/>
  <c r="I494" i="1"/>
  <c r="K494" i="1" s="1"/>
  <c r="J494" i="1"/>
  <c r="I495" i="1"/>
  <c r="K495" i="1" s="1"/>
  <c r="J495" i="1"/>
  <c r="I496" i="1"/>
  <c r="K496" i="1" s="1"/>
  <c r="J496" i="1"/>
  <c r="I497" i="1"/>
  <c r="K497" i="1" s="1"/>
  <c r="J497" i="1"/>
  <c r="I498" i="1"/>
  <c r="K498" i="1" s="1"/>
  <c r="J498" i="1"/>
  <c r="I499" i="1"/>
  <c r="K499" i="1" s="1"/>
  <c r="J499" i="1"/>
  <c r="I500" i="1"/>
  <c r="K500" i="1" s="1"/>
  <c r="J500" i="1"/>
  <c r="I501" i="1"/>
  <c r="K501" i="1" s="1"/>
  <c r="J501" i="1"/>
  <c r="I502" i="1"/>
  <c r="K502" i="1" s="1"/>
  <c r="J502" i="1"/>
  <c r="I503" i="1"/>
  <c r="K503" i="1" s="1"/>
  <c r="J503" i="1"/>
  <c r="I504" i="1"/>
  <c r="K504" i="1" s="1"/>
  <c r="J504" i="1"/>
  <c r="I505" i="1"/>
  <c r="K505" i="1" s="1"/>
  <c r="J505" i="1"/>
  <c r="I506" i="1"/>
  <c r="K506" i="1" s="1"/>
  <c r="J506" i="1"/>
  <c r="I507" i="1"/>
  <c r="K507" i="1" s="1"/>
  <c r="J507" i="1"/>
  <c r="I508" i="1"/>
  <c r="K508" i="1" s="1"/>
  <c r="J508" i="1"/>
  <c r="I509" i="1"/>
  <c r="K509" i="1" s="1"/>
  <c r="J509" i="1"/>
  <c r="I510" i="1"/>
  <c r="K510" i="1" s="1"/>
  <c r="J510" i="1"/>
  <c r="I511" i="1"/>
  <c r="K511" i="1" s="1"/>
  <c r="J511" i="1"/>
  <c r="I512" i="1"/>
  <c r="K512" i="1" s="1"/>
  <c r="J512" i="1"/>
  <c r="I513" i="1"/>
  <c r="K513" i="1" s="1"/>
  <c r="J513" i="1"/>
  <c r="I514" i="1"/>
  <c r="K514" i="1" s="1"/>
  <c r="J514" i="1"/>
  <c r="I515" i="1"/>
  <c r="K515" i="1" s="1"/>
  <c r="J515" i="1"/>
  <c r="I516" i="1"/>
  <c r="K516" i="1" s="1"/>
  <c r="J516" i="1"/>
  <c r="I517" i="1"/>
  <c r="K517" i="1" s="1"/>
  <c r="J517" i="1"/>
  <c r="I518" i="1"/>
  <c r="K518" i="1" s="1"/>
  <c r="J518" i="1"/>
  <c r="I519" i="1"/>
  <c r="K519" i="1" s="1"/>
  <c r="J519" i="1"/>
  <c r="I520" i="1"/>
  <c r="K520" i="1" s="1"/>
  <c r="J520" i="1"/>
  <c r="I521" i="1"/>
  <c r="K521" i="1" s="1"/>
  <c r="J521" i="1"/>
  <c r="I522" i="1"/>
  <c r="K522" i="1" s="1"/>
  <c r="J522" i="1"/>
  <c r="I523" i="1"/>
  <c r="K523" i="1" s="1"/>
  <c r="J523" i="1"/>
  <c r="I524" i="1"/>
  <c r="K524" i="1" s="1"/>
  <c r="J524" i="1"/>
  <c r="I525" i="1"/>
  <c r="K525" i="1" s="1"/>
  <c r="J525" i="1"/>
  <c r="I526" i="1"/>
  <c r="K526" i="1" s="1"/>
  <c r="J526" i="1"/>
  <c r="I527" i="1"/>
  <c r="K527" i="1" s="1"/>
  <c r="J527" i="1"/>
  <c r="I528" i="1"/>
  <c r="K528" i="1" s="1"/>
  <c r="J528" i="1"/>
  <c r="I529" i="1"/>
  <c r="K529" i="1" s="1"/>
  <c r="J529" i="1"/>
  <c r="I530" i="1"/>
  <c r="K530" i="1" s="1"/>
  <c r="J530" i="1"/>
  <c r="I531" i="1"/>
  <c r="K531" i="1" s="1"/>
  <c r="J531" i="1"/>
  <c r="I532" i="1"/>
  <c r="K532" i="1" s="1"/>
  <c r="J532" i="1"/>
  <c r="I533" i="1"/>
  <c r="K533" i="1" s="1"/>
  <c r="J533" i="1"/>
  <c r="I534" i="1"/>
  <c r="K534" i="1" s="1"/>
  <c r="J534" i="1"/>
  <c r="I535" i="1"/>
  <c r="K535" i="1" s="1"/>
  <c r="J535" i="1"/>
  <c r="I536" i="1"/>
  <c r="K536" i="1" s="1"/>
  <c r="J536" i="1"/>
  <c r="I537" i="1"/>
  <c r="K537" i="1" s="1"/>
  <c r="J537" i="1"/>
  <c r="I538" i="1"/>
  <c r="K538" i="1" s="1"/>
  <c r="J538" i="1"/>
  <c r="I539" i="1"/>
  <c r="K539" i="1" s="1"/>
  <c r="J539" i="1"/>
  <c r="I540" i="1"/>
  <c r="K540" i="1" s="1"/>
  <c r="J540" i="1"/>
  <c r="I541" i="1"/>
  <c r="K541" i="1" s="1"/>
  <c r="J541" i="1"/>
  <c r="I542" i="1"/>
  <c r="K542" i="1" s="1"/>
  <c r="J542" i="1"/>
  <c r="I543" i="1"/>
  <c r="K543" i="1" s="1"/>
  <c r="J543" i="1"/>
  <c r="I544" i="1"/>
  <c r="K544" i="1" s="1"/>
  <c r="J544" i="1"/>
  <c r="I545" i="1"/>
  <c r="K545" i="1" s="1"/>
  <c r="J545" i="1"/>
  <c r="I546" i="1"/>
  <c r="K546" i="1" s="1"/>
  <c r="J546" i="1"/>
  <c r="I547" i="1"/>
  <c r="K547" i="1" s="1"/>
  <c r="J547" i="1"/>
  <c r="I548" i="1"/>
  <c r="K548" i="1" s="1"/>
  <c r="J548" i="1"/>
  <c r="I549" i="1"/>
  <c r="K549" i="1" s="1"/>
  <c r="J549" i="1"/>
  <c r="I550" i="1"/>
  <c r="K550" i="1" s="1"/>
  <c r="J550" i="1"/>
  <c r="I551" i="1"/>
  <c r="K551" i="1" s="1"/>
  <c r="J551" i="1"/>
  <c r="I552" i="1"/>
  <c r="K552" i="1" s="1"/>
  <c r="J552" i="1"/>
  <c r="I553" i="1"/>
  <c r="K553" i="1" s="1"/>
  <c r="J553" i="1"/>
  <c r="I554" i="1"/>
  <c r="K554" i="1" s="1"/>
  <c r="J554" i="1"/>
  <c r="I555" i="1"/>
  <c r="K555" i="1" s="1"/>
  <c r="J555" i="1"/>
  <c r="I556" i="1"/>
  <c r="K556" i="1" s="1"/>
  <c r="J556" i="1"/>
  <c r="I557" i="1"/>
  <c r="K557" i="1" s="1"/>
  <c r="J557" i="1"/>
  <c r="I558" i="1"/>
  <c r="K558" i="1" s="1"/>
  <c r="J558" i="1"/>
  <c r="I559" i="1"/>
  <c r="K559" i="1" s="1"/>
  <c r="J559" i="1"/>
  <c r="I560" i="1"/>
  <c r="K560" i="1" s="1"/>
  <c r="J560" i="1"/>
  <c r="I561" i="1"/>
  <c r="K561" i="1" s="1"/>
  <c r="J561" i="1"/>
  <c r="I562" i="1"/>
  <c r="K562" i="1" s="1"/>
  <c r="J562" i="1"/>
  <c r="I563" i="1"/>
  <c r="K563" i="1" s="1"/>
  <c r="J563" i="1"/>
  <c r="I564" i="1"/>
  <c r="K564" i="1" s="1"/>
  <c r="J564" i="1"/>
  <c r="I565" i="1"/>
  <c r="K565" i="1" s="1"/>
  <c r="J565" i="1"/>
  <c r="I566" i="1"/>
  <c r="K566" i="1" s="1"/>
  <c r="J566" i="1"/>
  <c r="I567" i="1"/>
  <c r="K567" i="1" s="1"/>
  <c r="J567" i="1"/>
  <c r="I568" i="1"/>
  <c r="K568" i="1" s="1"/>
  <c r="J568" i="1"/>
  <c r="I569" i="1"/>
  <c r="K569" i="1" s="1"/>
  <c r="J569" i="1"/>
  <c r="I570" i="1"/>
  <c r="K570" i="1" s="1"/>
  <c r="J570" i="1"/>
  <c r="I571" i="1"/>
  <c r="K571" i="1" s="1"/>
  <c r="J571" i="1"/>
  <c r="I572" i="1"/>
  <c r="K572" i="1" s="1"/>
  <c r="J572" i="1"/>
  <c r="I573" i="1"/>
  <c r="K573" i="1" s="1"/>
  <c r="J573" i="1"/>
  <c r="I574" i="1"/>
  <c r="K574" i="1" s="1"/>
  <c r="J574" i="1"/>
  <c r="I575" i="1"/>
  <c r="K575" i="1" s="1"/>
  <c r="J575" i="1"/>
  <c r="I576" i="1"/>
  <c r="K576" i="1" s="1"/>
  <c r="J576" i="1"/>
  <c r="I577" i="1"/>
  <c r="K577" i="1" s="1"/>
  <c r="J577" i="1"/>
  <c r="I578" i="1"/>
  <c r="K578" i="1" s="1"/>
  <c r="J578" i="1"/>
  <c r="I579" i="1"/>
  <c r="K579" i="1" s="1"/>
  <c r="J579" i="1"/>
  <c r="I580" i="1"/>
  <c r="K580" i="1" s="1"/>
  <c r="J580" i="1"/>
  <c r="I581" i="1"/>
  <c r="K581" i="1" s="1"/>
  <c r="J581" i="1"/>
  <c r="I582" i="1"/>
  <c r="K582" i="1" s="1"/>
  <c r="J582" i="1"/>
  <c r="I583" i="1"/>
  <c r="K583" i="1" s="1"/>
  <c r="J583" i="1"/>
  <c r="I584" i="1"/>
  <c r="K584" i="1" s="1"/>
  <c r="J584" i="1"/>
  <c r="I585" i="1"/>
  <c r="K585" i="1" s="1"/>
  <c r="J585" i="1"/>
  <c r="I586" i="1"/>
  <c r="K586" i="1" s="1"/>
  <c r="J586" i="1"/>
  <c r="I587" i="1"/>
  <c r="K587" i="1" s="1"/>
  <c r="J587" i="1"/>
  <c r="I588" i="1"/>
  <c r="K588" i="1" s="1"/>
  <c r="J588" i="1"/>
  <c r="I589" i="1"/>
  <c r="K589" i="1" s="1"/>
  <c r="J589" i="1"/>
  <c r="I590" i="1"/>
  <c r="K590" i="1" s="1"/>
  <c r="J590" i="1"/>
  <c r="I591" i="1"/>
  <c r="K591" i="1" s="1"/>
  <c r="J591" i="1"/>
  <c r="I592" i="1"/>
  <c r="K592" i="1" s="1"/>
  <c r="J592" i="1"/>
  <c r="I593" i="1"/>
  <c r="K593" i="1" s="1"/>
  <c r="J593" i="1"/>
  <c r="I594" i="1"/>
  <c r="K594" i="1" s="1"/>
  <c r="J594" i="1"/>
  <c r="I595" i="1"/>
  <c r="K595" i="1" s="1"/>
  <c r="J595" i="1"/>
  <c r="I596" i="1"/>
  <c r="K596" i="1" s="1"/>
  <c r="J596" i="1"/>
  <c r="I597" i="1"/>
  <c r="K597" i="1" s="1"/>
  <c r="J597" i="1"/>
  <c r="I598" i="1"/>
  <c r="K598" i="1" s="1"/>
  <c r="J598" i="1"/>
  <c r="I599" i="1"/>
  <c r="K599" i="1" s="1"/>
  <c r="J599" i="1"/>
  <c r="I600" i="1"/>
  <c r="K600" i="1" s="1"/>
  <c r="J600" i="1"/>
  <c r="I601" i="1"/>
  <c r="K601" i="1" s="1"/>
  <c r="J601" i="1"/>
  <c r="I602" i="1"/>
  <c r="K602" i="1" s="1"/>
  <c r="J602" i="1"/>
  <c r="I603" i="1"/>
  <c r="K603" i="1" s="1"/>
  <c r="J603" i="1"/>
  <c r="I604" i="1"/>
  <c r="K604" i="1" s="1"/>
  <c r="J604" i="1"/>
  <c r="I605" i="1"/>
  <c r="K605" i="1" s="1"/>
  <c r="J605" i="1"/>
  <c r="I606" i="1"/>
  <c r="K606" i="1" s="1"/>
  <c r="J606" i="1"/>
  <c r="I607" i="1"/>
  <c r="K607" i="1" s="1"/>
  <c r="J607" i="1"/>
  <c r="I608" i="1"/>
  <c r="K608" i="1" s="1"/>
  <c r="J608" i="1"/>
  <c r="I609" i="1"/>
  <c r="K609" i="1" s="1"/>
  <c r="J609" i="1"/>
  <c r="I610" i="1"/>
  <c r="K610" i="1" s="1"/>
  <c r="J610" i="1"/>
  <c r="I611" i="1"/>
  <c r="K611" i="1" s="1"/>
  <c r="J611" i="1"/>
  <c r="I612" i="1"/>
  <c r="K612" i="1" s="1"/>
  <c r="J612" i="1"/>
  <c r="I613" i="1"/>
  <c r="K613" i="1" s="1"/>
  <c r="J613" i="1"/>
  <c r="I614" i="1"/>
  <c r="K614" i="1" s="1"/>
  <c r="J614" i="1"/>
  <c r="I615" i="1"/>
  <c r="K615" i="1" s="1"/>
  <c r="J615" i="1"/>
  <c r="I616" i="1"/>
  <c r="K616" i="1" s="1"/>
  <c r="J616" i="1"/>
  <c r="I617" i="1"/>
  <c r="K617" i="1" s="1"/>
  <c r="J617" i="1"/>
  <c r="I618" i="1"/>
  <c r="K618" i="1" s="1"/>
  <c r="J618" i="1"/>
  <c r="I619" i="1"/>
  <c r="K619" i="1" s="1"/>
  <c r="J619" i="1"/>
  <c r="I620" i="1"/>
  <c r="K620" i="1" s="1"/>
  <c r="J620" i="1"/>
  <c r="I621" i="1"/>
  <c r="K621" i="1" s="1"/>
  <c r="J621" i="1"/>
  <c r="I622" i="1"/>
  <c r="K622" i="1" s="1"/>
  <c r="J622" i="1"/>
  <c r="I623" i="1"/>
  <c r="K623" i="1" s="1"/>
  <c r="J623" i="1"/>
  <c r="I624" i="1"/>
  <c r="K624" i="1" s="1"/>
  <c r="J624" i="1"/>
  <c r="I625" i="1"/>
  <c r="K625" i="1" s="1"/>
  <c r="J625" i="1"/>
  <c r="I626" i="1"/>
  <c r="K626" i="1" s="1"/>
  <c r="J626" i="1"/>
  <c r="I627" i="1"/>
  <c r="K627" i="1" s="1"/>
  <c r="J627" i="1"/>
  <c r="I628" i="1"/>
  <c r="K628" i="1" s="1"/>
  <c r="J628" i="1"/>
  <c r="I629" i="1"/>
  <c r="K629" i="1" s="1"/>
  <c r="J629" i="1"/>
  <c r="I630" i="1"/>
  <c r="K630" i="1" s="1"/>
  <c r="J630" i="1"/>
  <c r="I631" i="1"/>
  <c r="K631" i="1" s="1"/>
  <c r="J631" i="1"/>
  <c r="I632" i="1"/>
  <c r="K632" i="1" s="1"/>
  <c r="J632" i="1"/>
  <c r="I633" i="1"/>
  <c r="K633" i="1" s="1"/>
  <c r="J633" i="1"/>
  <c r="I634" i="1"/>
  <c r="K634" i="1" s="1"/>
  <c r="J634" i="1"/>
  <c r="I635" i="1"/>
  <c r="K635" i="1" s="1"/>
  <c r="J635" i="1"/>
  <c r="I636" i="1"/>
  <c r="K636" i="1" s="1"/>
  <c r="J636" i="1"/>
  <c r="I637" i="1"/>
  <c r="K637" i="1" s="1"/>
  <c r="J637" i="1"/>
  <c r="I638" i="1"/>
  <c r="K638" i="1" s="1"/>
  <c r="J638" i="1"/>
  <c r="I639" i="1"/>
  <c r="K639" i="1" s="1"/>
  <c r="J639" i="1"/>
  <c r="I640" i="1"/>
  <c r="K640" i="1" s="1"/>
  <c r="J640" i="1"/>
  <c r="I641" i="1"/>
  <c r="K641" i="1" s="1"/>
  <c r="J641" i="1"/>
  <c r="I642" i="1"/>
  <c r="K642" i="1" s="1"/>
  <c r="J642" i="1"/>
  <c r="I643" i="1"/>
  <c r="K643" i="1" s="1"/>
  <c r="J643" i="1"/>
  <c r="I644" i="1"/>
  <c r="K644" i="1" s="1"/>
  <c r="J644" i="1"/>
  <c r="I645" i="1"/>
  <c r="K645" i="1" s="1"/>
  <c r="J645" i="1"/>
  <c r="I646" i="1"/>
  <c r="K646" i="1" s="1"/>
  <c r="J646" i="1"/>
  <c r="I647" i="1"/>
  <c r="K647" i="1" s="1"/>
  <c r="J647" i="1"/>
  <c r="I648" i="1"/>
  <c r="K648" i="1" s="1"/>
  <c r="J648" i="1"/>
  <c r="I649" i="1"/>
  <c r="K649" i="1" s="1"/>
  <c r="J649" i="1"/>
  <c r="I650" i="1"/>
  <c r="K650" i="1" s="1"/>
  <c r="J650" i="1"/>
  <c r="I651" i="1"/>
  <c r="K651" i="1" s="1"/>
  <c r="J651" i="1"/>
  <c r="I652" i="1"/>
  <c r="K652" i="1" s="1"/>
  <c r="J652" i="1"/>
  <c r="I653" i="1"/>
  <c r="K653" i="1" s="1"/>
  <c r="J653" i="1"/>
  <c r="I654" i="1"/>
  <c r="K654" i="1" s="1"/>
  <c r="J654" i="1"/>
  <c r="I655" i="1"/>
  <c r="K655" i="1" s="1"/>
  <c r="J655" i="1"/>
  <c r="I656" i="1"/>
  <c r="K656" i="1" s="1"/>
  <c r="J656" i="1"/>
  <c r="I657" i="1"/>
  <c r="K657" i="1" s="1"/>
  <c r="J657" i="1"/>
  <c r="I658" i="1"/>
  <c r="K658" i="1" s="1"/>
  <c r="J658" i="1"/>
  <c r="I659" i="1"/>
  <c r="K659" i="1" s="1"/>
  <c r="J659" i="1"/>
  <c r="I660" i="1"/>
  <c r="K660" i="1" s="1"/>
  <c r="J660" i="1"/>
  <c r="I661" i="1"/>
  <c r="K661" i="1" s="1"/>
  <c r="J661" i="1"/>
  <c r="I662" i="1"/>
  <c r="K662" i="1" s="1"/>
  <c r="J662" i="1"/>
  <c r="I663" i="1"/>
  <c r="K663" i="1" s="1"/>
  <c r="J663" i="1"/>
  <c r="I664" i="1"/>
  <c r="K664" i="1" s="1"/>
  <c r="J664" i="1"/>
  <c r="I665" i="1"/>
  <c r="K665" i="1" s="1"/>
  <c r="J665" i="1"/>
  <c r="I666" i="1"/>
  <c r="K666" i="1" s="1"/>
  <c r="J666" i="1"/>
  <c r="I667" i="1"/>
  <c r="K667" i="1" s="1"/>
  <c r="J667" i="1"/>
  <c r="I668" i="1"/>
  <c r="K668" i="1" s="1"/>
  <c r="J668" i="1"/>
  <c r="I669" i="1"/>
  <c r="K669" i="1" s="1"/>
  <c r="J669" i="1"/>
  <c r="I670" i="1"/>
  <c r="K670" i="1" s="1"/>
  <c r="J670" i="1"/>
  <c r="I671" i="1"/>
  <c r="K671" i="1" s="1"/>
  <c r="J671" i="1"/>
  <c r="I672" i="1"/>
  <c r="K672" i="1" s="1"/>
  <c r="J672" i="1"/>
  <c r="I673" i="1"/>
  <c r="K673" i="1" s="1"/>
  <c r="J673" i="1"/>
  <c r="I674" i="1"/>
  <c r="K674" i="1" s="1"/>
  <c r="J674" i="1"/>
  <c r="I675" i="1"/>
  <c r="K675" i="1" s="1"/>
  <c r="J675" i="1"/>
  <c r="I676" i="1"/>
  <c r="K676" i="1" s="1"/>
  <c r="J676" i="1"/>
  <c r="I677" i="1"/>
  <c r="K677" i="1" s="1"/>
  <c r="J677" i="1"/>
  <c r="I678" i="1"/>
  <c r="K678" i="1" s="1"/>
  <c r="J678" i="1"/>
  <c r="I679" i="1"/>
  <c r="K679" i="1" s="1"/>
  <c r="J679" i="1"/>
  <c r="I680" i="1"/>
  <c r="K680" i="1" s="1"/>
  <c r="J680" i="1"/>
  <c r="I681" i="1"/>
  <c r="K681" i="1" s="1"/>
  <c r="J681" i="1"/>
  <c r="I682" i="1"/>
  <c r="K682" i="1" s="1"/>
  <c r="J682" i="1"/>
  <c r="I683" i="1"/>
  <c r="K683" i="1" s="1"/>
  <c r="J683" i="1"/>
  <c r="I684" i="1"/>
  <c r="K684" i="1" s="1"/>
  <c r="J684" i="1"/>
  <c r="I685" i="1"/>
  <c r="K685" i="1" s="1"/>
  <c r="J685" i="1"/>
  <c r="I686" i="1"/>
  <c r="K686" i="1" s="1"/>
  <c r="J686" i="1"/>
  <c r="I687" i="1"/>
  <c r="K687" i="1" s="1"/>
  <c r="J687" i="1"/>
  <c r="I688" i="1"/>
  <c r="K688" i="1" s="1"/>
  <c r="J688" i="1"/>
  <c r="I689" i="1"/>
  <c r="K689" i="1" s="1"/>
  <c r="J689" i="1"/>
  <c r="I690" i="1"/>
  <c r="K690" i="1" s="1"/>
  <c r="J690" i="1"/>
  <c r="I691" i="1"/>
  <c r="K691" i="1" s="1"/>
  <c r="J691" i="1"/>
  <c r="I692" i="1"/>
  <c r="K692" i="1" s="1"/>
  <c r="J692" i="1"/>
  <c r="I693" i="1"/>
  <c r="K693" i="1" s="1"/>
  <c r="J693" i="1"/>
  <c r="I694" i="1"/>
  <c r="K694" i="1" s="1"/>
  <c r="J694" i="1"/>
  <c r="I695" i="1"/>
  <c r="K695" i="1" s="1"/>
  <c r="J695" i="1"/>
  <c r="I696" i="1"/>
  <c r="K696" i="1" s="1"/>
  <c r="J696" i="1"/>
  <c r="I697" i="1"/>
  <c r="K697" i="1" s="1"/>
  <c r="J697" i="1"/>
  <c r="I698" i="1"/>
  <c r="K698" i="1" s="1"/>
  <c r="J698" i="1"/>
  <c r="I699" i="1"/>
  <c r="K699" i="1" s="1"/>
  <c r="J699" i="1"/>
  <c r="I700" i="1"/>
  <c r="K700" i="1" s="1"/>
  <c r="J700" i="1"/>
  <c r="I701" i="1"/>
  <c r="K701" i="1" s="1"/>
  <c r="J701" i="1"/>
  <c r="I702" i="1"/>
  <c r="K702" i="1" s="1"/>
  <c r="J702" i="1"/>
  <c r="I703" i="1"/>
  <c r="K703" i="1" s="1"/>
  <c r="J703" i="1"/>
  <c r="I704" i="1"/>
  <c r="K704" i="1" s="1"/>
  <c r="J704" i="1"/>
  <c r="I705" i="1"/>
  <c r="K705" i="1" s="1"/>
  <c r="J705" i="1"/>
  <c r="I706" i="1"/>
  <c r="K706" i="1" s="1"/>
  <c r="J706" i="1"/>
  <c r="I707" i="1"/>
  <c r="K707" i="1" s="1"/>
  <c r="J707" i="1"/>
  <c r="I708" i="1"/>
  <c r="K708" i="1" s="1"/>
  <c r="J708" i="1"/>
  <c r="I709" i="1"/>
  <c r="K709" i="1" s="1"/>
  <c r="J709" i="1"/>
  <c r="I710" i="1"/>
  <c r="K710" i="1" s="1"/>
  <c r="J710" i="1"/>
  <c r="I711" i="1"/>
  <c r="K711" i="1" s="1"/>
  <c r="J711" i="1"/>
  <c r="I712" i="1"/>
  <c r="K712" i="1" s="1"/>
  <c r="J712" i="1"/>
  <c r="I713" i="1"/>
  <c r="K713" i="1" s="1"/>
  <c r="J713" i="1"/>
  <c r="I714" i="1"/>
  <c r="K714" i="1" s="1"/>
  <c r="J714" i="1"/>
  <c r="I715" i="1"/>
  <c r="K715" i="1" s="1"/>
  <c r="J715" i="1"/>
  <c r="I716" i="1"/>
  <c r="K716" i="1" s="1"/>
  <c r="J716" i="1"/>
  <c r="I717" i="1"/>
  <c r="K717" i="1" s="1"/>
  <c r="J717" i="1"/>
  <c r="I718" i="1"/>
  <c r="K718" i="1" s="1"/>
  <c r="J718" i="1"/>
  <c r="I719" i="1"/>
  <c r="K719" i="1" s="1"/>
  <c r="J719" i="1"/>
  <c r="I720" i="1"/>
  <c r="K720" i="1" s="1"/>
  <c r="J720" i="1"/>
  <c r="I721" i="1"/>
  <c r="K721" i="1" s="1"/>
  <c r="J721" i="1"/>
  <c r="I722" i="1"/>
  <c r="K722" i="1" s="1"/>
  <c r="J722" i="1"/>
  <c r="I723" i="1"/>
  <c r="K723" i="1" s="1"/>
  <c r="J723" i="1"/>
  <c r="I724" i="1"/>
  <c r="K724" i="1" s="1"/>
  <c r="J724" i="1"/>
  <c r="I725" i="1"/>
  <c r="K725" i="1" s="1"/>
  <c r="J725" i="1"/>
  <c r="I726" i="1"/>
  <c r="K726" i="1" s="1"/>
  <c r="J726" i="1"/>
  <c r="I727" i="1"/>
  <c r="K727" i="1" s="1"/>
  <c r="J727" i="1"/>
  <c r="I728" i="1"/>
  <c r="K728" i="1" s="1"/>
  <c r="J728" i="1"/>
  <c r="I729" i="1"/>
  <c r="K729" i="1" s="1"/>
  <c r="J729" i="1"/>
  <c r="I730" i="1"/>
  <c r="K730" i="1" s="1"/>
  <c r="J730" i="1"/>
  <c r="I731" i="1"/>
  <c r="K731" i="1" s="1"/>
  <c r="J731" i="1"/>
  <c r="I732" i="1"/>
  <c r="K732" i="1" s="1"/>
  <c r="J732" i="1"/>
  <c r="I733" i="1"/>
  <c r="K733" i="1" s="1"/>
  <c r="J733" i="1"/>
  <c r="I734" i="1"/>
  <c r="K734" i="1" s="1"/>
  <c r="J734" i="1"/>
  <c r="I735" i="1"/>
  <c r="K735" i="1" s="1"/>
  <c r="J735" i="1"/>
  <c r="I736" i="1"/>
  <c r="K736" i="1" s="1"/>
  <c r="J736" i="1"/>
  <c r="I737" i="1"/>
  <c r="K737" i="1" s="1"/>
  <c r="J737" i="1"/>
  <c r="I738" i="1"/>
  <c r="K738" i="1" s="1"/>
  <c r="J738" i="1"/>
  <c r="I739" i="1"/>
  <c r="K739" i="1" s="1"/>
  <c r="J739" i="1"/>
  <c r="I740" i="1"/>
  <c r="K740" i="1" s="1"/>
  <c r="J740" i="1"/>
  <c r="I741" i="1"/>
  <c r="K741" i="1" s="1"/>
  <c r="J741" i="1"/>
  <c r="I742" i="1"/>
  <c r="K742" i="1" s="1"/>
  <c r="J742" i="1"/>
  <c r="I743" i="1"/>
  <c r="K743" i="1" s="1"/>
  <c r="J743" i="1"/>
  <c r="I744" i="1"/>
  <c r="K744" i="1" s="1"/>
  <c r="J744" i="1"/>
  <c r="I745" i="1"/>
  <c r="K745" i="1" s="1"/>
  <c r="J745" i="1"/>
  <c r="I746" i="1"/>
  <c r="K746" i="1" s="1"/>
  <c r="J746" i="1"/>
  <c r="I747" i="1"/>
  <c r="K747" i="1" s="1"/>
  <c r="J747" i="1"/>
  <c r="I748" i="1"/>
  <c r="K748" i="1" s="1"/>
  <c r="J748" i="1"/>
  <c r="I749" i="1"/>
  <c r="K749" i="1" s="1"/>
  <c r="J749" i="1"/>
  <c r="I750" i="1"/>
  <c r="K750" i="1" s="1"/>
  <c r="J750" i="1"/>
  <c r="I751" i="1"/>
  <c r="K751" i="1" s="1"/>
  <c r="J751" i="1"/>
  <c r="I752" i="1"/>
  <c r="K752" i="1" s="1"/>
  <c r="J752" i="1"/>
  <c r="I753" i="1"/>
  <c r="K753" i="1" s="1"/>
  <c r="J753" i="1"/>
  <c r="I754" i="1"/>
  <c r="K754" i="1" s="1"/>
  <c r="J754" i="1"/>
  <c r="I755" i="1"/>
  <c r="K755" i="1" s="1"/>
  <c r="J755" i="1"/>
  <c r="I756" i="1"/>
  <c r="K756" i="1" s="1"/>
  <c r="J756" i="1"/>
  <c r="I757" i="1"/>
  <c r="K757" i="1" s="1"/>
  <c r="J757" i="1"/>
  <c r="I758" i="1"/>
  <c r="K758" i="1" s="1"/>
  <c r="J758" i="1"/>
  <c r="I759" i="1"/>
  <c r="K759" i="1" s="1"/>
  <c r="J759" i="1"/>
  <c r="I760" i="1"/>
  <c r="K760" i="1" s="1"/>
  <c r="J760" i="1"/>
  <c r="I761" i="1"/>
  <c r="K761" i="1" s="1"/>
  <c r="J761" i="1"/>
  <c r="I762" i="1"/>
  <c r="K762" i="1" s="1"/>
  <c r="J762" i="1"/>
  <c r="I763" i="1"/>
  <c r="K763" i="1" s="1"/>
  <c r="J763" i="1"/>
  <c r="I764" i="1"/>
  <c r="K764" i="1" s="1"/>
  <c r="J764" i="1"/>
  <c r="I765" i="1"/>
  <c r="K765" i="1" s="1"/>
  <c r="J765" i="1"/>
  <c r="I766" i="1"/>
  <c r="K766" i="1" s="1"/>
  <c r="J766" i="1"/>
  <c r="I767" i="1"/>
  <c r="K767" i="1" s="1"/>
  <c r="J767" i="1"/>
  <c r="I768" i="1"/>
  <c r="K768" i="1" s="1"/>
  <c r="J768" i="1"/>
  <c r="I769" i="1"/>
  <c r="K769" i="1" s="1"/>
  <c r="J769" i="1"/>
  <c r="I770" i="1"/>
  <c r="K770" i="1" s="1"/>
  <c r="J770" i="1"/>
  <c r="I771" i="1"/>
  <c r="K771" i="1" s="1"/>
  <c r="J771" i="1"/>
  <c r="I772" i="1"/>
  <c r="K772" i="1" s="1"/>
  <c r="J772" i="1"/>
  <c r="I773" i="1"/>
  <c r="K773" i="1" s="1"/>
  <c r="J773" i="1"/>
  <c r="I774" i="1"/>
  <c r="K774" i="1" s="1"/>
  <c r="J774" i="1"/>
  <c r="I775" i="1"/>
  <c r="K775" i="1" s="1"/>
  <c r="J775" i="1"/>
  <c r="I776" i="1"/>
  <c r="K776" i="1" s="1"/>
  <c r="J776" i="1"/>
  <c r="I777" i="1"/>
  <c r="K777" i="1" s="1"/>
  <c r="J777" i="1"/>
  <c r="I778" i="1"/>
  <c r="K778" i="1" s="1"/>
  <c r="J778" i="1"/>
  <c r="I779" i="1"/>
  <c r="K779" i="1" s="1"/>
  <c r="J779" i="1"/>
  <c r="I780" i="1"/>
  <c r="K780" i="1" s="1"/>
  <c r="J780" i="1"/>
  <c r="I781" i="1"/>
  <c r="K781" i="1" s="1"/>
  <c r="J781" i="1"/>
  <c r="I782" i="1"/>
  <c r="K782" i="1" s="1"/>
  <c r="J782" i="1"/>
  <c r="I783" i="1"/>
  <c r="K783" i="1" s="1"/>
  <c r="J783" i="1"/>
  <c r="I784" i="1"/>
  <c r="K784" i="1" s="1"/>
  <c r="J784" i="1"/>
  <c r="I785" i="1"/>
  <c r="K785" i="1" s="1"/>
  <c r="J785" i="1"/>
  <c r="I786" i="1"/>
  <c r="K786" i="1" s="1"/>
  <c r="J786" i="1"/>
  <c r="I787" i="1"/>
  <c r="K787" i="1" s="1"/>
  <c r="J787" i="1"/>
  <c r="I788" i="1"/>
  <c r="K788" i="1" s="1"/>
  <c r="J788" i="1"/>
  <c r="I789" i="1"/>
  <c r="K789" i="1" s="1"/>
  <c r="J789" i="1"/>
  <c r="I790" i="1"/>
  <c r="K790" i="1" s="1"/>
  <c r="J790" i="1"/>
  <c r="I791" i="1"/>
  <c r="K791" i="1" s="1"/>
  <c r="J791" i="1"/>
  <c r="I792" i="1"/>
  <c r="K792" i="1" s="1"/>
  <c r="J792" i="1"/>
  <c r="I793" i="1"/>
  <c r="K793" i="1" s="1"/>
  <c r="J793" i="1"/>
  <c r="I794" i="1"/>
  <c r="K794" i="1" s="1"/>
  <c r="J794" i="1"/>
  <c r="I795" i="1"/>
  <c r="K795" i="1" s="1"/>
  <c r="J795" i="1"/>
  <c r="I796" i="1"/>
  <c r="K796" i="1" s="1"/>
  <c r="J796" i="1"/>
  <c r="I797" i="1"/>
  <c r="K797" i="1" s="1"/>
  <c r="J797" i="1"/>
  <c r="I798" i="1"/>
  <c r="K798" i="1" s="1"/>
  <c r="J798" i="1"/>
  <c r="I799" i="1"/>
  <c r="K799" i="1" s="1"/>
  <c r="J799" i="1"/>
  <c r="I800" i="1"/>
  <c r="K800" i="1" s="1"/>
  <c r="J800" i="1"/>
  <c r="I801" i="1"/>
  <c r="K801" i="1" s="1"/>
  <c r="J801" i="1"/>
  <c r="I802" i="1"/>
  <c r="K802" i="1" s="1"/>
  <c r="J802" i="1"/>
  <c r="I803" i="1"/>
  <c r="K803" i="1" s="1"/>
  <c r="J803" i="1"/>
  <c r="I804" i="1"/>
  <c r="K804" i="1" s="1"/>
  <c r="J804" i="1"/>
  <c r="I805" i="1"/>
  <c r="K805" i="1" s="1"/>
  <c r="J805" i="1"/>
  <c r="I806" i="1"/>
  <c r="K806" i="1" s="1"/>
  <c r="J806" i="1"/>
  <c r="I807" i="1"/>
  <c r="K807" i="1" s="1"/>
  <c r="J807" i="1"/>
  <c r="I808" i="1"/>
  <c r="K808" i="1" s="1"/>
  <c r="J808" i="1"/>
  <c r="I809" i="1"/>
  <c r="K809" i="1" s="1"/>
  <c r="J809" i="1"/>
  <c r="I810" i="1"/>
  <c r="K810" i="1" s="1"/>
  <c r="J810" i="1"/>
  <c r="I811" i="1"/>
  <c r="K811" i="1" s="1"/>
  <c r="J811" i="1"/>
  <c r="I812" i="1"/>
  <c r="K812" i="1" s="1"/>
  <c r="J812" i="1"/>
  <c r="I813" i="1"/>
  <c r="K813" i="1" s="1"/>
  <c r="J813" i="1"/>
  <c r="I814" i="1"/>
  <c r="K814" i="1" s="1"/>
  <c r="J814" i="1"/>
  <c r="I815" i="1"/>
  <c r="K815" i="1" s="1"/>
  <c r="J815" i="1"/>
  <c r="I816" i="1"/>
  <c r="K816" i="1" s="1"/>
  <c r="J816" i="1"/>
  <c r="I817" i="1"/>
  <c r="K817" i="1" s="1"/>
  <c r="J817" i="1"/>
  <c r="I818" i="1"/>
  <c r="K818" i="1" s="1"/>
  <c r="J818" i="1"/>
  <c r="I819" i="1"/>
  <c r="K819" i="1" s="1"/>
  <c r="J819" i="1"/>
  <c r="I820" i="1"/>
  <c r="K820" i="1" s="1"/>
  <c r="J820" i="1"/>
  <c r="I821" i="1"/>
  <c r="K821" i="1" s="1"/>
  <c r="J821" i="1"/>
  <c r="I822" i="1"/>
  <c r="K822" i="1" s="1"/>
  <c r="J822" i="1"/>
  <c r="I823" i="1"/>
  <c r="K823" i="1" s="1"/>
  <c r="J823" i="1"/>
  <c r="I824" i="1"/>
  <c r="K824" i="1" s="1"/>
  <c r="J824" i="1"/>
  <c r="I825" i="1"/>
  <c r="K825" i="1" s="1"/>
  <c r="J825" i="1"/>
  <c r="I826" i="1"/>
  <c r="K826" i="1" s="1"/>
  <c r="J826" i="1"/>
  <c r="I827" i="1"/>
  <c r="K827" i="1" s="1"/>
  <c r="J827" i="1"/>
  <c r="I828" i="1"/>
  <c r="K828" i="1" s="1"/>
  <c r="J828" i="1"/>
  <c r="I829" i="1"/>
  <c r="K829" i="1" s="1"/>
  <c r="J829" i="1"/>
  <c r="I830" i="1"/>
  <c r="K830" i="1" s="1"/>
  <c r="J830" i="1"/>
  <c r="I831" i="1"/>
  <c r="K831" i="1" s="1"/>
  <c r="J831" i="1"/>
  <c r="I832" i="1"/>
  <c r="K832" i="1" s="1"/>
  <c r="J832" i="1"/>
  <c r="I833" i="1"/>
  <c r="K833" i="1" s="1"/>
  <c r="J833" i="1"/>
  <c r="I834" i="1"/>
  <c r="K834" i="1" s="1"/>
  <c r="J834" i="1"/>
  <c r="I835" i="1"/>
  <c r="K835" i="1" s="1"/>
  <c r="J835" i="1"/>
  <c r="I836" i="1"/>
  <c r="K836" i="1" s="1"/>
  <c r="J836" i="1"/>
  <c r="I837" i="1"/>
  <c r="K837" i="1" s="1"/>
  <c r="J837" i="1"/>
  <c r="I838" i="1"/>
  <c r="K838" i="1" s="1"/>
  <c r="J838" i="1"/>
  <c r="I839" i="1"/>
  <c r="K839" i="1" s="1"/>
  <c r="J839" i="1"/>
  <c r="I840" i="1"/>
  <c r="K840" i="1" s="1"/>
  <c r="J840" i="1"/>
  <c r="I841" i="1"/>
  <c r="K841" i="1" s="1"/>
  <c r="J841" i="1"/>
  <c r="I842" i="1"/>
  <c r="K842" i="1" s="1"/>
  <c r="J842" i="1"/>
  <c r="I843" i="1"/>
  <c r="K843" i="1" s="1"/>
  <c r="J843" i="1"/>
  <c r="I844" i="1"/>
  <c r="K844" i="1" s="1"/>
  <c r="J844" i="1"/>
  <c r="I845" i="1"/>
  <c r="K845" i="1" s="1"/>
  <c r="J845" i="1"/>
  <c r="I846" i="1"/>
  <c r="K846" i="1" s="1"/>
  <c r="J846" i="1"/>
  <c r="I847" i="1"/>
  <c r="K847" i="1" s="1"/>
  <c r="J847" i="1"/>
  <c r="I848" i="1"/>
  <c r="K848" i="1" s="1"/>
  <c r="J848" i="1"/>
  <c r="I849" i="1"/>
  <c r="K849" i="1" s="1"/>
  <c r="J849" i="1"/>
  <c r="I850" i="1"/>
  <c r="K850" i="1" s="1"/>
  <c r="J850" i="1"/>
  <c r="I851" i="1"/>
  <c r="K851" i="1" s="1"/>
  <c r="J851" i="1"/>
  <c r="I852" i="1"/>
  <c r="K852" i="1" s="1"/>
  <c r="J852" i="1"/>
  <c r="I853" i="1"/>
  <c r="K853" i="1" s="1"/>
  <c r="J853" i="1"/>
  <c r="I854" i="1"/>
  <c r="K854" i="1" s="1"/>
  <c r="J854" i="1"/>
  <c r="I855" i="1"/>
  <c r="K855" i="1" s="1"/>
  <c r="J855" i="1"/>
  <c r="I856" i="1"/>
  <c r="K856" i="1" s="1"/>
  <c r="J856" i="1"/>
  <c r="I857" i="1"/>
  <c r="K857" i="1" s="1"/>
  <c r="J857" i="1"/>
  <c r="I858" i="1"/>
  <c r="K858" i="1" s="1"/>
  <c r="J858" i="1"/>
  <c r="I859" i="1"/>
  <c r="K859" i="1" s="1"/>
  <c r="J859" i="1"/>
  <c r="I860" i="1"/>
  <c r="K860" i="1" s="1"/>
  <c r="J860" i="1"/>
  <c r="I861" i="1"/>
  <c r="K861" i="1" s="1"/>
  <c r="J861" i="1"/>
  <c r="I862" i="1"/>
  <c r="K862" i="1" s="1"/>
  <c r="J862" i="1"/>
  <c r="I863" i="1"/>
  <c r="K863" i="1" s="1"/>
  <c r="J863" i="1"/>
  <c r="I864" i="1"/>
  <c r="K864" i="1" s="1"/>
  <c r="J864" i="1"/>
  <c r="I865" i="1"/>
  <c r="K865" i="1" s="1"/>
  <c r="J865" i="1"/>
  <c r="I866" i="1"/>
  <c r="K866" i="1" s="1"/>
  <c r="J866" i="1"/>
  <c r="I867" i="1"/>
  <c r="K867" i="1" s="1"/>
  <c r="J867" i="1"/>
  <c r="I868" i="1"/>
  <c r="K868" i="1" s="1"/>
  <c r="J868" i="1"/>
  <c r="I869" i="1"/>
  <c r="K869" i="1" s="1"/>
  <c r="J869" i="1"/>
  <c r="I870" i="1"/>
  <c r="K870" i="1" s="1"/>
  <c r="J870" i="1"/>
  <c r="I871" i="1"/>
  <c r="K871" i="1" s="1"/>
  <c r="J871" i="1"/>
  <c r="I872" i="1"/>
  <c r="K872" i="1" s="1"/>
  <c r="J872" i="1"/>
  <c r="I873" i="1"/>
  <c r="K873" i="1" s="1"/>
  <c r="J873" i="1"/>
  <c r="I874" i="1"/>
  <c r="K874" i="1" s="1"/>
  <c r="J874" i="1"/>
  <c r="I875" i="1"/>
  <c r="K875" i="1" s="1"/>
  <c r="J875" i="1"/>
  <c r="I876" i="1"/>
  <c r="K876" i="1" s="1"/>
  <c r="J876" i="1"/>
  <c r="I877" i="1"/>
  <c r="K877" i="1" s="1"/>
  <c r="J877" i="1"/>
  <c r="I878" i="1"/>
  <c r="K878" i="1" s="1"/>
  <c r="J878" i="1"/>
  <c r="I879" i="1"/>
  <c r="K879" i="1" s="1"/>
  <c r="J879" i="1"/>
  <c r="I880" i="1"/>
  <c r="K880" i="1" s="1"/>
  <c r="J880" i="1"/>
  <c r="I881" i="1"/>
  <c r="K881" i="1" s="1"/>
  <c r="J881" i="1"/>
  <c r="I882" i="1"/>
  <c r="K882" i="1" s="1"/>
  <c r="J882" i="1"/>
  <c r="I883" i="1"/>
  <c r="K883" i="1" s="1"/>
  <c r="J883" i="1"/>
  <c r="I884" i="1"/>
  <c r="K884" i="1" s="1"/>
  <c r="J884" i="1"/>
  <c r="I885" i="1"/>
  <c r="K885" i="1" s="1"/>
  <c r="J885" i="1"/>
  <c r="I886" i="1"/>
  <c r="K886" i="1" s="1"/>
  <c r="J886" i="1"/>
  <c r="I887" i="1"/>
  <c r="K887" i="1" s="1"/>
  <c r="J887" i="1"/>
  <c r="I888" i="1"/>
  <c r="K888" i="1" s="1"/>
  <c r="J888" i="1"/>
  <c r="I889" i="1"/>
  <c r="K889" i="1" s="1"/>
  <c r="J889" i="1"/>
  <c r="I890" i="1"/>
  <c r="K890" i="1" s="1"/>
  <c r="J890" i="1"/>
  <c r="I891" i="1"/>
  <c r="K891" i="1" s="1"/>
  <c r="J891" i="1"/>
  <c r="I892" i="1"/>
  <c r="K892" i="1" s="1"/>
  <c r="J892" i="1"/>
  <c r="I893" i="1"/>
  <c r="K893" i="1" s="1"/>
  <c r="J893" i="1"/>
  <c r="I894" i="1"/>
  <c r="K894" i="1" s="1"/>
  <c r="J894" i="1"/>
  <c r="I895" i="1"/>
  <c r="K895" i="1" s="1"/>
  <c r="J895" i="1"/>
  <c r="I896" i="1"/>
  <c r="K896" i="1" s="1"/>
  <c r="J896" i="1"/>
  <c r="I897" i="1"/>
  <c r="K897" i="1" s="1"/>
  <c r="J897" i="1"/>
  <c r="I898" i="1"/>
  <c r="K898" i="1" s="1"/>
  <c r="J898" i="1"/>
  <c r="I899" i="1"/>
  <c r="K899" i="1" s="1"/>
  <c r="J899" i="1"/>
  <c r="I900" i="1"/>
  <c r="K900" i="1" s="1"/>
  <c r="J900" i="1"/>
  <c r="I901" i="1"/>
  <c r="K901" i="1" s="1"/>
  <c r="J901" i="1"/>
  <c r="I902" i="1"/>
  <c r="K902" i="1" s="1"/>
  <c r="J902" i="1"/>
  <c r="I903" i="1"/>
  <c r="K903" i="1" s="1"/>
  <c r="J903" i="1"/>
  <c r="I904" i="1"/>
  <c r="K904" i="1" s="1"/>
  <c r="J904" i="1"/>
  <c r="I905" i="1"/>
  <c r="K905" i="1" s="1"/>
  <c r="J905" i="1"/>
  <c r="I906" i="1"/>
  <c r="K906" i="1" s="1"/>
  <c r="J906" i="1"/>
  <c r="I907" i="1"/>
  <c r="K907" i="1" s="1"/>
  <c r="J907" i="1"/>
  <c r="I908" i="1"/>
  <c r="K908" i="1" s="1"/>
  <c r="J908" i="1"/>
  <c r="I909" i="1"/>
  <c r="K909" i="1" s="1"/>
  <c r="J909" i="1"/>
  <c r="I910" i="1"/>
  <c r="K910" i="1" s="1"/>
  <c r="J910" i="1"/>
  <c r="I911" i="1"/>
  <c r="K911" i="1" s="1"/>
  <c r="J911" i="1"/>
  <c r="I912" i="1"/>
  <c r="K912" i="1" s="1"/>
  <c r="J912" i="1"/>
  <c r="I913" i="1"/>
  <c r="K913" i="1" s="1"/>
  <c r="J913" i="1"/>
  <c r="I914" i="1"/>
  <c r="K914" i="1" s="1"/>
  <c r="J914" i="1"/>
  <c r="I915" i="1"/>
  <c r="K915" i="1" s="1"/>
  <c r="J915" i="1"/>
  <c r="I916" i="1"/>
  <c r="K916" i="1" s="1"/>
  <c r="J916" i="1"/>
  <c r="I917" i="1"/>
  <c r="K917" i="1" s="1"/>
  <c r="J917" i="1"/>
  <c r="I918" i="1"/>
  <c r="K918" i="1" s="1"/>
  <c r="J918" i="1"/>
  <c r="I919" i="1"/>
  <c r="K919" i="1" s="1"/>
  <c r="J919" i="1"/>
  <c r="I920" i="1"/>
  <c r="K920" i="1" s="1"/>
  <c r="J920" i="1"/>
  <c r="I921" i="1"/>
  <c r="K921" i="1" s="1"/>
  <c r="J921" i="1"/>
  <c r="I922" i="1"/>
  <c r="K922" i="1" s="1"/>
  <c r="J922" i="1"/>
  <c r="I923" i="1"/>
  <c r="K923" i="1" s="1"/>
  <c r="J923" i="1"/>
  <c r="I924" i="1"/>
  <c r="K924" i="1" s="1"/>
  <c r="J924" i="1"/>
  <c r="I925" i="1"/>
  <c r="K925" i="1" s="1"/>
  <c r="J925" i="1"/>
  <c r="I926" i="1"/>
  <c r="K926" i="1" s="1"/>
  <c r="J926" i="1"/>
  <c r="I927" i="1"/>
  <c r="K927" i="1" s="1"/>
  <c r="J927" i="1"/>
  <c r="I928" i="1"/>
  <c r="K928" i="1" s="1"/>
  <c r="J928" i="1"/>
  <c r="I929" i="1"/>
  <c r="K929" i="1" s="1"/>
  <c r="J929" i="1"/>
  <c r="I930" i="1"/>
  <c r="K930" i="1" s="1"/>
  <c r="J930" i="1"/>
  <c r="I931" i="1"/>
  <c r="K931" i="1" s="1"/>
  <c r="J931" i="1"/>
  <c r="I932" i="1"/>
  <c r="K932" i="1" s="1"/>
  <c r="J932" i="1"/>
  <c r="I933" i="1"/>
  <c r="K933" i="1" s="1"/>
  <c r="J933" i="1"/>
  <c r="I934" i="1"/>
  <c r="K934" i="1" s="1"/>
  <c r="J934" i="1"/>
  <c r="I935" i="1"/>
  <c r="K935" i="1" s="1"/>
  <c r="J935" i="1"/>
  <c r="I936" i="1"/>
  <c r="K936" i="1" s="1"/>
  <c r="J936" i="1"/>
  <c r="I937" i="1"/>
  <c r="K937" i="1" s="1"/>
  <c r="J937" i="1"/>
  <c r="I938" i="1"/>
  <c r="K938" i="1" s="1"/>
  <c r="J938" i="1"/>
  <c r="I939" i="1"/>
  <c r="K939" i="1" s="1"/>
  <c r="J939" i="1"/>
  <c r="I940" i="1"/>
  <c r="K940" i="1" s="1"/>
  <c r="J940" i="1"/>
  <c r="I941" i="1"/>
  <c r="K941" i="1" s="1"/>
  <c r="J941" i="1"/>
  <c r="I942" i="1"/>
  <c r="K942" i="1" s="1"/>
  <c r="J942" i="1"/>
  <c r="I943" i="1"/>
  <c r="K943" i="1" s="1"/>
  <c r="J943" i="1"/>
  <c r="I944" i="1"/>
  <c r="K944" i="1" s="1"/>
  <c r="J944" i="1"/>
  <c r="I945" i="1"/>
  <c r="K945" i="1" s="1"/>
  <c r="J945" i="1"/>
  <c r="I946" i="1"/>
  <c r="K946" i="1" s="1"/>
  <c r="J946" i="1"/>
  <c r="I947" i="1"/>
  <c r="K947" i="1" s="1"/>
  <c r="J947" i="1"/>
  <c r="I948" i="1"/>
  <c r="K948" i="1" s="1"/>
  <c r="J948" i="1"/>
  <c r="I949" i="1"/>
  <c r="K949" i="1" s="1"/>
  <c r="J949" i="1"/>
  <c r="I950" i="1"/>
  <c r="K950" i="1" s="1"/>
  <c r="J950" i="1"/>
  <c r="I951" i="1"/>
  <c r="K951" i="1" s="1"/>
  <c r="J951" i="1"/>
  <c r="I952" i="1"/>
  <c r="K952" i="1" s="1"/>
  <c r="J952" i="1"/>
  <c r="I953" i="1"/>
  <c r="K953" i="1" s="1"/>
  <c r="J953" i="1"/>
  <c r="I954" i="1"/>
  <c r="K954" i="1" s="1"/>
  <c r="J954" i="1"/>
  <c r="I955" i="1"/>
  <c r="K955" i="1" s="1"/>
  <c r="J955" i="1"/>
  <c r="I956" i="1"/>
  <c r="K956" i="1" s="1"/>
  <c r="J956" i="1"/>
  <c r="I957" i="1"/>
  <c r="K957" i="1" s="1"/>
  <c r="J957" i="1"/>
  <c r="I958" i="1"/>
  <c r="K958" i="1" s="1"/>
  <c r="J958" i="1"/>
  <c r="I959" i="1"/>
  <c r="K959" i="1" s="1"/>
  <c r="J959" i="1"/>
  <c r="I960" i="1"/>
  <c r="K960" i="1" s="1"/>
  <c r="J960" i="1"/>
  <c r="I961" i="1"/>
  <c r="K961" i="1" s="1"/>
  <c r="J961" i="1"/>
  <c r="I962" i="1"/>
  <c r="K962" i="1" s="1"/>
  <c r="J962" i="1"/>
  <c r="I963" i="1"/>
  <c r="K963" i="1" s="1"/>
  <c r="J963" i="1"/>
  <c r="I964" i="1"/>
  <c r="K964" i="1" s="1"/>
  <c r="J964" i="1"/>
  <c r="I965" i="1"/>
  <c r="K965" i="1" s="1"/>
  <c r="J965" i="1"/>
  <c r="I966" i="1"/>
  <c r="K966" i="1" s="1"/>
  <c r="J966" i="1"/>
  <c r="I967" i="1"/>
  <c r="K967" i="1" s="1"/>
  <c r="J967" i="1"/>
  <c r="I968" i="1"/>
  <c r="K968" i="1" s="1"/>
  <c r="J968" i="1"/>
  <c r="I969" i="1"/>
  <c r="K969" i="1" s="1"/>
  <c r="J969" i="1"/>
  <c r="I970" i="1"/>
  <c r="K970" i="1" s="1"/>
  <c r="J970" i="1"/>
  <c r="I971" i="1"/>
  <c r="K971" i="1" s="1"/>
  <c r="J971" i="1"/>
  <c r="I972" i="1"/>
  <c r="K972" i="1" s="1"/>
  <c r="J972" i="1"/>
  <c r="I973" i="1"/>
  <c r="K973" i="1" s="1"/>
  <c r="J973" i="1"/>
  <c r="I974" i="1"/>
  <c r="K974" i="1" s="1"/>
  <c r="J974" i="1"/>
  <c r="I975" i="1"/>
  <c r="K975" i="1" s="1"/>
  <c r="J975" i="1"/>
  <c r="I976" i="1"/>
  <c r="K976" i="1" s="1"/>
  <c r="J976" i="1"/>
  <c r="I977" i="1"/>
  <c r="K977" i="1" s="1"/>
  <c r="J977" i="1"/>
  <c r="I978" i="1"/>
  <c r="K978" i="1" s="1"/>
  <c r="J978" i="1"/>
  <c r="I979" i="1"/>
  <c r="K979" i="1" s="1"/>
  <c r="J979" i="1"/>
  <c r="I980" i="1"/>
  <c r="K980" i="1" s="1"/>
  <c r="J980" i="1"/>
  <c r="I981" i="1"/>
  <c r="K981" i="1" s="1"/>
  <c r="J981" i="1"/>
  <c r="I982" i="1"/>
  <c r="K982" i="1" s="1"/>
  <c r="J982" i="1"/>
  <c r="I983" i="1"/>
  <c r="K983" i="1" s="1"/>
  <c r="J983" i="1"/>
  <c r="I984" i="1"/>
  <c r="K984" i="1" s="1"/>
  <c r="J984" i="1"/>
  <c r="I985" i="1"/>
  <c r="K985" i="1" s="1"/>
  <c r="J985" i="1"/>
  <c r="I986" i="1"/>
  <c r="K986" i="1" s="1"/>
  <c r="J986" i="1"/>
  <c r="I987" i="1"/>
  <c r="K987" i="1" s="1"/>
  <c r="J987" i="1"/>
  <c r="I988" i="1"/>
  <c r="K988" i="1" s="1"/>
  <c r="J988" i="1"/>
  <c r="I989" i="1"/>
  <c r="K989" i="1" s="1"/>
  <c r="J989" i="1"/>
  <c r="I990" i="1"/>
  <c r="K990" i="1" s="1"/>
  <c r="J990" i="1"/>
  <c r="I991" i="1"/>
  <c r="K991" i="1" s="1"/>
  <c r="J991" i="1"/>
  <c r="I992" i="1"/>
  <c r="K992" i="1" s="1"/>
  <c r="J992" i="1"/>
  <c r="I993" i="1"/>
  <c r="K993" i="1" s="1"/>
  <c r="J993" i="1"/>
  <c r="I994" i="1"/>
  <c r="K994" i="1" s="1"/>
  <c r="J994" i="1"/>
  <c r="I995" i="1"/>
  <c r="K995" i="1" s="1"/>
  <c r="J995" i="1"/>
  <c r="I996" i="1"/>
  <c r="K996" i="1" s="1"/>
  <c r="J996" i="1"/>
  <c r="I997" i="1"/>
  <c r="K997" i="1" s="1"/>
  <c r="J997" i="1"/>
  <c r="I998" i="1"/>
  <c r="K998" i="1" s="1"/>
  <c r="J998" i="1"/>
  <c r="I999" i="1"/>
  <c r="K999" i="1" s="1"/>
  <c r="J999" i="1"/>
  <c r="I1000" i="1"/>
  <c r="K1000" i="1" s="1"/>
  <c r="J1000" i="1"/>
  <c r="I1001" i="1"/>
  <c r="K1001" i="1" s="1"/>
  <c r="J1001" i="1"/>
  <c r="I1002" i="1"/>
  <c r="K1002" i="1" s="1"/>
  <c r="J1002" i="1"/>
  <c r="I1003" i="1"/>
  <c r="K1003" i="1" s="1"/>
  <c r="J1003" i="1"/>
  <c r="I1004" i="1"/>
  <c r="K1004" i="1" s="1"/>
  <c r="J1004" i="1"/>
  <c r="I1005" i="1"/>
  <c r="K1005" i="1" s="1"/>
  <c r="J1005" i="1"/>
  <c r="I1006" i="1"/>
  <c r="K1006" i="1" s="1"/>
  <c r="J1006" i="1"/>
  <c r="I1007" i="1"/>
  <c r="K1007" i="1" s="1"/>
  <c r="J1007" i="1"/>
  <c r="I1008" i="1"/>
  <c r="K1008" i="1" s="1"/>
  <c r="J1008" i="1"/>
  <c r="I1009" i="1"/>
  <c r="K1009" i="1" s="1"/>
  <c r="J1009" i="1"/>
  <c r="I1010" i="1"/>
  <c r="K1010" i="1" s="1"/>
  <c r="J1010" i="1"/>
  <c r="I1011" i="1"/>
  <c r="K1011" i="1" s="1"/>
  <c r="J1011" i="1"/>
  <c r="I1012" i="1"/>
  <c r="K1012" i="1" s="1"/>
  <c r="J1012" i="1"/>
  <c r="I1013" i="1"/>
  <c r="K1013" i="1" s="1"/>
  <c r="J1013" i="1"/>
  <c r="I1014" i="1"/>
  <c r="K1014" i="1" s="1"/>
  <c r="J1014" i="1"/>
  <c r="I1015" i="1"/>
  <c r="K1015" i="1" s="1"/>
  <c r="J1015" i="1"/>
  <c r="I1016" i="1"/>
  <c r="K1016" i="1" s="1"/>
  <c r="J1016" i="1"/>
  <c r="I1017" i="1"/>
  <c r="K1017" i="1" s="1"/>
  <c r="J1017" i="1"/>
  <c r="I1018" i="1"/>
  <c r="K1018" i="1" s="1"/>
  <c r="J1018" i="1"/>
  <c r="I1019" i="1"/>
  <c r="K1019" i="1" s="1"/>
  <c r="J1019" i="1"/>
  <c r="I1020" i="1"/>
  <c r="K1020" i="1" s="1"/>
  <c r="J1020" i="1"/>
  <c r="I1021" i="1"/>
  <c r="K1021" i="1" s="1"/>
  <c r="J1021" i="1"/>
  <c r="I1022" i="1"/>
  <c r="K1022" i="1" s="1"/>
  <c r="J1022" i="1"/>
  <c r="I1023" i="1"/>
  <c r="K1023" i="1" s="1"/>
  <c r="J1023" i="1"/>
  <c r="I1024" i="1"/>
  <c r="K1024" i="1" s="1"/>
  <c r="J1024" i="1"/>
  <c r="I1025" i="1"/>
  <c r="K1025" i="1" s="1"/>
  <c r="J1025" i="1"/>
  <c r="I1026" i="1"/>
  <c r="K1026" i="1" s="1"/>
  <c r="J1026" i="1"/>
  <c r="I1027" i="1"/>
  <c r="K1027" i="1" s="1"/>
  <c r="J1027" i="1"/>
  <c r="I1028" i="1"/>
  <c r="K1028" i="1" s="1"/>
  <c r="J1028" i="1"/>
  <c r="I1029" i="1"/>
  <c r="K1029" i="1" s="1"/>
  <c r="J1029" i="1"/>
  <c r="I1030" i="1"/>
  <c r="K1030" i="1" s="1"/>
  <c r="J1030" i="1"/>
  <c r="I1031" i="1"/>
  <c r="K1031" i="1" s="1"/>
  <c r="J1031" i="1"/>
  <c r="I1032" i="1"/>
  <c r="K1032" i="1" s="1"/>
  <c r="J1032" i="1"/>
  <c r="I1033" i="1"/>
  <c r="K1033" i="1" s="1"/>
  <c r="J1033" i="1"/>
  <c r="I1034" i="1"/>
  <c r="K1034" i="1" s="1"/>
  <c r="J1034" i="1"/>
  <c r="I1035" i="1"/>
  <c r="K1035" i="1" s="1"/>
  <c r="J1035" i="1"/>
  <c r="I1036" i="1"/>
  <c r="K1036" i="1" s="1"/>
  <c r="J1036" i="1"/>
  <c r="I1037" i="1"/>
  <c r="K1037" i="1" s="1"/>
  <c r="J1037" i="1"/>
  <c r="I1038" i="1"/>
  <c r="K1038" i="1" s="1"/>
  <c r="J1038" i="1"/>
  <c r="I1039" i="1"/>
  <c r="K1039" i="1" s="1"/>
  <c r="J1039" i="1"/>
  <c r="I1040" i="1"/>
  <c r="K1040" i="1" s="1"/>
  <c r="J1040" i="1"/>
  <c r="I1041" i="1"/>
  <c r="K1041" i="1" s="1"/>
  <c r="J1041" i="1"/>
  <c r="I1042" i="1"/>
  <c r="K1042" i="1" s="1"/>
  <c r="J1042" i="1"/>
  <c r="I1043" i="1"/>
  <c r="K1043" i="1" s="1"/>
  <c r="J1043" i="1"/>
  <c r="I1044" i="1"/>
  <c r="K1044" i="1" s="1"/>
  <c r="J1044" i="1"/>
  <c r="I1045" i="1"/>
  <c r="K1045" i="1" s="1"/>
  <c r="J1045" i="1"/>
  <c r="I1046" i="1"/>
  <c r="K1046" i="1" s="1"/>
  <c r="J1046" i="1"/>
  <c r="I1047" i="1"/>
  <c r="K1047" i="1" s="1"/>
  <c r="J1047" i="1"/>
  <c r="I1048" i="1"/>
  <c r="K1048" i="1" s="1"/>
  <c r="J1048" i="1"/>
  <c r="I1049" i="1"/>
  <c r="K1049" i="1" s="1"/>
  <c r="J1049" i="1"/>
  <c r="I1050" i="1"/>
  <c r="K1050" i="1" s="1"/>
  <c r="J1050" i="1"/>
  <c r="I1051" i="1"/>
  <c r="K1051" i="1" s="1"/>
  <c r="J1051" i="1"/>
  <c r="I1052" i="1"/>
  <c r="K1052" i="1" s="1"/>
  <c r="J1052" i="1"/>
  <c r="I1053" i="1"/>
  <c r="K1053" i="1" s="1"/>
  <c r="J1053" i="1"/>
  <c r="I1054" i="1"/>
  <c r="K1054" i="1" s="1"/>
  <c r="J1054" i="1"/>
  <c r="I1055" i="1"/>
  <c r="K1055" i="1" s="1"/>
  <c r="J1055" i="1"/>
  <c r="I1056" i="1"/>
  <c r="K1056" i="1" s="1"/>
  <c r="J1056" i="1"/>
  <c r="I1057" i="1"/>
  <c r="K1057" i="1" s="1"/>
  <c r="J1057" i="1"/>
  <c r="I1058" i="1"/>
  <c r="K1058" i="1" s="1"/>
  <c r="J1058" i="1"/>
  <c r="I1059" i="1"/>
  <c r="K1059" i="1" s="1"/>
  <c r="J1059" i="1"/>
  <c r="I1060" i="1"/>
  <c r="K1060" i="1" s="1"/>
  <c r="J1060" i="1"/>
  <c r="I1061" i="1"/>
  <c r="K1061" i="1" s="1"/>
  <c r="J1061" i="1"/>
  <c r="I1062" i="1"/>
  <c r="K1062" i="1" s="1"/>
  <c r="J1062" i="1"/>
  <c r="I1063" i="1"/>
  <c r="K1063" i="1" s="1"/>
  <c r="J1063" i="1"/>
  <c r="I1064" i="1"/>
  <c r="K1064" i="1" s="1"/>
  <c r="J1064" i="1"/>
  <c r="I1065" i="1"/>
  <c r="K1065" i="1" s="1"/>
  <c r="J1065" i="1"/>
  <c r="I1066" i="1"/>
  <c r="K1066" i="1" s="1"/>
  <c r="J1066" i="1"/>
  <c r="I1067" i="1"/>
  <c r="K1067" i="1" s="1"/>
  <c r="J1067" i="1"/>
  <c r="I1068" i="1"/>
  <c r="K1068" i="1" s="1"/>
  <c r="J1068" i="1"/>
  <c r="I1069" i="1"/>
  <c r="K1069" i="1" s="1"/>
  <c r="J1069" i="1"/>
  <c r="I1070" i="1"/>
  <c r="K1070" i="1" s="1"/>
  <c r="J1070" i="1"/>
  <c r="I1071" i="1"/>
  <c r="K1071" i="1" s="1"/>
  <c r="J1071" i="1"/>
  <c r="I1072" i="1"/>
  <c r="K1072" i="1" s="1"/>
  <c r="J1072" i="1"/>
  <c r="I1073" i="1"/>
  <c r="K1073" i="1" s="1"/>
  <c r="J1073" i="1"/>
  <c r="I1074" i="1"/>
  <c r="K1074" i="1" s="1"/>
  <c r="J1074" i="1"/>
  <c r="I1075" i="1"/>
  <c r="K1075" i="1" s="1"/>
  <c r="J1075" i="1"/>
  <c r="I1076" i="1"/>
  <c r="K1076" i="1" s="1"/>
  <c r="J1076" i="1"/>
  <c r="I1077" i="1"/>
  <c r="K1077" i="1" s="1"/>
  <c r="J1077" i="1"/>
  <c r="I1078" i="1"/>
  <c r="K1078" i="1" s="1"/>
  <c r="J1078" i="1"/>
  <c r="I1079" i="1"/>
  <c r="K1079" i="1" s="1"/>
  <c r="J1079" i="1"/>
  <c r="I1080" i="1"/>
  <c r="K1080" i="1" s="1"/>
  <c r="J1080" i="1"/>
  <c r="I1081" i="1"/>
  <c r="K1081" i="1" s="1"/>
  <c r="J1081" i="1"/>
  <c r="I1082" i="1"/>
  <c r="K1082" i="1" s="1"/>
  <c r="J1082" i="1"/>
  <c r="I1083" i="1"/>
  <c r="K1083" i="1" s="1"/>
  <c r="J1083" i="1"/>
  <c r="I1084" i="1"/>
  <c r="K1084" i="1" s="1"/>
  <c r="J1084" i="1"/>
  <c r="I1085" i="1"/>
  <c r="K1085" i="1" s="1"/>
  <c r="J1085" i="1"/>
  <c r="I1086" i="1"/>
  <c r="K1086" i="1" s="1"/>
  <c r="J1086" i="1"/>
  <c r="I1087" i="1"/>
  <c r="K1087" i="1" s="1"/>
  <c r="J1087" i="1"/>
  <c r="I1088" i="1"/>
  <c r="K1088" i="1" s="1"/>
  <c r="J1088" i="1"/>
  <c r="I1089" i="1"/>
  <c r="K1089" i="1" s="1"/>
  <c r="J1089" i="1"/>
  <c r="I1090" i="1"/>
  <c r="K1090" i="1" s="1"/>
  <c r="J1090" i="1"/>
  <c r="I1091" i="1"/>
  <c r="K1091" i="1" s="1"/>
  <c r="J1091" i="1"/>
  <c r="I1092" i="1"/>
  <c r="K1092" i="1" s="1"/>
  <c r="J1092" i="1"/>
  <c r="I1093" i="1"/>
  <c r="K1093" i="1" s="1"/>
  <c r="J1093" i="1"/>
  <c r="I1094" i="1"/>
  <c r="K1094" i="1" s="1"/>
  <c r="J1094" i="1"/>
  <c r="I1095" i="1"/>
  <c r="K1095" i="1" s="1"/>
  <c r="J1095" i="1"/>
  <c r="I1096" i="1"/>
  <c r="K1096" i="1" s="1"/>
  <c r="J1096" i="1"/>
  <c r="I1097" i="1"/>
  <c r="K1097" i="1" s="1"/>
  <c r="J1097" i="1"/>
  <c r="I1098" i="1"/>
  <c r="K1098" i="1" s="1"/>
  <c r="J1098" i="1"/>
  <c r="I1099" i="1"/>
  <c r="K1099" i="1" s="1"/>
  <c r="J1099" i="1"/>
  <c r="I1100" i="1"/>
  <c r="K1100" i="1" s="1"/>
  <c r="J1100" i="1"/>
  <c r="I1101" i="1"/>
  <c r="K1101" i="1" s="1"/>
  <c r="J1101" i="1"/>
  <c r="I1102" i="1"/>
  <c r="K1102" i="1" s="1"/>
  <c r="J1102" i="1"/>
  <c r="I1103" i="1"/>
  <c r="K1103" i="1" s="1"/>
  <c r="J1103" i="1"/>
  <c r="I1104" i="1"/>
  <c r="K1104" i="1" s="1"/>
  <c r="J1104" i="1"/>
  <c r="I1105" i="1"/>
  <c r="K1105" i="1" s="1"/>
  <c r="J1105" i="1"/>
  <c r="I1106" i="1"/>
  <c r="K1106" i="1" s="1"/>
  <c r="J1106" i="1"/>
  <c r="I1107" i="1"/>
  <c r="K1107" i="1" s="1"/>
  <c r="J1107" i="1"/>
  <c r="I1108" i="1"/>
  <c r="K1108" i="1" s="1"/>
  <c r="J1108" i="1"/>
  <c r="I1109" i="1"/>
  <c r="K1109" i="1" s="1"/>
  <c r="J1109" i="1"/>
  <c r="I1110" i="1"/>
  <c r="K1110" i="1" s="1"/>
  <c r="J1110" i="1"/>
  <c r="I1111" i="1"/>
  <c r="K1111" i="1" s="1"/>
  <c r="J1111" i="1"/>
  <c r="I1112" i="1"/>
  <c r="K1112" i="1" s="1"/>
  <c r="J1112" i="1"/>
  <c r="I1113" i="1"/>
  <c r="K1113" i="1" s="1"/>
  <c r="J1113" i="1"/>
  <c r="I1114" i="1"/>
  <c r="K1114" i="1" s="1"/>
  <c r="J1114" i="1"/>
  <c r="I1115" i="1"/>
  <c r="K1115" i="1" s="1"/>
  <c r="J1115" i="1"/>
  <c r="I1116" i="1"/>
  <c r="K1116" i="1" s="1"/>
  <c r="J1116" i="1"/>
  <c r="I1117" i="1"/>
  <c r="K1117" i="1" s="1"/>
  <c r="J1117" i="1"/>
  <c r="I1118" i="1"/>
  <c r="K1118" i="1" s="1"/>
  <c r="J1118" i="1"/>
  <c r="I1119" i="1"/>
  <c r="K1119" i="1" s="1"/>
  <c r="J1119" i="1"/>
  <c r="I1120" i="1"/>
  <c r="K1120" i="1" s="1"/>
  <c r="J1120" i="1"/>
  <c r="I1121" i="1"/>
  <c r="K1121" i="1" s="1"/>
  <c r="J1121" i="1"/>
  <c r="I1122" i="1"/>
  <c r="K1122" i="1" s="1"/>
  <c r="J1122" i="1"/>
  <c r="I1123" i="1"/>
  <c r="K1123" i="1" s="1"/>
  <c r="J1123" i="1"/>
  <c r="I1124" i="1"/>
  <c r="K1124" i="1" s="1"/>
  <c r="J1124" i="1"/>
  <c r="I1125" i="1"/>
  <c r="K1125" i="1" s="1"/>
  <c r="J1125" i="1"/>
  <c r="I1126" i="1"/>
  <c r="K1126" i="1" s="1"/>
  <c r="J1126" i="1"/>
  <c r="I1127" i="1"/>
  <c r="K1127" i="1" s="1"/>
  <c r="J1127" i="1"/>
  <c r="I1128" i="1"/>
  <c r="K1128" i="1" s="1"/>
  <c r="J1128" i="1"/>
  <c r="I1129" i="1"/>
  <c r="K1129" i="1" s="1"/>
  <c r="J1129" i="1"/>
  <c r="I1130" i="1"/>
  <c r="K1130" i="1" s="1"/>
  <c r="J1130" i="1"/>
  <c r="I1131" i="1"/>
  <c r="K1131" i="1" s="1"/>
  <c r="J1131" i="1"/>
  <c r="I1132" i="1"/>
  <c r="K1132" i="1" s="1"/>
  <c r="J1132" i="1"/>
  <c r="I1133" i="1"/>
  <c r="K1133" i="1" s="1"/>
  <c r="J1133" i="1"/>
  <c r="I1134" i="1"/>
  <c r="K1134" i="1" s="1"/>
  <c r="J1134" i="1"/>
  <c r="I1135" i="1"/>
  <c r="K1135" i="1" s="1"/>
  <c r="J1135" i="1"/>
  <c r="I1136" i="1"/>
  <c r="K1136" i="1" s="1"/>
  <c r="J1136" i="1"/>
  <c r="I1137" i="1"/>
  <c r="K1137" i="1" s="1"/>
  <c r="J1137" i="1"/>
  <c r="I1138" i="1"/>
  <c r="K1138" i="1" s="1"/>
  <c r="J1138" i="1"/>
  <c r="I1139" i="1"/>
  <c r="K1139" i="1" s="1"/>
  <c r="J1139" i="1"/>
  <c r="I1140" i="1"/>
  <c r="K1140" i="1" s="1"/>
  <c r="J1140" i="1"/>
  <c r="I1141" i="1"/>
  <c r="K1141" i="1" s="1"/>
  <c r="J1141" i="1"/>
  <c r="I1142" i="1"/>
  <c r="K1142" i="1" s="1"/>
  <c r="J1142" i="1"/>
  <c r="I1143" i="1"/>
  <c r="K1143" i="1" s="1"/>
  <c r="J1143" i="1"/>
  <c r="I1144" i="1"/>
  <c r="K1144" i="1" s="1"/>
  <c r="J1144" i="1"/>
  <c r="I1145" i="1"/>
  <c r="K1145" i="1" s="1"/>
  <c r="J1145" i="1"/>
  <c r="I1146" i="1"/>
  <c r="K1146" i="1" s="1"/>
  <c r="J1146" i="1"/>
  <c r="I1147" i="1"/>
  <c r="K1147" i="1" s="1"/>
  <c r="J1147" i="1"/>
  <c r="I1148" i="1"/>
  <c r="K1148" i="1" s="1"/>
  <c r="J1148" i="1"/>
  <c r="I1149" i="1"/>
  <c r="K1149" i="1" s="1"/>
  <c r="J1149" i="1"/>
  <c r="I1150" i="1"/>
  <c r="K1150" i="1" s="1"/>
  <c r="J1150" i="1"/>
  <c r="I1151" i="1"/>
  <c r="K1151" i="1" s="1"/>
  <c r="J1151" i="1"/>
  <c r="I1152" i="1"/>
  <c r="K1152" i="1" s="1"/>
  <c r="J1152" i="1"/>
  <c r="I1153" i="1"/>
  <c r="K1153" i="1" s="1"/>
  <c r="J1153" i="1"/>
  <c r="I1154" i="1"/>
  <c r="K1154" i="1" s="1"/>
  <c r="J1154" i="1"/>
  <c r="I1155" i="1"/>
  <c r="K1155" i="1" s="1"/>
  <c r="J1155" i="1"/>
  <c r="I1156" i="1"/>
  <c r="K1156" i="1" s="1"/>
  <c r="J1156" i="1"/>
  <c r="I1157" i="1"/>
  <c r="K1157" i="1" s="1"/>
  <c r="J1157" i="1"/>
  <c r="I1158" i="1"/>
  <c r="K1158" i="1" s="1"/>
  <c r="J1158" i="1"/>
  <c r="I1159" i="1"/>
  <c r="K1159" i="1" s="1"/>
  <c r="J1159" i="1"/>
  <c r="I1160" i="1"/>
  <c r="K1160" i="1" s="1"/>
  <c r="J1160" i="1"/>
  <c r="I1161" i="1"/>
  <c r="K1161" i="1" s="1"/>
  <c r="J1161" i="1"/>
  <c r="I1162" i="1"/>
  <c r="K1162" i="1" s="1"/>
  <c r="J1162" i="1"/>
  <c r="I1163" i="1"/>
  <c r="K1163" i="1" s="1"/>
  <c r="J1163" i="1"/>
  <c r="I1164" i="1"/>
  <c r="K1164" i="1" s="1"/>
  <c r="J1164" i="1"/>
  <c r="I1165" i="1"/>
  <c r="K1165" i="1" s="1"/>
  <c r="J1165" i="1"/>
  <c r="I1166" i="1"/>
  <c r="K1166" i="1" s="1"/>
  <c r="J1166" i="1"/>
  <c r="I1167" i="1"/>
  <c r="K1167" i="1" s="1"/>
  <c r="J1167" i="1"/>
  <c r="I1168" i="1"/>
  <c r="K1168" i="1" s="1"/>
  <c r="J1168" i="1"/>
  <c r="I1169" i="1"/>
  <c r="K1169" i="1" s="1"/>
  <c r="J1169" i="1"/>
  <c r="I1170" i="1"/>
  <c r="K1170" i="1" s="1"/>
  <c r="J1170" i="1"/>
  <c r="I1171" i="1"/>
  <c r="K1171" i="1" s="1"/>
  <c r="J1171" i="1"/>
  <c r="I1172" i="1"/>
  <c r="K1172" i="1" s="1"/>
  <c r="J1172" i="1"/>
  <c r="I1173" i="1"/>
  <c r="K1173" i="1" s="1"/>
  <c r="J1173" i="1"/>
  <c r="I1174" i="1"/>
  <c r="K1174" i="1" s="1"/>
  <c r="J1174" i="1"/>
  <c r="I1175" i="1"/>
  <c r="K1175" i="1" s="1"/>
  <c r="J1175" i="1"/>
  <c r="I1176" i="1"/>
  <c r="K1176" i="1" s="1"/>
  <c r="J1176" i="1"/>
  <c r="I1177" i="1"/>
  <c r="K1177" i="1" s="1"/>
  <c r="J1177" i="1"/>
  <c r="I1178" i="1"/>
  <c r="K1178" i="1" s="1"/>
  <c r="J1178" i="1"/>
  <c r="I1179" i="1"/>
  <c r="K1179" i="1" s="1"/>
  <c r="J1179" i="1"/>
  <c r="I1180" i="1"/>
  <c r="K1180" i="1" s="1"/>
  <c r="J1180" i="1"/>
  <c r="I1181" i="1"/>
  <c r="K1181" i="1" s="1"/>
  <c r="J1181" i="1"/>
  <c r="I1182" i="1"/>
  <c r="K1182" i="1" s="1"/>
  <c r="J1182" i="1"/>
  <c r="I1183" i="1"/>
  <c r="K1183" i="1" s="1"/>
  <c r="J1183" i="1"/>
  <c r="I1184" i="1"/>
  <c r="K1184" i="1" s="1"/>
  <c r="J1184" i="1"/>
  <c r="I1185" i="1"/>
  <c r="K1185" i="1" s="1"/>
  <c r="J1185" i="1"/>
  <c r="I1186" i="1"/>
  <c r="K1186" i="1" s="1"/>
  <c r="J1186" i="1"/>
  <c r="I1187" i="1"/>
  <c r="K1187" i="1" s="1"/>
  <c r="J1187" i="1"/>
  <c r="I1188" i="1"/>
  <c r="K1188" i="1" s="1"/>
  <c r="J1188" i="1"/>
  <c r="I1189" i="1"/>
  <c r="K1189" i="1" s="1"/>
  <c r="J1189" i="1"/>
  <c r="I1190" i="1"/>
  <c r="K1190" i="1" s="1"/>
  <c r="J1190" i="1"/>
  <c r="I1191" i="1"/>
  <c r="K1191" i="1" s="1"/>
  <c r="J1191" i="1"/>
  <c r="I1192" i="1"/>
  <c r="K1192" i="1" s="1"/>
  <c r="J1192" i="1"/>
  <c r="I1193" i="1"/>
  <c r="K1193" i="1" s="1"/>
  <c r="J1193" i="1"/>
  <c r="I1194" i="1"/>
  <c r="K1194" i="1" s="1"/>
  <c r="J1194" i="1"/>
  <c r="I1195" i="1"/>
  <c r="K1195" i="1" s="1"/>
  <c r="J1195" i="1"/>
  <c r="I1196" i="1"/>
  <c r="K1196" i="1" s="1"/>
  <c r="J1196" i="1"/>
  <c r="I1197" i="1"/>
  <c r="K1197" i="1" s="1"/>
  <c r="J1197" i="1"/>
  <c r="I1198" i="1"/>
  <c r="K1198" i="1" s="1"/>
  <c r="J1198" i="1"/>
  <c r="I1199" i="1"/>
  <c r="K1199" i="1" s="1"/>
  <c r="J1199" i="1"/>
  <c r="I1200" i="1"/>
  <c r="K1200" i="1" s="1"/>
  <c r="J1200" i="1"/>
  <c r="A488" i="1"/>
  <c r="B488" i="1"/>
  <c r="C488" i="1"/>
  <c r="D488" i="1"/>
  <c r="F488" i="1"/>
  <c r="G488" i="1"/>
  <c r="H488" i="1"/>
  <c r="A489" i="1"/>
  <c r="B489" i="1"/>
  <c r="C489" i="1"/>
  <c r="D489" i="1"/>
  <c r="F489" i="1"/>
  <c r="G489" i="1"/>
  <c r="H489" i="1"/>
  <c r="A490" i="1"/>
  <c r="B490" i="1"/>
  <c r="C490" i="1"/>
  <c r="D490" i="1"/>
  <c r="F490" i="1"/>
  <c r="G490" i="1"/>
  <c r="H490" i="1"/>
  <c r="A491" i="1"/>
  <c r="B491" i="1"/>
  <c r="C491" i="1"/>
  <c r="D491" i="1"/>
  <c r="F491" i="1"/>
  <c r="G491" i="1"/>
  <c r="H491" i="1"/>
  <c r="A492" i="1"/>
  <c r="B492" i="1"/>
  <c r="C492" i="1"/>
  <c r="D492" i="1"/>
  <c r="F492" i="1"/>
  <c r="G492" i="1"/>
  <c r="H492" i="1"/>
  <c r="A493" i="1"/>
  <c r="B493" i="1"/>
  <c r="C493" i="1"/>
  <c r="D493" i="1"/>
  <c r="F493" i="1"/>
  <c r="G493" i="1"/>
  <c r="H493" i="1"/>
  <c r="A494" i="1"/>
  <c r="B494" i="1"/>
  <c r="C494" i="1"/>
  <c r="D494" i="1"/>
  <c r="F494" i="1"/>
  <c r="G494" i="1"/>
  <c r="H494" i="1"/>
  <c r="A495" i="1"/>
  <c r="B495" i="1"/>
  <c r="C495" i="1"/>
  <c r="D495" i="1"/>
  <c r="F495" i="1"/>
  <c r="G495" i="1"/>
  <c r="H495" i="1"/>
  <c r="A496" i="1"/>
  <c r="B496" i="1"/>
  <c r="C496" i="1"/>
  <c r="D496" i="1"/>
  <c r="F496" i="1"/>
  <c r="G496" i="1"/>
  <c r="H496" i="1"/>
  <c r="A497" i="1"/>
  <c r="B497" i="1"/>
  <c r="C497" i="1"/>
  <c r="D497" i="1"/>
  <c r="F497" i="1"/>
  <c r="G497" i="1"/>
  <c r="H497" i="1"/>
  <c r="A498" i="1"/>
  <c r="B498" i="1"/>
  <c r="C498" i="1"/>
  <c r="D498" i="1"/>
  <c r="F498" i="1"/>
  <c r="G498" i="1"/>
  <c r="H498" i="1"/>
  <c r="A499" i="1"/>
  <c r="B499" i="1"/>
  <c r="C499" i="1"/>
  <c r="D499" i="1"/>
  <c r="F499" i="1"/>
  <c r="G499" i="1"/>
  <c r="H499" i="1"/>
  <c r="A500" i="1"/>
  <c r="B500" i="1"/>
  <c r="C500" i="1"/>
  <c r="D500" i="1"/>
  <c r="F500" i="1"/>
  <c r="G500" i="1"/>
  <c r="H500" i="1"/>
  <c r="A501" i="1"/>
  <c r="B501" i="1"/>
  <c r="C501" i="1"/>
  <c r="D501" i="1"/>
  <c r="F501" i="1"/>
  <c r="G501" i="1"/>
  <c r="H501" i="1"/>
  <c r="A502" i="1"/>
  <c r="B502" i="1"/>
  <c r="C502" i="1"/>
  <c r="D502" i="1"/>
  <c r="F502" i="1"/>
  <c r="G502" i="1"/>
  <c r="H502" i="1"/>
  <c r="A503" i="1"/>
  <c r="B503" i="1"/>
  <c r="C503" i="1"/>
  <c r="D503" i="1"/>
  <c r="F503" i="1"/>
  <c r="G503" i="1"/>
  <c r="H503" i="1"/>
  <c r="A504" i="1"/>
  <c r="B504" i="1"/>
  <c r="C504" i="1"/>
  <c r="D504" i="1"/>
  <c r="F504" i="1"/>
  <c r="G504" i="1"/>
  <c r="H504" i="1"/>
  <c r="A505" i="1"/>
  <c r="B505" i="1"/>
  <c r="C505" i="1"/>
  <c r="D505" i="1"/>
  <c r="F505" i="1"/>
  <c r="G505" i="1"/>
  <c r="H505" i="1"/>
  <c r="A506" i="1"/>
  <c r="B506" i="1"/>
  <c r="C506" i="1"/>
  <c r="D506" i="1"/>
  <c r="F506" i="1"/>
  <c r="G506" i="1"/>
  <c r="H506" i="1"/>
  <c r="A507" i="1"/>
  <c r="B507" i="1"/>
  <c r="C507" i="1"/>
  <c r="D507" i="1"/>
  <c r="F507" i="1"/>
  <c r="G507" i="1"/>
  <c r="H507" i="1"/>
  <c r="A508" i="1"/>
  <c r="B508" i="1"/>
  <c r="C508" i="1"/>
  <c r="D508" i="1"/>
  <c r="F508" i="1"/>
  <c r="G508" i="1"/>
  <c r="H508" i="1"/>
  <c r="A509" i="1"/>
  <c r="B509" i="1"/>
  <c r="C509" i="1"/>
  <c r="D509" i="1"/>
  <c r="F509" i="1"/>
  <c r="G509" i="1"/>
  <c r="H509" i="1"/>
  <c r="A510" i="1"/>
  <c r="B510" i="1"/>
  <c r="C510" i="1"/>
  <c r="D510" i="1"/>
  <c r="F510" i="1"/>
  <c r="G510" i="1"/>
  <c r="H510" i="1"/>
  <c r="A511" i="1"/>
  <c r="B511" i="1"/>
  <c r="C511" i="1"/>
  <c r="D511" i="1"/>
  <c r="F511" i="1"/>
  <c r="G511" i="1"/>
  <c r="H511" i="1"/>
  <c r="A512" i="1"/>
  <c r="B512" i="1"/>
  <c r="C512" i="1"/>
  <c r="D512" i="1"/>
  <c r="F512" i="1"/>
  <c r="G512" i="1"/>
  <c r="H512" i="1"/>
  <c r="A513" i="1"/>
  <c r="B513" i="1"/>
  <c r="C513" i="1"/>
  <c r="D513" i="1"/>
  <c r="F513" i="1"/>
  <c r="G513" i="1"/>
  <c r="H513" i="1"/>
  <c r="A514" i="1"/>
  <c r="B514" i="1"/>
  <c r="C514" i="1"/>
  <c r="D514" i="1"/>
  <c r="F514" i="1"/>
  <c r="G514" i="1"/>
  <c r="H514" i="1"/>
  <c r="A515" i="1"/>
  <c r="B515" i="1"/>
  <c r="C515" i="1"/>
  <c r="D515" i="1"/>
  <c r="F515" i="1"/>
  <c r="G515" i="1"/>
  <c r="H515" i="1"/>
  <c r="A516" i="1"/>
  <c r="B516" i="1"/>
  <c r="C516" i="1"/>
  <c r="D516" i="1"/>
  <c r="F516" i="1"/>
  <c r="G516" i="1"/>
  <c r="H516" i="1"/>
  <c r="A517" i="1"/>
  <c r="B517" i="1"/>
  <c r="C517" i="1"/>
  <c r="D517" i="1"/>
  <c r="F517" i="1"/>
  <c r="G517" i="1"/>
  <c r="H517" i="1"/>
  <c r="A518" i="1"/>
  <c r="B518" i="1"/>
  <c r="C518" i="1"/>
  <c r="D518" i="1"/>
  <c r="F518" i="1"/>
  <c r="G518" i="1"/>
  <c r="H518" i="1"/>
  <c r="A519" i="1"/>
  <c r="B519" i="1"/>
  <c r="C519" i="1"/>
  <c r="D519" i="1"/>
  <c r="F519" i="1"/>
  <c r="G519" i="1"/>
  <c r="H519" i="1"/>
  <c r="A520" i="1"/>
  <c r="B520" i="1"/>
  <c r="C520" i="1"/>
  <c r="D520" i="1"/>
  <c r="F520" i="1"/>
  <c r="G520" i="1"/>
  <c r="H520" i="1"/>
  <c r="A521" i="1"/>
  <c r="B521" i="1"/>
  <c r="C521" i="1"/>
  <c r="D521" i="1"/>
  <c r="F521" i="1"/>
  <c r="G521" i="1"/>
  <c r="H521" i="1"/>
  <c r="A522" i="1"/>
  <c r="B522" i="1"/>
  <c r="C522" i="1"/>
  <c r="D522" i="1"/>
  <c r="F522" i="1"/>
  <c r="G522" i="1"/>
  <c r="H522" i="1"/>
  <c r="A523" i="1"/>
  <c r="B523" i="1"/>
  <c r="C523" i="1"/>
  <c r="D523" i="1"/>
  <c r="F523" i="1"/>
  <c r="G523" i="1"/>
  <c r="H523" i="1"/>
  <c r="A524" i="1"/>
  <c r="B524" i="1"/>
  <c r="C524" i="1"/>
  <c r="D524" i="1"/>
  <c r="F524" i="1"/>
  <c r="G524" i="1"/>
  <c r="H524" i="1"/>
  <c r="A525" i="1"/>
  <c r="B525" i="1"/>
  <c r="C525" i="1"/>
  <c r="D525" i="1"/>
  <c r="F525" i="1"/>
  <c r="G525" i="1"/>
  <c r="H525" i="1"/>
  <c r="A526" i="1"/>
  <c r="B526" i="1"/>
  <c r="C526" i="1"/>
  <c r="D526" i="1"/>
  <c r="F526" i="1"/>
  <c r="G526" i="1"/>
  <c r="H526" i="1"/>
  <c r="A527" i="1"/>
  <c r="B527" i="1"/>
  <c r="C527" i="1"/>
  <c r="D527" i="1"/>
  <c r="F527" i="1"/>
  <c r="G527" i="1"/>
  <c r="H527" i="1"/>
  <c r="A528" i="1"/>
  <c r="B528" i="1"/>
  <c r="C528" i="1"/>
  <c r="D528" i="1"/>
  <c r="F528" i="1"/>
  <c r="G528" i="1"/>
  <c r="H528" i="1"/>
  <c r="A529" i="1"/>
  <c r="B529" i="1"/>
  <c r="C529" i="1"/>
  <c r="D529" i="1"/>
  <c r="F529" i="1"/>
  <c r="G529" i="1"/>
  <c r="H529" i="1"/>
  <c r="A530" i="1"/>
  <c r="B530" i="1"/>
  <c r="C530" i="1"/>
  <c r="D530" i="1"/>
  <c r="F530" i="1"/>
  <c r="G530" i="1"/>
  <c r="H530" i="1"/>
  <c r="A531" i="1"/>
  <c r="B531" i="1"/>
  <c r="C531" i="1"/>
  <c r="D531" i="1"/>
  <c r="F531" i="1"/>
  <c r="G531" i="1"/>
  <c r="H531" i="1"/>
  <c r="A532" i="1"/>
  <c r="B532" i="1"/>
  <c r="C532" i="1"/>
  <c r="D532" i="1"/>
  <c r="F532" i="1"/>
  <c r="G532" i="1"/>
  <c r="H532" i="1"/>
  <c r="A533" i="1"/>
  <c r="B533" i="1"/>
  <c r="C533" i="1"/>
  <c r="D533" i="1"/>
  <c r="F533" i="1"/>
  <c r="G533" i="1"/>
  <c r="H533" i="1"/>
  <c r="A534" i="1"/>
  <c r="B534" i="1"/>
  <c r="C534" i="1"/>
  <c r="D534" i="1"/>
  <c r="F534" i="1"/>
  <c r="G534" i="1"/>
  <c r="H534" i="1"/>
  <c r="A535" i="1"/>
  <c r="B535" i="1"/>
  <c r="C535" i="1"/>
  <c r="D535" i="1"/>
  <c r="F535" i="1"/>
  <c r="G535" i="1"/>
  <c r="H535" i="1"/>
  <c r="A536" i="1"/>
  <c r="B536" i="1"/>
  <c r="C536" i="1"/>
  <c r="D536" i="1"/>
  <c r="F536" i="1"/>
  <c r="G536" i="1"/>
  <c r="H536" i="1"/>
  <c r="A537" i="1"/>
  <c r="B537" i="1"/>
  <c r="C537" i="1"/>
  <c r="D537" i="1"/>
  <c r="F537" i="1"/>
  <c r="G537" i="1"/>
  <c r="H537" i="1"/>
  <c r="A538" i="1"/>
  <c r="B538" i="1"/>
  <c r="C538" i="1"/>
  <c r="D538" i="1"/>
  <c r="F538" i="1"/>
  <c r="G538" i="1"/>
  <c r="H538" i="1"/>
  <c r="A539" i="1"/>
  <c r="B539" i="1"/>
  <c r="C539" i="1"/>
  <c r="D539" i="1"/>
  <c r="F539" i="1"/>
  <c r="G539" i="1"/>
  <c r="H539" i="1"/>
  <c r="A540" i="1"/>
  <c r="B540" i="1"/>
  <c r="C540" i="1"/>
  <c r="D540" i="1"/>
  <c r="F540" i="1"/>
  <c r="G540" i="1"/>
  <c r="H540" i="1"/>
  <c r="A541" i="1"/>
  <c r="B541" i="1"/>
  <c r="C541" i="1"/>
  <c r="D541" i="1"/>
  <c r="F541" i="1"/>
  <c r="G541" i="1"/>
  <c r="H541" i="1"/>
  <c r="A542" i="1"/>
  <c r="B542" i="1"/>
  <c r="C542" i="1"/>
  <c r="D542" i="1"/>
  <c r="F542" i="1"/>
  <c r="G542" i="1"/>
  <c r="H542" i="1"/>
  <c r="A543" i="1"/>
  <c r="B543" i="1"/>
  <c r="C543" i="1"/>
  <c r="D543" i="1"/>
  <c r="F543" i="1"/>
  <c r="G543" i="1"/>
  <c r="H543" i="1"/>
  <c r="A544" i="1"/>
  <c r="B544" i="1"/>
  <c r="C544" i="1"/>
  <c r="D544" i="1"/>
  <c r="F544" i="1"/>
  <c r="G544" i="1"/>
  <c r="H544" i="1"/>
  <c r="A545" i="1"/>
  <c r="B545" i="1"/>
  <c r="C545" i="1"/>
  <c r="D545" i="1"/>
  <c r="F545" i="1"/>
  <c r="G545" i="1"/>
  <c r="H545" i="1"/>
  <c r="A546" i="1"/>
  <c r="B546" i="1"/>
  <c r="C546" i="1"/>
  <c r="D546" i="1"/>
  <c r="F546" i="1"/>
  <c r="G546" i="1"/>
  <c r="H546" i="1"/>
  <c r="A547" i="1"/>
  <c r="B547" i="1"/>
  <c r="C547" i="1"/>
  <c r="D547" i="1"/>
  <c r="F547" i="1"/>
  <c r="G547" i="1"/>
  <c r="H547" i="1"/>
  <c r="A548" i="1"/>
  <c r="B548" i="1"/>
  <c r="C548" i="1"/>
  <c r="D548" i="1"/>
  <c r="F548" i="1"/>
  <c r="G548" i="1"/>
  <c r="H548" i="1"/>
  <c r="A549" i="1"/>
  <c r="B549" i="1"/>
  <c r="C549" i="1"/>
  <c r="D549" i="1"/>
  <c r="F549" i="1"/>
  <c r="G549" i="1"/>
  <c r="H549" i="1"/>
  <c r="A550" i="1"/>
  <c r="B550" i="1"/>
  <c r="C550" i="1"/>
  <c r="D550" i="1"/>
  <c r="F550" i="1"/>
  <c r="G550" i="1"/>
  <c r="H550" i="1"/>
  <c r="A551" i="1"/>
  <c r="B551" i="1"/>
  <c r="C551" i="1"/>
  <c r="D551" i="1"/>
  <c r="F551" i="1"/>
  <c r="G551" i="1"/>
  <c r="H551" i="1"/>
  <c r="A552" i="1"/>
  <c r="B552" i="1"/>
  <c r="C552" i="1"/>
  <c r="D552" i="1"/>
  <c r="F552" i="1"/>
  <c r="G552" i="1"/>
  <c r="H552" i="1"/>
  <c r="A553" i="1"/>
  <c r="B553" i="1"/>
  <c r="C553" i="1"/>
  <c r="D553" i="1"/>
  <c r="F553" i="1"/>
  <c r="G553" i="1"/>
  <c r="H553" i="1"/>
  <c r="A554" i="1"/>
  <c r="B554" i="1"/>
  <c r="C554" i="1"/>
  <c r="D554" i="1"/>
  <c r="F554" i="1"/>
  <c r="G554" i="1"/>
  <c r="H554" i="1"/>
  <c r="A555" i="1"/>
  <c r="B555" i="1"/>
  <c r="C555" i="1"/>
  <c r="D555" i="1"/>
  <c r="F555" i="1"/>
  <c r="G555" i="1"/>
  <c r="H555" i="1"/>
  <c r="A556" i="1"/>
  <c r="B556" i="1"/>
  <c r="C556" i="1"/>
  <c r="D556" i="1"/>
  <c r="F556" i="1"/>
  <c r="G556" i="1"/>
  <c r="H556" i="1"/>
  <c r="A557" i="1"/>
  <c r="B557" i="1"/>
  <c r="C557" i="1"/>
  <c r="D557" i="1"/>
  <c r="F557" i="1"/>
  <c r="G557" i="1"/>
  <c r="H557" i="1"/>
  <c r="A558" i="1"/>
  <c r="B558" i="1"/>
  <c r="C558" i="1"/>
  <c r="D558" i="1"/>
  <c r="F558" i="1"/>
  <c r="G558" i="1"/>
  <c r="H558" i="1"/>
  <c r="A559" i="1"/>
  <c r="B559" i="1"/>
  <c r="C559" i="1"/>
  <c r="D559" i="1"/>
  <c r="F559" i="1"/>
  <c r="G559" i="1"/>
  <c r="H559" i="1"/>
  <c r="A560" i="1"/>
  <c r="B560" i="1"/>
  <c r="C560" i="1"/>
  <c r="D560" i="1"/>
  <c r="F560" i="1"/>
  <c r="G560" i="1"/>
  <c r="H560" i="1"/>
  <c r="A561" i="1"/>
  <c r="B561" i="1"/>
  <c r="C561" i="1"/>
  <c r="D561" i="1"/>
  <c r="F561" i="1"/>
  <c r="G561" i="1"/>
  <c r="H561" i="1"/>
  <c r="A562" i="1"/>
  <c r="B562" i="1"/>
  <c r="C562" i="1"/>
  <c r="D562" i="1"/>
  <c r="F562" i="1"/>
  <c r="G562" i="1"/>
  <c r="H562" i="1"/>
  <c r="A563" i="1"/>
  <c r="B563" i="1"/>
  <c r="C563" i="1"/>
  <c r="D563" i="1"/>
  <c r="F563" i="1"/>
  <c r="G563" i="1"/>
  <c r="H563" i="1"/>
  <c r="A564" i="1"/>
  <c r="B564" i="1"/>
  <c r="C564" i="1"/>
  <c r="D564" i="1"/>
  <c r="F564" i="1"/>
  <c r="G564" i="1"/>
  <c r="H564" i="1"/>
  <c r="A565" i="1"/>
  <c r="B565" i="1"/>
  <c r="C565" i="1"/>
  <c r="D565" i="1"/>
  <c r="F565" i="1"/>
  <c r="G565" i="1"/>
  <c r="H565" i="1"/>
  <c r="A566" i="1"/>
  <c r="B566" i="1"/>
  <c r="C566" i="1"/>
  <c r="D566" i="1"/>
  <c r="F566" i="1"/>
  <c r="G566" i="1"/>
  <c r="H566" i="1"/>
  <c r="A567" i="1"/>
  <c r="B567" i="1"/>
  <c r="C567" i="1"/>
  <c r="D567" i="1"/>
  <c r="F567" i="1"/>
  <c r="G567" i="1"/>
  <c r="H567" i="1"/>
  <c r="A568" i="1"/>
  <c r="B568" i="1"/>
  <c r="C568" i="1"/>
  <c r="D568" i="1"/>
  <c r="F568" i="1"/>
  <c r="G568" i="1"/>
  <c r="H568" i="1"/>
  <c r="A569" i="1"/>
  <c r="B569" i="1"/>
  <c r="C569" i="1"/>
  <c r="D569" i="1"/>
  <c r="F569" i="1"/>
  <c r="G569" i="1"/>
  <c r="H569" i="1"/>
  <c r="A570" i="1"/>
  <c r="B570" i="1"/>
  <c r="C570" i="1"/>
  <c r="D570" i="1"/>
  <c r="F570" i="1"/>
  <c r="G570" i="1"/>
  <c r="H570" i="1"/>
  <c r="A571" i="1"/>
  <c r="B571" i="1"/>
  <c r="C571" i="1"/>
  <c r="D571" i="1"/>
  <c r="F571" i="1"/>
  <c r="G571" i="1"/>
  <c r="H571" i="1"/>
  <c r="A572" i="1"/>
  <c r="B572" i="1"/>
  <c r="C572" i="1"/>
  <c r="D572" i="1"/>
  <c r="F572" i="1"/>
  <c r="G572" i="1"/>
  <c r="H572" i="1"/>
  <c r="A573" i="1"/>
  <c r="B573" i="1"/>
  <c r="C573" i="1"/>
  <c r="D573" i="1"/>
  <c r="F573" i="1"/>
  <c r="G573" i="1"/>
  <c r="H573" i="1"/>
  <c r="A574" i="1"/>
  <c r="B574" i="1"/>
  <c r="C574" i="1"/>
  <c r="D574" i="1"/>
  <c r="F574" i="1"/>
  <c r="G574" i="1"/>
  <c r="H574" i="1"/>
  <c r="A575" i="1"/>
  <c r="B575" i="1"/>
  <c r="C575" i="1"/>
  <c r="D575" i="1"/>
  <c r="F575" i="1"/>
  <c r="G575" i="1"/>
  <c r="H575" i="1"/>
  <c r="A576" i="1"/>
  <c r="B576" i="1"/>
  <c r="C576" i="1"/>
  <c r="D576" i="1"/>
  <c r="F576" i="1"/>
  <c r="G576" i="1"/>
  <c r="H576" i="1"/>
  <c r="A577" i="1"/>
  <c r="B577" i="1"/>
  <c r="C577" i="1"/>
  <c r="D577" i="1"/>
  <c r="F577" i="1"/>
  <c r="G577" i="1"/>
  <c r="H577" i="1"/>
  <c r="A578" i="1"/>
  <c r="B578" i="1"/>
  <c r="C578" i="1"/>
  <c r="D578" i="1"/>
  <c r="F578" i="1"/>
  <c r="G578" i="1"/>
  <c r="H578" i="1"/>
  <c r="A579" i="1"/>
  <c r="B579" i="1"/>
  <c r="C579" i="1"/>
  <c r="D579" i="1"/>
  <c r="F579" i="1"/>
  <c r="G579" i="1"/>
  <c r="H579" i="1"/>
  <c r="A580" i="1"/>
  <c r="B580" i="1"/>
  <c r="C580" i="1"/>
  <c r="D580" i="1"/>
  <c r="F580" i="1"/>
  <c r="G580" i="1"/>
  <c r="H580" i="1"/>
  <c r="A581" i="1"/>
  <c r="B581" i="1"/>
  <c r="C581" i="1"/>
  <c r="D581" i="1"/>
  <c r="F581" i="1"/>
  <c r="G581" i="1"/>
  <c r="H581" i="1"/>
  <c r="A582" i="1"/>
  <c r="B582" i="1"/>
  <c r="C582" i="1"/>
  <c r="D582" i="1"/>
  <c r="F582" i="1"/>
  <c r="G582" i="1"/>
  <c r="H582" i="1"/>
  <c r="A583" i="1"/>
  <c r="B583" i="1"/>
  <c r="C583" i="1"/>
  <c r="D583" i="1"/>
  <c r="F583" i="1"/>
  <c r="G583" i="1"/>
  <c r="H583" i="1"/>
  <c r="A584" i="1"/>
  <c r="B584" i="1"/>
  <c r="C584" i="1"/>
  <c r="D584" i="1"/>
  <c r="F584" i="1"/>
  <c r="G584" i="1"/>
  <c r="H584" i="1"/>
  <c r="A585" i="1"/>
  <c r="B585" i="1"/>
  <c r="C585" i="1"/>
  <c r="D585" i="1"/>
  <c r="F585" i="1"/>
  <c r="G585" i="1"/>
  <c r="H585" i="1"/>
  <c r="A586" i="1"/>
  <c r="B586" i="1"/>
  <c r="C586" i="1"/>
  <c r="D586" i="1"/>
  <c r="F586" i="1"/>
  <c r="G586" i="1"/>
  <c r="H586" i="1"/>
  <c r="A587" i="1"/>
  <c r="B587" i="1"/>
  <c r="C587" i="1"/>
  <c r="D587" i="1"/>
  <c r="F587" i="1"/>
  <c r="G587" i="1"/>
  <c r="H587" i="1"/>
  <c r="A588" i="1"/>
  <c r="B588" i="1"/>
  <c r="C588" i="1"/>
  <c r="D588" i="1"/>
  <c r="F588" i="1"/>
  <c r="G588" i="1"/>
  <c r="H588" i="1"/>
  <c r="A589" i="1"/>
  <c r="B589" i="1"/>
  <c r="C589" i="1"/>
  <c r="D589" i="1"/>
  <c r="F589" i="1"/>
  <c r="G589" i="1"/>
  <c r="H589" i="1"/>
  <c r="A590" i="1"/>
  <c r="B590" i="1"/>
  <c r="C590" i="1"/>
  <c r="D590" i="1"/>
  <c r="F590" i="1"/>
  <c r="G590" i="1"/>
  <c r="H590" i="1"/>
  <c r="A591" i="1"/>
  <c r="B591" i="1"/>
  <c r="C591" i="1"/>
  <c r="D591" i="1"/>
  <c r="F591" i="1"/>
  <c r="G591" i="1"/>
  <c r="H591" i="1"/>
  <c r="A592" i="1"/>
  <c r="B592" i="1"/>
  <c r="C592" i="1"/>
  <c r="D592" i="1"/>
  <c r="F592" i="1"/>
  <c r="G592" i="1"/>
  <c r="H592" i="1"/>
  <c r="A593" i="1"/>
  <c r="B593" i="1"/>
  <c r="C593" i="1"/>
  <c r="D593" i="1"/>
  <c r="F593" i="1"/>
  <c r="G593" i="1"/>
  <c r="H593" i="1"/>
  <c r="A594" i="1"/>
  <c r="B594" i="1"/>
  <c r="C594" i="1"/>
  <c r="D594" i="1"/>
  <c r="F594" i="1"/>
  <c r="G594" i="1"/>
  <c r="H594" i="1"/>
  <c r="A595" i="1"/>
  <c r="B595" i="1"/>
  <c r="C595" i="1"/>
  <c r="D595" i="1"/>
  <c r="F595" i="1"/>
  <c r="G595" i="1"/>
  <c r="H595" i="1"/>
  <c r="A596" i="1"/>
  <c r="B596" i="1"/>
  <c r="C596" i="1"/>
  <c r="D596" i="1"/>
  <c r="F596" i="1"/>
  <c r="G596" i="1"/>
  <c r="H596" i="1"/>
  <c r="A597" i="1"/>
  <c r="B597" i="1"/>
  <c r="C597" i="1"/>
  <c r="D597" i="1"/>
  <c r="F597" i="1"/>
  <c r="G597" i="1"/>
  <c r="H597" i="1"/>
  <c r="A598" i="1"/>
  <c r="B598" i="1"/>
  <c r="C598" i="1"/>
  <c r="D598" i="1"/>
  <c r="F598" i="1"/>
  <c r="G598" i="1"/>
  <c r="H598" i="1"/>
  <c r="A599" i="1"/>
  <c r="B599" i="1"/>
  <c r="C599" i="1"/>
  <c r="D599" i="1"/>
  <c r="F599" i="1"/>
  <c r="G599" i="1"/>
  <c r="H599" i="1"/>
  <c r="A600" i="1"/>
  <c r="B600" i="1"/>
  <c r="C600" i="1"/>
  <c r="D600" i="1"/>
  <c r="F600" i="1"/>
  <c r="G600" i="1"/>
  <c r="H600" i="1"/>
  <c r="A601" i="1"/>
  <c r="B601" i="1"/>
  <c r="C601" i="1"/>
  <c r="D601" i="1"/>
  <c r="F601" i="1"/>
  <c r="G601" i="1"/>
  <c r="H601" i="1"/>
  <c r="A602" i="1"/>
  <c r="B602" i="1"/>
  <c r="C602" i="1"/>
  <c r="D602" i="1"/>
  <c r="F602" i="1"/>
  <c r="G602" i="1"/>
  <c r="H602" i="1"/>
  <c r="A603" i="1"/>
  <c r="B603" i="1"/>
  <c r="C603" i="1"/>
  <c r="D603" i="1"/>
  <c r="F603" i="1"/>
  <c r="G603" i="1"/>
  <c r="H603" i="1"/>
  <c r="A604" i="1"/>
  <c r="B604" i="1"/>
  <c r="C604" i="1"/>
  <c r="D604" i="1"/>
  <c r="F604" i="1"/>
  <c r="G604" i="1"/>
  <c r="H604" i="1"/>
  <c r="A605" i="1"/>
  <c r="B605" i="1"/>
  <c r="C605" i="1"/>
  <c r="D605" i="1"/>
  <c r="F605" i="1"/>
  <c r="G605" i="1"/>
  <c r="H605" i="1"/>
  <c r="A606" i="1"/>
  <c r="B606" i="1"/>
  <c r="C606" i="1"/>
  <c r="D606" i="1"/>
  <c r="F606" i="1"/>
  <c r="G606" i="1"/>
  <c r="H606" i="1"/>
  <c r="A607" i="1"/>
  <c r="B607" i="1"/>
  <c r="C607" i="1"/>
  <c r="D607" i="1"/>
  <c r="F607" i="1"/>
  <c r="G607" i="1"/>
  <c r="H607" i="1"/>
  <c r="A608" i="1"/>
  <c r="B608" i="1"/>
  <c r="C608" i="1"/>
  <c r="D608" i="1"/>
  <c r="F608" i="1"/>
  <c r="G608" i="1"/>
  <c r="H608" i="1"/>
  <c r="A609" i="1"/>
  <c r="B609" i="1"/>
  <c r="C609" i="1"/>
  <c r="D609" i="1"/>
  <c r="F609" i="1"/>
  <c r="G609" i="1"/>
  <c r="H609" i="1"/>
  <c r="A610" i="1"/>
  <c r="B610" i="1"/>
  <c r="C610" i="1"/>
  <c r="D610" i="1"/>
  <c r="F610" i="1"/>
  <c r="G610" i="1"/>
  <c r="H610" i="1"/>
  <c r="A611" i="1"/>
  <c r="B611" i="1"/>
  <c r="C611" i="1"/>
  <c r="D611" i="1"/>
  <c r="F611" i="1"/>
  <c r="G611" i="1"/>
  <c r="H611" i="1"/>
  <c r="A612" i="1"/>
  <c r="B612" i="1"/>
  <c r="C612" i="1"/>
  <c r="D612" i="1"/>
  <c r="F612" i="1"/>
  <c r="G612" i="1"/>
  <c r="H612" i="1"/>
  <c r="A613" i="1"/>
  <c r="B613" i="1"/>
  <c r="C613" i="1"/>
  <c r="D613" i="1"/>
  <c r="F613" i="1"/>
  <c r="G613" i="1"/>
  <c r="H613" i="1"/>
  <c r="A614" i="1"/>
  <c r="B614" i="1"/>
  <c r="C614" i="1"/>
  <c r="D614" i="1"/>
  <c r="F614" i="1"/>
  <c r="G614" i="1"/>
  <c r="H614" i="1"/>
  <c r="A615" i="1"/>
  <c r="B615" i="1"/>
  <c r="C615" i="1"/>
  <c r="D615" i="1"/>
  <c r="F615" i="1"/>
  <c r="G615" i="1"/>
  <c r="H615" i="1"/>
  <c r="A616" i="1"/>
  <c r="B616" i="1"/>
  <c r="C616" i="1"/>
  <c r="D616" i="1"/>
  <c r="F616" i="1"/>
  <c r="G616" i="1"/>
  <c r="H616" i="1"/>
  <c r="A617" i="1"/>
  <c r="B617" i="1"/>
  <c r="C617" i="1"/>
  <c r="D617" i="1"/>
  <c r="F617" i="1"/>
  <c r="G617" i="1"/>
  <c r="H617" i="1"/>
  <c r="A618" i="1"/>
  <c r="B618" i="1"/>
  <c r="C618" i="1"/>
  <c r="D618" i="1"/>
  <c r="F618" i="1"/>
  <c r="G618" i="1"/>
  <c r="H618" i="1"/>
  <c r="A619" i="1"/>
  <c r="B619" i="1"/>
  <c r="C619" i="1"/>
  <c r="D619" i="1"/>
  <c r="F619" i="1"/>
  <c r="G619" i="1"/>
  <c r="H619" i="1"/>
  <c r="A620" i="1"/>
  <c r="B620" i="1"/>
  <c r="C620" i="1"/>
  <c r="D620" i="1"/>
  <c r="F620" i="1"/>
  <c r="G620" i="1"/>
  <c r="H620" i="1"/>
  <c r="A621" i="1"/>
  <c r="B621" i="1"/>
  <c r="C621" i="1"/>
  <c r="D621" i="1"/>
  <c r="F621" i="1"/>
  <c r="G621" i="1"/>
  <c r="H621" i="1"/>
  <c r="A622" i="1"/>
  <c r="B622" i="1"/>
  <c r="C622" i="1"/>
  <c r="D622" i="1"/>
  <c r="F622" i="1"/>
  <c r="G622" i="1"/>
  <c r="H622" i="1"/>
  <c r="A623" i="1"/>
  <c r="B623" i="1"/>
  <c r="C623" i="1"/>
  <c r="D623" i="1"/>
  <c r="F623" i="1"/>
  <c r="G623" i="1"/>
  <c r="H623" i="1"/>
  <c r="A624" i="1"/>
  <c r="B624" i="1"/>
  <c r="C624" i="1"/>
  <c r="D624" i="1"/>
  <c r="F624" i="1"/>
  <c r="G624" i="1"/>
  <c r="H624" i="1"/>
  <c r="A625" i="1"/>
  <c r="B625" i="1"/>
  <c r="C625" i="1"/>
  <c r="D625" i="1"/>
  <c r="F625" i="1"/>
  <c r="G625" i="1"/>
  <c r="H625" i="1"/>
  <c r="A626" i="1"/>
  <c r="B626" i="1"/>
  <c r="C626" i="1"/>
  <c r="D626" i="1"/>
  <c r="F626" i="1"/>
  <c r="G626" i="1"/>
  <c r="H626" i="1"/>
  <c r="A627" i="1"/>
  <c r="B627" i="1"/>
  <c r="C627" i="1"/>
  <c r="D627" i="1"/>
  <c r="F627" i="1"/>
  <c r="G627" i="1"/>
  <c r="H627" i="1"/>
  <c r="A628" i="1"/>
  <c r="B628" i="1"/>
  <c r="C628" i="1"/>
  <c r="D628" i="1"/>
  <c r="F628" i="1"/>
  <c r="G628" i="1"/>
  <c r="H628" i="1"/>
  <c r="A629" i="1"/>
  <c r="B629" i="1"/>
  <c r="C629" i="1"/>
  <c r="D629" i="1"/>
  <c r="F629" i="1"/>
  <c r="G629" i="1"/>
  <c r="H629" i="1"/>
  <c r="A630" i="1"/>
  <c r="B630" i="1"/>
  <c r="C630" i="1"/>
  <c r="D630" i="1"/>
  <c r="F630" i="1"/>
  <c r="G630" i="1"/>
  <c r="H630" i="1"/>
  <c r="A631" i="1"/>
  <c r="B631" i="1"/>
  <c r="C631" i="1"/>
  <c r="D631" i="1"/>
  <c r="F631" i="1"/>
  <c r="G631" i="1"/>
  <c r="H631" i="1"/>
  <c r="A632" i="1"/>
  <c r="B632" i="1"/>
  <c r="C632" i="1"/>
  <c r="D632" i="1"/>
  <c r="F632" i="1"/>
  <c r="G632" i="1"/>
  <c r="H632" i="1"/>
  <c r="A633" i="1"/>
  <c r="B633" i="1"/>
  <c r="C633" i="1"/>
  <c r="D633" i="1"/>
  <c r="F633" i="1"/>
  <c r="G633" i="1"/>
  <c r="H633" i="1"/>
  <c r="A634" i="1"/>
  <c r="B634" i="1"/>
  <c r="C634" i="1"/>
  <c r="D634" i="1"/>
  <c r="F634" i="1"/>
  <c r="G634" i="1"/>
  <c r="H634" i="1"/>
  <c r="A635" i="1"/>
  <c r="B635" i="1"/>
  <c r="C635" i="1"/>
  <c r="D635" i="1"/>
  <c r="F635" i="1"/>
  <c r="G635" i="1"/>
  <c r="H635" i="1"/>
  <c r="A636" i="1"/>
  <c r="B636" i="1"/>
  <c r="C636" i="1"/>
  <c r="D636" i="1"/>
  <c r="F636" i="1"/>
  <c r="G636" i="1"/>
  <c r="H636" i="1"/>
  <c r="A637" i="1"/>
  <c r="B637" i="1"/>
  <c r="C637" i="1"/>
  <c r="D637" i="1"/>
  <c r="F637" i="1"/>
  <c r="G637" i="1"/>
  <c r="H637" i="1"/>
  <c r="A638" i="1"/>
  <c r="B638" i="1"/>
  <c r="C638" i="1"/>
  <c r="D638" i="1"/>
  <c r="F638" i="1"/>
  <c r="G638" i="1"/>
  <c r="H638" i="1"/>
  <c r="A639" i="1"/>
  <c r="B639" i="1"/>
  <c r="C639" i="1"/>
  <c r="D639" i="1"/>
  <c r="F639" i="1"/>
  <c r="G639" i="1"/>
  <c r="H639" i="1"/>
  <c r="A640" i="1"/>
  <c r="B640" i="1"/>
  <c r="C640" i="1"/>
  <c r="D640" i="1"/>
  <c r="F640" i="1"/>
  <c r="G640" i="1"/>
  <c r="H640" i="1"/>
  <c r="A641" i="1"/>
  <c r="B641" i="1"/>
  <c r="C641" i="1"/>
  <c r="D641" i="1"/>
  <c r="F641" i="1"/>
  <c r="G641" i="1"/>
  <c r="H641" i="1"/>
  <c r="A642" i="1"/>
  <c r="B642" i="1"/>
  <c r="C642" i="1"/>
  <c r="D642" i="1"/>
  <c r="F642" i="1"/>
  <c r="G642" i="1"/>
  <c r="H642" i="1"/>
  <c r="A643" i="1"/>
  <c r="B643" i="1"/>
  <c r="C643" i="1"/>
  <c r="D643" i="1"/>
  <c r="F643" i="1"/>
  <c r="G643" i="1"/>
  <c r="H643" i="1"/>
  <c r="A644" i="1"/>
  <c r="B644" i="1"/>
  <c r="C644" i="1"/>
  <c r="D644" i="1"/>
  <c r="F644" i="1"/>
  <c r="G644" i="1"/>
  <c r="H644" i="1"/>
  <c r="A645" i="1"/>
  <c r="B645" i="1"/>
  <c r="C645" i="1"/>
  <c r="D645" i="1"/>
  <c r="F645" i="1"/>
  <c r="G645" i="1"/>
  <c r="H645" i="1"/>
  <c r="A646" i="1"/>
  <c r="B646" i="1"/>
  <c r="C646" i="1"/>
  <c r="D646" i="1"/>
  <c r="F646" i="1"/>
  <c r="G646" i="1"/>
  <c r="H646" i="1"/>
  <c r="A647" i="1"/>
  <c r="B647" i="1"/>
  <c r="C647" i="1"/>
  <c r="D647" i="1"/>
  <c r="F647" i="1"/>
  <c r="G647" i="1"/>
  <c r="H647" i="1"/>
  <c r="A648" i="1"/>
  <c r="B648" i="1"/>
  <c r="C648" i="1"/>
  <c r="D648" i="1"/>
  <c r="F648" i="1"/>
  <c r="G648" i="1"/>
  <c r="H648" i="1"/>
  <c r="A649" i="1"/>
  <c r="B649" i="1"/>
  <c r="C649" i="1"/>
  <c r="D649" i="1"/>
  <c r="F649" i="1"/>
  <c r="G649" i="1"/>
  <c r="H649" i="1"/>
  <c r="A650" i="1"/>
  <c r="B650" i="1"/>
  <c r="C650" i="1"/>
  <c r="D650" i="1"/>
  <c r="F650" i="1"/>
  <c r="G650" i="1"/>
  <c r="H650" i="1"/>
  <c r="A651" i="1"/>
  <c r="B651" i="1"/>
  <c r="C651" i="1"/>
  <c r="D651" i="1"/>
  <c r="F651" i="1"/>
  <c r="G651" i="1"/>
  <c r="H651" i="1"/>
  <c r="A652" i="1"/>
  <c r="B652" i="1"/>
  <c r="C652" i="1"/>
  <c r="D652" i="1"/>
  <c r="F652" i="1"/>
  <c r="G652" i="1"/>
  <c r="H652" i="1"/>
  <c r="A653" i="1"/>
  <c r="B653" i="1"/>
  <c r="C653" i="1"/>
  <c r="D653" i="1"/>
  <c r="F653" i="1"/>
  <c r="G653" i="1"/>
  <c r="H653" i="1"/>
  <c r="A654" i="1"/>
  <c r="B654" i="1"/>
  <c r="C654" i="1"/>
  <c r="D654" i="1"/>
  <c r="F654" i="1"/>
  <c r="G654" i="1"/>
  <c r="H654" i="1"/>
  <c r="A655" i="1"/>
  <c r="B655" i="1"/>
  <c r="C655" i="1"/>
  <c r="D655" i="1"/>
  <c r="F655" i="1"/>
  <c r="G655" i="1"/>
  <c r="H655" i="1"/>
  <c r="A656" i="1"/>
  <c r="B656" i="1"/>
  <c r="C656" i="1"/>
  <c r="D656" i="1"/>
  <c r="F656" i="1"/>
  <c r="G656" i="1"/>
  <c r="H656" i="1"/>
  <c r="A657" i="1"/>
  <c r="B657" i="1"/>
  <c r="C657" i="1"/>
  <c r="D657" i="1"/>
  <c r="F657" i="1"/>
  <c r="G657" i="1"/>
  <c r="H657" i="1"/>
  <c r="A658" i="1"/>
  <c r="B658" i="1"/>
  <c r="C658" i="1"/>
  <c r="D658" i="1"/>
  <c r="F658" i="1"/>
  <c r="G658" i="1"/>
  <c r="H658" i="1"/>
  <c r="A659" i="1"/>
  <c r="B659" i="1"/>
  <c r="C659" i="1"/>
  <c r="D659" i="1"/>
  <c r="F659" i="1"/>
  <c r="G659" i="1"/>
  <c r="H659" i="1"/>
  <c r="A660" i="1"/>
  <c r="B660" i="1"/>
  <c r="C660" i="1"/>
  <c r="D660" i="1"/>
  <c r="F660" i="1"/>
  <c r="G660" i="1"/>
  <c r="H660" i="1"/>
  <c r="A661" i="1"/>
  <c r="B661" i="1"/>
  <c r="C661" i="1"/>
  <c r="D661" i="1"/>
  <c r="F661" i="1"/>
  <c r="G661" i="1"/>
  <c r="H661" i="1"/>
  <c r="A662" i="1"/>
  <c r="B662" i="1"/>
  <c r="C662" i="1"/>
  <c r="D662" i="1"/>
  <c r="F662" i="1"/>
  <c r="G662" i="1"/>
  <c r="H662" i="1"/>
  <c r="A663" i="1"/>
  <c r="B663" i="1"/>
  <c r="C663" i="1"/>
  <c r="D663" i="1"/>
  <c r="F663" i="1"/>
  <c r="G663" i="1"/>
  <c r="H663" i="1"/>
  <c r="A664" i="1"/>
  <c r="B664" i="1"/>
  <c r="C664" i="1"/>
  <c r="D664" i="1"/>
  <c r="F664" i="1"/>
  <c r="G664" i="1"/>
  <c r="H664" i="1"/>
  <c r="A665" i="1"/>
  <c r="B665" i="1"/>
  <c r="C665" i="1"/>
  <c r="D665" i="1"/>
  <c r="F665" i="1"/>
  <c r="G665" i="1"/>
  <c r="H665" i="1"/>
  <c r="A666" i="1"/>
  <c r="B666" i="1"/>
  <c r="C666" i="1"/>
  <c r="D666" i="1"/>
  <c r="F666" i="1"/>
  <c r="G666" i="1"/>
  <c r="H666" i="1"/>
  <c r="A667" i="1"/>
  <c r="B667" i="1"/>
  <c r="C667" i="1"/>
  <c r="D667" i="1"/>
  <c r="F667" i="1"/>
  <c r="G667" i="1"/>
  <c r="H667" i="1"/>
  <c r="A668" i="1"/>
  <c r="B668" i="1"/>
  <c r="C668" i="1"/>
  <c r="D668" i="1"/>
  <c r="F668" i="1"/>
  <c r="G668" i="1"/>
  <c r="H668" i="1"/>
  <c r="A669" i="1"/>
  <c r="B669" i="1"/>
  <c r="C669" i="1"/>
  <c r="D669" i="1"/>
  <c r="F669" i="1"/>
  <c r="G669" i="1"/>
  <c r="H669" i="1"/>
  <c r="A670" i="1"/>
  <c r="B670" i="1"/>
  <c r="C670" i="1"/>
  <c r="D670" i="1"/>
  <c r="F670" i="1"/>
  <c r="G670" i="1"/>
  <c r="H670" i="1"/>
  <c r="A671" i="1"/>
  <c r="B671" i="1"/>
  <c r="C671" i="1"/>
  <c r="D671" i="1"/>
  <c r="F671" i="1"/>
  <c r="G671" i="1"/>
  <c r="H671" i="1"/>
  <c r="A672" i="1"/>
  <c r="B672" i="1"/>
  <c r="C672" i="1"/>
  <c r="D672" i="1"/>
  <c r="F672" i="1"/>
  <c r="G672" i="1"/>
  <c r="H672" i="1"/>
  <c r="A673" i="1"/>
  <c r="B673" i="1"/>
  <c r="C673" i="1"/>
  <c r="D673" i="1"/>
  <c r="F673" i="1"/>
  <c r="G673" i="1"/>
  <c r="H673" i="1"/>
  <c r="A674" i="1"/>
  <c r="B674" i="1"/>
  <c r="C674" i="1"/>
  <c r="D674" i="1"/>
  <c r="F674" i="1"/>
  <c r="G674" i="1"/>
  <c r="H674" i="1"/>
  <c r="A675" i="1"/>
  <c r="B675" i="1"/>
  <c r="C675" i="1"/>
  <c r="D675" i="1"/>
  <c r="F675" i="1"/>
  <c r="G675" i="1"/>
  <c r="H675" i="1"/>
  <c r="A676" i="1"/>
  <c r="B676" i="1"/>
  <c r="C676" i="1"/>
  <c r="D676" i="1"/>
  <c r="F676" i="1"/>
  <c r="G676" i="1"/>
  <c r="H676" i="1"/>
  <c r="A677" i="1"/>
  <c r="B677" i="1"/>
  <c r="C677" i="1"/>
  <c r="D677" i="1"/>
  <c r="F677" i="1"/>
  <c r="G677" i="1"/>
  <c r="H677" i="1"/>
  <c r="A678" i="1"/>
  <c r="B678" i="1"/>
  <c r="C678" i="1"/>
  <c r="D678" i="1"/>
  <c r="F678" i="1"/>
  <c r="G678" i="1"/>
  <c r="H678" i="1"/>
  <c r="A679" i="1"/>
  <c r="B679" i="1"/>
  <c r="C679" i="1"/>
  <c r="D679" i="1"/>
  <c r="F679" i="1"/>
  <c r="G679" i="1"/>
  <c r="H679" i="1"/>
  <c r="A680" i="1"/>
  <c r="B680" i="1"/>
  <c r="C680" i="1"/>
  <c r="D680" i="1"/>
  <c r="F680" i="1"/>
  <c r="G680" i="1"/>
  <c r="H680" i="1"/>
  <c r="A681" i="1"/>
  <c r="B681" i="1"/>
  <c r="C681" i="1"/>
  <c r="D681" i="1"/>
  <c r="F681" i="1"/>
  <c r="G681" i="1"/>
  <c r="H681" i="1"/>
  <c r="A682" i="1"/>
  <c r="B682" i="1"/>
  <c r="C682" i="1"/>
  <c r="D682" i="1"/>
  <c r="F682" i="1"/>
  <c r="G682" i="1"/>
  <c r="H682" i="1"/>
  <c r="A683" i="1"/>
  <c r="B683" i="1"/>
  <c r="C683" i="1"/>
  <c r="D683" i="1"/>
  <c r="F683" i="1"/>
  <c r="G683" i="1"/>
  <c r="H683" i="1"/>
  <c r="A684" i="1"/>
  <c r="B684" i="1"/>
  <c r="C684" i="1"/>
  <c r="D684" i="1"/>
  <c r="F684" i="1"/>
  <c r="G684" i="1"/>
  <c r="H684" i="1"/>
  <c r="A685" i="1"/>
  <c r="B685" i="1"/>
  <c r="C685" i="1"/>
  <c r="D685" i="1"/>
  <c r="F685" i="1"/>
  <c r="G685" i="1"/>
  <c r="H685" i="1"/>
  <c r="A686" i="1"/>
  <c r="B686" i="1"/>
  <c r="C686" i="1"/>
  <c r="D686" i="1"/>
  <c r="F686" i="1"/>
  <c r="G686" i="1"/>
  <c r="H686" i="1"/>
  <c r="A687" i="1"/>
  <c r="B687" i="1"/>
  <c r="C687" i="1"/>
  <c r="D687" i="1"/>
  <c r="F687" i="1"/>
  <c r="G687" i="1"/>
  <c r="H687" i="1"/>
  <c r="A688" i="1"/>
  <c r="B688" i="1"/>
  <c r="C688" i="1"/>
  <c r="D688" i="1"/>
  <c r="F688" i="1"/>
  <c r="G688" i="1"/>
  <c r="H688" i="1"/>
  <c r="A689" i="1"/>
  <c r="B689" i="1"/>
  <c r="C689" i="1"/>
  <c r="D689" i="1"/>
  <c r="F689" i="1"/>
  <c r="G689" i="1"/>
  <c r="H689" i="1"/>
  <c r="A690" i="1"/>
  <c r="B690" i="1"/>
  <c r="C690" i="1"/>
  <c r="D690" i="1"/>
  <c r="F690" i="1"/>
  <c r="G690" i="1"/>
  <c r="H690" i="1"/>
  <c r="A691" i="1"/>
  <c r="B691" i="1"/>
  <c r="C691" i="1"/>
  <c r="D691" i="1"/>
  <c r="F691" i="1"/>
  <c r="G691" i="1"/>
  <c r="H691" i="1"/>
  <c r="A692" i="1"/>
  <c r="B692" i="1"/>
  <c r="C692" i="1"/>
  <c r="D692" i="1"/>
  <c r="F692" i="1"/>
  <c r="G692" i="1"/>
  <c r="H692" i="1"/>
  <c r="A693" i="1"/>
  <c r="B693" i="1"/>
  <c r="C693" i="1"/>
  <c r="D693" i="1"/>
  <c r="F693" i="1"/>
  <c r="G693" i="1"/>
  <c r="H693" i="1"/>
  <c r="A694" i="1"/>
  <c r="B694" i="1"/>
  <c r="C694" i="1"/>
  <c r="D694" i="1"/>
  <c r="F694" i="1"/>
  <c r="G694" i="1"/>
  <c r="H694" i="1"/>
  <c r="A695" i="1"/>
  <c r="B695" i="1"/>
  <c r="C695" i="1"/>
  <c r="D695" i="1"/>
  <c r="F695" i="1"/>
  <c r="G695" i="1"/>
  <c r="H695" i="1"/>
  <c r="A696" i="1"/>
  <c r="B696" i="1"/>
  <c r="C696" i="1"/>
  <c r="D696" i="1"/>
  <c r="F696" i="1"/>
  <c r="G696" i="1"/>
  <c r="H696" i="1"/>
  <c r="A697" i="1"/>
  <c r="B697" i="1"/>
  <c r="C697" i="1"/>
  <c r="D697" i="1"/>
  <c r="F697" i="1"/>
  <c r="G697" i="1"/>
  <c r="H697" i="1"/>
  <c r="A698" i="1"/>
  <c r="B698" i="1"/>
  <c r="C698" i="1"/>
  <c r="D698" i="1"/>
  <c r="F698" i="1"/>
  <c r="G698" i="1"/>
  <c r="H698" i="1"/>
  <c r="A699" i="1"/>
  <c r="B699" i="1"/>
  <c r="C699" i="1"/>
  <c r="D699" i="1"/>
  <c r="F699" i="1"/>
  <c r="G699" i="1"/>
  <c r="H699" i="1"/>
  <c r="A700" i="1"/>
  <c r="B700" i="1"/>
  <c r="C700" i="1"/>
  <c r="D700" i="1"/>
  <c r="F700" i="1"/>
  <c r="G700" i="1"/>
  <c r="H700" i="1"/>
  <c r="A701" i="1"/>
  <c r="B701" i="1"/>
  <c r="C701" i="1"/>
  <c r="D701" i="1"/>
  <c r="F701" i="1"/>
  <c r="G701" i="1"/>
  <c r="H701" i="1"/>
  <c r="A702" i="1"/>
  <c r="B702" i="1"/>
  <c r="C702" i="1"/>
  <c r="D702" i="1"/>
  <c r="F702" i="1"/>
  <c r="G702" i="1"/>
  <c r="H702" i="1"/>
  <c r="A703" i="1"/>
  <c r="B703" i="1"/>
  <c r="C703" i="1"/>
  <c r="D703" i="1"/>
  <c r="F703" i="1"/>
  <c r="G703" i="1"/>
  <c r="H703" i="1"/>
  <c r="A704" i="1"/>
  <c r="B704" i="1"/>
  <c r="C704" i="1"/>
  <c r="D704" i="1"/>
  <c r="F704" i="1"/>
  <c r="G704" i="1"/>
  <c r="H704" i="1"/>
  <c r="A705" i="1"/>
  <c r="B705" i="1"/>
  <c r="C705" i="1"/>
  <c r="D705" i="1"/>
  <c r="F705" i="1"/>
  <c r="G705" i="1"/>
  <c r="H705" i="1"/>
  <c r="A706" i="1"/>
  <c r="B706" i="1"/>
  <c r="C706" i="1"/>
  <c r="D706" i="1"/>
  <c r="F706" i="1"/>
  <c r="G706" i="1"/>
  <c r="H706" i="1"/>
  <c r="A707" i="1"/>
  <c r="B707" i="1"/>
  <c r="C707" i="1"/>
  <c r="D707" i="1"/>
  <c r="F707" i="1"/>
  <c r="G707" i="1"/>
  <c r="H707" i="1"/>
  <c r="A708" i="1"/>
  <c r="B708" i="1"/>
  <c r="C708" i="1"/>
  <c r="D708" i="1"/>
  <c r="F708" i="1"/>
  <c r="G708" i="1"/>
  <c r="H708" i="1"/>
  <c r="A709" i="1"/>
  <c r="B709" i="1"/>
  <c r="C709" i="1"/>
  <c r="D709" i="1"/>
  <c r="F709" i="1"/>
  <c r="G709" i="1"/>
  <c r="H709" i="1"/>
  <c r="A710" i="1"/>
  <c r="B710" i="1"/>
  <c r="C710" i="1"/>
  <c r="D710" i="1"/>
  <c r="F710" i="1"/>
  <c r="G710" i="1"/>
  <c r="H710" i="1"/>
  <c r="A711" i="1"/>
  <c r="B711" i="1"/>
  <c r="C711" i="1"/>
  <c r="D711" i="1"/>
  <c r="F711" i="1"/>
  <c r="G711" i="1"/>
  <c r="H711" i="1"/>
  <c r="A712" i="1"/>
  <c r="B712" i="1"/>
  <c r="C712" i="1"/>
  <c r="D712" i="1"/>
  <c r="F712" i="1"/>
  <c r="G712" i="1"/>
  <c r="H712" i="1"/>
  <c r="A713" i="1"/>
  <c r="B713" i="1"/>
  <c r="C713" i="1"/>
  <c r="D713" i="1"/>
  <c r="F713" i="1"/>
  <c r="G713" i="1"/>
  <c r="H713" i="1"/>
  <c r="A714" i="1"/>
  <c r="B714" i="1"/>
  <c r="C714" i="1"/>
  <c r="D714" i="1"/>
  <c r="F714" i="1"/>
  <c r="G714" i="1"/>
  <c r="H714" i="1"/>
  <c r="A715" i="1"/>
  <c r="B715" i="1"/>
  <c r="C715" i="1"/>
  <c r="D715" i="1"/>
  <c r="F715" i="1"/>
  <c r="G715" i="1"/>
  <c r="H715" i="1"/>
  <c r="A716" i="1"/>
  <c r="B716" i="1"/>
  <c r="C716" i="1"/>
  <c r="D716" i="1"/>
  <c r="F716" i="1"/>
  <c r="G716" i="1"/>
  <c r="H716" i="1"/>
  <c r="A717" i="1"/>
  <c r="B717" i="1"/>
  <c r="C717" i="1"/>
  <c r="D717" i="1"/>
  <c r="F717" i="1"/>
  <c r="G717" i="1"/>
  <c r="H717" i="1"/>
  <c r="A718" i="1"/>
  <c r="B718" i="1"/>
  <c r="C718" i="1"/>
  <c r="D718" i="1"/>
  <c r="F718" i="1"/>
  <c r="G718" i="1"/>
  <c r="H718" i="1"/>
  <c r="A719" i="1"/>
  <c r="B719" i="1"/>
  <c r="C719" i="1"/>
  <c r="D719" i="1"/>
  <c r="F719" i="1"/>
  <c r="G719" i="1"/>
  <c r="H719" i="1"/>
  <c r="A720" i="1"/>
  <c r="B720" i="1"/>
  <c r="C720" i="1"/>
  <c r="D720" i="1"/>
  <c r="F720" i="1"/>
  <c r="G720" i="1"/>
  <c r="H720" i="1"/>
  <c r="A721" i="1"/>
  <c r="B721" i="1"/>
  <c r="C721" i="1"/>
  <c r="D721" i="1"/>
  <c r="F721" i="1"/>
  <c r="G721" i="1"/>
  <c r="H721" i="1"/>
  <c r="A722" i="1"/>
  <c r="B722" i="1"/>
  <c r="C722" i="1"/>
  <c r="D722" i="1"/>
  <c r="F722" i="1"/>
  <c r="G722" i="1"/>
  <c r="H722" i="1"/>
  <c r="A723" i="1"/>
  <c r="B723" i="1"/>
  <c r="C723" i="1"/>
  <c r="D723" i="1"/>
  <c r="F723" i="1"/>
  <c r="G723" i="1"/>
  <c r="H723" i="1"/>
  <c r="A724" i="1"/>
  <c r="B724" i="1"/>
  <c r="C724" i="1"/>
  <c r="D724" i="1"/>
  <c r="F724" i="1"/>
  <c r="G724" i="1"/>
  <c r="H724" i="1"/>
  <c r="A725" i="1"/>
  <c r="B725" i="1"/>
  <c r="C725" i="1"/>
  <c r="D725" i="1"/>
  <c r="F725" i="1"/>
  <c r="G725" i="1"/>
  <c r="H725" i="1"/>
  <c r="A726" i="1"/>
  <c r="B726" i="1"/>
  <c r="C726" i="1"/>
  <c r="D726" i="1"/>
  <c r="F726" i="1"/>
  <c r="G726" i="1"/>
  <c r="H726" i="1"/>
  <c r="A727" i="1"/>
  <c r="B727" i="1"/>
  <c r="C727" i="1"/>
  <c r="D727" i="1"/>
  <c r="F727" i="1"/>
  <c r="G727" i="1"/>
  <c r="H727" i="1"/>
  <c r="A728" i="1"/>
  <c r="B728" i="1"/>
  <c r="C728" i="1"/>
  <c r="D728" i="1"/>
  <c r="F728" i="1"/>
  <c r="G728" i="1"/>
  <c r="H728" i="1"/>
  <c r="A729" i="1"/>
  <c r="B729" i="1"/>
  <c r="C729" i="1"/>
  <c r="D729" i="1"/>
  <c r="F729" i="1"/>
  <c r="G729" i="1"/>
  <c r="H729" i="1"/>
  <c r="A730" i="1"/>
  <c r="B730" i="1"/>
  <c r="C730" i="1"/>
  <c r="D730" i="1"/>
  <c r="F730" i="1"/>
  <c r="G730" i="1"/>
  <c r="H730" i="1"/>
  <c r="A731" i="1"/>
  <c r="B731" i="1"/>
  <c r="C731" i="1"/>
  <c r="D731" i="1"/>
  <c r="F731" i="1"/>
  <c r="G731" i="1"/>
  <c r="H731" i="1"/>
  <c r="A732" i="1"/>
  <c r="B732" i="1"/>
  <c r="C732" i="1"/>
  <c r="D732" i="1"/>
  <c r="F732" i="1"/>
  <c r="G732" i="1"/>
  <c r="H732" i="1"/>
  <c r="A733" i="1"/>
  <c r="B733" i="1"/>
  <c r="C733" i="1"/>
  <c r="D733" i="1"/>
  <c r="F733" i="1"/>
  <c r="G733" i="1"/>
  <c r="H733" i="1"/>
  <c r="A734" i="1"/>
  <c r="B734" i="1"/>
  <c r="C734" i="1"/>
  <c r="D734" i="1"/>
  <c r="F734" i="1"/>
  <c r="G734" i="1"/>
  <c r="H734" i="1"/>
  <c r="A735" i="1"/>
  <c r="B735" i="1"/>
  <c r="C735" i="1"/>
  <c r="D735" i="1"/>
  <c r="F735" i="1"/>
  <c r="G735" i="1"/>
  <c r="H735" i="1"/>
  <c r="A736" i="1"/>
  <c r="B736" i="1"/>
  <c r="C736" i="1"/>
  <c r="D736" i="1"/>
  <c r="F736" i="1"/>
  <c r="G736" i="1"/>
  <c r="H736" i="1"/>
  <c r="A737" i="1"/>
  <c r="B737" i="1"/>
  <c r="C737" i="1"/>
  <c r="D737" i="1"/>
  <c r="F737" i="1"/>
  <c r="G737" i="1"/>
  <c r="H737" i="1"/>
  <c r="A738" i="1"/>
  <c r="B738" i="1"/>
  <c r="C738" i="1"/>
  <c r="D738" i="1"/>
  <c r="F738" i="1"/>
  <c r="G738" i="1"/>
  <c r="H738" i="1"/>
  <c r="A739" i="1"/>
  <c r="B739" i="1"/>
  <c r="C739" i="1"/>
  <c r="D739" i="1"/>
  <c r="F739" i="1"/>
  <c r="G739" i="1"/>
  <c r="H739" i="1"/>
  <c r="A740" i="1"/>
  <c r="B740" i="1"/>
  <c r="C740" i="1"/>
  <c r="D740" i="1"/>
  <c r="F740" i="1"/>
  <c r="G740" i="1"/>
  <c r="H740" i="1"/>
  <c r="A741" i="1"/>
  <c r="B741" i="1"/>
  <c r="C741" i="1"/>
  <c r="D741" i="1"/>
  <c r="F741" i="1"/>
  <c r="G741" i="1"/>
  <c r="H741" i="1"/>
  <c r="A742" i="1"/>
  <c r="B742" i="1"/>
  <c r="C742" i="1"/>
  <c r="D742" i="1"/>
  <c r="F742" i="1"/>
  <c r="G742" i="1"/>
  <c r="H742" i="1"/>
  <c r="A743" i="1"/>
  <c r="B743" i="1"/>
  <c r="C743" i="1"/>
  <c r="D743" i="1"/>
  <c r="F743" i="1"/>
  <c r="G743" i="1"/>
  <c r="H743" i="1"/>
  <c r="A744" i="1"/>
  <c r="B744" i="1"/>
  <c r="C744" i="1"/>
  <c r="D744" i="1"/>
  <c r="F744" i="1"/>
  <c r="G744" i="1"/>
  <c r="H744" i="1"/>
  <c r="A745" i="1"/>
  <c r="B745" i="1"/>
  <c r="C745" i="1"/>
  <c r="D745" i="1"/>
  <c r="F745" i="1"/>
  <c r="G745" i="1"/>
  <c r="H745" i="1"/>
  <c r="A746" i="1"/>
  <c r="B746" i="1"/>
  <c r="C746" i="1"/>
  <c r="D746" i="1"/>
  <c r="F746" i="1"/>
  <c r="G746" i="1"/>
  <c r="H746" i="1"/>
  <c r="A747" i="1"/>
  <c r="B747" i="1"/>
  <c r="C747" i="1"/>
  <c r="D747" i="1"/>
  <c r="F747" i="1"/>
  <c r="G747" i="1"/>
  <c r="H747" i="1"/>
  <c r="A748" i="1"/>
  <c r="B748" i="1"/>
  <c r="C748" i="1"/>
  <c r="D748" i="1"/>
  <c r="F748" i="1"/>
  <c r="G748" i="1"/>
  <c r="H748" i="1"/>
  <c r="A749" i="1"/>
  <c r="B749" i="1"/>
  <c r="C749" i="1"/>
  <c r="D749" i="1"/>
  <c r="F749" i="1"/>
  <c r="G749" i="1"/>
  <c r="H749" i="1"/>
  <c r="A750" i="1"/>
  <c r="B750" i="1"/>
  <c r="C750" i="1"/>
  <c r="D750" i="1"/>
  <c r="F750" i="1"/>
  <c r="G750" i="1"/>
  <c r="H750" i="1"/>
  <c r="A751" i="1"/>
  <c r="B751" i="1"/>
  <c r="C751" i="1"/>
  <c r="D751" i="1"/>
  <c r="F751" i="1"/>
  <c r="G751" i="1"/>
  <c r="H751" i="1"/>
  <c r="A752" i="1"/>
  <c r="B752" i="1"/>
  <c r="C752" i="1"/>
  <c r="D752" i="1"/>
  <c r="F752" i="1"/>
  <c r="G752" i="1"/>
  <c r="H752" i="1"/>
  <c r="A753" i="1"/>
  <c r="B753" i="1"/>
  <c r="C753" i="1"/>
  <c r="D753" i="1"/>
  <c r="F753" i="1"/>
  <c r="G753" i="1"/>
  <c r="H753" i="1"/>
  <c r="A754" i="1"/>
  <c r="B754" i="1"/>
  <c r="C754" i="1"/>
  <c r="D754" i="1"/>
  <c r="F754" i="1"/>
  <c r="G754" i="1"/>
  <c r="H754" i="1"/>
  <c r="A755" i="1"/>
  <c r="B755" i="1"/>
  <c r="C755" i="1"/>
  <c r="D755" i="1"/>
  <c r="F755" i="1"/>
  <c r="G755" i="1"/>
  <c r="H755" i="1"/>
  <c r="A756" i="1"/>
  <c r="B756" i="1"/>
  <c r="C756" i="1"/>
  <c r="D756" i="1"/>
  <c r="F756" i="1"/>
  <c r="G756" i="1"/>
  <c r="H756" i="1"/>
  <c r="A757" i="1"/>
  <c r="B757" i="1"/>
  <c r="C757" i="1"/>
  <c r="D757" i="1"/>
  <c r="F757" i="1"/>
  <c r="G757" i="1"/>
  <c r="H757" i="1"/>
  <c r="A758" i="1"/>
  <c r="B758" i="1"/>
  <c r="C758" i="1"/>
  <c r="D758" i="1"/>
  <c r="F758" i="1"/>
  <c r="G758" i="1"/>
  <c r="H758" i="1"/>
  <c r="A759" i="1"/>
  <c r="B759" i="1"/>
  <c r="C759" i="1"/>
  <c r="D759" i="1"/>
  <c r="F759" i="1"/>
  <c r="G759" i="1"/>
  <c r="H759" i="1"/>
  <c r="A760" i="1"/>
  <c r="B760" i="1"/>
  <c r="C760" i="1"/>
  <c r="D760" i="1"/>
  <c r="F760" i="1"/>
  <c r="G760" i="1"/>
  <c r="H760" i="1"/>
  <c r="A761" i="1"/>
  <c r="B761" i="1"/>
  <c r="C761" i="1"/>
  <c r="D761" i="1"/>
  <c r="F761" i="1"/>
  <c r="G761" i="1"/>
  <c r="H761" i="1"/>
  <c r="A762" i="1"/>
  <c r="B762" i="1"/>
  <c r="C762" i="1"/>
  <c r="D762" i="1"/>
  <c r="F762" i="1"/>
  <c r="G762" i="1"/>
  <c r="H762" i="1"/>
  <c r="A763" i="1"/>
  <c r="B763" i="1"/>
  <c r="C763" i="1"/>
  <c r="D763" i="1"/>
  <c r="F763" i="1"/>
  <c r="G763" i="1"/>
  <c r="H763" i="1"/>
  <c r="A764" i="1"/>
  <c r="B764" i="1"/>
  <c r="C764" i="1"/>
  <c r="D764" i="1"/>
  <c r="F764" i="1"/>
  <c r="G764" i="1"/>
  <c r="H764" i="1"/>
  <c r="A765" i="1"/>
  <c r="B765" i="1"/>
  <c r="C765" i="1"/>
  <c r="D765" i="1"/>
  <c r="F765" i="1"/>
  <c r="G765" i="1"/>
  <c r="H765" i="1"/>
  <c r="A766" i="1"/>
  <c r="B766" i="1"/>
  <c r="C766" i="1"/>
  <c r="D766" i="1"/>
  <c r="F766" i="1"/>
  <c r="G766" i="1"/>
  <c r="H766" i="1"/>
  <c r="A767" i="1"/>
  <c r="B767" i="1"/>
  <c r="C767" i="1"/>
  <c r="D767" i="1"/>
  <c r="F767" i="1"/>
  <c r="G767" i="1"/>
  <c r="H767" i="1"/>
  <c r="A768" i="1"/>
  <c r="B768" i="1"/>
  <c r="C768" i="1"/>
  <c r="D768" i="1"/>
  <c r="F768" i="1"/>
  <c r="G768" i="1"/>
  <c r="H768" i="1"/>
  <c r="A769" i="1"/>
  <c r="B769" i="1"/>
  <c r="C769" i="1"/>
  <c r="D769" i="1"/>
  <c r="F769" i="1"/>
  <c r="G769" i="1"/>
  <c r="H769" i="1"/>
  <c r="A770" i="1"/>
  <c r="B770" i="1"/>
  <c r="C770" i="1"/>
  <c r="D770" i="1"/>
  <c r="F770" i="1"/>
  <c r="G770" i="1"/>
  <c r="H770" i="1"/>
  <c r="A771" i="1"/>
  <c r="B771" i="1"/>
  <c r="C771" i="1"/>
  <c r="D771" i="1"/>
  <c r="F771" i="1"/>
  <c r="G771" i="1"/>
  <c r="H771" i="1"/>
  <c r="A772" i="1"/>
  <c r="B772" i="1"/>
  <c r="C772" i="1"/>
  <c r="D772" i="1"/>
  <c r="F772" i="1"/>
  <c r="G772" i="1"/>
  <c r="H772" i="1"/>
  <c r="A773" i="1"/>
  <c r="B773" i="1"/>
  <c r="C773" i="1"/>
  <c r="D773" i="1"/>
  <c r="F773" i="1"/>
  <c r="G773" i="1"/>
  <c r="H773" i="1"/>
  <c r="A774" i="1"/>
  <c r="B774" i="1"/>
  <c r="C774" i="1"/>
  <c r="D774" i="1"/>
  <c r="F774" i="1"/>
  <c r="G774" i="1"/>
  <c r="H774" i="1"/>
  <c r="A775" i="1"/>
  <c r="B775" i="1"/>
  <c r="C775" i="1"/>
  <c r="D775" i="1"/>
  <c r="F775" i="1"/>
  <c r="G775" i="1"/>
  <c r="H775" i="1"/>
  <c r="A776" i="1"/>
  <c r="B776" i="1"/>
  <c r="C776" i="1"/>
  <c r="D776" i="1"/>
  <c r="F776" i="1"/>
  <c r="G776" i="1"/>
  <c r="H776" i="1"/>
  <c r="A777" i="1"/>
  <c r="B777" i="1"/>
  <c r="C777" i="1"/>
  <c r="D777" i="1"/>
  <c r="F777" i="1"/>
  <c r="G777" i="1"/>
  <c r="H777" i="1"/>
  <c r="A778" i="1"/>
  <c r="B778" i="1"/>
  <c r="C778" i="1"/>
  <c r="D778" i="1"/>
  <c r="F778" i="1"/>
  <c r="G778" i="1"/>
  <c r="H778" i="1"/>
  <c r="A779" i="1"/>
  <c r="B779" i="1"/>
  <c r="C779" i="1"/>
  <c r="D779" i="1"/>
  <c r="F779" i="1"/>
  <c r="G779" i="1"/>
  <c r="H779" i="1"/>
  <c r="A780" i="1"/>
  <c r="B780" i="1"/>
  <c r="C780" i="1"/>
  <c r="D780" i="1"/>
  <c r="F780" i="1"/>
  <c r="G780" i="1"/>
  <c r="H780" i="1"/>
  <c r="A781" i="1"/>
  <c r="B781" i="1"/>
  <c r="C781" i="1"/>
  <c r="D781" i="1"/>
  <c r="F781" i="1"/>
  <c r="G781" i="1"/>
  <c r="H781" i="1"/>
  <c r="A782" i="1"/>
  <c r="B782" i="1"/>
  <c r="C782" i="1"/>
  <c r="D782" i="1"/>
  <c r="F782" i="1"/>
  <c r="G782" i="1"/>
  <c r="H782" i="1"/>
  <c r="A783" i="1"/>
  <c r="B783" i="1"/>
  <c r="C783" i="1"/>
  <c r="D783" i="1"/>
  <c r="F783" i="1"/>
  <c r="G783" i="1"/>
  <c r="H783" i="1"/>
  <c r="A784" i="1"/>
  <c r="B784" i="1"/>
  <c r="C784" i="1"/>
  <c r="D784" i="1"/>
  <c r="F784" i="1"/>
  <c r="G784" i="1"/>
  <c r="H784" i="1"/>
  <c r="A785" i="1"/>
  <c r="B785" i="1"/>
  <c r="C785" i="1"/>
  <c r="D785" i="1"/>
  <c r="F785" i="1"/>
  <c r="G785" i="1"/>
  <c r="H785" i="1"/>
  <c r="A786" i="1"/>
  <c r="B786" i="1"/>
  <c r="C786" i="1"/>
  <c r="D786" i="1"/>
  <c r="F786" i="1"/>
  <c r="G786" i="1"/>
  <c r="H786" i="1"/>
  <c r="A787" i="1"/>
  <c r="B787" i="1"/>
  <c r="C787" i="1"/>
  <c r="D787" i="1"/>
  <c r="F787" i="1"/>
  <c r="G787" i="1"/>
  <c r="H787" i="1"/>
  <c r="A788" i="1"/>
  <c r="B788" i="1"/>
  <c r="C788" i="1"/>
  <c r="D788" i="1"/>
  <c r="F788" i="1"/>
  <c r="G788" i="1"/>
  <c r="H788" i="1"/>
  <c r="A789" i="1"/>
  <c r="B789" i="1"/>
  <c r="C789" i="1"/>
  <c r="D789" i="1"/>
  <c r="F789" i="1"/>
  <c r="G789" i="1"/>
  <c r="H789" i="1"/>
  <c r="A790" i="1"/>
  <c r="B790" i="1"/>
  <c r="C790" i="1"/>
  <c r="D790" i="1"/>
  <c r="F790" i="1"/>
  <c r="G790" i="1"/>
  <c r="H790" i="1"/>
  <c r="A791" i="1"/>
  <c r="B791" i="1"/>
  <c r="C791" i="1"/>
  <c r="D791" i="1"/>
  <c r="F791" i="1"/>
  <c r="G791" i="1"/>
  <c r="H791" i="1"/>
  <c r="A792" i="1"/>
  <c r="B792" i="1"/>
  <c r="C792" i="1"/>
  <c r="D792" i="1"/>
  <c r="F792" i="1"/>
  <c r="G792" i="1"/>
  <c r="H792" i="1"/>
  <c r="A793" i="1"/>
  <c r="B793" i="1"/>
  <c r="C793" i="1"/>
  <c r="D793" i="1"/>
  <c r="F793" i="1"/>
  <c r="G793" i="1"/>
  <c r="H793" i="1"/>
  <c r="A794" i="1"/>
  <c r="B794" i="1"/>
  <c r="C794" i="1"/>
  <c r="D794" i="1"/>
  <c r="F794" i="1"/>
  <c r="G794" i="1"/>
  <c r="H794" i="1"/>
  <c r="A795" i="1"/>
  <c r="B795" i="1"/>
  <c r="C795" i="1"/>
  <c r="D795" i="1"/>
  <c r="F795" i="1"/>
  <c r="G795" i="1"/>
  <c r="H795" i="1"/>
  <c r="A796" i="1"/>
  <c r="B796" i="1"/>
  <c r="C796" i="1"/>
  <c r="D796" i="1"/>
  <c r="F796" i="1"/>
  <c r="G796" i="1"/>
  <c r="H796" i="1"/>
  <c r="A797" i="1"/>
  <c r="B797" i="1"/>
  <c r="C797" i="1"/>
  <c r="D797" i="1"/>
  <c r="F797" i="1"/>
  <c r="G797" i="1"/>
  <c r="H797" i="1"/>
  <c r="A798" i="1"/>
  <c r="B798" i="1"/>
  <c r="C798" i="1"/>
  <c r="D798" i="1"/>
  <c r="F798" i="1"/>
  <c r="G798" i="1"/>
  <c r="H798" i="1"/>
  <c r="A799" i="1"/>
  <c r="B799" i="1"/>
  <c r="C799" i="1"/>
  <c r="D799" i="1"/>
  <c r="F799" i="1"/>
  <c r="G799" i="1"/>
  <c r="H799" i="1"/>
  <c r="A800" i="1"/>
  <c r="B800" i="1"/>
  <c r="C800" i="1"/>
  <c r="D800" i="1"/>
  <c r="F800" i="1"/>
  <c r="G800" i="1"/>
  <c r="H800" i="1"/>
  <c r="A801" i="1"/>
  <c r="B801" i="1"/>
  <c r="C801" i="1"/>
  <c r="D801" i="1"/>
  <c r="F801" i="1"/>
  <c r="G801" i="1"/>
  <c r="H801" i="1"/>
  <c r="A802" i="1"/>
  <c r="B802" i="1"/>
  <c r="C802" i="1"/>
  <c r="D802" i="1"/>
  <c r="F802" i="1"/>
  <c r="G802" i="1"/>
  <c r="H802" i="1"/>
  <c r="A803" i="1"/>
  <c r="B803" i="1"/>
  <c r="C803" i="1"/>
  <c r="D803" i="1"/>
  <c r="F803" i="1"/>
  <c r="G803" i="1"/>
  <c r="H803" i="1"/>
  <c r="A804" i="1"/>
  <c r="B804" i="1"/>
  <c r="C804" i="1"/>
  <c r="D804" i="1"/>
  <c r="F804" i="1"/>
  <c r="G804" i="1"/>
  <c r="H804" i="1"/>
  <c r="A805" i="1"/>
  <c r="B805" i="1"/>
  <c r="C805" i="1"/>
  <c r="D805" i="1"/>
  <c r="F805" i="1"/>
  <c r="G805" i="1"/>
  <c r="H805" i="1"/>
  <c r="A806" i="1"/>
  <c r="B806" i="1"/>
  <c r="C806" i="1"/>
  <c r="D806" i="1"/>
  <c r="F806" i="1"/>
  <c r="G806" i="1"/>
  <c r="H806" i="1"/>
  <c r="A807" i="1"/>
  <c r="B807" i="1"/>
  <c r="C807" i="1"/>
  <c r="D807" i="1"/>
  <c r="F807" i="1"/>
  <c r="G807" i="1"/>
  <c r="H807" i="1"/>
  <c r="A808" i="1"/>
  <c r="B808" i="1"/>
  <c r="C808" i="1"/>
  <c r="D808" i="1"/>
  <c r="F808" i="1"/>
  <c r="G808" i="1"/>
  <c r="H808" i="1"/>
  <c r="A809" i="1"/>
  <c r="B809" i="1"/>
  <c r="C809" i="1"/>
  <c r="D809" i="1"/>
  <c r="F809" i="1"/>
  <c r="G809" i="1"/>
  <c r="H809" i="1"/>
  <c r="A810" i="1"/>
  <c r="B810" i="1"/>
  <c r="C810" i="1"/>
  <c r="D810" i="1"/>
  <c r="F810" i="1"/>
  <c r="G810" i="1"/>
  <c r="H810" i="1"/>
  <c r="A811" i="1"/>
  <c r="B811" i="1"/>
  <c r="C811" i="1"/>
  <c r="D811" i="1"/>
  <c r="F811" i="1"/>
  <c r="G811" i="1"/>
  <c r="H811" i="1"/>
  <c r="A812" i="1"/>
  <c r="B812" i="1"/>
  <c r="C812" i="1"/>
  <c r="D812" i="1"/>
  <c r="F812" i="1"/>
  <c r="G812" i="1"/>
  <c r="H812" i="1"/>
  <c r="A813" i="1"/>
  <c r="B813" i="1"/>
  <c r="C813" i="1"/>
  <c r="D813" i="1"/>
  <c r="F813" i="1"/>
  <c r="G813" i="1"/>
  <c r="H813" i="1"/>
  <c r="A814" i="1"/>
  <c r="B814" i="1"/>
  <c r="C814" i="1"/>
  <c r="D814" i="1"/>
  <c r="F814" i="1"/>
  <c r="G814" i="1"/>
  <c r="H814" i="1"/>
  <c r="A815" i="1"/>
  <c r="B815" i="1"/>
  <c r="C815" i="1"/>
  <c r="D815" i="1"/>
  <c r="F815" i="1"/>
  <c r="G815" i="1"/>
  <c r="H815" i="1"/>
  <c r="A816" i="1"/>
  <c r="B816" i="1"/>
  <c r="C816" i="1"/>
  <c r="D816" i="1"/>
  <c r="F816" i="1"/>
  <c r="G816" i="1"/>
  <c r="H816" i="1"/>
  <c r="A817" i="1"/>
  <c r="B817" i="1"/>
  <c r="C817" i="1"/>
  <c r="D817" i="1"/>
  <c r="F817" i="1"/>
  <c r="G817" i="1"/>
  <c r="H817" i="1"/>
  <c r="A818" i="1"/>
  <c r="B818" i="1"/>
  <c r="C818" i="1"/>
  <c r="D818" i="1"/>
  <c r="F818" i="1"/>
  <c r="G818" i="1"/>
  <c r="H818" i="1"/>
  <c r="A819" i="1"/>
  <c r="B819" i="1"/>
  <c r="C819" i="1"/>
  <c r="D819" i="1"/>
  <c r="F819" i="1"/>
  <c r="G819" i="1"/>
  <c r="H819" i="1"/>
  <c r="A820" i="1"/>
  <c r="B820" i="1"/>
  <c r="C820" i="1"/>
  <c r="D820" i="1"/>
  <c r="F820" i="1"/>
  <c r="G820" i="1"/>
  <c r="H820" i="1"/>
  <c r="A821" i="1"/>
  <c r="B821" i="1"/>
  <c r="C821" i="1"/>
  <c r="D821" i="1"/>
  <c r="F821" i="1"/>
  <c r="G821" i="1"/>
  <c r="H821" i="1"/>
  <c r="A822" i="1"/>
  <c r="B822" i="1"/>
  <c r="C822" i="1"/>
  <c r="D822" i="1"/>
  <c r="F822" i="1"/>
  <c r="G822" i="1"/>
  <c r="H822" i="1"/>
  <c r="A823" i="1"/>
  <c r="B823" i="1"/>
  <c r="C823" i="1"/>
  <c r="D823" i="1"/>
  <c r="F823" i="1"/>
  <c r="G823" i="1"/>
  <c r="H823" i="1"/>
  <c r="A824" i="1"/>
  <c r="B824" i="1"/>
  <c r="C824" i="1"/>
  <c r="D824" i="1"/>
  <c r="F824" i="1"/>
  <c r="G824" i="1"/>
  <c r="H824" i="1"/>
  <c r="A825" i="1"/>
  <c r="B825" i="1"/>
  <c r="C825" i="1"/>
  <c r="D825" i="1"/>
  <c r="F825" i="1"/>
  <c r="G825" i="1"/>
  <c r="H825" i="1"/>
  <c r="A826" i="1"/>
  <c r="B826" i="1"/>
  <c r="C826" i="1"/>
  <c r="D826" i="1"/>
  <c r="F826" i="1"/>
  <c r="G826" i="1"/>
  <c r="H826" i="1"/>
  <c r="A827" i="1"/>
  <c r="B827" i="1"/>
  <c r="C827" i="1"/>
  <c r="D827" i="1"/>
  <c r="F827" i="1"/>
  <c r="G827" i="1"/>
  <c r="H827" i="1"/>
  <c r="A828" i="1"/>
  <c r="B828" i="1"/>
  <c r="C828" i="1"/>
  <c r="D828" i="1"/>
  <c r="F828" i="1"/>
  <c r="G828" i="1"/>
  <c r="H828" i="1"/>
  <c r="A829" i="1"/>
  <c r="B829" i="1"/>
  <c r="C829" i="1"/>
  <c r="D829" i="1"/>
  <c r="F829" i="1"/>
  <c r="G829" i="1"/>
  <c r="H829" i="1"/>
  <c r="A830" i="1"/>
  <c r="B830" i="1"/>
  <c r="C830" i="1"/>
  <c r="D830" i="1"/>
  <c r="F830" i="1"/>
  <c r="G830" i="1"/>
  <c r="H830" i="1"/>
  <c r="A831" i="1"/>
  <c r="B831" i="1"/>
  <c r="C831" i="1"/>
  <c r="D831" i="1"/>
  <c r="F831" i="1"/>
  <c r="G831" i="1"/>
  <c r="H831" i="1"/>
  <c r="A832" i="1"/>
  <c r="B832" i="1"/>
  <c r="C832" i="1"/>
  <c r="D832" i="1"/>
  <c r="F832" i="1"/>
  <c r="G832" i="1"/>
  <c r="H832" i="1"/>
  <c r="A833" i="1"/>
  <c r="B833" i="1"/>
  <c r="C833" i="1"/>
  <c r="D833" i="1"/>
  <c r="F833" i="1"/>
  <c r="G833" i="1"/>
  <c r="H833" i="1"/>
  <c r="A834" i="1"/>
  <c r="B834" i="1"/>
  <c r="C834" i="1"/>
  <c r="D834" i="1"/>
  <c r="F834" i="1"/>
  <c r="G834" i="1"/>
  <c r="H834" i="1"/>
  <c r="A835" i="1"/>
  <c r="B835" i="1"/>
  <c r="C835" i="1"/>
  <c r="D835" i="1"/>
  <c r="F835" i="1"/>
  <c r="G835" i="1"/>
  <c r="H835" i="1"/>
  <c r="A836" i="1"/>
  <c r="B836" i="1"/>
  <c r="C836" i="1"/>
  <c r="D836" i="1"/>
  <c r="F836" i="1"/>
  <c r="G836" i="1"/>
  <c r="H836" i="1"/>
  <c r="A837" i="1"/>
  <c r="B837" i="1"/>
  <c r="C837" i="1"/>
  <c r="D837" i="1"/>
  <c r="F837" i="1"/>
  <c r="G837" i="1"/>
  <c r="H837" i="1"/>
  <c r="A838" i="1"/>
  <c r="B838" i="1"/>
  <c r="C838" i="1"/>
  <c r="D838" i="1"/>
  <c r="F838" i="1"/>
  <c r="G838" i="1"/>
  <c r="H838" i="1"/>
  <c r="A839" i="1"/>
  <c r="B839" i="1"/>
  <c r="C839" i="1"/>
  <c r="D839" i="1"/>
  <c r="F839" i="1"/>
  <c r="G839" i="1"/>
  <c r="H839" i="1"/>
  <c r="A840" i="1"/>
  <c r="B840" i="1"/>
  <c r="C840" i="1"/>
  <c r="D840" i="1"/>
  <c r="F840" i="1"/>
  <c r="G840" i="1"/>
  <c r="H840" i="1"/>
  <c r="A841" i="1"/>
  <c r="B841" i="1"/>
  <c r="C841" i="1"/>
  <c r="D841" i="1"/>
  <c r="F841" i="1"/>
  <c r="G841" i="1"/>
  <c r="H841" i="1"/>
  <c r="A842" i="1"/>
  <c r="B842" i="1"/>
  <c r="C842" i="1"/>
  <c r="D842" i="1"/>
  <c r="F842" i="1"/>
  <c r="G842" i="1"/>
  <c r="H842" i="1"/>
  <c r="A843" i="1"/>
  <c r="B843" i="1"/>
  <c r="C843" i="1"/>
  <c r="D843" i="1"/>
  <c r="F843" i="1"/>
  <c r="G843" i="1"/>
  <c r="H843" i="1"/>
  <c r="A844" i="1"/>
  <c r="B844" i="1"/>
  <c r="C844" i="1"/>
  <c r="D844" i="1"/>
  <c r="F844" i="1"/>
  <c r="G844" i="1"/>
  <c r="H844" i="1"/>
  <c r="A845" i="1"/>
  <c r="B845" i="1"/>
  <c r="C845" i="1"/>
  <c r="D845" i="1"/>
  <c r="F845" i="1"/>
  <c r="G845" i="1"/>
  <c r="H845" i="1"/>
  <c r="A846" i="1"/>
  <c r="B846" i="1"/>
  <c r="C846" i="1"/>
  <c r="D846" i="1"/>
  <c r="F846" i="1"/>
  <c r="G846" i="1"/>
  <c r="H846" i="1"/>
  <c r="A847" i="1"/>
  <c r="B847" i="1"/>
  <c r="C847" i="1"/>
  <c r="D847" i="1"/>
  <c r="F847" i="1"/>
  <c r="G847" i="1"/>
  <c r="H847" i="1"/>
  <c r="A848" i="1"/>
  <c r="B848" i="1"/>
  <c r="C848" i="1"/>
  <c r="D848" i="1"/>
  <c r="F848" i="1"/>
  <c r="G848" i="1"/>
  <c r="H848" i="1"/>
  <c r="A849" i="1"/>
  <c r="B849" i="1"/>
  <c r="C849" i="1"/>
  <c r="D849" i="1"/>
  <c r="F849" i="1"/>
  <c r="G849" i="1"/>
  <c r="H849" i="1"/>
  <c r="A850" i="1"/>
  <c r="B850" i="1"/>
  <c r="C850" i="1"/>
  <c r="D850" i="1"/>
  <c r="F850" i="1"/>
  <c r="G850" i="1"/>
  <c r="H850" i="1"/>
  <c r="A851" i="1"/>
  <c r="B851" i="1"/>
  <c r="C851" i="1"/>
  <c r="D851" i="1"/>
  <c r="F851" i="1"/>
  <c r="G851" i="1"/>
  <c r="H851" i="1"/>
  <c r="A852" i="1"/>
  <c r="B852" i="1"/>
  <c r="C852" i="1"/>
  <c r="D852" i="1"/>
  <c r="F852" i="1"/>
  <c r="G852" i="1"/>
  <c r="H852" i="1"/>
  <c r="A853" i="1"/>
  <c r="B853" i="1"/>
  <c r="C853" i="1"/>
  <c r="D853" i="1"/>
  <c r="F853" i="1"/>
  <c r="G853" i="1"/>
  <c r="H853" i="1"/>
  <c r="A854" i="1"/>
  <c r="B854" i="1"/>
  <c r="C854" i="1"/>
  <c r="D854" i="1"/>
  <c r="F854" i="1"/>
  <c r="G854" i="1"/>
  <c r="H854" i="1"/>
  <c r="A855" i="1"/>
  <c r="B855" i="1"/>
  <c r="C855" i="1"/>
  <c r="D855" i="1"/>
  <c r="F855" i="1"/>
  <c r="G855" i="1"/>
  <c r="H855" i="1"/>
  <c r="A856" i="1"/>
  <c r="B856" i="1"/>
  <c r="C856" i="1"/>
  <c r="D856" i="1"/>
  <c r="F856" i="1"/>
  <c r="G856" i="1"/>
  <c r="H856" i="1"/>
  <c r="A857" i="1"/>
  <c r="B857" i="1"/>
  <c r="C857" i="1"/>
  <c r="D857" i="1"/>
  <c r="F857" i="1"/>
  <c r="G857" i="1"/>
  <c r="H857" i="1"/>
  <c r="A858" i="1"/>
  <c r="B858" i="1"/>
  <c r="C858" i="1"/>
  <c r="D858" i="1"/>
  <c r="F858" i="1"/>
  <c r="G858" i="1"/>
  <c r="H858" i="1"/>
  <c r="A859" i="1"/>
  <c r="B859" i="1"/>
  <c r="C859" i="1"/>
  <c r="D859" i="1"/>
  <c r="F859" i="1"/>
  <c r="G859" i="1"/>
  <c r="H859" i="1"/>
  <c r="A860" i="1"/>
  <c r="B860" i="1"/>
  <c r="C860" i="1"/>
  <c r="D860" i="1"/>
  <c r="F860" i="1"/>
  <c r="G860" i="1"/>
  <c r="H860" i="1"/>
  <c r="A861" i="1"/>
  <c r="B861" i="1"/>
  <c r="C861" i="1"/>
  <c r="D861" i="1"/>
  <c r="F861" i="1"/>
  <c r="G861" i="1"/>
  <c r="H861" i="1"/>
  <c r="A862" i="1"/>
  <c r="B862" i="1"/>
  <c r="C862" i="1"/>
  <c r="D862" i="1"/>
  <c r="F862" i="1"/>
  <c r="G862" i="1"/>
  <c r="H862" i="1"/>
  <c r="A863" i="1"/>
  <c r="B863" i="1"/>
  <c r="C863" i="1"/>
  <c r="D863" i="1"/>
  <c r="F863" i="1"/>
  <c r="G863" i="1"/>
  <c r="H863" i="1"/>
  <c r="A864" i="1"/>
  <c r="B864" i="1"/>
  <c r="C864" i="1"/>
  <c r="D864" i="1"/>
  <c r="F864" i="1"/>
  <c r="G864" i="1"/>
  <c r="H864" i="1"/>
  <c r="A865" i="1"/>
  <c r="B865" i="1"/>
  <c r="C865" i="1"/>
  <c r="D865" i="1"/>
  <c r="F865" i="1"/>
  <c r="G865" i="1"/>
  <c r="H865" i="1"/>
  <c r="A866" i="1"/>
  <c r="B866" i="1"/>
  <c r="C866" i="1"/>
  <c r="D866" i="1"/>
  <c r="F866" i="1"/>
  <c r="G866" i="1"/>
  <c r="H866" i="1"/>
  <c r="A867" i="1"/>
  <c r="B867" i="1"/>
  <c r="C867" i="1"/>
  <c r="D867" i="1"/>
  <c r="F867" i="1"/>
  <c r="G867" i="1"/>
  <c r="H867" i="1"/>
  <c r="A868" i="1"/>
  <c r="B868" i="1"/>
  <c r="C868" i="1"/>
  <c r="D868" i="1"/>
  <c r="F868" i="1"/>
  <c r="G868" i="1"/>
  <c r="H868" i="1"/>
  <c r="A869" i="1"/>
  <c r="B869" i="1"/>
  <c r="C869" i="1"/>
  <c r="D869" i="1"/>
  <c r="F869" i="1"/>
  <c r="G869" i="1"/>
  <c r="H869" i="1"/>
  <c r="A870" i="1"/>
  <c r="B870" i="1"/>
  <c r="C870" i="1"/>
  <c r="D870" i="1"/>
  <c r="F870" i="1"/>
  <c r="G870" i="1"/>
  <c r="H870" i="1"/>
  <c r="A871" i="1"/>
  <c r="B871" i="1"/>
  <c r="C871" i="1"/>
  <c r="D871" i="1"/>
  <c r="F871" i="1"/>
  <c r="G871" i="1"/>
  <c r="H871" i="1"/>
  <c r="A872" i="1"/>
  <c r="B872" i="1"/>
  <c r="C872" i="1"/>
  <c r="D872" i="1"/>
  <c r="F872" i="1"/>
  <c r="G872" i="1"/>
  <c r="H872" i="1"/>
  <c r="A873" i="1"/>
  <c r="B873" i="1"/>
  <c r="C873" i="1"/>
  <c r="D873" i="1"/>
  <c r="F873" i="1"/>
  <c r="G873" i="1"/>
  <c r="H873" i="1"/>
  <c r="A874" i="1"/>
  <c r="B874" i="1"/>
  <c r="C874" i="1"/>
  <c r="D874" i="1"/>
  <c r="F874" i="1"/>
  <c r="G874" i="1"/>
  <c r="H874" i="1"/>
  <c r="A875" i="1"/>
  <c r="B875" i="1"/>
  <c r="C875" i="1"/>
  <c r="D875" i="1"/>
  <c r="F875" i="1"/>
  <c r="G875" i="1"/>
  <c r="H875" i="1"/>
  <c r="A876" i="1"/>
  <c r="B876" i="1"/>
  <c r="C876" i="1"/>
  <c r="D876" i="1"/>
  <c r="F876" i="1"/>
  <c r="G876" i="1"/>
  <c r="H876" i="1"/>
  <c r="A877" i="1"/>
  <c r="B877" i="1"/>
  <c r="C877" i="1"/>
  <c r="D877" i="1"/>
  <c r="F877" i="1"/>
  <c r="G877" i="1"/>
  <c r="H877" i="1"/>
  <c r="A878" i="1"/>
  <c r="B878" i="1"/>
  <c r="C878" i="1"/>
  <c r="D878" i="1"/>
  <c r="F878" i="1"/>
  <c r="G878" i="1"/>
  <c r="H878" i="1"/>
  <c r="A879" i="1"/>
  <c r="B879" i="1"/>
  <c r="C879" i="1"/>
  <c r="D879" i="1"/>
  <c r="F879" i="1"/>
  <c r="G879" i="1"/>
  <c r="H879" i="1"/>
  <c r="A880" i="1"/>
  <c r="B880" i="1"/>
  <c r="C880" i="1"/>
  <c r="D880" i="1"/>
  <c r="F880" i="1"/>
  <c r="G880" i="1"/>
  <c r="H880" i="1"/>
  <c r="A881" i="1"/>
  <c r="B881" i="1"/>
  <c r="C881" i="1"/>
  <c r="D881" i="1"/>
  <c r="F881" i="1"/>
  <c r="G881" i="1"/>
  <c r="H881" i="1"/>
  <c r="A882" i="1"/>
  <c r="B882" i="1"/>
  <c r="C882" i="1"/>
  <c r="D882" i="1"/>
  <c r="F882" i="1"/>
  <c r="G882" i="1"/>
  <c r="H882" i="1"/>
  <c r="A883" i="1"/>
  <c r="B883" i="1"/>
  <c r="C883" i="1"/>
  <c r="D883" i="1"/>
  <c r="F883" i="1"/>
  <c r="G883" i="1"/>
  <c r="H883" i="1"/>
  <c r="A884" i="1"/>
  <c r="B884" i="1"/>
  <c r="C884" i="1"/>
  <c r="D884" i="1"/>
  <c r="F884" i="1"/>
  <c r="G884" i="1"/>
  <c r="H884" i="1"/>
  <c r="A885" i="1"/>
  <c r="B885" i="1"/>
  <c r="C885" i="1"/>
  <c r="D885" i="1"/>
  <c r="F885" i="1"/>
  <c r="G885" i="1"/>
  <c r="H885" i="1"/>
  <c r="A886" i="1"/>
  <c r="B886" i="1"/>
  <c r="C886" i="1"/>
  <c r="D886" i="1"/>
  <c r="F886" i="1"/>
  <c r="G886" i="1"/>
  <c r="H886" i="1"/>
  <c r="A887" i="1"/>
  <c r="B887" i="1"/>
  <c r="C887" i="1"/>
  <c r="D887" i="1"/>
  <c r="F887" i="1"/>
  <c r="G887" i="1"/>
  <c r="H887" i="1"/>
  <c r="A888" i="1"/>
  <c r="B888" i="1"/>
  <c r="C888" i="1"/>
  <c r="D888" i="1"/>
  <c r="F888" i="1"/>
  <c r="G888" i="1"/>
  <c r="H888" i="1"/>
  <c r="A889" i="1"/>
  <c r="B889" i="1"/>
  <c r="C889" i="1"/>
  <c r="D889" i="1"/>
  <c r="F889" i="1"/>
  <c r="G889" i="1"/>
  <c r="H889" i="1"/>
  <c r="A890" i="1"/>
  <c r="B890" i="1"/>
  <c r="C890" i="1"/>
  <c r="D890" i="1"/>
  <c r="F890" i="1"/>
  <c r="G890" i="1"/>
  <c r="H890" i="1"/>
  <c r="A891" i="1"/>
  <c r="B891" i="1"/>
  <c r="C891" i="1"/>
  <c r="D891" i="1"/>
  <c r="F891" i="1"/>
  <c r="G891" i="1"/>
  <c r="H891" i="1"/>
  <c r="A892" i="1"/>
  <c r="B892" i="1"/>
  <c r="C892" i="1"/>
  <c r="D892" i="1"/>
  <c r="F892" i="1"/>
  <c r="G892" i="1"/>
  <c r="H892" i="1"/>
  <c r="A893" i="1"/>
  <c r="B893" i="1"/>
  <c r="C893" i="1"/>
  <c r="D893" i="1"/>
  <c r="F893" i="1"/>
  <c r="G893" i="1"/>
  <c r="H893" i="1"/>
  <c r="A894" i="1"/>
  <c r="B894" i="1"/>
  <c r="C894" i="1"/>
  <c r="D894" i="1"/>
  <c r="F894" i="1"/>
  <c r="G894" i="1"/>
  <c r="H894" i="1"/>
  <c r="A895" i="1"/>
  <c r="B895" i="1"/>
  <c r="C895" i="1"/>
  <c r="D895" i="1"/>
  <c r="F895" i="1"/>
  <c r="G895" i="1"/>
  <c r="H895" i="1"/>
  <c r="A896" i="1"/>
  <c r="B896" i="1"/>
  <c r="C896" i="1"/>
  <c r="D896" i="1"/>
  <c r="F896" i="1"/>
  <c r="G896" i="1"/>
  <c r="H896" i="1"/>
  <c r="A897" i="1"/>
  <c r="B897" i="1"/>
  <c r="C897" i="1"/>
  <c r="D897" i="1"/>
  <c r="F897" i="1"/>
  <c r="G897" i="1"/>
  <c r="H897" i="1"/>
  <c r="A898" i="1"/>
  <c r="B898" i="1"/>
  <c r="C898" i="1"/>
  <c r="D898" i="1"/>
  <c r="F898" i="1"/>
  <c r="G898" i="1"/>
  <c r="H898" i="1"/>
  <c r="A899" i="1"/>
  <c r="B899" i="1"/>
  <c r="C899" i="1"/>
  <c r="D899" i="1"/>
  <c r="F899" i="1"/>
  <c r="G899" i="1"/>
  <c r="H899" i="1"/>
  <c r="A900" i="1"/>
  <c r="B900" i="1"/>
  <c r="C900" i="1"/>
  <c r="D900" i="1"/>
  <c r="F900" i="1"/>
  <c r="G900" i="1"/>
  <c r="H900" i="1"/>
  <c r="A901" i="1"/>
  <c r="B901" i="1"/>
  <c r="C901" i="1"/>
  <c r="D901" i="1"/>
  <c r="F901" i="1"/>
  <c r="G901" i="1"/>
  <c r="H901" i="1"/>
  <c r="A902" i="1"/>
  <c r="B902" i="1"/>
  <c r="C902" i="1"/>
  <c r="D902" i="1"/>
  <c r="F902" i="1"/>
  <c r="G902" i="1"/>
  <c r="H902" i="1"/>
  <c r="A903" i="1"/>
  <c r="B903" i="1"/>
  <c r="C903" i="1"/>
  <c r="D903" i="1"/>
  <c r="F903" i="1"/>
  <c r="G903" i="1"/>
  <c r="H903" i="1"/>
  <c r="A904" i="1"/>
  <c r="B904" i="1"/>
  <c r="C904" i="1"/>
  <c r="D904" i="1"/>
  <c r="F904" i="1"/>
  <c r="G904" i="1"/>
  <c r="H904" i="1"/>
  <c r="A905" i="1"/>
  <c r="B905" i="1"/>
  <c r="C905" i="1"/>
  <c r="D905" i="1"/>
  <c r="F905" i="1"/>
  <c r="G905" i="1"/>
  <c r="H905" i="1"/>
  <c r="A906" i="1"/>
  <c r="B906" i="1"/>
  <c r="C906" i="1"/>
  <c r="D906" i="1"/>
  <c r="F906" i="1"/>
  <c r="G906" i="1"/>
  <c r="H906" i="1"/>
  <c r="A907" i="1"/>
  <c r="B907" i="1"/>
  <c r="C907" i="1"/>
  <c r="D907" i="1"/>
  <c r="F907" i="1"/>
  <c r="G907" i="1"/>
  <c r="H907" i="1"/>
  <c r="A908" i="1"/>
  <c r="B908" i="1"/>
  <c r="C908" i="1"/>
  <c r="D908" i="1"/>
  <c r="F908" i="1"/>
  <c r="G908" i="1"/>
  <c r="H908" i="1"/>
  <c r="A909" i="1"/>
  <c r="B909" i="1"/>
  <c r="C909" i="1"/>
  <c r="D909" i="1"/>
  <c r="F909" i="1"/>
  <c r="G909" i="1"/>
  <c r="H909" i="1"/>
  <c r="A910" i="1"/>
  <c r="B910" i="1"/>
  <c r="C910" i="1"/>
  <c r="D910" i="1"/>
  <c r="F910" i="1"/>
  <c r="G910" i="1"/>
  <c r="H910" i="1"/>
  <c r="A911" i="1"/>
  <c r="B911" i="1"/>
  <c r="C911" i="1"/>
  <c r="D911" i="1"/>
  <c r="F911" i="1"/>
  <c r="G911" i="1"/>
  <c r="H911" i="1"/>
  <c r="A912" i="1"/>
  <c r="B912" i="1"/>
  <c r="C912" i="1"/>
  <c r="D912" i="1"/>
  <c r="F912" i="1"/>
  <c r="G912" i="1"/>
  <c r="H912" i="1"/>
  <c r="A913" i="1"/>
  <c r="B913" i="1"/>
  <c r="C913" i="1"/>
  <c r="D913" i="1"/>
  <c r="F913" i="1"/>
  <c r="G913" i="1"/>
  <c r="H913" i="1"/>
  <c r="A914" i="1"/>
  <c r="B914" i="1"/>
  <c r="C914" i="1"/>
  <c r="D914" i="1"/>
  <c r="F914" i="1"/>
  <c r="G914" i="1"/>
  <c r="H914" i="1"/>
  <c r="A915" i="1"/>
  <c r="B915" i="1"/>
  <c r="C915" i="1"/>
  <c r="D915" i="1"/>
  <c r="F915" i="1"/>
  <c r="G915" i="1"/>
  <c r="H915" i="1"/>
  <c r="A916" i="1"/>
  <c r="B916" i="1"/>
  <c r="C916" i="1"/>
  <c r="D916" i="1"/>
  <c r="F916" i="1"/>
  <c r="G916" i="1"/>
  <c r="H916" i="1"/>
  <c r="A917" i="1"/>
  <c r="B917" i="1"/>
  <c r="C917" i="1"/>
  <c r="D917" i="1"/>
  <c r="F917" i="1"/>
  <c r="G917" i="1"/>
  <c r="H917" i="1"/>
  <c r="A918" i="1"/>
  <c r="B918" i="1"/>
  <c r="C918" i="1"/>
  <c r="D918" i="1"/>
  <c r="F918" i="1"/>
  <c r="G918" i="1"/>
  <c r="H918" i="1"/>
  <c r="A919" i="1"/>
  <c r="B919" i="1"/>
  <c r="C919" i="1"/>
  <c r="D919" i="1"/>
  <c r="F919" i="1"/>
  <c r="G919" i="1"/>
  <c r="H919" i="1"/>
  <c r="A920" i="1"/>
  <c r="B920" i="1"/>
  <c r="C920" i="1"/>
  <c r="D920" i="1"/>
  <c r="F920" i="1"/>
  <c r="G920" i="1"/>
  <c r="H920" i="1"/>
  <c r="A921" i="1"/>
  <c r="B921" i="1"/>
  <c r="C921" i="1"/>
  <c r="D921" i="1"/>
  <c r="F921" i="1"/>
  <c r="G921" i="1"/>
  <c r="H921" i="1"/>
  <c r="A922" i="1"/>
  <c r="B922" i="1"/>
  <c r="C922" i="1"/>
  <c r="D922" i="1"/>
  <c r="F922" i="1"/>
  <c r="G922" i="1"/>
  <c r="H922" i="1"/>
  <c r="A923" i="1"/>
  <c r="B923" i="1"/>
  <c r="C923" i="1"/>
  <c r="D923" i="1"/>
  <c r="F923" i="1"/>
  <c r="G923" i="1"/>
  <c r="H923" i="1"/>
  <c r="A924" i="1"/>
  <c r="B924" i="1"/>
  <c r="C924" i="1"/>
  <c r="D924" i="1"/>
  <c r="F924" i="1"/>
  <c r="G924" i="1"/>
  <c r="H924" i="1"/>
  <c r="A925" i="1"/>
  <c r="B925" i="1"/>
  <c r="C925" i="1"/>
  <c r="D925" i="1"/>
  <c r="F925" i="1"/>
  <c r="G925" i="1"/>
  <c r="H925" i="1"/>
  <c r="A926" i="1"/>
  <c r="B926" i="1"/>
  <c r="C926" i="1"/>
  <c r="D926" i="1"/>
  <c r="F926" i="1"/>
  <c r="G926" i="1"/>
  <c r="H926" i="1"/>
  <c r="A927" i="1"/>
  <c r="B927" i="1"/>
  <c r="C927" i="1"/>
  <c r="D927" i="1"/>
  <c r="F927" i="1"/>
  <c r="G927" i="1"/>
  <c r="H927" i="1"/>
  <c r="A928" i="1"/>
  <c r="B928" i="1"/>
  <c r="C928" i="1"/>
  <c r="D928" i="1"/>
  <c r="F928" i="1"/>
  <c r="G928" i="1"/>
  <c r="H928" i="1"/>
  <c r="A929" i="1"/>
  <c r="B929" i="1"/>
  <c r="C929" i="1"/>
  <c r="D929" i="1"/>
  <c r="F929" i="1"/>
  <c r="G929" i="1"/>
  <c r="H929" i="1"/>
  <c r="A930" i="1"/>
  <c r="B930" i="1"/>
  <c r="C930" i="1"/>
  <c r="D930" i="1"/>
  <c r="F930" i="1"/>
  <c r="G930" i="1"/>
  <c r="H930" i="1"/>
  <c r="A931" i="1"/>
  <c r="B931" i="1"/>
  <c r="C931" i="1"/>
  <c r="D931" i="1"/>
  <c r="F931" i="1"/>
  <c r="G931" i="1"/>
  <c r="H931" i="1"/>
  <c r="A932" i="1"/>
  <c r="B932" i="1"/>
  <c r="C932" i="1"/>
  <c r="D932" i="1"/>
  <c r="F932" i="1"/>
  <c r="G932" i="1"/>
  <c r="H932" i="1"/>
  <c r="A933" i="1"/>
  <c r="B933" i="1"/>
  <c r="C933" i="1"/>
  <c r="D933" i="1"/>
  <c r="F933" i="1"/>
  <c r="G933" i="1"/>
  <c r="H933" i="1"/>
  <c r="A934" i="1"/>
  <c r="B934" i="1"/>
  <c r="C934" i="1"/>
  <c r="D934" i="1"/>
  <c r="F934" i="1"/>
  <c r="G934" i="1"/>
  <c r="H934" i="1"/>
  <c r="A935" i="1"/>
  <c r="B935" i="1"/>
  <c r="C935" i="1"/>
  <c r="D935" i="1"/>
  <c r="F935" i="1"/>
  <c r="G935" i="1"/>
  <c r="H935" i="1"/>
  <c r="A936" i="1"/>
  <c r="B936" i="1"/>
  <c r="C936" i="1"/>
  <c r="D936" i="1"/>
  <c r="F936" i="1"/>
  <c r="G936" i="1"/>
  <c r="H936" i="1"/>
  <c r="A937" i="1"/>
  <c r="B937" i="1"/>
  <c r="C937" i="1"/>
  <c r="D937" i="1"/>
  <c r="F937" i="1"/>
  <c r="G937" i="1"/>
  <c r="H937" i="1"/>
  <c r="A938" i="1"/>
  <c r="B938" i="1"/>
  <c r="C938" i="1"/>
  <c r="D938" i="1"/>
  <c r="F938" i="1"/>
  <c r="G938" i="1"/>
  <c r="H938" i="1"/>
  <c r="A939" i="1"/>
  <c r="B939" i="1"/>
  <c r="C939" i="1"/>
  <c r="D939" i="1"/>
  <c r="F939" i="1"/>
  <c r="G939" i="1"/>
  <c r="H939" i="1"/>
  <c r="A940" i="1"/>
  <c r="B940" i="1"/>
  <c r="C940" i="1"/>
  <c r="D940" i="1"/>
  <c r="F940" i="1"/>
  <c r="G940" i="1"/>
  <c r="H940" i="1"/>
  <c r="A941" i="1"/>
  <c r="B941" i="1"/>
  <c r="C941" i="1"/>
  <c r="D941" i="1"/>
  <c r="F941" i="1"/>
  <c r="G941" i="1"/>
  <c r="H941" i="1"/>
  <c r="A942" i="1"/>
  <c r="B942" i="1"/>
  <c r="C942" i="1"/>
  <c r="D942" i="1"/>
  <c r="F942" i="1"/>
  <c r="G942" i="1"/>
  <c r="H942" i="1"/>
  <c r="A943" i="1"/>
  <c r="B943" i="1"/>
  <c r="C943" i="1"/>
  <c r="D943" i="1"/>
  <c r="F943" i="1"/>
  <c r="G943" i="1"/>
  <c r="H943" i="1"/>
  <c r="A944" i="1"/>
  <c r="B944" i="1"/>
  <c r="C944" i="1"/>
  <c r="D944" i="1"/>
  <c r="F944" i="1"/>
  <c r="G944" i="1"/>
  <c r="H944" i="1"/>
  <c r="A945" i="1"/>
  <c r="B945" i="1"/>
  <c r="C945" i="1"/>
  <c r="D945" i="1"/>
  <c r="F945" i="1"/>
  <c r="G945" i="1"/>
  <c r="H945" i="1"/>
  <c r="A946" i="1"/>
  <c r="B946" i="1"/>
  <c r="C946" i="1"/>
  <c r="D946" i="1"/>
  <c r="F946" i="1"/>
  <c r="G946" i="1"/>
  <c r="H946" i="1"/>
  <c r="A947" i="1"/>
  <c r="B947" i="1"/>
  <c r="C947" i="1"/>
  <c r="D947" i="1"/>
  <c r="F947" i="1"/>
  <c r="G947" i="1"/>
  <c r="H947" i="1"/>
  <c r="A948" i="1"/>
  <c r="B948" i="1"/>
  <c r="C948" i="1"/>
  <c r="D948" i="1"/>
  <c r="F948" i="1"/>
  <c r="G948" i="1"/>
  <c r="H948" i="1"/>
  <c r="A949" i="1"/>
  <c r="B949" i="1"/>
  <c r="C949" i="1"/>
  <c r="D949" i="1"/>
  <c r="F949" i="1"/>
  <c r="G949" i="1"/>
  <c r="H949" i="1"/>
  <c r="A950" i="1"/>
  <c r="B950" i="1"/>
  <c r="C950" i="1"/>
  <c r="D950" i="1"/>
  <c r="F950" i="1"/>
  <c r="G950" i="1"/>
  <c r="H950" i="1"/>
  <c r="A951" i="1"/>
  <c r="B951" i="1"/>
  <c r="C951" i="1"/>
  <c r="D951" i="1"/>
  <c r="F951" i="1"/>
  <c r="G951" i="1"/>
  <c r="H951" i="1"/>
  <c r="A952" i="1"/>
  <c r="B952" i="1"/>
  <c r="C952" i="1"/>
  <c r="D952" i="1"/>
  <c r="F952" i="1"/>
  <c r="G952" i="1"/>
  <c r="H952" i="1"/>
  <c r="A953" i="1"/>
  <c r="B953" i="1"/>
  <c r="C953" i="1"/>
  <c r="D953" i="1"/>
  <c r="F953" i="1"/>
  <c r="G953" i="1"/>
  <c r="H953" i="1"/>
  <c r="A954" i="1"/>
  <c r="B954" i="1"/>
  <c r="C954" i="1"/>
  <c r="D954" i="1"/>
  <c r="F954" i="1"/>
  <c r="G954" i="1"/>
  <c r="H954" i="1"/>
  <c r="A955" i="1"/>
  <c r="B955" i="1"/>
  <c r="C955" i="1"/>
  <c r="D955" i="1"/>
  <c r="F955" i="1"/>
  <c r="G955" i="1"/>
  <c r="H955" i="1"/>
  <c r="A956" i="1"/>
  <c r="B956" i="1"/>
  <c r="C956" i="1"/>
  <c r="D956" i="1"/>
  <c r="F956" i="1"/>
  <c r="G956" i="1"/>
  <c r="H956" i="1"/>
  <c r="A957" i="1"/>
  <c r="B957" i="1"/>
  <c r="C957" i="1"/>
  <c r="D957" i="1"/>
  <c r="F957" i="1"/>
  <c r="G957" i="1"/>
  <c r="H957" i="1"/>
  <c r="A958" i="1"/>
  <c r="B958" i="1"/>
  <c r="C958" i="1"/>
  <c r="D958" i="1"/>
  <c r="F958" i="1"/>
  <c r="G958" i="1"/>
  <c r="H958" i="1"/>
  <c r="A959" i="1"/>
  <c r="B959" i="1"/>
  <c r="C959" i="1"/>
  <c r="D959" i="1"/>
  <c r="F959" i="1"/>
  <c r="G959" i="1"/>
  <c r="H959" i="1"/>
  <c r="A960" i="1"/>
  <c r="B960" i="1"/>
  <c r="C960" i="1"/>
  <c r="D960" i="1"/>
  <c r="F960" i="1"/>
  <c r="G960" i="1"/>
  <c r="H960" i="1"/>
  <c r="A961" i="1"/>
  <c r="B961" i="1"/>
  <c r="C961" i="1"/>
  <c r="D961" i="1"/>
  <c r="F961" i="1"/>
  <c r="G961" i="1"/>
  <c r="H961" i="1"/>
  <c r="A962" i="1"/>
  <c r="B962" i="1"/>
  <c r="C962" i="1"/>
  <c r="D962" i="1"/>
  <c r="F962" i="1"/>
  <c r="G962" i="1"/>
  <c r="H962" i="1"/>
  <c r="A963" i="1"/>
  <c r="B963" i="1"/>
  <c r="C963" i="1"/>
  <c r="D963" i="1"/>
  <c r="F963" i="1"/>
  <c r="G963" i="1"/>
  <c r="H963" i="1"/>
  <c r="A964" i="1"/>
  <c r="B964" i="1"/>
  <c r="C964" i="1"/>
  <c r="D964" i="1"/>
  <c r="F964" i="1"/>
  <c r="G964" i="1"/>
  <c r="H964" i="1"/>
  <c r="A965" i="1"/>
  <c r="B965" i="1"/>
  <c r="C965" i="1"/>
  <c r="D965" i="1"/>
  <c r="F965" i="1"/>
  <c r="G965" i="1"/>
  <c r="H965" i="1"/>
  <c r="A966" i="1"/>
  <c r="B966" i="1"/>
  <c r="C966" i="1"/>
  <c r="D966" i="1"/>
  <c r="F966" i="1"/>
  <c r="G966" i="1"/>
  <c r="H966" i="1"/>
  <c r="A967" i="1"/>
  <c r="B967" i="1"/>
  <c r="C967" i="1"/>
  <c r="D967" i="1"/>
  <c r="F967" i="1"/>
  <c r="G967" i="1"/>
  <c r="H967" i="1"/>
  <c r="A968" i="1"/>
  <c r="B968" i="1"/>
  <c r="C968" i="1"/>
  <c r="D968" i="1"/>
  <c r="F968" i="1"/>
  <c r="G968" i="1"/>
  <c r="H968" i="1"/>
  <c r="A969" i="1"/>
  <c r="B969" i="1"/>
  <c r="C969" i="1"/>
  <c r="D969" i="1"/>
  <c r="F969" i="1"/>
  <c r="G969" i="1"/>
  <c r="H969" i="1"/>
  <c r="A970" i="1"/>
  <c r="B970" i="1"/>
  <c r="C970" i="1"/>
  <c r="D970" i="1"/>
  <c r="F970" i="1"/>
  <c r="G970" i="1"/>
  <c r="H970" i="1"/>
  <c r="A971" i="1"/>
  <c r="B971" i="1"/>
  <c r="C971" i="1"/>
  <c r="D971" i="1"/>
  <c r="F971" i="1"/>
  <c r="G971" i="1"/>
  <c r="H971" i="1"/>
  <c r="A972" i="1"/>
  <c r="B972" i="1"/>
  <c r="C972" i="1"/>
  <c r="D972" i="1"/>
  <c r="F972" i="1"/>
  <c r="G972" i="1"/>
  <c r="H972" i="1"/>
  <c r="A973" i="1"/>
  <c r="B973" i="1"/>
  <c r="C973" i="1"/>
  <c r="D973" i="1"/>
  <c r="F973" i="1"/>
  <c r="G973" i="1"/>
  <c r="H973" i="1"/>
  <c r="A974" i="1"/>
  <c r="B974" i="1"/>
  <c r="C974" i="1"/>
  <c r="D974" i="1"/>
  <c r="F974" i="1"/>
  <c r="G974" i="1"/>
  <c r="H974" i="1"/>
  <c r="A975" i="1"/>
  <c r="B975" i="1"/>
  <c r="C975" i="1"/>
  <c r="D975" i="1"/>
  <c r="F975" i="1"/>
  <c r="G975" i="1"/>
  <c r="H975" i="1"/>
  <c r="A976" i="1"/>
  <c r="B976" i="1"/>
  <c r="C976" i="1"/>
  <c r="D976" i="1"/>
  <c r="F976" i="1"/>
  <c r="G976" i="1"/>
  <c r="H976" i="1"/>
  <c r="A977" i="1"/>
  <c r="B977" i="1"/>
  <c r="C977" i="1"/>
  <c r="D977" i="1"/>
  <c r="F977" i="1"/>
  <c r="G977" i="1"/>
  <c r="H977" i="1"/>
  <c r="A978" i="1"/>
  <c r="B978" i="1"/>
  <c r="C978" i="1"/>
  <c r="D978" i="1"/>
  <c r="F978" i="1"/>
  <c r="G978" i="1"/>
  <c r="H978" i="1"/>
  <c r="A979" i="1"/>
  <c r="B979" i="1"/>
  <c r="C979" i="1"/>
  <c r="D979" i="1"/>
  <c r="F979" i="1"/>
  <c r="G979" i="1"/>
  <c r="H979" i="1"/>
  <c r="A980" i="1"/>
  <c r="B980" i="1"/>
  <c r="C980" i="1"/>
  <c r="D980" i="1"/>
  <c r="F980" i="1"/>
  <c r="G980" i="1"/>
  <c r="H980" i="1"/>
  <c r="A981" i="1"/>
  <c r="B981" i="1"/>
  <c r="C981" i="1"/>
  <c r="D981" i="1"/>
  <c r="F981" i="1"/>
  <c r="G981" i="1"/>
  <c r="H981" i="1"/>
  <c r="A982" i="1"/>
  <c r="B982" i="1"/>
  <c r="C982" i="1"/>
  <c r="D982" i="1"/>
  <c r="F982" i="1"/>
  <c r="G982" i="1"/>
  <c r="H982" i="1"/>
  <c r="A983" i="1"/>
  <c r="B983" i="1"/>
  <c r="C983" i="1"/>
  <c r="D983" i="1"/>
  <c r="F983" i="1"/>
  <c r="G983" i="1"/>
  <c r="H983" i="1"/>
  <c r="A984" i="1"/>
  <c r="B984" i="1"/>
  <c r="C984" i="1"/>
  <c r="D984" i="1"/>
  <c r="F984" i="1"/>
  <c r="G984" i="1"/>
  <c r="H984" i="1"/>
  <c r="A985" i="1"/>
  <c r="B985" i="1"/>
  <c r="C985" i="1"/>
  <c r="D985" i="1"/>
  <c r="F985" i="1"/>
  <c r="G985" i="1"/>
  <c r="H985" i="1"/>
  <c r="A986" i="1"/>
  <c r="B986" i="1"/>
  <c r="C986" i="1"/>
  <c r="D986" i="1"/>
  <c r="F986" i="1"/>
  <c r="G986" i="1"/>
  <c r="H986" i="1"/>
  <c r="A987" i="1"/>
  <c r="B987" i="1"/>
  <c r="C987" i="1"/>
  <c r="D987" i="1"/>
  <c r="F987" i="1"/>
  <c r="G987" i="1"/>
  <c r="H987" i="1"/>
  <c r="A988" i="1"/>
  <c r="B988" i="1"/>
  <c r="C988" i="1"/>
  <c r="D988" i="1"/>
  <c r="F988" i="1"/>
  <c r="G988" i="1"/>
  <c r="H988" i="1"/>
  <c r="A989" i="1"/>
  <c r="B989" i="1"/>
  <c r="C989" i="1"/>
  <c r="D989" i="1"/>
  <c r="F989" i="1"/>
  <c r="G989" i="1"/>
  <c r="H989" i="1"/>
  <c r="A990" i="1"/>
  <c r="B990" i="1"/>
  <c r="C990" i="1"/>
  <c r="D990" i="1"/>
  <c r="F990" i="1"/>
  <c r="G990" i="1"/>
  <c r="H990" i="1"/>
  <c r="A991" i="1"/>
  <c r="B991" i="1"/>
  <c r="C991" i="1"/>
  <c r="D991" i="1"/>
  <c r="F991" i="1"/>
  <c r="G991" i="1"/>
  <c r="H991" i="1"/>
  <c r="A992" i="1"/>
  <c r="B992" i="1"/>
  <c r="C992" i="1"/>
  <c r="D992" i="1"/>
  <c r="F992" i="1"/>
  <c r="G992" i="1"/>
  <c r="H992" i="1"/>
  <c r="A993" i="1"/>
  <c r="B993" i="1"/>
  <c r="C993" i="1"/>
  <c r="D993" i="1"/>
  <c r="F993" i="1"/>
  <c r="G993" i="1"/>
  <c r="H993" i="1"/>
  <c r="A994" i="1"/>
  <c r="B994" i="1"/>
  <c r="C994" i="1"/>
  <c r="D994" i="1"/>
  <c r="F994" i="1"/>
  <c r="G994" i="1"/>
  <c r="H994" i="1"/>
  <c r="A995" i="1"/>
  <c r="B995" i="1"/>
  <c r="C995" i="1"/>
  <c r="D995" i="1"/>
  <c r="F995" i="1"/>
  <c r="G995" i="1"/>
  <c r="H995" i="1"/>
  <c r="A996" i="1"/>
  <c r="B996" i="1"/>
  <c r="C996" i="1"/>
  <c r="D996" i="1"/>
  <c r="F996" i="1"/>
  <c r="G996" i="1"/>
  <c r="H996" i="1"/>
  <c r="A997" i="1"/>
  <c r="B997" i="1"/>
  <c r="C997" i="1"/>
  <c r="D997" i="1"/>
  <c r="F997" i="1"/>
  <c r="G997" i="1"/>
  <c r="H997" i="1"/>
  <c r="A998" i="1"/>
  <c r="B998" i="1"/>
  <c r="C998" i="1"/>
  <c r="D998" i="1"/>
  <c r="F998" i="1"/>
  <c r="G998" i="1"/>
  <c r="H998" i="1"/>
  <c r="A999" i="1"/>
  <c r="B999" i="1"/>
  <c r="C999" i="1"/>
  <c r="D999" i="1"/>
  <c r="F999" i="1"/>
  <c r="G999" i="1"/>
  <c r="H999" i="1"/>
  <c r="A1000" i="1"/>
  <c r="B1000" i="1"/>
  <c r="C1000" i="1"/>
  <c r="D1000" i="1"/>
  <c r="F1000" i="1"/>
  <c r="G1000" i="1"/>
  <c r="H1000" i="1"/>
  <c r="A1001" i="1"/>
  <c r="B1001" i="1"/>
  <c r="C1001" i="1"/>
  <c r="D1001" i="1"/>
  <c r="F1001" i="1"/>
  <c r="G1001" i="1"/>
  <c r="H1001" i="1"/>
  <c r="A1002" i="1"/>
  <c r="B1002" i="1"/>
  <c r="C1002" i="1"/>
  <c r="D1002" i="1"/>
  <c r="F1002" i="1"/>
  <c r="G1002" i="1"/>
  <c r="H1002" i="1"/>
  <c r="A1003" i="1"/>
  <c r="B1003" i="1"/>
  <c r="C1003" i="1"/>
  <c r="D1003" i="1"/>
  <c r="F1003" i="1"/>
  <c r="G1003" i="1"/>
  <c r="H1003" i="1"/>
  <c r="A1004" i="1"/>
  <c r="B1004" i="1"/>
  <c r="C1004" i="1"/>
  <c r="D1004" i="1"/>
  <c r="F1004" i="1"/>
  <c r="G1004" i="1"/>
  <c r="H1004" i="1"/>
  <c r="A1005" i="1"/>
  <c r="B1005" i="1"/>
  <c r="C1005" i="1"/>
  <c r="D1005" i="1"/>
  <c r="F1005" i="1"/>
  <c r="G1005" i="1"/>
  <c r="H1005" i="1"/>
  <c r="A1006" i="1"/>
  <c r="B1006" i="1"/>
  <c r="C1006" i="1"/>
  <c r="D1006" i="1"/>
  <c r="F1006" i="1"/>
  <c r="G1006" i="1"/>
  <c r="H1006" i="1"/>
  <c r="A1007" i="1"/>
  <c r="B1007" i="1"/>
  <c r="C1007" i="1"/>
  <c r="D1007" i="1"/>
  <c r="F1007" i="1"/>
  <c r="G1007" i="1"/>
  <c r="H1007" i="1"/>
  <c r="A1008" i="1"/>
  <c r="B1008" i="1"/>
  <c r="C1008" i="1"/>
  <c r="D1008" i="1"/>
  <c r="F1008" i="1"/>
  <c r="G1008" i="1"/>
  <c r="H1008" i="1"/>
  <c r="A1009" i="1"/>
  <c r="B1009" i="1"/>
  <c r="C1009" i="1"/>
  <c r="D1009" i="1"/>
  <c r="F1009" i="1"/>
  <c r="G1009" i="1"/>
  <c r="H1009" i="1"/>
  <c r="A1010" i="1"/>
  <c r="B1010" i="1"/>
  <c r="C1010" i="1"/>
  <c r="D1010" i="1"/>
  <c r="F1010" i="1"/>
  <c r="G1010" i="1"/>
  <c r="H1010" i="1"/>
  <c r="A1011" i="1"/>
  <c r="B1011" i="1"/>
  <c r="C1011" i="1"/>
  <c r="D1011" i="1"/>
  <c r="F1011" i="1"/>
  <c r="G1011" i="1"/>
  <c r="H1011" i="1"/>
  <c r="A1012" i="1"/>
  <c r="B1012" i="1"/>
  <c r="C1012" i="1"/>
  <c r="D1012" i="1"/>
  <c r="F1012" i="1"/>
  <c r="G1012" i="1"/>
  <c r="H1012" i="1"/>
  <c r="A1013" i="1"/>
  <c r="B1013" i="1"/>
  <c r="C1013" i="1"/>
  <c r="D1013" i="1"/>
  <c r="F1013" i="1"/>
  <c r="G1013" i="1"/>
  <c r="H1013" i="1"/>
  <c r="A1014" i="1"/>
  <c r="B1014" i="1"/>
  <c r="C1014" i="1"/>
  <c r="D1014" i="1"/>
  <c r="F1014" i="1"/>
  <c r="G1014" i="1"/>
  <c r="H1014" i="1"/>
  <c r="A1015" i="1"/>
  <c r="B1015" i="1"/>
  <c r="C1015" i="1"/>
  <c r="D1015" i="1"/>
  <c r="F1015" i="1"/>
  <c r="G1015" i="1"/>
  <c r="H1015" i="1"/>
  <c r="A1016" i="1"/>
  <c r="B1016" i="1"/>
  <c r="C1016" i="1"/>
  <c r="D1016" i="1"/>
  <c r="F1016" i="1"/>
  <c r="G1016" i="1"/>
  <c r="H1016" i="1"/>
  <c r="A1017" i="1"/>
  <c r="B1017" i="1"/>
  <c r="C1017" i="1"/>
  <c r="D1017" i="1"/>
  <c r="F1017" i="1"/>
  <c r="G1017" i="1"/>
  <c r="H1017" i="1"/>
  <c r="A1018" i="1"/>
  <c r="B1018" i="1"/>
  <c r="C1018" i="1"/>
  <c r="D1018" i="1"/>
  <c r="F1018" i="1"/>
  <c r="G1018" i="1"/>
  <c r="H1018" i="1"/>
  <c r="A1019" i="1"/>
  <c r="B1019" i="1"/>
  <c r="C1019" i="1"/>
  <c r="D1019" i="1"/>
  <c r="F1019" i="1"/>
  <c r="G1019" i="1"/>
  <c r="H1019" i="1"/>
  <c r="A1020" i="1"/>
  <c r="B1020" i="1"/>
  <c r="C1020" i="1"/>
  <c r="D1020" i="1"/>
  <c r="F1020" i="1"/>
  <c r="G1020" i="1"/>
  <c r="H1020" i="1"/>
  <c r="A1021" i="1"/>
  <c r="B1021" i="1"/>
  <c r="C1021" i="1"/>
  <c r="D1021" i="1"/>
  <c r="F1021" i="1"/>
  <c r="G1021" i="1"/>
  <c r="H1021" i="1"/>
  <c r="A1022" i="1"/>
  <c r="B1022" i="1"/>
  <c r="C1022" i="1"/>
  <c r="D1022" i="1"/>
  <c r="F1022" i="1"/>
  <c r="G1022" i="1"/>
  <c r="H1022" i="1"/>
  <c r="A1023" i="1"/>
  <c r="B1023" i="1"/>
  <c r="C1023" i="1"/>
  <c r="D1023" i="1"/>
  <c r="F1023" i="1"/>
  <c r="G1023" i="1"/>
  <c r="H1023" i="1"/>
  <c r="A1024" i="1"/>
  <c r="B1024" i="1"/>
  <c r="C1024" i="1"/>
  <c r="D1024" i="1"/>
  <c r="F1024" i="1"/>
  <c r="G1024" i="1"/>
  <c r="H1024" i="1"/>
  <c r="A1025" i="1"/>
  <c r="B1025" i="1"/>
  <c r="C1025" i="1"/>
  <c r="D1025" i="1"/>
  <c r="F1025" i="1"/>
  <c r="G1025" i="1"/>
  <c r="H1025" i="1"/>
  <c r="A1026" i="1"/>
  <c r="B1026" i="1"/>
  <c r="C1026" i="1"/>
  <c r="D1026" i="1"/>
  <c r="F1026" i="1"/>
  <c r="G1026" i="1"/>
  <c r="H1026" i="1"/>
  <c r="A1027" i="1"/>
  <c r="B1027" i="1"/>
  <c r="C1027" i="1"/>
  <c r="D1027" i="1"/>
  <c r="F1027" i="1"/>
  <c r="G1027" i="1"/>
  <c r="H1027" i="1"/>
  <c r="A1028" i="1"/>
  <c r="B1028" i="1"/>
  <c r="C1028" i="1"/>
  <c r="D1028" i="1"/>
  <c r="F1028" i="1"/>
  <c r="G1028" i="1"/>
  <c r="H1028" i="1"/>
  <c r="A1029" i="1"/>
  <c r="B1029" i="1"/>
  <c r="C1029" i="1"/>
  <c r="D1029" i="1"/>
  <c r="F1029" i="1"/>
  <c r="G1029" i="1"/>
  <c r="H1029" i="1"/>
  <c r="A1030" i="1"/>
  <c r="B1030" i="1"/>
  <c r="C1030" i="1"/>
  <c r="D1030" i="1"/>
  <c r="F1030" i="1"/>
  <c r="G1030" i="1"/>
  <c r="H1030" i="1"/>
  <c r="A1031" i="1"/>
  <c r="B1031" i="1"/>
  <c r="C1031" i="1"/>
  <c r="D1031" i="1"/>
  <c r="F1031" i="1"/>
  <c r="G1031" i="1"/>
  <c r="H1031" i="1"/>
  <c r="A1032" i="1"/>
  <c r="B1032" i="1"/>
  <c r="C1032" i="1"/>
  <c r="D1032" i="1"/>
  <c r="F1032" i="1"/>
  <c r="G1032" i="1"/>
  <c r="H1032" i="1"/>
  <c r="A1033" i="1"/>
  <c r="B1033" i="1"/>
  <c r="C1033" i="1"/>
  <c r="D1033" i="1"/>
  <c r="F1033" i="1"/>
  <c r="G1033" i="1"/>
  <c r="H1033" i="1"/>
  <c r="A1034" i="1"/>
  <c r="B1034" i="1"/>
  <c r="C1034" i="1"/>
  <c r="D1034" i="1"/>
  <c r="F1034" i="1"/>
  <c r="G1034" i="1"/>
  <c r="H1034" i="1"/>
  <c r="A1035" i="1"/>
  <c r="B1035" i="1"/>
  <c r="C1035" i="1"/>
  <c r="D1035" i="1"/>
  <c r="F1035" i="1"/>
  <c r="G1035" i="1"/>
  <c r="H1035" i="1"/>
  <c r="A1036" i="1"/>
  <c r="B1036" i="1"/>
  <c r="C1036" i="1"/>
  <c r="D1036" i="1"/>
  <c r="F1036" i="1"/>
  <c r="G1036" i="1"/>
  <c r="H1036" i="1"/>
  <c r="A1037" i="1"/>
  <c r="B1037" i="1"/>
  <c r="C1037" i="1"/>
  <c r="D1037" i="1"/>
  <c r="F1037" i="1"/>
  <c r="G1037" i="1"/>
  <c r="H1037" i="1"/>
  <c r="A1038" i="1"/>
  <c r="B1038" i="1"/>
  <c r="C1038" i="1"/>
  <c r="D1038" i="1"/>
  <c r="F1038" i="1"/>
  <c r="G1038" i="1"/>
  <c r="H1038" i="1"/>
  <c r="A1039" i="1"/>
  <c r="B1039" i="1"/>
  <c r="C1039" i="1"/>
  <c r="D1039" i="1"/>
  <c r="F1039" i="1"/>
  <c r="G1039" i="1"/>
  <c r="H1039" i="1"/>
  <c r="A1040" i="1"/>
  <c r="B1040" i="1"/>
  <c r="C1040" i="1"/>
  <c r="D1040" i="1"/>
  <c r="F1040" i="1"/>
  <c r="G1040" i="1"/>
  <c r="H1040" i="1"/>
  <c r="A1041" i="1"/>
  <c r="B1041" i="1"/>
  <c r="C1041" i="1"/>
  <c r="D1041" i="1"/>
  <c r="F1041" i="1"/>
  <c r="G1041" i="1"/>
  <c r="H1041" i="1"/>
  <c r="A1042" i="1"/>
  <c r="B1042" i="1"/>
  <c r="C1042" i="1"/>
  <c r="D1042" i="1"/>
  <c r="F1042" i="1"/>
  <c r="G1042" i="1"/>
  <c r="H1042" i="1"/>
  <c r="A1043" i="1"/>
  <c r="B1043" i="1"/>
  <c r="C1043" i="1"/>
  <c r="D1043" i="1"/>
  <c r="F1043" i="1"/>
  <c r="G1043" i="1"/>
  <c r="H1043" i="1"/>
  <c r="A1044" i="1"/>
  <c r="B1044" i="1"/>
  <c r="C1044" i="1"/>
  <c r="D1044" i="1"/>
  <c r="F1044" i="1"/>
  <c r="G1044" i="1"/>
  <c r="H1044" i="1"/>
  <c r="A1045" i="1"/>
  <c r="B1045" i="1"/>
  <c r="C1045" i="1"/>
  <c r="D1045" i="1"/>
  <c r="F1045" i="1"/>
  <c r="G1045" i="1"/>
  <c r="H1045" i="1"/>
  <c r="A1046" i="1"/>
  <c r="B1046" i="1"/>
  <c r="C1046" i="1"/>
  <c r="D1046" i="1"/>
  <c r="F1046" i="1"/>
  <c r="G1046" i="1"/>
  <c r="H1046" i="1"/>
  <c r="A1047" i="1"/>
  <c r="B1047" i="1"/>
  <c r="C1047" i="1"/>
  <c r="D1047" i="1"/>
  <c r="F1047" i="1"/>
  <c r="G1047" i="1"/>
  <c r="H1047" i="1"/>
  <c r="A1048" i="1"/>
  <c r="B1048" i="1"/>
  <c r="C1048" i="1"/>
  <c r="D1048" i="1"/>
  <c r="F1048" i="1"/>
  <c r="G1048" i="1"/>
  <c r="H1048" i="1"/>
  <c r="A1049" i="1"/>
  <c r="B1049" i="1"/>
  <c r="C1049" i="1"/>
  <c r="D1049" i="1"/>
  <c r="F1049" i="1"/>
  <c r="G1049" i="1"/>
  <c r="H1049" i="1"/>
  <c r="A1050" i="1"/>
  <c r="B1050" i="1"/>
  <c r="C1050" i="1"/>
  <c r="D1050" i="1"/>
  <c r="F1050" i="1"/>
  <c r="G1050" i="1"/>
  <c r="H1050" i="1"/>
  <c r="A1051" i="1"/>
  <c r="B1051" i="1"/>
  <c r="C1051" i="1"/>
  <c r="D1051" i="1"/>
  <c r="F1051" i="1"/>
  <c r="G1051" i="1"/>
  <c r="H1051" i="1"/>
  <c r="A1052" i="1"/>
  <c r="B1052" i="1"/>
  <c r="C1052" i="1"/>
  <c r="D1052" i="1"/>
  <c r="F1052" i="1"/>
  <c r="G1052" i="1"/>
  <c r="H1052" i="1"/>
  <c r="A1053" i="1"/>
  <c r="B1053" i="1"/>
  <c r="C1053" i="1"/>
  <c r="D1053" i="1"/>
  <c r="F1053" i="1"/>
  <c r="G1053" i="1"/>
  <c r="H1053" i="1"/>
  <c r="A1054" i="1"/>
  <c r="B1054" i="1"/>
  <c r="C1054" i="1"/>
  <c r="D1054" i="1"/>
  <c r="F1054" i="1"/>
  <c r="G1054" i="1"/>
  <c r="H1054" i="1"/>
  <c r="A1055" i="1"/>
  <c r="B1055" i="1"/>
  <c r="C1055" i="1"/>
  <c r="D1055" i="1"/>
  <c r="F1055" i="1"/>
  <c r="G1055" i="1"/>
  <c r="H1055" i="1"/>
  <c r="A1056" i="1"/>
  <c r="B1056" i="1"/>
  <c r="C1056" i="1"/>
  <c r="D1056" i="1"/>
  <c r="F1056" i="1"/>
  <c r="G1056" i="1"/>
  <c r="H1056" i="1"/>
  <c r="A1057" i="1"/>
  <c r="B1057" i="1"/>
  <c r="C1057" i="1"/>
  <c r="D1057" i="1"/>
  <c r="F1057" i="1"/>
  <c r="G1057" i="1"/>
  <c r="H1057" i="1"/>
  <c r="A1058" i="1"/>
  <c r="B1058" i="1"/>
  <c r="C1058" i="1"/>
  <c r="D1058" i="1"/>
  <c r="F1058" i="1"/>
  <c r="G1058" i="1"/>
  <c r="H1058" i="1"/>
  <c r="A1059" i="1"/>
  <c r="B1059" i="1"/>
  <c r="C1059" i="1"/>
  <c r="D1059" i="1"/>
  <c r="F1059" i="1"/>
  <c r="G1059" i="1"/>
  <c r="H1059" i="1"/>
  <c r="A1060" i="1"/>
  <c r="B1060" i="1"/>
  <c r="C1060" i="1"/>
  <c r="D1060" i="1"/>
  <c r="F1060" i="1"/>
  <c r="G1060" i="1"/>
  <c r="H1060" i="1"/>
  <c r="A1061" i="1"/>
  <c r="B1061" i="1"/>
  <c r="C1061" i="1"/>
  <c r="D1061" i="1"/>
  <c r="F1061" i="1"/>
  <c r="G1061" i="1"/>
  <c r="H1061" i="1"/>
  <c r="A1062" i="1"/>
  <c r="B1062" i="1"/>
  <c r="C1062" i="1"/>
  <c r="D1062" i="1"/>
  <c r="F1062" i="1"/>
  <c r="G1062" i="1"/>
  <c r="H1062" i="1"/>
  <c r="A1063" i="1"/>
  <c r="B1063" i="1"/>
  <c r="C1063" i="1"/>
  <c r="D1063" i="1"/>
  <c r="F1063" i="1"/>
  <c r="G1063" i="1"/>
  <c r="H1063" i="1"/>
  <c r="A1064" i="1"/>
  <c r="B1064" i="1"/>
  <c r="C1064" i="1"/>
  <c r="D1064" i="1"/>
  <c r="F1064" i="1"/>
  <c r="G1064" i="1"/>
  <c r="H1064" i="1"/>
  <c r="A1065" i="1"/>
  <c r="B1065" i="1"/>
  <c r="C1065" i="1"/>
  <c r="D1065" i="1"/>
  <c r="F1065" i="1"/>
  <c r="G1065" i="1"/>
  <c r="H1065" i="1"/>
  <c r="A1066" i="1"/>
  <c r="B1066" i="1"/>
  <c r="C1066" i="1"/>
  <c r="D1066" i="1"/>
  <c r="F1066" i="1"/>
  <c r="G1066" i="1"/>
  <c r="H1066" i="1"/>
  <c r="A1067" i="1"/>
  <c r="B1067" i="1"/>
  <c r="C1067" i="1"/>
  <c r="D1067" i="1"/>
  <c r="F1067" i="1"/>
  <c r="G1067" i="1"/>
  <c r="H1067" i="1"/>
  <c r="A1068" i="1"/>
  <c r="B1068" i="1"/>
  <c r="C1068" i="1"/>
  <c r="D1068" i="1"/>
  <c r="F1068" i="1"/>
  <c r="G1068" i="1"/>
  <c r="H1068" i="1"/>
  <c r="A1069" i="1"/>
  <c r="B1069" i="1"/>
  <c r="C1069" i="1"/>
  <c r="D1069" i="1"/>
  <c r="F1069" i="1"/>
  <c r="G1069" i="1"/>
  <c r="H1069" i="1"/>
  <c r="A1070" i="1"/>
  <c r="B1070" i="1"/>
  <c r="C1070" i="1"/>
  <c r="D1070" i="1"/>
  <c r="F1070" i="1"/>
  <c r="G1070" i="1"/>
  <c r="H1070" i="1"/>
  <c r="A1071" i="1"/>
  <c r="B1071" i="1"/>
  <c r="C1071" i="1"/>
  <c r="D1071" i="1"/>
  <c r="F1071" i="1"/>
  <c r="G1071" i="1"/>
  <c r="H1071" i="1"/>
  <c r="A1072" i="1"/>
  <c r="B1072" i="1"/>
  <c r="C1072" i="1"/>
  <c r="D1072" i="1"/>
  <c r="F1072" i="1"/>
  <c r="G1072" i="1"/>
  <c r="H1072" i="1"/>
  <c r="A1073" i="1"/>
  <c r="B1073" i="1"/>
  <c r="C1073" i="1"/>
  <c r="D1073" i="1"/>
  <c r="F1073" i="1"/>
  <c r="G1073" i="1"/>
  <c r="H1073" i="1"/>
  <c r="A1074" i="1"/>
  <c r="B1074" i="1"/>
  <c r="C1074" i="1"/>
  <c r="D1074" i="1"/>
  <c r="F1074" i="1"/>
  <c r="G1074" i="1"/>
  <c r="H1074" i="1"/>
  <c r="A1075" i="1"/>
  <c r="B1075" i="1"/>
  <c r="C1075" i="1"/>
  <c r="D1075" i="1"/>
  <c r="F1075" i="1"/>
  <c r="G1075" i="1"/>
  <c r="H1075" i="1"/>
  <c r="A1076" i="1"/>
  <c r="B1076" i="1"/>
  <c r="C1076" i="1"/>
  <c r="D1076" i="1"/>
  <c r="F1076" i="1"/>
  <c r="G1076" i="1"/>
  <c r="H1076" i="1"/>
  <c r="A1077" i="1"/>
  <c r="B1077" i="1"/>
  <c r="C1077" i="1"/>
  <c r="D1077" i="1"/>
  <c r="F1077" i="1"/>
  <c r="G1077" i="1"/>
  <c r="H1077" i="1"/>
  <c r="A1078" i="1"/>
  <c r="B1078" i="1"/>
  <c r="C1078" i="1"/>
  <c r="D1078" i="1"/>
  <c r="F1078" i="1"/>
  <c r="G1078" i="1"/>
  <c r="H1078" i="1"/>
  <c r="A1079" i="1"/>
  <c r="B1079" i="1"/>
  <c r="C1079" i="1"/>
  <c r="D1079" i="1"/>
  <c r="F1079" i="1"/>
  <c r="G1079" i="1"/>
  <c r="H1079" i="1"/>
  <c r="A1080" i="1"/>
  <c r="B1080" i="1"/>
  <c r="C1080" i="1"/>
  <c r="D1080" i="1"/>
  <c r="F1080" i="1"/>
  <c r="G1080" i="1"/>
  <c r="H1080" i="1"/>
  <c r="A1081" i="1"/>
  <c r="B1081" i="1"/>
  <c r="C1081" i="1"/>
  <c r="D1081" i="1"/>
  <c r="F1081" i="1"/>
  <c r="G1081" i="1"/>
  <c r="H1081" i="1"/>
  <c r="A1082" i="1"/>
  <c r="B1082" i="1"/>
  <c r="C1082" i="1"/>
  <c r="D1082" i="1"/>
  <c r="F1082" i="1"/>
  <c r="G1082" i="1"/>
  <c r="H1082" i="1"/>
  <c r="A1083" i="1"/>
  <c r="B1083" i="1"/>
  <c r="C1083" i="1"/>
  <c r="D1083" i="1"/>
  <c r="F1083" i="1"/>
  <c r="G1083" i="1"/>
  <c r="H1083" i="1"/>
  <c r="A1084" i="1"/>
  <c r="B1084" i="1"/>
  <c r="C1084" i="1"/>
  <c r="D1084" i="1"/>
  <c r="F1084" i="1"/>
  <c r="G1084" i="1"/>
  <c r="H1084" i="1"/>
  <c r="A1085" i="1"/>
  <c r="B1085" i="1"/>
  <c r="C1085" i="1"/>
  <c r="D1085" i="1"/>
  <c r="F1085" i="1"/>
  <c r="G1085" i="1"/>
  <c r="H1085" i="1"/>
  <c r="A1086" i="1"/>
  <c r="B1086" i="1"/>
  <c r="C1086" i="1"/>
  <c r="D1086" i="1"/>
  <c r="F1086" i="1"/>
  <c r="G1086" i="1"/>
  <c r="H1086" i="1"/>
  <c r="A1087" i="1"/>
  <c r="B1087" i="1"/>
  <c r="C1087" i="1"/>
  <c r="D1087" i="1"/>
  <c r="F1087" i="1"/>
  <c r="G1087" i="1"/>
  <c r="H1087" i="1"/>
  <c r="A1088" i="1"/>
  <c r="B1088" i="1"/>
  <c r="C1088" i="1"/>
  <c r="D1088" i="1"/>
  <c r="F1088" i="1"/>
  <c r="G1088" i="1"/>
  <c r="H1088" i="1"/>
  <c r="A1089" i="1"/>
  <c r="B1089" i="1"/>
  <c r="C1089" i="1"/>
  <c r="D1089" i="1"/>
  <c r="F1089" i="1"/>
  <c r="G1089" i="1"/>
  <c r="H1089" i="1"/>
  <c r="A1090" i="1"/>
  <c r="B1090" i="1"/>
  <c r="C1090" i="1"/>
  <c r="D1090" i="1"/>
  <c r="F1090" i="1"/>
  <c r="G1090" i="1"/>
  <c r="H1090" i="1"/>
  <c r="A1091" i="1"/>
  <c r="B1091" i="1"/>
  <c r="C1091" i="1"/>
  <c r="D1091" i="1"/>
  <c r="F1091" i="1"/>
  <c r="G1091" i="1"/>
  <c r="H1091" i="1"/>
  <c r="A1092" i="1"/>
  <c r="B1092" i="1"/>
  <c r="C1092" i="1"/>
  <c r="D1092" i="1"/>
  <c r="F1092" i="1"/>
  <c r="G1092" i="1"/>
  <c r="H1092" i="1"/>
  <c r="A1093" i="1"/>
  <c r="B1093" i="1"/>
  <c r="C1093" i="1"/>
  <c r="D1093" i="1"/>
  <c r="F1093" i="1"/>
  <c r="G1093" i="1"/>
  <c r="H1093" i="1"/>
  <c r="A1094" i="1"/>
  <c r="B1094" i="1"/>
  <c r="C1094" i="1"/>
  <c r="D1094" i="1"/>
  <c r="F1094" i="1"/>
  <c r="G1094" i="1"/>
  <c r="H1094" i="1"/>
  <c r="A1095" i="1"/>
  <c r="B1095" i="1"/>
  <c r="C1095" i="1"/>
  <c r="D1095" i="1"/>
  <c r="F1095" i="1"/>
  <c r="G1095" i="1"/>
  <c r="H1095" i="1"/>
  <c r="A1096" i="1"/>
  <c r="B1096" i="1"/>
  <c r="C1096" i="1"/>
  <c r="D1096" i="1"/>
  <c r="F1096" i="1"/>
  <c r="G1096" i="1"/>
  <c r="H1096" i="1"/>
  <c r="A1097" i="1"/>
  <c r="B1097" i="1"/>
  <c r="C1097" i="1"/>
  <c r="D1097" i="1"/>
  <c r="F1097" i="1"/>
  <c r="G1097" i="1"/>
  <c r="H1097" i="1"/>
  <c r="A1098" i="1"/>
  <c r="B1098" i="1"/>
  <c r="C1098" i="1"/>
  <c r="D1098" i="1"/>
  <c r="F1098" i="1"/>
  <c r="G1098" i="1"/>
  <c r="H1098" i="1"/>
  <c r="A1099" i="1"/>
  <c r="B1099" i="1"/>
  <c r="C1099" i="1"/>
  <c r="D1099" i="1"/>
  <c r="F1099" i="1"/>
  <c r="G1099" i="1"/>
  <c r="H1099" i="1"/>
  <c r="A1100" i="1"/>
  <c r="B1100" i="1"/>
  <c r="C1100" i="1"/>
  <c r="D1100" i="1"/>
  <c r="F1100" i="1"/>
  <c r="G1100" i="1"/>
  <c r="H1100" i="1"/>
  <c r="A1101" i="1"/>
  <c r="B1101" i="1"/>
  <c r="C1101" i="1"/>
  <c r="D1101" i="1"/>
  <c r="F1101" i="1"/>
  <c r="G1101" i="1"/>
  <c r="H1101" i="1"/>
  <c r="A1102" i="1"/>
  <c r="B1102" i="1"/>
  <c r="C1102" i="1"/>
  <c r="D1102" i="1"/>
  <c r="F1102" i="1"/>
  <c r="G1102" i="1"/>
  <c r="H1102" i="1"/>
  <c r="A1103" i="1"/>
  <c r="B1103" i="1"/>
  <c r="C1103" i="1"/>
  <c r="D1103" i="1"/>
  <c r="F1103" i="1"/>
  <c r="G1103" i="1"/>
  <c r="H1103" i="1"/>
  <c r="A1104" i="1"/>
  <c r="B1104" i="1"/>
  <c r="C1104" i="1"/>
  <c r="D1104" i="1"/>
  <c r="F1104" i="1"/>
  <c r="G1104" i="1"/>
  <c r="H1104" i="1"/>
  <c r="A1105" i="1"/>
  <c r="B1105" i="1"/>
  <c r="C1105" i="1"/>
  <c r="D1105" i="1"/>
  <c r="F1105" i="1"/>
  <c r="G1105" i="1"/>
  <c r="H1105" i="1"/>
  <c r="A1106" i="1"/>
  <c r="B1106" i="1"/>
  <c r="C1106" i="1"/>
  <c r="D1106" i="1"/>
  <c r="F1106" i="1"/>
  <c r="G1106" i="1"/>
  <c r="H1106" i="1"/>
  <c r="A1107" i="1"/>
  <c r="B1107" i="1"/>
  <c r="C1107" i="1"/>
  <c r="D1107" i="1"/>
  <c r="F1107" i="1"/>
  <c r="G1107" i="1"/>
  <c r="H1107" i="1"/>
  <c r="A1108" i="1"/>
  <c r="B1108" i="1"/>
  <c r="C1108" i="1"/>
  <c r="D1108" i="1"/>
  <c r="F1108" i="1"/>
  <c r="G1108" i="1"/>
  <c r="H1108" i="1"/>
  <c r="A1109" i="1"/>
  <c r="B1109" i="1"/>
  <c r="C1109" i="1"/>
  <c r="D1109" i="1"/>
  <c r="F1109" i="1"/>
  <c r="G1109" i="1"/>
  <c r="H1109" i="1"/>
  <c r="A1110" i="1"/>
  <c r="B1110" i="1"/>
  <c r="C1110" i="1"/>
  <c r="D1110" i="1"/>
  <c r="F1110" i="1"/>
  <c r="G1110" i="1"/>
  <c r="H1110" i="1"/>
  <c r="A1111" i="1"/>
  <c r="B1111" i="1"/>
  <c r="C1111" i="1"/>
  <c r="D1111" i="1"/>
  <c r="F1111" i="1"/>
  <c r="G1111" i="1"/>
  <c r="H1111" i="1"/>
  <c r="A1112" i="1"/>
  <c r="B1112" i="1"/>
  <c r="C1112" i="1"/>
  <c r="D1112" i="1"/>
  <c r="F1112" i="1"/>
  <c r="G1112" i="1"/>
  <c r="H1112" i="1"/>
  <c r="A1113" i="1"/>
  <c r="B1113" i="1"/>
  <c r="C1113" i="1"/>
  <c r="D1113" i="1"/>
  <c r="F1113" i="1"/>
  <c r="G1113" i="1"/>
  <c r="H1113" i="1"/>
  <c r="A1114" i="1"/>
  <c r="B1114" i="1"/>
  <c r="C1114" i="1"/>
  <c r="D1114" i="1"/>
  <c r="F1114" i="1"/>
  <c r="G1114" i="1"/>
  <c r="H1114" i="1"/>
  <c r="A1115" i="1"/>
  <c r="B1115" i="1"/>
  <c r="C1115" i="1"/>
  <c r="D1115" i="1"/>
  <c r="F1115" i="1"/>
  <c r="G1115" i="1"/>
  <c r="H1115" i="1"/>
  <c r="A1116" i="1"/>
  <c r="B1116" i="1"/>
  <c r="C1116" i="1"/>
  <c r="D1116" i="1"/>
  <c r="F1116" i="1"/>
  <c r="G1116" i="1"/>
  <c r="H1116" i="1"/>
  <c r="A1117" i="1"/>
  <c r="B1117" i="1"/>
  <c r="C1117" i="1"/>
  <c r="D1117" i="1"/>
  <c r="F1117" i="1"/>
  <c r="G1117" i="1"/>
  <c r="H1117" i="1"/>
  <c r="A1118" i="1"/>
  <c r="B1118" i="1"/>
  <c r="C1118" i="1"/>
  <c r="D1118" i="1"/>
  <c r="F1118" i="1"/>
  <c r="G1118" i="1"/>
  <c r="H1118" i="1"/>
  <c r="A1119" i="1"/>
  <c r="B1119" i="1"/>
  <c r="C1119" i="1"/>
  <c r="D1119" i="1"/>
  <c r="F1119" i="1"/>
  <c r="G1119" i="1"/>
  <c r="H1119" i="1"/>
  <c r="A1120" i="1"/>
  <c r="B1120" i="1"/>
  <c r="C1120" i="1"/>
  <c r="D1120" i="1"/>
  <c r="F1120" i="1"/>
  <c r="G1120" i="1"/>
  <c r="H1120" i="1"/>
  <c r="A1121" i="1"/>
  <c r="B1121" i="1"/>
  <c r="C1121" i="1"/>
  <c r="D1121" i="1"/>
  <c r="F1121" i="1"/>
  <c r="G1121" i="1"/>
  <c r="H1121" i="1"/>
  <c r="A1122" i="1"/>
  <c r="B1122" i="1"/>
  <c r="C1122" i="1"/>
  <c r="D1122" i="1"/>
  <c r="F1122" i="1"/>
  <c r="G1122" i="1"/>
  <c r="H1122" i="1"/>
  <c r="A1123" i="1"/>
  <c r="B1123" i="1"/>
  <c r="C1123" i="1"/>
  <c r="D1123" i="1"/>
  <c r="F1123" i="1"/>
  <c r="G1123" i="1"/>
  <c r="H1123" i="1"/>
  <c r="A1124" i="1"/>
  <c r="B1124" i="1"/>
  <c r="C1124" i="1"/>
  <c r="D1124" i="1"/>
  <c r="F1124" i="1"/>
  <c r="G1124" i="1"/>
  <c r="H1124" i="1"/>
  <c r="A1125" i="1"/>
  <c r="B1125" i="1"/>
  <c r="C1125" i="1"/>
  <c r="D1125" i="1"/>
  <c r="F1125" i="1"/>
  <c r="G1125" i="1"/>
  <c r="H1125" i="1"/>
  <c r="A1126" i="1"/>
  <c r="B1126" i="1"/>
  <c r="C1126" i="1"/>
  <c r="D1126" i="1"/>
  <c r="F1126" i="1"/>
  <c r="G1126" i="1"/>
  <c r="H1126" i="1"/>
  <c r="A1127" i="1"/>
  <c r="B1127" i="1"/>
  <c r="C1127" i="1"/>
  <c r="D1127" i="1"/>
  <c r="F1127" i="1"/>
  <c r="G1127" i="1"/>
  <c r="H1127" i="1"/>
  <c r="A1128" i="1"/>
  <c r="B1128" i="1"/>
  <c r="C1128" i="1"/>
  <c r="D1128" i="1"/>
  <c r="F1128" i="1"/>
  <c r="G1128" i="1"/>
  <c r="H1128" i="1"/>
  <c r="A1129" i="1"/>
  <c r="B1129" i="1"/>
  <c r="C1129" i="1"/>
  <c r="D1129" i="1"/>
  <c r="F1129" i="1"/>
  <c r="G1129" i="1"/>
  <c r="H1129" i="1"/>
  <c r="A1130" i="1"/>
  <c r="B1130" i="1"/>
  <c r="C1130" i="1"/>
  <c r="D1130" i="1"/>
  <c r="F1130" i="1"/>
  <c r="G1130" i="1"/>
  <c r="H1130" i="1"/>
  <c r="A1131" i="1"/>
  <c r="B1131" i="1"/>
  <c r="C1131" i="1"/>
  <c r="D1131" i="1"/>
  <c r="F1131" i="1"/>
  <c r="G1131" i="1"/>
  <c r="H1131" i="1"/>
  <c r="A1132" i="1"/>
  <c r="B1132" i="1"/>
  <c r="C1132" i="1"/>
  <c r="D1132" i="1"/>
  <c r="F1132" i="1"/>
  <c r="G1132" i="1"/>
  <c r="H1132" i="1"/>
  <c r="A1133" i="1"/>
  <c r="B1133" i="1"/>
  <c r="C1133" i="1"/>
  <c r="D1133" i="1"/>
  <c r="F1133" i="1"/>
  <c r="G1133" i="1"/>
  <c r="H1133" i="1"/>
  <c r="A1134" i="1"/>
  <c r="B1134" i="1"/>
  <c r="C1134" i="1"/>
  <c r="D1134" i="1"/>
  <c r="F1134" i="1"/>
  <c r="G1134" i="1"/>
  <c r="H1134" i="1"/>
  <c r="A1135" i="1"/>
  <c r="B1135" i="1"/>
  <c r="C1135" i="1"/>
  <c r="D1135" i="1"/>
  <c r="F1135" i="1"/>
  <c r="G1135" i="1"/>
  <c r="H1135" i="1"/>
  <c r="A1136" i="1"/>
  <c r="B1136" i="1"/>
  <c r="C1136" i="1"/>
  <c r="D1136" i="1"/>
  <c r="F1136" i="1"/>
  <c r="G1136" i="1"/>
  <c r="H1136" i="1"/>
  <c r="A1137" i="1"/>
  <c r="B1137" i="1"/>
  <c r="C1137" i="1"/>
  <c r="D1137" i="1"/>
  <c r="F1137" i="1"/>
  <c r="G1137" i="1"/>
  <c r="H1137" i="1"/>
  <c r="A1138" i="1"/>
  <c r="B1138" i="1"/>
  <c r="C1138" i="1"/>
  <c r="D1138" i="1"/>
  <c r="F1138" i="1"/>
  <c r="G1138" i="1"/>
  <c r="H1138" i="1"/>
  <c r="A1139" i="1"/>
  <c r="B1139" i="1"/>
  <c r="C1139" i="1"/>
  <c r="D1139" i="1"/>
  <c r="F1139" i="1"/>
  <c r="G1139" i="1"/>
  <c r="H1139" i="1"/>
  <c r="A1140" i="1"/>
  <c r="B1140" i="1"/>
  <c r="C1140" i="1"/>
  <c r="D1140" i="1"/>
  <c r="F1140" i="1"/>
  <c r="G1140" i="1"/>
  <c r="H1140" i="1"/>
  <c r="A1141" i="1"/>
  <c r="B1141" i="1"/>
  <c r="C1141" i="1"/>
  <c r="D1141" i="1"/>
  <c r="F1141" i="1"/>
  <c r="G1141" i="1"/>
  <c r="H1141" i="1"/>
  <c r="A1142" i="1"/>
  <c r="B1142" i="1"/>
  <c r="C1142" i="1"/>
  <c r="D1142" i="1"/>
  <c r="F1142" i="1"/>
  <c r="G1142" i="1"/>
  <c r="H1142" i="1"/>
  <c r="A1143" i="1"/>
  <c r="B1143" i="1"/>
  <c r="C1143" i="1"/>
  <c r="D1143" i="1"/>
  <c r="F1143" i="1"/>
  <c r="G1143" i="1"/>
  <c r="H1143" i="1"/>
  <c r="A1144" i="1"/>
  <c r="B1144" i="1"/>
  <c r="C1144" i="1"/>
  <c r="D1144" i="1"/>
  <c r="F1144" i="1"/>
  <c r="G1144" i="1"/>
  <c r="H1144" i="1"/>
  <c r="A1145" i="1"/>
  <c r="B1145" i="1"/>
  <c r="C1145" i="1"/>
  <c r="D1145" i="1"/>
  <c r="F1145" i="1"/>
  <c r="G1145" i="1"/>
  <c r="H1145" i="1"/>
  <c r="A1146" i="1"/>
  <c r="B1146" i="1"/>
  <c r="C1146" i="1"/>
  <c r="D1146" i="1"/>
  <c r="F1146" i="1"/>
  <c r="G1146" i="1"/>
  <c r="H1146" i="1"/>
  <c r="A1147" i="1"/>
  <c r="B1147" i="1"/>
  <c r="C1147" i="1"/>
  <c r="D1147" i="1"/>
  <c r="F1147" i="1"/>
  <c r="G1147" i="1"/>
  <c r="H1147" i="1"/>
  <c r="A1148" i="1"/>
  <c r="B1148" i="1"/>
  <c r="C1148" i="1"/>
  <c r="D1148" i="1"/>
  <c r="F1148" i="1"/>
  <c r="G1148" i="1"/>
  <c r="H1148" i="1"/>
  <c r="A1149" i="1"/>
  <c r="B1149" i="1"/>
  <c r="C1149" i="1"/>
  <c r="D1149" i="1"/>
  <c r="F1149" i="1"/>
  <c r="G1149" i="1"/>
  <c r="H1149" i="1"/>
  <c r="A1150" i="1"/>
  <c r="B1150" i="1"/>
  <c r="C1150" i="1"/>
  <c r="D1150" i="1"/>
  <c r="F1150" i="1"/>
  <c r="G1150" i="1"/>
  <c r="H1150" i="1"/>
  <c r="A1151" i="1"/>
  <c r="B1151" i="1"/>
  <c r="C1151" i="1"/>
  <c r="D1151" i="1"/>
  <c r="F1151" i="1"/>
  <c r="G1151" i="1"/>
  <c r="H1151" i="1"/>
  <c r="A1152" i="1"/>
  <c r="B1152" i="1"/>
  <c r="C1152" i="1"/>
  <c r="D1152" i="1"/>
  <c r="F1152" i="1"/>
  <c r="G1152" i="1"/>
  <c r="H1152" i="1"/>
  <c r="A1153" i="1"/>
  <c r="B1153" i="1"/>
  <c r="C1153" i="1"/>
  <c r="D1153" i="1"/>
  <c r="F1153" i="1"/>
  <c r="G1153" i="1"/>
  <c r="H1153" i="1"/>
  <c r="A1154" i="1"/>
  <c r="B1154" i="1"/>
  <c r="C1154" i="1"/>
  <c r="D1154" i="1"/>
  <c r="F1154" i="1"/>
  <c r="G1154" i="1"/>
  <c r="H1154" i="1"/>
  <c r="A1155" i="1"/>
  <c r="B1155" i="1"/>
  <c r="C1155" i="1"/>
  <c r="D1155" i="1"/>
  <c r="F1155" i="1"/>
  <c r="G1155" i="1"/>
  <c r="H1155" i="1"/>
  <c r="A1156" i="1"/>
  <c r="B1156" i="1"/>
  <c r="C1156" i="1"/>
  <c r="D1156" i="1"/>
  <c r="F1156" i="1"/>
  <c r="G1156" i="1"/>
  <c r="H1156" i="1"/>
  <c r="A1157" i="1"/>
  <c r="B1157" i="1"/>
  <c r="C1157" i="1"/>
  <c r="D1157" i="1"/>
  <c r="F1157" i="1"/>
  <c r="G1157" i="1"/>
  <c r="H1157" i="1"/>
  <c r="A1158" i="1"/>
  <c r="B1158" i="1"/>
  <c r="C1158" i="1"/>
  <c r="D1158" i="1"/>
  <c r="F1158" i="1"/>
  <c r="G1158" i="1"/>
  <c r="H1158" i="1"/>
  <c r="A1159" i="1"/>
  <c r="B1159" i="1"/>
  <c r="C1159" i="1"/>
  <c r="D1159" i="1"/>
  <c r="F1159" i="1"/>
  <c r="G1159" i="1"/>
  <c r="H1159" i="1"/>
  <c r="A1160" i="1"/>
  <c r="B1160" i="1"/>
  <c r="C1160" i="1"/>
  <c r="D1160" i="1"/>
  <c r="F1160" i="1"/>
  <c r="G1160" i="1"/>
  <c r="H1160" i="1"/>
  <c r="A1161" i="1"/>
  <c r="B1161" i="1"/>
  <c r="C1161" i="1"/>
  <c r="D1161" i="1"/>
  <c r="F1161" i="1"/>
  <c r="G1161" i="1"/>
  <c r="H1161" i="1"/>
  <c r="A1162" i="1"/>
  <c r="B1162" i="1"/>
  <c r="C1162" i="1"/>
  <c r="D1162" i="1"/>
  <c r="F1162" i="1"/>
  <c r="G1162" i="1"/>
  <c r="H1162" i="1"/>
  <c r="A1163" i="1"/>
  <c r="B1163" i="1"/>
  <c r="C1163" i="1"/>
  <c r="D1163" i="1"/>
  <c r="F1163" i="1"/>
  <c r="G1163" i="1"/>
  <c r="H1163" i="1"/>
  <c r="A1164" i="1"/>
  <c r="B1164" i="1"/>
  <c r="C1164" i="1"/>
  <c r="D1164" i="1"/>
  <c r="F1164" i="1"/>
  <c r="G1164" i="1"/>
  <c r="H1164" i="1"/>
  <c r="A1165" i="1"/>
  <c r="B1165" i="1"/>
  <c r="C1165" i="1"/>
  <c r="D1165" i="1"/>
  <c r="F1165" i="1"/>
  <c r="G1165" i="1"/>
  <c r="H1165" i="1"/>
  <c r="A1166" i="1"/>
  <c r="B1166" i="1"/>
  <c r="C1166" i="1"/>
  <c r="D1166" i="1"/>
  <c r="F1166" i="1"/>
  <c r="G1166" i="1"/>
  <c r="H1166" i="1"/>
  <c r="A1167" i="1"/>
  <c r="B1167" i="1"/>
  <c r="C1167" i="1"/>
  <c r="D1167" i="1"/>
  <c r="F1167" i="1"/>
  <c r="G1167" i="1"/>
  <c r="H1167" i="1"/>
  <c r="A1168" i="1"/>
  <c r="B1168" i="1"/>
  <c r="C1168" i="1"/>
  <c r="D1168" i="1"/>
  <c r="F1168" i="1"/>
  <c r="G1168" i="1"/>
  <c r="H1168" i="1"/>
  <c r="A1169" i="1"/>
  <c r="B1169" i="1"/>
  <c r="C1169" i="1"/>
  <c r="D1169" i="1"/>
  <c r="F1169" i="1"/>
  <c r="G1169" i="1"/>
  <c r="H1169" i="1"/>
  <c r="A1170" i="1"/>
  <c r="B1170" i="1"/>
  <c r="C1170" i="1"/>
  <c r="D1170" i="1"/>
  <c r="F1170" i="1"/>
  <c r="G1170" i="1"/>
  <c r="H1170" i="1"/>
  <c r="A1171" i="1"/>
  <c r="B1171" i="1"/>
  <c r="C1171" i="1"/>
  <c r="D1171" i="1"/>
  <c r="F1171" i="1"/>
  <c r="G1171" i="1"/>
  <c r="H1171" i="1"/>
  <c r="A1172" i="1"/>
  <c r="B1172" i="1"/>
  <c r="C1172" i="1"/>
  <c r="D1172" i="1"/>
  <c r="F1172" i="1"/>
  <c r="G1172" i="1"/>
  <c r="H1172" i="1"/>
  <c r="A1173" i="1"/>
  <c r="B1173" i="1"/>
  <c r="C1173" i="1"/>
  <c r="D1173" i="1"/>
  <c r="F1173" i="1"/>
  <c r="G1173" i="1"/>
  <c r="H1173" i="1"/>
  <c r="A1174" i="1"/>
  <c r="B1174" i="1"/>
  <c r="C1174" i="1"/>
  <c r="D1174" i="1"/>
  <c r="F1174" i="1"/>
  <c r="G1174" i="1"/>
  <c r="H1174" i="1"/>
  <c r="A1175" i="1"/>
  <c r="B1175" i="1"/>
  <c r="C1175" i="1"/>
  <c r="D1175" i="1"/>
  <c r="F1175" i="1"/>
  <c r="G1175" i="1"/>
  <c r="H1175" i="1"/>
  <c r="A1176" i="1"/>
  <c r="B1176" i="1"/>
  <c r="C1176" i="1"/>
  <c r="D1176" i="1"/>
  <c r="F1176" i="1"/>
  <c r="G1176" i="1"/>
  <c r="H1176" i="1"/>
  <c r="A1177" i="1"/>
  <c r="B1177" i="1"/>
  <c r="C1177" i="1"/>
  <c r="D1177" i="1"/>
  <c r="F1177" i="1"/>
  <c r="G1177" i="1"/>
  <c r="H1177" i="1"/>
  <c r="A1178" i="1"/>
  <c r="B1178" i="1"/>
  <c r="C1178" i="1"/>
  <c r="D1178" i="1"/>
  <c r="F1178" i="1"/>
  <c r="G1178" i="1"/>
  <c r="H1178" i="1"/>
  <c r="A1179" i="1"/>
  <c r="B1179" i="1"/>
  <c r="C1179" i="1"/>
  <c r="D1179" i="1"/>
  <c r="F1179" i="1"/>
  <c r="G1179" i="1"/>
  <c r="H1179" i="1"/>
  <c r="A1180" i="1"/>
  <c r="B1180" i="1"/>
  <c r="C1180" i="1"/>
  <c r="D1180" i="1"/>
  <c r="F1180" i="1"/>
  <c r="G1180" i="1"/>
  <c r="H1180" i="1"/>
  <c r="A1181" i="1"/>
  <c r="B1181" i="1"/>
  <c r="C1181" i="1"/>
  <c r="D1181" i="1"/>
  <c r="F1181" i="1"/>
  <c r="G1181" i="1"/>
  <c r="H1181" i="1"/>
  <c r="A1182" i="1"/>
  <c r="B1182" i="1"/>
  <c r="C1182" i="1"/>
  <c r="D1182" i="1"/>
  <c r="F1182" i="1"/>
  <c r="G1182" i="1"/>
  <c r="H1182" i="1"/>
  <c r="A1183" i="1"/>
  <c r="B1183" i="1"/>
  <c r="C1183" i="1"/>
  <c r="D1183" i="1"/>
  <c r="F1183" i="1"/>
  <c r="G1183" i="1"/>
  <c r="H1183" i="1"/>
  <c r="A1184" i="1"/>
  <c r="B1184" i="1"/>
  <c r="C1184" i="1"/>
  <c r="D1184" i="1"/>
  <c r="F1184" i="1"/>
  <c r="G1184" i="1"/>
  <c r="H1184" i="1"/>
  <c r="A1185" i="1"/>
  <c r="B1185" i="1"/>
  <c r="C1185" i="1"/>
  <c r="D1185" i="1"/>
  <c r="F1185" i="1"/>
  <c r="G1185" i="1"/>
  <c r="H1185" i="1"/>
  <c r="A1186" i="1"/>
  <c r="B1186" i="1"/>
  <c r="C1186" i="1"/>
  <c r="D1186" i="1"/>
  <c r="F1186" i="1"/>
  <c r="G1186" i="1"/>
  <c r="H1186" i="1"/>
  <c r="A1187" i="1"/>
  <c r="B1187" i="1"/>
  <c r="C1187" i="1"/>
  <c r="D1187" i="1"/>
  <c r="F1187" i="1"/>
  <c r="G1187" i="1"/>
  <c r="H1187" i="1"/>
  <c r="A1188" i="1"/>
  <c r="B1188" i="1"/>
  <c r="C1188" i="1"/>
  <c r="D1188" i="1"/>
  <c r="F1188" i="1"/>
  <c r="G1188" i="1"/>
  <c r="H1188" i="1"/>
  <c r="A1189" i="1"/>
  <c r="B1189" i="1"/>
  <c r="C1189" i="1"/>
  <c r="D1189" i="1"/>
  <c r="F1189" i="1"/>
  <c r="G1189" i="1"/>
  <c r="H1189" i="1"/>
  <c r="A1190" i="1"/>
  <c r="B1190" i="1"/>
  <c r="C1190" i="1"/>
  <c r="D1190" i="1"/>
  <c r="F1190" i="1"/>
  <c r="G1190" i="1"/>
  <c r="H1190" i="1"/>
  <c r="A1191" i="1"/>
  <c r="B1191" i="1"/>
  <c r="C1191" i="1"/>
  <c r="D1191" i="1"/>
  <c r="F1191" i="1"/>
  <c r="G1191" i="1"/>
  <c r="H1191" i="1"/>
  <c r="A1192" i="1"/>
  <c r="B1192" i="1"/>
  <c r="C1192" i="1"/>
  <c r="D1192" i="1"/>
  <c r="F1192" i="1"/>
  <c r="G1192" i="1"/>
  <c r="H1192" i="1"/>
  <c r="A1193" i="1"/>
  <c r="B1193" i="1"/>
  <c r="C1193" i="1"/>
  <c r="D1193" i="1"/>
  <c r="F1193" i="1"/>
  <c r="G1193" i="1"/>
  <c r="H1193" i="1"/>
  <c r="A1194" i="1"/>
  <c r="B1194" i="1"/>
  <c r="C1194" i="1"/>
  <c r="D1194" i="1"/>
  <c r="F1194" i="1"/>
  <c r="G1194" i="1"/>
  <c r="H1194" i="1"/>
  <c r="A1195" i="1"/>
  <c r="B1195" i="1"/>
  <c r="C1195" i="1"/>
  <c r="D1195" i="1"/>
  <c r="F1195" i="1"/>
  <c r="G1195" i="1"/>
  <c r="H1195" i="1"/>
  <c r="A1196" i="1"/>
  <c r="B1196" i="1"/>
  <c r="C1196" i="1"/>
  <c r="D1196" i="1"/>
  <c r="F1196" i="1"/>
  <c r="G1196" i="1"/>
  <c r="H1196" i="1"/>
  <c r="A1197" i="1"/>
  <c r="B1197" i="1"/>
  <c r="C1197" i="1"/>
  <c r="D1197" i="1"/>
  <c r="F1197" i="1"/>
  <c r="G1197" i="1"/>
  <c r="H1197" i="1"/>
  <c r="A1198" i="1"/>
  <c r="B1198" i="1"/>
  <c r="C1198" i="1"/>
  <c r="D1198" i="1"/>
  <c r="F1198" i="1"/>
  <c r="G1198" i="1"/>
  <c r="H1198" i="1"/>
  <c r="A1199" i="1"/>
  <c r="B1199" i="1"/>
  <c r="C1199" i="1"/>
  <c r="D1199" i="1"/>
  <c r="F1199" i="1"/>
  <c r="G1199" i="1"/>
  <c r="H1199" i="1"/>
  <c r="A1200" i="1"/>
  <c r="B1200" i="1"/>
  <c r="C1200" i="1"/>
  <c r="D1200" i="1"/>
  <c r="F1200" i="1"/>
  <c r="G1200" i="1"/>
  <c r="H1200" i="1"/>
  <c r="U485" i="1"/>
  <c r="W485" i="1"/>
  <c r="Y485" i="1"/>
  <c r="C485" i="9" s="1"/>
  <c r="D485" i="9" s="1"/>
  <c r="Z485" i="1"/>
  <c r="U486" i="1"/>
  <c r="W486" i="1"/>
  <c r="Y486" i="1"/>
  <c r="C486" i="9" s="1"/>
  <c r="D486" i="9" s="1"/>
  <c r="Z486" i="1"/>
  <c r="U487" i="1"/>
  <c r="W487" i="1"/>
  <c r="Y487" i="1"/>
  <c r="C487" i="9" s="1"/>
  <c r="D487" i="9" s="1"/>
  <c r="Z487" i="1"/>
  <c r="U488" i="1"/>
  <c r="W488" i="1"/>
  <c r="Y488" i="1"/>
  <c r="C488" i="9" s="1"/>
  <c r="D488" i="9" s="1"/>
  <c r="Z488" i="1"/>
  <c r="U489" i="1"/>
  <c r="W489" i="1"/>
  <c r="Y489" i="1"/>
  <c r="C489" i="9" s="1"/>
  <c r="D489" i="9" s="1"/>
  <c r="Z489" i="1"/>
  <c r="U490" i="1"/>
  <c r="W490" i="1"/>
  <c r="Y490" i="1"/>
  <c r="C490" i="9" s="1"/>
  <c r="D490" i="9" s="1"/>
  <c r="Z490" i="1"/>
  <c r="U491" i="1"/>
  <c r="W491" i="1"/>
  <c r="Y491" i="1"/>
  <c r="C491" i="9" s="1"/>
  <c r="D491" i="9" s="1"/>
  <c r="Z491" i="1"/>
  <c r="U492" i="1"/>
  <c r="W492" i="1"/>
  <c r="Y492" i="1"/>
  <c r="C492" i="9" s="1"/>
  <c r="D492" i="9" s="1"/>
  <c r="Z492" i="1"/>
  <c r="U493" i="1"/>
  <c r="W493" i="1"/>
  <c r="Y493" i="1"/>
  <c r="C493" i="9" s="1"/>
  <c r="D493" i="9" s="1"/>
  <c r="Z493" i="1"/>
  <c r="U494" i="1"/>
  <c r="W494" i="1"/>
  <c r="Y494" i="1"/>
  <c r="C494" i="9" s="1"/>
  <c r="D494" i="9" s="1"/>
  <c r="Z494" i="1"/>
  <c r="U495" i="1"/>
  <c r="W495" i="1"/>
  <c r="Y495" i="1"/>
  <c r="C495" i="9" s="1"/>
  <c r="D495" i="9" s="1"/>
  <c r="Z495" i="1"/>
  <c r="U496" i="1"/>
  <c r="W496" i="1"/>
  <c r="Y496" i="1"/>
  <c r="C496" i="9" s="1"/>
  <c r="D496" i="9" s="1"/>
  <c r="Z496" i="1"/>
  <c r="U497" i="1"/>
  <c r="W497" i="1"/>
  <c r="Y497" i="1"/>
  <c r="C497" i="9" s="1"/>
  <c r="D497" i="9" s="1"/>
  <c r="Z497" i="1"/>
  <c r="U498" i="1"/>
  <c r="W498" i="1"/>
  <c r="Y498" i="1"/>
  <c r="C498" i="9" s="1"/>
  <c r="D498" i="9" s="1"/>
  <c r="Z498" i="1"/>
  <c r="U499" i="1"/>
  <c r="W499" i="1"/>
  <c r="Y499" i="1"/>
  <c r="C499" i="9" s="1"/>
  <c r="D499" i="9" s="1"/>
  <c r="Z499" i="1"/>
  <c r="U500" i="1"/>
  <c r="W500" i="1"/>
  <c r="Y500" i="1"/>
  <c r="C500" i="9" s="1"/>
  <c r="D500" i="9" s="1"/>
  <c r="Z500" i="1"/>
  <c r="U501" i="1"/>
  <c r="W501" i="1"/>
  <c r="Y501" i="1"/>
  <c r="C501" i="9" s="1"/>
  <c r="D501" i="9" s="1"/>
  <c r="Z501" i="1"/>
  <c r="U502" i="1"/>
  <c r="W502" i="1"/>
  <c r="Y502" i="1"/>
  <c r="C502" i="9" s="1"/>
  <c r="D502" i="9" s="1"/>
  <c r="Z502" i="1"/>
  <c r="U503" i="1"/>
  <c r="W503" i="1"/>
  <c r="Y503" i="1"/>
  <c r="C503" i="9" s="1"/>
  <c r="D503" i="9" s="1"/>
  <c r="Z503" i="1"/>
  <c r="U504" i="1"/>
  <c r="W504" i="1"/>
  <c r="Y504" i="1"/>
  <c r="C504" i="9" s="1"/>
  <c r="D504" i="9" s="1"/>
  <c r="Z504" i="1"/>
  <c r="U505" i="1"/>
  <c r="W505" i="1"/>
  <c r="Y505" i="1"/>
  <c r="C505" i="9" s="1"/>
  <c r="D505" i="9" s="1"/>
  <c r="Z505" i="1"/>
  <c r="U506" i="1"/>
  <c r="W506" i="1"/>
  <c r="Y506" i="1"/>
  <c r="C506" i="9" s="1"/>
  <c r="D506" i="9" s="1"/>
  <c r="Z506" i="1"/>
  <c r="U507" i="1"/>
  <c r="W507" i="1"/>
  <c r="Y507" i="1"/>
  <c r="C507" i="9" s="1"/>
  <c r="D507" i="9" s="1"/>
  <c r="Z507" i="1"/>
  <c r="U508" i="1"/>
  <c r="W508" i="1"/>
  <c r="Y508" i="1"/>
  <c r="C508" i="9" s="1"/>
  <c r="D508" i="9" s="1"/>
  <c r="Z508" i="1"/>
  <c r="U509" i="1"/>
  <c r="W509" i="1"/>
  <c r="Y509" i="1"/>
  <c r="C509" i="9" s="1"/>
  <c r="D509" i="9" s="1"/>
  <c r="Z509" i="1"/>
  <c r="U510" i="1"/>
  <c r="W510" i="1"/>
  <c r="Y510" i="1"/>
  <c r="C510" i="9" s="1"/>
  <c r="D510" i="9" s="1"/>
  <c r="Z510" i="1"/>
  <c r="U511" i="1"/>
  <c r="W511" i="1"/>
  <c r="Y511" i="1"/>
  <c r="C511" i="9" s="1"/>
  <c r="D511" i="9" s="1"/>
  <c r="Z511" i="1"/>
  <c r="U512" i="1"/>
  <c r="W512" i="1"/>
  <c r="Y512" i="1"/>
  <c r="C512" i="9" s="1"/>
  <c r="D512" i="9" s="1"/>
  <c r="Z512" i="1"/>
  <c r="U513" i="1"/>
  <c r="W513" i="1"/>
  <c r="Y513" i="1"/>
  <c r="C513" i="9" s="1"/>
  <c r="D513" i="9" s="1"/>
  <c r="Z513" i="1"/>
  <c r="U514" i="1"/>
  <c r="W514" i="1"/>
  <c r="Y514" i="1"/>
  <c r="C514" i="9" s="1"/>
  <c r="D514" i="9" s="1"/>
  <c r="Z514" i="1"/>
  <c r="U515" i="1"/>
  <c r="W515" i="1"/>
  <c r="Y515" i="1"/>
  <c r="C515" i="9" s="1"/>
  <c r="D515" i="9" s="1"/>
  <c r="Z515" i="1"/>
  <c r="U516" i="1"/>
  <c r="W516" i="1"/>
  <c r="Y516" i="1"/>
  <c r="C516" i="9" s="1"/>
  <c r="D516" i="9" s="1"/>
  <c r="Z516" i="1"/>
  <c r="U517" i="1"/>
  <c r="W517" i="1"/>
  <c r="Y517" i="1"/>
  <c r="C517" i="9" s="1"/>
  <c r="D517" i="9" s="1"/>
  <c r="Z517" i="1"/>
  <c r="U518" i="1"/>
  <c r="W518" i="1"/>
  <c r="Y518" i="1"/>
  <c r="C518" i="9" s="1"/>
  <c r="D518" i="9" s="1"/>
  <c r="Z518" i="1"/>
  <c r="U519" i="1"/>
  <c r="W519" i="1"/>
  <c r="Y519" i="1"/>
  <c r="C519" i="9" s="1"/>
  <c r="D519" i="9" s="1"/>
  <c r="Z519" i="1"/>
  <c r="U520" i="1"/>
  <c r="W520" i="1"/>
  <c r="Y520" i="1"/>
  <c r="C520" i="9" s="1"/>
  <c r="D520" i="9" s="1"/>
  <c r="Z520" i="1"/>
  <c r="U521" i="1"/>
  <c r="W521" i="1"/>
  <c r="Y521" i="1"/>
  <c r="C521" i="9" s="1"/>
  <c r="D521" i="9" s="1"/>
  <c r="Z521" i="1"/>
  <c r="U522" i="1"/>
  <c r="W522" i="1"/>
  <c r="Y522" i="1"/>
  <c r="C522" i="9" s="1"/>
  <c r="D522" i="9" s="1"/>
  <c r="Z522" i="1"/>
  <c r="U523" i="1"/>
  <c r="W523" i="1"/>
  <c r="Y523" i="1"/>
  <c r="C523" i="9" s="1"/>
  <c r="D523" i="9" s="1"/>
  <c r="Z523" i="1"/>
  <c r="U524" i="1"/>
  <c r="W524" i="1"/>
  <c r="Y524" i="1"/>
  <c r="C524" i="9" s="1"/>
  <c r="D524" i="9" s="1"/>
  <c r="Z524" i="1"/>
  <c r="U525" i="1"/>
  <c r="W525" i="1"/>
  <c r="Y525" i="1"/>
  <c r="C525" i="9" s="1"/>
  <c r="D525" i="9" s="1"/>
  <c r="Z525" i="1"/>
  <c r="U526" i="1"/>
  <c r="W526" i="1"/>
  <c r="Y526" i="1"/>
  <c r="C526" i="9" s="1"/>
  <c r="D526" i="9" s="1"/>
  <c r="Z526" i="1"/>
  <c r="U527" i="1"/>
  <c r="W527" i="1"/>
  <c r="Y527" i="1"/>
  <c r="C527" i="9" s="1"/>
  <c r="D527" i="9" s="1"/>
  <c r="Z527" i="1"/>
  <c r="U528" i="1"/>
  <c r="W528" i="1"/>
  <c r="Y528" i="1"/>
  <c r="C528" i="9" s="1"/>
  <c r="D528" i="9" s="1"/>
  <c r="Z528" i="1"/>
  <c r="U529" i="1"/>
  <c r="W529" i="1"/>
  <c r="Y529" i="1"/>
  <c r="C529" i="9" s="1"/>
  <c r="D529" i="9" s="1"/>
  <c r="Z529" i="1"/>
  <c r="U530" i="1"/>
  <c r="W530" i="1"/>
  <c r="Y530" i="1"/>
  <c r="C530" i="9" s="1"/>
  <c r="D530" i="9" s="1"/>
  <c r="Z530" i="1"/>
  <c r="U531" i="1"/>
  <c r="W531" i="1"/>
  <c r="Y531" i="1"/>
  <c r="C531" i="9" s="1"/>
  <c r="D531" i="9" s="1"/>
  <c r="Z531" i="1"/>
  <c r="U532" i="1"/>
  <c r="W532" i="1"/>
  <c r="Y532" i="1"/>
  <c r="C532" i="9" s="1"/>
  <c r="D532" i="9" s="1"/>
  <c r="Z532" i="1"/>
  <c r="U533" i="1"/>
  <c r="W533" i="1"/>
  <c r="Y533" i="1"/>
  <c r="C533" i="9" s="1"/>
  <c r="D533" i="9" s="1"/>
  <c r="Z533" i="1"/>
  <c r="U534" i="1"/>
  <c r="W534" i="1"/>
  <c r="Y534" i="1"/>
  <c r="C534" i="9" s="1"/>
  <c r="D534" i="9" s="1"/>
  <c r="Z534" i="1"/>
  <c r="U535" i="1"/>
  <c r="W535" i="1"/>
  <c r="Y535" i="1"/>
  <c r="C535" i="9" s="1"/>
  <c r="D535" i="9" s="1"/>
  <c r="Z535" i="1"/>
  <c r="U536" i="1"/>
  <c r="W536" i="1"/>
  <c r="Y536" i="1"/>
  <c r="C536" i="9" s="1"/>
  <c r="D536" i="9" s="1"/>
  <c r="Z536" i="1"/>
  <c r="U537" i="1"/>
  <c r="W537" i="1"/>
  <c r="Y537" i="1"/>
  <c r="C537" i="9" s="1"/>
  <c r="D537" i="9" s="1"/>
  <c r="Z537" i="1"/>
  <c r="U538" i="1"/>
  <c r="W538" i="1"/>
  <c r="Y538" i="1"/>
  <c r="C538" i="9" s="1"/>
  <c r="D538" i="9" s="1"/>
  <c r="Z538" i="1"/>
  <c r="U539" i="1"/>
  <c r="W539" i="1"/>
  <c r="Y539" i="1"/>
  <c r="C539" i="9" s="1"/>
  <c r="D539" i="9" s="1"/>
  <c r="Z539" i="1"/>
  <c r="U540" i="1"/>
  <c r="W540" i="1"/>
  <c r="Y540" i="1"/>
  <c r="C540" i="9" s="1"/>
  <c r="D540" i="9" s="1"/>
  <c r="Z540" i="1"/>
  <c r="U541" i="1"/>
  <c r="W541" i="1"/>
  <c r="Y541" i="1"/>
  <c r="C541" i="9" s="1"/>
  <c r="D541" i="9" s="1"/>
  <c r="Z541" i="1"/>
  <c r="U542" i="1"/>
  <c r="W542" i="1"/>
  <c r="Y542" i="1"/>
  <c r="C542" i="9" s="1"/>
  <c r="D542" i="9" s="1"/>
  <c r="Z542" i="1"/>
  <c r="U543" i="1"/>
  <c r="W543" i="1"/>
  <c r="Y543" i="1"/>
  <c r="C543" i="9" s="1"/>
  <c r="D543" i="9" s="1"/>
  <c r="Z543" i="1"/>
  <c r="U544" i="1"/>
  <c r="W544" i="1"/>
  <c r="Y544" i="1"/>
  <c r="C544" i="9" s="1"/>
  <c r="D544" i="9" s="1"/>
  <c r="Z544" i="1"/>
  <c r="U545" i="1"/>
  <c r="W545" i="1"/>
  <c r="Y545" i="1"/>
  <c r="C545" i="9" s="1"/>
  <c r="D545" i="9" s="1"/>
  <c r="Z545" i="1"/>
  <c r="U546" i="1"/>
  <c r="W546" i="1"/>
  <c r="Y546" i="1"/>
  <c r="C546" i="9" s="1"/>
  <c r="D546" i="9" s="1"/>
  <c r="Z546" i="1"/>
  <c r="U547" i="1"/>
  <c r="W547" i="1"/>
  <c r="Y547" i="1"/>
  <c r="C547" i="9" s="1"/>
  <c r="D547" i="9" s="1"/>
  <c r="Z547" i="1"/>
  <c r="U548" i="1"/>
  <c r="W548" i="1"/>
  <c r="Y548" i="1"/>
  <c r="C548" i="9" s="1"/>
  <c r="D548" i="9" s="1"/>
  <c r="Z548" i="1"/>
  <c r="U549" i="1"/>
  <c r="W549" i="1"/>
  <c r="Y549" i="1"/>
  <c r="C549" i="9" s="1"/>
  <c r="D549" i="9" s="1"/>
  <c r="Z549" i="1"/>
  <c r="U550" i="1"/>
  <c r="W550" i="1"/>
  <c r="Y550" i="1"/>
  <c r="C550" i="9" s="1"/>
  <c r="D550" i="9" s="1"/>
  <c r="Z550" i="1"/>
  <c r="U551" i="1"/>
  <c r="W551" i="1"/>
  <c r="Y551" i="1"/>
  <c r="C551" i="9" s="1"/>
  <c r="D551" i="9" s="1"/>
  <c r="Z551" i="1"/>
  <c r="U552" i="1"/>
  <c r="W552" i="1"/>
  <c r="Y552" i="1"/>
  <c r="C552" i="9" s="1"/>
  <c r="D552" i="9" s="1"/>
  <c r="Z552" i="1"/>
  <c r="U553" i="1"/>
  <c r="W553" i="1"/>
  <c r="Y553" i="1"/>
  <c r="C553" i="9" s="1"/>
  <c r="D553" i="9" s="1"/>
  <c r="Z553" i="1"/>
  <c r="U554" i="1"/>
  <c r="W554" i="1"/>
  <c r="Y554" i="1"/>
  <c r="C554" i="9" s="1"/>
  <c r="D554" i="9" s="1"/>
  <c r="Z554" i="1"/>
  <c r="U555" i="1"/>
  <c r="W555" i="1"/>
  <c r="Y555" i="1"/>
  <c r="C555" i="9" s="1"/>
  <c r="D555" i="9" s="1"/>
  <c r="Z555" i="1"/>
  <c r="U556" i="1"/>
  <c r="W556" i="1"/>
  <c r="Y556" i="1"/>
  <c r="C556" i="9" s="1"/>
  <c r="D556" i="9" s="1"/>
  <c r="Z556" i="1"/>
  <c r="U557" i="1"/>
  <c r="W557" i="1"/>
  <c r="Y557" i="1"/>
  <c r="C557" i="9" s="1"/>
  <c r="D557" i="9" s="1"/>
  <c r="Z557" i="1"/>
  <c r="U558" i="1"/>
  <c r="W558" i="1"/>
  <c r="Y558" i="1"/>
  <c r="C558" i="9" s="1"/>
  <c r="D558" i="9" s="1"/>
  <c r="Z558" i="1"/>
  <c r="U559" i="1"/>
  <c r="W559" i="1"/>
  <c r="Y559" i="1"/>
  <c r="C559" i="9" s="1"/>
  <c r="D559" i="9" s="1"/>
  <c r="Z559" i="1"/>
  <c r="U560" i="1"/>
  <c r="W560" i="1"/>
  <c r="Y560" i="1"/>
  <c r="C560" i="9" s="1"/>
  <c r="D560" i="9" s="1"/>
  <c r="Z560" i="1"/>
  <c r="U561" i="1"/>
  <c r="W561" i="1"/>
  <c r="Y561" i="1"/>
  <c r="C561" i="9" s="1"/>
  <c r="D561" i="9" s="1"/>
  <c r="Z561" i="1"/>
  <c r="U562" i="1"/>
  <c r="W562" i="1"/>
  <c r="Y562" i="1"/>
  <c r="C562" i="9" s="1"/>
  <c r="D562" i="9" s="1"/>
  <c r="Z562" i="1"/>
  <c r="U563" i="1"/>
  <c r="W563" i="1"/>
  <c r="Y563" i="1"/>
  <c r="C563" i="9" s="1"/>
  <c r="D563" i="9" s="1"/>
  <c r="Z563" i="1"/>
  <c r="U564" i="1"/>
  <c r="W564" i="1"/>
  <c r="Y564" i="1"/>
  <c r="C564" i="9" s="1"/>
  <c r="D564" i="9" s="1"/>
  <c r="Z564" i="1"/>
  <c r="U565" i="1"/>
  <c r="W565" i="1"/>
  <c r="Y565" i="1"/>
  <c r="C565" i="9" s="1"/>
  <c r="D565" i="9" s="1"/>
  <c r="Z565" i="1"/>
  <c r="U566" i="1"/>
  <c r="W566" i="1"/>
  <c r="Y566" i="1"/>
  <c r="C566" i="9" s="1"/>
  <c r="D566" i="9" s="1"/>
  <c r="Z566" i="1"/>
  <c r="U567" i="1"/>
  <c r="W567" i="1"/>
  <c r="Y567" i="1"/>
  <c r="C567" i="9" s="1"/>
  <c r="D567" i="9" s="1"/>
  <c r="Z567" i="1"/>
  <c r="U568" i="1"/>
  <c r="W568" i="1"/>
  <c r="Y568" i="1"/>
  <c r="C568" i="9" s="1"/>
  <c r="D568" i="9" s="1"/>
  <c r="Z568" i="1"/>
  <c r="U569" i="1"/>
  <c r="W569" i="1"/>
  <c r="Y569" i="1"/>
  <c r="C569" i="9" s="1"/>
  <c r="D569" i="9" s="1"/>
  <c r="Z569" i="1"/>
  <c r="U570" i="1"/>
  <c r="W570" i="1"/>
  <c r="Y570" i="1"/>
  <c r="C570" i="9" s="1"/>
  <c r="D570" i="9" s="1"/>
  <c r="Z570" i="1"/>
  <c r="U571" i="1"/>
  <c r="W571" i="1"/>
  <c r="Y571" i="1"/>
  <c r="C571" i="9" s="1"/>
  <c r="D571" i="9" s="1"/>
  <c r="Z571" i="1"/>
  <c r="U572" i="1"/>
  <c r="W572" i="1"/>
  <c r="Y572" i="1"/>
  <c r="C572" i="9" s="1"/>
  <c r="D572" i="9" s="1"/>
  <c r="Z572" i="1"/>
  <c r="U573" i="1"/>
  <c r="W573" i="1"/>
  <c r="Y573" i="1"/>
  <c r="C573" i="9" s="1"/>
  <c r="D573" i="9" s="1"/>
  <c r="Z573" i="1"/>
  <c r="U574" i="1"/>
  <c r="W574" i="1"/>
  <c r="Y574" i="1"/>
  <c r="C574" i="9" s="1"/>
  <c r="D574" i="9" s="1"/>
  <c r="Z574" i="1"/>
  <c r="U575" i="1"/>
  <c r="W575" i="1"/>
  <c r="Y575" i="1"/>
  <c r="C575" i="9" s="1"/>
  <c r="D575" i="9" s="1"/>
  <c r="Z575" i="1"/>
  <c r="U576" i="1"/>
  <c r="W576" i="1"/>
  <c r="Y576" i="1"/>
  <c r="C576" i="9" s="1"/>
  <c r="D576" i="9" s="1"/>
  <c r="Z576" i="1"/>
  <c r="U577" i="1"/>
  <c r="W577" i="1"/>
  <c r="Y577" i="1"/>
  <c r="C577" i="9" s="1"/>
  <c r="D577" i="9" s="1"/>
  <c r="Z577" i="1"/>
  <c r="U578" i="1"/>
  <c r="W578" i="1"/>
  <c r="Y578" i="1"/>
  <c r="C578" i="9" s="1"/>
  <c r="D578" i="9" s="1"/>
  <c r="Z578" i="1"/>
  <c r="U579" i="1"/>
  <c r="W579" i="1"/>
  <c r="Y579" i="1"/>
  <c r="C579" i="9" s="1"/>
  <c r="D579" i="9" s="1"/>
  <c r="Z579" i="1"/>
  <c r="U580" i="1"/>
  <c r="W580" i="1"/>
  <c r="Y580" i="1"/>
  <c r="C580" i="9" s="1"/>
  <c r="D580" i="9" s="1"/>
  <c r="Z580" i="1"/>
  <c r="U581" i="1"/>
  <c r="W581" i="1"/>
  <c r="Y581" i="1"/>
  <c r="C581" i="9" s="1"/>
  <c r="D581" i="9" s="1"/>
  <c r="Z581" i="1"/>
  <c r="U582" i="1"/>
  <c r="W582" i="1"/>
  <c r="Y582" i="1"/>
  <c r="C582" i="9" s="1"/>
  <c r="D582" i="9" s="1"/>
  <c r="Z582" i="1"/>
  <c r="U583" i="1"/>
  <c r="W583" i="1"/>
  <c r="Y583" i="1"/>
  <c r="C583" i="9" s="1"/>
  <c r="D583" i="9" s="1"/>
  <c r="Z583" i="1"/>
  <c r="U584" i="1"/>
  <c r="W584" i="1"/>
  <c r="Y584" i="1"/>
  <c r="C584" i="9" s="1"/>
  <c r="D584" i="9" s="1"/>
  <c r="Z584" i="1"/>
  <c r="U585" i="1"/>
  <c r="W585" i="1"/>
  <c r="Y585" i="1"/>
  <c r="C585" i="9" s="1"/>
  <c r="D585" i="9" s="1"/>
  <c r="Z585" i="1"/>
  <c r="U586" i="1"/>
  <c r="W586" i="1"/>
  <c r="Y586" i="1"/>
  <c r="C586" i="9" s="1"/>
  <c r="D586" i="9" s="1"/>
  <c r="Z586" i="1"/>
  <c r="U587" i="1"/>
  <c r="W587" i="1"/>
  <c r="Y587" i="1"/>
  <c r="C587" i="9" s="1"/>
  <c r="D587" i="9" s="1"/>
  <c r="Z587" i="1"/>
  <c r="U588" i="1"/>
  <c r="W588" i="1"/>
  <c r="Y588" i="1"/>
  <c r="C588" i="9" s="1"/>
  <c r="D588" i="9" s="1"/>
  <c r="Z588" i="1"/>
  <c r="U589" i="1"/>
  <c r="W589" i="1"/>
  <c r="Y589" i="1"/>
  <c r="C589" i="9" s="1"/>
  <c r="D589" i="9" s="1"/>
  <c r="Z589" i="1"/>
  <c r="U590" i="1"/>
  <c r="W590" i="1"/>
  <c r="Y590" i="1"/>
  <c r="C590" i="9" s="1"/>
  <c r="D590" i="9" s="1"/>
  <c r="Z590" i="1"/>
  <c r="U591" i="1"/>
  <c r="W591" i="1"/>
  <c r="Y591" i="1"/>
  <c r="C591" i="9" s="1"/>
  <c r="D591" i="9" s="1"/>
  <c r="Z591" i="1"/>
  <c r="U592" i="1"/>
  <c r="W592" i="1"/>
  <c r="Y592" i="1"/>
  <c r="C592" i="9" s="1"/>
  <c r="D592" i="9" s="1"/>
  <c r="Z592" i="1"/>
  <c r="U593" i="1"/>
  <c r="W593" i="1"/>
  <c r="Y593" i="1"/>
  <c r="C593" i="9" s="1"/>
  <c r="D593" i="9" s="1"/>
  <c r="Z593" i="1"/>
  <c r="U594" i="1"/>
  <c r="W594" i="1"/>
  <c r="Y594" i="1"/>
  <c r="C594" i="9" s="1"/>
  <c r="D594" i="9" s="1"/>
  <c r="Z594" i="1"/>
  <c r="U595" i="1"/>
  <c r="W595" i="1"/>
  <c r="Y595" i="1"/>
  <c r="C595" i="9" s="1"/>
  <c r="D595" i="9" s="1"/>
  <c r="Z595" i="1"/>
  <c r="U596" i="1"/>
  <c r="W596" i="1"/>
  <c r="Y596" i="1"/>
  <c r="C596" i="9" s="1"/>
  <c r="D596" i="9" s="1"/>
  <c r="Z596" i="1"/>
  <c r="U597" i="1"/>
  <c r="W597" i="1"/>
  <c r="Y597" i="1"/>
  <c r="C597" i="9" s="1"/>
  <c r="D597" i="9" s="1"/>
  <c r="Z597" i="1"/>
  <c r="U598" i="1"/>
  <c r="W598" i="1"/>
  <c r="Y598" i="1"/>
  <c r="C598" i="9" s="1"/>
  <c r="D598" i="9" s="1"/>
  <c r="Z598" i="1"/>
  <c r="U599" i="1"/>
  <c r="W599" i="1"/>
  <c r="Y599" i="1"/>
  <c r="C599" i="9" s="1"/>
  <c r="D599" i="9" s="1"/>
  <c r="Z599" i="1"/>
  <c r="U600" i="1"/>
  <c r="W600" i="1"/>
  <c r="Y600" i="1"/>
  <c r="C600" i="9" s="1"/>
  <c r="D600" i="9" s="1"/>
  <c r="Z600" i="1"/>
  <c r="U601" i="1"/>
  <c r="W601" i="1"/>
  <c r="Y601" i="1"/>
  <c r="C601" i="9" s="1"/>
  <c r="D601" i="9" s="1"/>
  <c r="Z601" i="1"/>
  <c r="U602" i="1"/>
  <c r="W602" i="1"/>
  <c r="Y602" i="1"/>
  <c r="C602" i="9" s="1"/>
  <c r="D602" i="9" s="1"/>
  <c r="Z602" i="1"/>
  <c r="U603" i="1"/>
  <c r="W603" i="1"/>
  <c r="Y603" i="1"/>
  <c r="C603" i="9" s="1"/>
  <c r="D603" i="9" s="1"/>
  <c r="Z603" i="1"/>
  <c r="U604" i="1"/>
  <c r="W604" i="1"/>
  <c r="Y604" i="1"/>
  <c r="C604" i="9" s="1"/>
  <c r="D604" i="9" s="1"/>
  <c r="Z604" i="1"/>
  <c r="U605" i="1"/>
  <c r="W605" i="1"/>
  <c r="Y605" i="1"/>
  <c r="C605" i="9" s="1"/>
  <c r="D605" i="9" s="1"/>
  <c r="Z605" i="1"/>
  <c r="U606" i="1"/>
  <c r="W606" i="1"/>
  <c r="Y606" i="1"/>
  <c r="C606" i="9" s="1"/>
  <c r="D606" i="9" s="1"/>
  <c r="Z606" i="1"/>
  <c r="U607" i="1"/>
  <c r="W607" i="1"/>
  <c r="Y607" i="1"/>
  <c r="C607" i="9" s="1"/>
  <c r="D607" i="9" s="1"/>
  <c r="Z607" i="1"/>
  <c r="U608" i="1"/>
  <c r="W608" i="1"/>
  <c r="Y608" i="1"/>
  <c r="C608" i="9" s="1"/>
  <c r="D608" i="9" s="1"/>
  <c r="Z608" i="1"/>
  <c r="U609" i="1"/>
  <c r="W609" i="1"/>
  <c r="Y609" i="1"/>
  <c r="C609" i="9" s="1"/>
  <c r="D609" i="9" s="1"/>
  <c r="Z609" i="1"/>
  <c r="U610" i="1"/>
  <c r="W610" i="1"/>
  <c r="Y610" i="1"/>
  <c r="C610" i="9" s="1"/>
  <c r="D610" i="9" s="1"/>
  <c r="Z610" i="1"/>
  <c r="U611" i="1"/>
  <c r="W611" i="1"/>
  <c r="Y611" i="1"/>
  <c r="C611" i="9" s="1"/>
  <c r="D611" i="9" s="1"/>
  <c r="Z611" i="1"/>
  <c r="U612" i="1"/>
  <c r="W612" i="1"/>
  <c r="Y612" i="1"/>
  <c r="C612" i="9" s="1"/>
  <c r="D612" i="9" s="1"/>
  <c r="Z612" i="1"/>
  <c r="U613" i="1"/>
  <c r="W613" i="1"/>
  <c r="Y613" i="1"/>
  <c r="C613" i="9" s="1"/>
  <c r="D613" i="9" s="1"/>
  <c r="Z613" i="1"/>
  <c r="U614" i="1"/>
  <c r="W614" i="1"/>
  <c r="Y614" i="1"/>
  <c r="C614" i="9" s="1"/>
  <c r="D614" i="9" s="1"/>
  <c r="Z614" i="1"/>
  <c r="U615" i="1"/>
  <c r="W615" i="1"/>
  <c r="Y615" i="1"/>
  <c r="C615" i="9" s="1"/>
  <c r="D615" i="9" s="1"/>
  <c r="Z615" i="1"/>
  <c r="U616" i="1"/>
  <c r="W616" i="1"/>
  <c r="Y616" i="1"/>
  <c r="C616" i="9" s="1"/>
  <c r="D616" i="9" s="1"/>
  <c r="Z616" i="1"/>
  <c r="U617" i="1"/>
  <c r="W617" i="1"/>
  <c r="Y617" i="1"/>
  <c r="C617" i="9" s="1"/>
  <c r="D617" i="9" s="1"/>
  <c r="Z617" i="1"/>
  <c r="U618" i="1"/>
  <c r="W618" i="1"/>
  <c r="Y618" i="1"/>
  <c r="C618" i="9" s="1"/>
  <c r="D618" i="9" s="1"/>
  <c r="Z618" i="1"/>
  <c r="U619" i="1"/>
  <c r="W619" i="1"/>
  <c r="Y619" i="1"/>
  <c r="C619" i="9" s="1"/>
  <c r="D619" i="9" s="1"/>
  <c r="Z619" i="1"/>
  <c r="U620" i="1"/>
  <c r="W620" i="1"/>
  <c r="Y620" i="1"/>
  <c r="C620" i="9" s="1"/>
  <c r="D620" i="9" s="1"/>
  <c r="Z620" i="1"/>
  <c r="U621" i="1"/>
  <c r="W621" i="1"/>
  <c r="Y621" i="1"/>
  <c r="C621" i="9" s="1"/>
  <c r="D621" i="9" s="1"/>
  <c r="Z621" i="1"/>
  <c r="U622" i="1"/>
  <c r="W622" i="1"/>
  <c r="Y622" i="1"/>
  <c r="C622" i="9" s="1"/>
  <c r="D622" i="9" s="1"/>
  <c r="Z622" i="1"/>
  <c r="U623" i="1"/>
  <c r="W623" i="1"/>
  <c r="Y623" i="1"/>
  <c r="C623" i="9" s="1"/>
  <c r="D623" i="9" s="1"/>
  <c r="Z623" i="1"/>
  <c r="U624" i="1"/>
  <c r="W624" i="1"/>
  <c r="Y624" i="1"/>
  <c r="C624" i="9" s="1"/>
  <c r="D624" i="9" s="1"/>
  <c r="Z624" i="1"/>
  <c r="U625" i="1"/>
  <c r="W625" i="1"/>
  <c r="Y625" i="1"/>
  <c r="C625" i="9" s="1"/>
  <c r="D625" i="9" s="1"/>
  <c r="Z625" i="1"/>
  <c r="U626" i="1"/>
  <c r="W626" i="1"/>
  <c r="Y626" i="1"/>
  <c r="C626" i="9" s="1"/>
  <c r="D626" i="9" s="1"/>
  <c r="Z626" i="1"/>
  <c r="U627" i="1"/>
  <c r="W627" i="1"/>
  <c r="Y627" i="1"/>
  <c r="C627" i="9" s="1"/>
  <c r="D627" i="9" s="1"/>
  <c r="Z627" i="1"/>
  <c r="U628" i="1"/>
  <c r="W628" i="1"/>
  <c r="Y628" i="1"/>
  <c r="C628" i="9" s="1"/>
  <c r="D628" i="9" s="1"/>
  <c r="Z628" i="1"/>
  <c r="U629" i="1"/>
  <c r="W629" i="1"/>
  <c r="Y629" i="1"/>
  <c r="C629" i="9" s="1"/>
  <c r="D629" i="9" s="1"/>
  <c r="Z629" i="1"/>
  <c r="U630" i="1"/>
  <c r="W630" i="1"/>
  <c r="Y630" i="1"/>
  <c r="C630" i="9" s="1"/>
  <c r="D630" i="9" s="1"/>
  <c r="Z630" i="1"/>
  <c r="U631" i="1"/>
  <c r="W631" i="1"/>
  <c r="Y631" i="1"/>
  <c r="C631" i="9" s="1"/>
  <c r="D631" i="9" s="1"/>
  <c r="Z631" i="1"/>
  <c r="U632" i="1"/>
  <c r="W632" i="1"/>
  <c r="Y632" i="1"/>
  <c r="C632" i="9" s="1"/>
  <c r="D632" i="9" s="1"/>
  <c r="Z632" i="1"/>
  <c r="U633" i="1"/>
  <c r="W633" i="1"/>
  <c r="Y633" i="1"/>
  <c r="C633" i="9" s="1"/>
  <c r="D633" i="9" s="1"/>
  <c r="Z633" i="1"/>
  <c r="U634" i="1"/>
  <c r="W634" i="1"/>
  <c r="Y634" i="1"/>
  <c r="C634" i="9" s="1"/>
  <c r="D634" i="9" s="1"/>
  <c r="Z634" i="1"/>
  <c r="U635" i="1"/>
  <c r="W635" i="1"/>
  <c r="Y635" i="1"/>
  <c r="C635" i="9" s="1"/>
  <c r="D635" i="9" s="1"/>
  <c r="Z635" i="1"/>
  <c r="U636" i="1"/>
  <c r="W636" i="1"/>
  <c r="Y636" i="1"/>
  <c r="C636" i="9" s="1"/>
  <c r="D636" i="9" s="1"/>
  <c r="Z636" i="1"/>
  <c r="U637" i="1"/>
  <c r="W637" i="1"/>
  <c r="Y637" i="1"/>
  <c r="C637" i="9" s="1"/>
  <c r="D637" i="9" s="1"/>
  <c r="Z637" i="1"/>
  <c r="U638" i="1"/>
  <c r="W638" i="1"/>
  <c r="Y638" i="1"/>
  <c r="C638" i="9" s="1"/>
  <c r="D638" i="9" s="1"/>
  <c r="Z638" i="1"/>
  <c r="U639" i="1"/>
  <c r="W639" i="1"/>
  <c r="Y639" i="1"/>
  <c r="C639" i="9" s="1"/>
  <c r="D639" i="9" s="1"/>
  <c r="Z639" i="1"/>
  <c r="U640" i="1"/>
  <c r="W640" i="1"/>
  <c r="Y640" i="1"/>
  <c r="C640" i="9" s="1"/>
  <c r="D640" i="9" s="1"/>
  <c r="Z640" i="1"/>
  <c r="U641" i="1"/>
  <c r="W641" i="1"/>
  <c r="Y641" i="1"/>
  <c r="C641" i="9" s="1"/>
  <c r="D641" i="9" s="1"/>
  <c r="Z641" i="1"/>
  <c r="U642" i="1"/>
  <c r="W642" i="1"/>
  <c r="Y642" i="1"/>
  <c r="C642" i="9" s="1"/>
  <c r="D642" i="9" s="1"/>
  <c r="Z642" i="1"/>
  <c r="U643" i="1"/>
  <c r="W643" i="1"/>
  <c r="Y643" i="1"/>
  <c r="C643" i="9" s="1"/>
  <c r="D643" i="9" s="1"/>
  <c r="Z643" i="1"/>
  <c r="U644" i="1"/>
  <c r="W644" i="1"/>
  <c r="Y644" i="1"/>
  <c r="C644" i="9" s="1"/>
  <c r="D644" i="9" s="1"/>
  <c r="Z644" i="1"/>
  <c r="U645" i="1"/>
  <c r="W645" i="1"/>
  <c r="Y645" i="1"/>
  <c r="C645" i="9" s="1"/>
  <c r="D645" i="9" s="1"/>
  <c r="Z645" i="1"/>
  <c r="U646" i="1"/>
  <c r="W646" i="1"/>
  <c r="Y646" i="1"/>
  <c r="C646" i="9" s="1"/>
  <c r="D646" i="9" s="1"/>
  <c r="Z646" i="1"/>
  <c r="U647" i="1"/>
  <c r="W647" i="1"/>
  <c r="Y647" i="1"/>
  <c r="C647" i="9" s="1"/>
  <c r="D647" i="9" s="1"/>
  <c r="Z647" i="1"/>
  <c r="U648" i="1"/>
  <c r="W648" i="1"/>
  <c r="Y648" i="1"/>
  <c r="C648" i="9" s="1"/>
  <c r="D648" i="9" s="1"/>
  <c r="Z648" i="1"/>
  <c r="U649" i="1"/>
  <c r="W649" i="1"/>
  <c r="Y649" i="1"/>
  <c r="C649" i="9" s="1"/>
  <c r="D649" i="9" s="1"/>
  <c r="Z649" i="1"/>
  <c r="U650" i="1"/>
  <c r="W650" i="1"/>
  <c r="Y650" i="1"/>
  <c r="C650" i="9" s="1"/>
  <c r="D650" i="9" s="1"/>
  <c r="Z650" i="1"/>
  <c r="U651" i="1"/>
  <c r="W651" i="1"/>
  <c r="Y651" i="1"/>
  <c r="C651" i="9" s="1"/>
  <c r="D651" i="9" s="1"/>
  <c r="Z651" i="1"/>
  <c r="U652" i="1"/>
  <c r="W652" i="1"/>
  <c r="Y652" i="1"/>
  <c r="C652" i="9" s="1"/>
  <c r="D652" i="9" s="1"/>
  <c r="Z652" i="1"/>
  <c r="U653" i="1"/>
  <c r="W653" i="1"/>
  <c r="Y653" i="1"/>
  <c r="C653" i="9" s="1"/>
  <c r="D653" i="9" s="1"/>
  <c r="Z653" i="1"/>
  <c r="U654" i="1"/>
  <c r="W654" i="1"/>
  <c r="Y654" i="1"/>
  <c r="C654" i="9" s="1"/>
  <c r="D654" i="9" s="1"/>
  <c r="Z654" i="1"/>
  <c r="U655" i="1"/>
  <c r="W655" i="1"/>
  <c r="Y655" i="1"/>
  <c r="C655" i="9" s="1"/>
  <c r="D655" i="9" s="1"/>
  <c r="Z655" i="1"/>
  <c r="U656" i="1"/>
  <c r="W656" i="1"/>
  <c r="Y656" i="1"/>
  <c r="C656" i="9" s="1"/>
  <c r="D656" i="9" s="1"/>
  <c r="Z656" i="1"/>
  <c r="U657" i="1"/>
  <c r="W657" i="1"/>
  <c r="Y657" i="1"/>
  <c r="C657" i="9" s="1"/>
  <c r="D657" i="9" s="1"/>
  <c r="Z657" i="1"/>
  <c r="U658" i="1"/>
  <c r="W658" i="1"/>
  <c r="Y658" i="1"/>
  <c r="C658" i="9" s="1"/>
  <c r="D658" i="9" s="1"/>
  <c r="Z658" i="1"/>
  <c r="U659" i="1"/>
  <c r="W659" i="1"/>
  <c r="Y659" i="1"/>
  <c r="C659" i="9" s="1"/>
  <c r="D659" i="9" s="1"/>
  <c r="Z659" i="1"/>
  <c r="U660" i="1"/>
  <c r="W660" i="1"/>
  <c r="Y660" i="1"/>
  <c r="C660" i="9" s="1"/>
  <c r="D660" i="9" s="1"/>
  <c r="Z660" i="1"/>
  <c r="U661" i="1"/>
  <c r="W661" i="1"/>
  <c r="Y661" i="1"/>
  <c r="C661" i="9" s="1"/>
  <c r="D661" i="9" s="1"/>
  <c r="Z661" i="1"/>
  <c r="U662" i="1"/>
  <c r="W662" i="1"/>
  <c r="Y662" i="1"/>
  <c r="C662" i="9" s="1"/>
  <c r="D662" i="9" s="1"/>
  <c r="Z662" i="1"/>
  <c r="U663" i="1"/>
  <c r="W663" i="1"/>
  <c r="Y663" i="1"/>
  <c r="C663" i="9" s="1"/>
  <c r="D663" i="9" s="1"/>
  <c r="Z663" i="1"/>
  <c r="U664" i="1"/>
  <c r="W664" i="1"/>
  <c r="Y664" i="1"/>
  <c r="C664" i="9" s="1"/>
  <c r="D664" i="9" s="1"/>
  <c r="Z664" i="1"/>
  <c r="U665" i="1"/>
  <c r="W665" i="1"/>
  <c r="Y665" i="1"/>
  <c r="C665" i="9" s="1"/>
  <c r="D665" i="9" s="1"/>
  <c r="Z665" i="1"/>
  <c r="U666" i="1"/>
  <c r="W666" i="1"/>
  <c r="Y666" i="1"/>
  <c r="C666" i="9" s="1"/>
  <c r="D666" i="9" s="1"/>
  <c r="Z666" i="1"/>
  <c r="U667" i="1"/>
  <c r="W667" i="1"/>
  <c r="Y667" i="1"/>
  <c r="C667" i="9" s="1"/>
  <c r="D667" i="9" s="1"/>
  <c r="Z667" i="1"/>
  <c r="U668" i="1"/>
  <c r="W668" i="1"/>
  <c r="Y668" i="1"/>
  <c r="C668" i="9" s="1"/>
  <c r="D668" i="9" s="1"/>
  <c r="Z668" i="1"/>
  <c r="U669" i="1"/>
  <c r="W669" i="1"/>
  <c r="Y669" i="1"/>
  <c r="C669" i="9" s="1"/>
  <c r="D669" i="9" s="1"/>
  <c r="Z669" i="1"/>
  <c r="U670" i="1"/>
  <c r="W670" i="1"/>
  <c r="Y670" i="1"/>
  <c r="C670" i="9" s="1"/>
  <c r="D670" i="9" s="1"/>
  <c r="Z670" i="1"/>
  <c r="U671" i="1"/>
  <c r="W671" i="1"/>
  <c r="Y671" i="1"/>
  <c r="C671" i="9" s="1"/>
  <c r="D671" i="9" s="1"/>
  <c r="Z671" i="1"/>
  <c r="U672" i="1"/>
  <c r="W672" i="1"/>
  <c r="Y672" i="1"/>
  <c r="C672" i="9" s="1"/>
  <c r="D672" i="9" s="1"/>
  <c r="Z672" i="1"/>
  <c r="U673" i="1"/>
  <c r="W673" i="1"/>
  <c r="Y673" i="1"/>
  <c r="C673" i="9" s="1"/>
  <c r="D673" i="9" s="1"/>
  <c r="Z673" i="1"/>
  <c r="U674" i="1"/>
  <c r="W674" i="1"/>
  <c r="Y674" i="1"/>
  <c r="C674" i="9" s="1"/>
  <c r="D674" i="9" s="1"/>
  <c r="Z674" i="1"/>
  <c r="U675" i="1"/>
  <c r="W675" i="1"/>
  <c r="Y675" i="1"/>
  <c r="C675" i="9" s="1"/>
  <c r="D675" i="9" s="1"/>
  <c r="Z675" i="1"/>
  <c r="U676" i="1"/>
  <c r="W676" i="1"/>
  <c r="Y676" i="1"/>
  <c r="C676" i="9" s="1"/>
  <c r="D676" i="9" s="1"/>
  <c r="Z676" i="1"/>
  <c r="U677" i="1"/>
  <c r="W677" i="1"/>
  <c r="Y677" i="1"/>
  <c r="C677" i="9" s="1"/>
  <c r="D677" i="9" s="1"/>
  <c r="Z677" i="1"/>
  <c r="U678" i="1"/>
  <c r="W678" i="1"/>
  <c r="Y678" i="1"/>
  <c r="C678" i="9" s="1"/>
  <c r="D678" i="9" s="1"/>
  <c r="Z678" i="1"/>
  <c r="U679" i="1"/>
  <c r="W679" i="1"/>
  <c r="Y679" i="1"/>
  <c r="C679" i="9" s="1"/>
  <c r="D679" i="9" s="1"/>
  <c r="Z679" i="1"/>
  <c r="U680" i="1"/>
  <c r="W680" i="1"/>
  <c r="Y680" i="1"/>
  <c r="C680" i="9" s="1"/>
  <c r="D680" i="9" s="1"/>
  <c r="Z680" i="1"/>
  <c r="U681" i="1"/>
  <c r="W681" i="1"/>
  <c r="Y681" i="1"/>
  <c r="C681" i="9" s="1"/>
  <c r="D681" i="9" s="1"/>
  <c r="Z681" i="1"/>
  <c r="U682" i="1"/>
  <c r="W682" i="1"/>
  <c r="Y682" i="1"/>
  <c r="C682" i="9" s="1"/>
  <c r="D682" i="9" s="1"/>
  <c r="Z682" i="1"/>
  <c r="U683" i="1"/>
  <c r="W683" i="1"/>
  <c r="Y683" i="1"/>
  <c r="C683" i="9" s="1"/>
  <c r="D683" i="9" s="1"/>
  <c r="Z683" i="1"/>
  <c r="U684" i="1"/>
  <c r="W684" i="1"/>
  <c r="Y684" i="1"/>
  <c r="C684" i="9" s="1"/>
  <c r="D684" i="9" s="1"/>
  <c r="Z684" i="1"/>
  <c r="U685" i="1"/>
  <c r="W685" i="1"/>
  <c r="Y685" i="1"/>
  <c r="C685" i="9" s="1"/>
  <c r="D685" i="9" s="1"/>
  <c r="Z685" i="1"/>
  <c r="U686" i="1"/>
  <c r="W686" i="1"/>
  <c r="Y686" i="1"/>
  <c r="C686" i="9" s="1"/>
  <c r="D686" i="9" s="1"/>
  <c r="Z686" i="1"/>
  <c r="U687" i="1"/>
  <c r="W687" i="1"/>
  <c r="Y687" i="1"/>
  <c r="C687" i="9" s="1"/>
  <c r="D687" i="9" s="1"/>
  <c r="Z687" i="1"/>
  <c r="U688" i="1"/>
  <c r="W688" i="1"/>
  <c r="Y688" i="1"/>
  <c r="C688" i="9" s="1"/>
  <c r="D688" i="9" s="1"/>
  <c r="Z688" i="1"/>
  <c r="U689" i="1"/>
  <c r="W689" i="1"/>
  <c r="Y689" i="1"/>
  <c r="C689" i="9" s="1"/>
  <c r="D689" i="9" s="1"/>
  <c r="Z689" i="1"/>
  <c r="U690" i="1"/>
  <c r="W690" i="1"/>
  <c r="Y690" i="1"/>
  <c r="C690" i="9" s="1"/>
  <c r="D690" i="9" s="1"/>
  <c r="Z690" i="1"/>
  <c r="U691" i="1"/>
  <c r="W691" i="1"/>
  <c r="Y691" i="1"/>
  <c r="C691" i="9" s="1"/>
  <c r="D691" i="9" s="1"/>
  <c r="Z691" i="1"/>
  <c r="U692" i="1"/>
  <c r="W692" i="1"/>
  <c r="Y692" i="1"/>
  <c r="C692" i="9" s="1"/>
  <c r="D692" i="9" s="1"/>
  <c r="Z692" i="1"/>
  <c r="U693" i="1"/>
  <c r="W693" i="1"/>
  <c r="Y693" i="1"/>
  <c r="C693" i="9" s="1"/>
  <c r="D693" i="9" s="1"/>
  <c r="Z693" i="1"/>
  <c r="U694" i="1"/>
  <c r="W694" i="1"/>
  <c r="Y694" i="1"/>
  <c r="C694" i="9" s="1"/>
  <c r="D694" i="9" s="1"/>
  <c r="Z694" i="1"/>
  <c r="U695" i="1"/>
  <c r="W695" i="1"/>
  <c r="Y695" i="1"/>
  <c r="C695" i="9" s="1"/>
  <c r="D695" i="9" s="1"/>
  <c r="Z695" i="1"/>
  <c r="U696" i="1"/>
  <c r="W696" i="1"/>
  <c r="Y696" i="1"/>
  <c r="C696" i="9" s="1"/>
  <c r="D696" i="9" s="1"/>
  <c r="Z696" i="1"/>
  <c r="U697" i="1"/>
  <c r="W697" i="1"/>
  <c r="Y697" i="1"/>
  <c r="C697" i="9" s="1"/>
  <c r="D697" i="9" s="1"/>
  <c r="Z697" i="1"/>
  <c r="U698" i="1"/>
  <c r="W698" i="1"/>
  <c r="Y698" i="1"/>
  <c r="C698" i="9" s="1"/>
  <c r="D698" i="9" s="1"/>
  <c r="Z698" i="1"/>
  <c r="U699" i="1"/>
  <c r="W699" i="1"/>
  <c r="Y699" i="1"/>
  <c r="C699" i="9" s="1"/>
  <c r="D699" i="9" s="1"/>
  <c r="Z699" i="1"/>
  <c r="U700" i="1"/>
  <c r="W700" i="1"/>
  <c r="Y700" i="1"/>
  <c r="C700" i="9" s="1"/>
  <c r="D700" i="9" s="1"/>
  <c r="Z700" i="1"/>
  <c r="U701" i="1"/>
  <c r="W701" i="1"/>
  <c r="Y701" i="1"/>
  <c r="C701" i="9" s="1"/>
  <c r="D701" i="9" s="1"/>
  <c r="Z701" i="1"/>
  <c r="U702" i="1"/>
  <c r="W702" i="1"/>
  <c r="Y702" i="1"/>
  <c r="C702" i="9" s="1"/>
  <c r="D702" i="9" s="1"/>
  <c r="Z702" i="1"/>
  <c r="U703" i="1"/>
  <c r="W703" i="1"/>
  <c r="Y703" i="1"/>
  <c r="C703" i="9" s="1"/>
  <c r="D703" i="9" s="1"/>
  <c r="Z703" i="1"/>
  <c r="U704" i="1"/>
  <c r="W704" i="1"/>
  <c r="Y704" i="1"/>
  <c r="C704" i="9" s="1"/>
  <c r="D704" i="9" s="1"/>
  <c r="Z704" i="1"/>
  <c r="U705" i="1"/>
  <c r="W705" i="1"/>
  <c r="Y705" i="1"/>
  <c r="C705" i="9" s="1"/>
  <c r="D705" i="9" s="1"/>
  <c r="Z705" i="1"/>
  <c r="U706" i="1"/>
  <c r="W706" i="1"/>
  <c r="Y706" i="1"/>
  <c r="C706" i="9" s="1"/>
  <c r="D706" i="9" s="1"/>
  <c r="Z706" i="1"/>
  <c r="U707" i="1"/>
  <c r="W707" i="1"/>
  <c r="Y707" i="1"/>
  <c r="C707" i="9" s="1"/>
  <c r="D707" i="9" s="1"/>
  <c r="Z707" i="1"/>
  <c r="U708" i="1"/>
  <c r="W708" i="1"/>
  <c r="Y708" i="1"/>
  <c r="C708" i="9" s="1"/>
  <c r="D708" i="9" s="1"/>
  <c r="Z708" i="1"/>
  <c r="U709" i="1"/>
  <c r="W709" i="1"/>
  <c r="Y709" i="1"/>
  <c r="C709" i="9" s="1"/>
  <c r="D709" i="9" s="1"/>
  <c r="Z709" i="1"/>
  <c r="U710" i="1"/>
  <c r="W710" i="1"/>
  <c r="Y710" i="1"/>
  <c r="C710" i="9" s="1"/>
  <c r="D710" i="9" s="1"/>
  <c r="Z710" i="1"/>
  <c r="U711" i="1"/>
  <c r="W711" i="1"/>
  <c r="Y711" i="1"/>
  <c r="C711" i="9" s="1"/>
  <c r="D711" i="9" s="1"/>
  <c r="Z711" i="1"/>
  <c r="U712" i="1"/>
  <c r="W712" i="1"/>
  <c r="Y712" i="1"/>
  <c r="C712" i="9" s="1"/>
  <c r="D712" i="9" s="1"/>
  <c r="Z712" i="1"/>
  <c r="U713" i="1"/>
  <c r="W713" i="1"/>
  <c r="Y713" i="1"/>
  <c r="C713" i="9" s="1"/>
  <c r="D713" i="9" s="1"/>
  <c r="Z713" i="1"/>
  <c r="U714" i="1"/>
  <c r="W714" i="1"/>
  <c r="Y714" i="1"/>
  <c r="C714" i="9" s="1"/>
  <c r="D714" i="9" s="1"/>
  <c r="Z714" i="1"/>
  <c r="U715" i="1"/>
  <c r="W715" i="1"/>
  <c r="Y715" i="1"/>
  <c r="C715" i="9" s="1"/>
  <c r="D715" i="9" s="1"/>
  <c r="Z715" i="1"/>
  <c r="U716" i="1"/>
  <c r="W716" i="1"/>
  <c r="Y716" i="1"/>
  <c r="C716" i="9" s="1"/>
  <c r="D716" i="9" s="1"/>
  <c r="Z716" i="1"/>
  <c r="U717" i="1"/>
  <c r="W717" i="1"/>
  <c r="Y717" i="1"/>
  <c r="C717" i="9" s="1"/>
  <c r="D717" i="9" s="1"/>
  <c r="Z717" i="1"/>
  <c r="U718" i="1"/>
  <c r="W718" i="1"/>
  <c r="Y718" i="1"/>
  <c r="C718" i="9" s="1"/>
  <c r="D718" i="9" s="1"/>
  <c r="Z718" i="1"/>
  <c r="U719" i="1"/>
  <c r="W719" i="1"/>
  <c r="Y719" i="1"/>
  <c r="C719" i="9" s="1"/>
  <c r="D719" i="9" s="1"/>
  <c r="Z719" i="1"/>
  <c r="U720" i="1"/>
  <c r="W720" i="1"/>
  <c r="Y720" i="1"/>
  <c r="C720" i="9" s="1"/>
  <c r="D720" i="9" s="1"/>
  <c r="Z720" i="1"/>
  <c r="U721" i="1"/>
  <c r="W721" i="1"/>
  <c r="Y721" i="1"/>
  <c r="C721" i="9" s="1"/>
  <c r="D721" i="9" s="1"/>
  <c r="Z721" i="1"/>
  <c r="U722" i="1"/>
  <c r="W722" i="1"/>
  <c r="Y722" i="1"/>
  <c r="C722" i="9" s="1"/>
  <c r="D722" i="9" s="1"/>
  <c r="Z722" i="1"/>
  <c r="U723" i="1"/>
  <c r="W723" i="1"/>
  <c r="Y723" i="1"/>
  <c r="C723" i="9" s="1"/>
  <c r="D723" i="9" s="1"/>
  <c r="Z723" i="1"/>
  <c r="U724" i="1"/>
  <c r="W724" i="1"/>
  <c r="Y724" i="1"/>
  <c r="C724" i="9" s="1"/>
  <c r="D724" i="9" s="1"/>
  <c r="Z724" i="1"/>
  <c r="U725" i="1"/>
  <c r="W725" i="1"/>
  <c r="Y725" i="1"/>
  <c r="C725" i="9" s="1"/>
  <c r="D725" i="9" s="1"/>
  <c r="Z725" i="1"/>
  <c r="U726" i="1"/>
  <c r="W726" i="1"/>
  <c r="Y726" i="1"/>
  <c r="C726" i="9" s="1"/>
  <c r="D726" i="9" s="1"/>
  <c r="Z726" i="1"/>
  <c r="U727" i="1"/>
  <c r="W727" i="1"/>
  <c r="Y727" i="1"/>
  <c r="C727" i="9" s="1"/>
  <c r="D727" i="9" s="1"/>
  <c r="Z727" i="1"/>
  <c r="U728" i="1"/>
  <c r="W728" i="1"/>
  <c r="Y728" i="1"/>
  <c r="C728" i="9" s="1"/>
  <c r="D728" i="9" s="1"/>
  <c r="Z728" i="1"/>
  <c r="U729" i="1"/>
  <c r="W729" i="1"/>
  <c r="Y729" i="1"/>
  <c r="C729" i="9" s="1"/>
  <c r="D729" i="9" s="1"/>
  <c r="Z729" i="1"/>
  <c r="U730" i="1"/>
  <c r="W730" i="1"/>
  <c r="Y730" i="1"/>
  <c r="C730" i="9" s="1"/>
  <c r="D730" i="9" s="1"/>
  <c r="Z730" i="1"/>
  <c r="U731" i="1"/>
  <c r="W731" i="1"/>
  <c r="Y731" i="1"/>
  <c r="C731" i="9" s="1"/>
  <c r="D731" i="9" s="1"/>
  <c r="Z731" i="1"/>
  <c r="U732" i="1"/>
  <c r="W732" i="1"/>
  <c r="Y732" i="1"/>
  <c r="C732" i="9" s="1"/>
  <c r="D732" i="9" s="1"/>
  <c r="Z732" i="1"/>
  <c r="U733" i="1"/>
  <c r="W733" i="1"/>
  <c r="Y733" i="1"/>
  <c r="C733" i="9" s="1"/>
  <c r="D733" i="9" s="1"/>
  <c r="Z733" i="1"/>
  <c r="U734" i="1"/>
  <c r="W734" i="1"/>
  <c r="Y734" i="1"/>
  <c r="C734" i="9" s="1"/>
  <c r="D734" i="9" s="1"/>
  <c r="Z734" i="1"/>
  <c r="U735" i="1"/>
  <c r="W735" i="1"/>
  <c r="Y735" i="1"/>
  <c r="C735" i="9" s="1"/>
  <c r="D735" i="9" s="1"/>
  <c r="Z735" i="1"/>
  <c r="U736" i="1"/>
  <c r="W736" i="1"/>
  <c r="Y736" i="1"/>
  <c r="C736" i="9" s="1"/>
  <c r="D736" i="9" s="1"/>
  <c r="Z736" i="1"/>
  <c r="U737" i="1"/>
  <c r="W737" i="1"/>
  <c r="Y737" i="1"/>
  <c r="C737" i="9" s="1"/>
  <c r="D737" i="9" s="1"/>
  <c r="Z737" i="1"/>
  <c r="U738" i="1"/>
  <c r="W738" i="1"/>
  <c r="Y738" i="1"/>
  <c r="C738" i="9" s="1"/>
  <c r="D738" i="9" s="1"/>
  <c r="Z738" i="1"/>
  <c r="U739" i="1"/>
  <c r="W739" i="1"/>
  <c r="Y739" i="1"/>
  <c r="C739" i="9" s="1"/>
  <c r="D739" i="9" s="1"/>
  <c r="Z739" i="1"/>
  <c r="U740" i="1"/>
  <c r="W740" i="1"/>
  <c r="Y740" i="1"/>
  <c r="C740" i="9" s="1"/>
  <c r="D740" i="9" s="1"/>
  <c r="Z740" i="1"/>
  <c r="U741" i="1"/>
  <c r="W741" i="1"/>
  <c r="Y741" i="1"/>
  <c r="C741" i="9" s="1"/>
  <c r="D741" i="9" s="1"/>
  <c r="Z741" i="1"/>
  <c r="U742" i="1"/>
  <c r="W742" i="1"/>
  <c r="Y742" i="1"/>
  <c r="C742" i="9" s="1"/>
  <c r="D742" i="9" s="1"/>
  <c r="Z742" i="1"/>
  <c r="U743" i="1"/>
  <c r="W743" i="1"/>
  <c r="Y743" i="1"/>
  <c r="C743" i="9" s="1"/>
  <c r="D743" i="9" s="1"/>
  <c r="Z743" i="1"/>
  <c r="U744" i="1"/>
  <c r="W744" i="1"/>
  <c r="Y744" i="1"/>
  <c r="C744" i="9" s="1"/>
  <c r="D744" i="9" s="1"/>
  <c r="Z744" i="1"/>
  <c r="U745" i="1"/>
  <c r="W745" i="1"/>
  <c r="Y745" i="1"/>
  <c r="C745" i="9" s="1"/>
  <c r="D745" i="9" s="1"/>
  <c r="Z745" i="1"/>
  <c r="U746" i="1"/>
  <c r="W746" i="1"/>
  <c r="Y746" i="1"/>
  <c r="C746" i="9" s="1"/>
  <c r="D746" i="9" s="1"/>
  <c r="Z746" i="1"/>
  <c r="U747" i="1"/>
  <c r="W747" i="1"/>
  <c r="Y747" i="1"/>
  <c r="C747" i="9" s="1"/>
  <c r="D747" i="9" s="1"/>
  <c r="Z747" i="1"/>
  <c r="U748" i="1"/>
  <c r="W748" i="1"/>
  <c r="Y748" i="1"/>
  <c r="C748" i="9" s="1"/>
  <c r="D748" i="9" s="1"/>
  <c r="Z748" i="1"/>
  <c r="U749" i="1"/>
  <c r="W749" i="1"/>
  <c r="Y749" i="1"/>
  <c r="C749" i="9" s="1"/>
  <c r="D749" i="9" s="1"/>
  <c r="Z749" i="1"/>
  <c r="U750" i="1"/>
  <c r="W750" i="1"/>
  <c r="Y750" i="1"/>
  <c r="C750" i="9" s="1"/>
  <c r="D750" i="9" s="1"/>
  <c r="Z750" i="1"/>
  <c r="U751" i="1"/>
  <c r="W751" i="1"/>
  <c r="Y751" i="1"/>
  <c r="C751" i="9" s="1"/>
  <c r="D751" i="9" s="1"/>
  <c r="Z751" i="1"/>
  <c r="U752" i="1"/>
  <c r="W752" i="1"/>
  <c r="Y752" i="1"/>
  <c r="C752" i="9" s="1"/>
  <c r="D752" i="9" s="1"/>
  <c r="Z752" i="1"/>
  <c r="U753" i="1"/>
  <c r="W753" i="1"/>
  <c r="Y753" i="1"/>
  <c r="C753" i="9" s="1"/>
  <c r="D753" i="9" s="1"/>
  <c r="Z753" i="1"/>
  <c r="U754" i="1"/>
  <c r="W754" i="1"/>
  <c r="Y754" i="1"/>
  <c r="C754" i="9" s="1"/>
  <c r="D754" i="9" s="1"/>
  <c r="Z754" i="1"/>
  <c r="U755" i="1"/>
  <c r="W755" i="1"/>
  <c r="Y755" i="1"/>
  <c r="C755" i="9" s="1"/>
  <c r="D755" i="9" s="1"/>
  <c r="Z755" i="1"/>
  <c r="U756" i="1"/>
  <c r="W756" i="1"/>
  <c r="Y756" i="1"/>
  <c r="C756" i="9" s="1"/>
  <c r="D756" i="9" s="1"/>
  <c r="Z756" i="1"/>
  <c r="U757" i="1"/>
  <c r="W757" i="1"/>
  <c r="Y757" i="1"/>
  <c r="C757" i="9" s="1"/>
  <c r="D757" i="9" s="1"/>
  <c r="Z757" i="1"/>
  <c r="U758" i="1"/>
  <c r="W758" i="1"/>
  <c r="Y758" i="1"/>
  <c r="C758" i="9" s="1"/>
  <c r="D758" i="9" s="1"/>
  <c r="Z758" i="1"/>
  <c r="U759" i="1"/>
  <c r="W759" i="1"/>
  <c r="Y759" i="1"/>
  <c r="C759" i="9" s="1"/>
  <c r="D759" i="9" s="1"/>
  <c r="Z759" i="1"/>
  <c r="U760" i="1"/>
  <c r="W760" i="1"/>
  <c r="Y760" i="1"/>
  <c r="C760" i="9" s="1"/>
  <c r="D760" i="9" s="1"/>
  <c r="Z760" i="1"/>
  <c r="U761" i="1"/>
  <c r="W761" i="1"/>
  <c r="Y761" i="1"/>
  <c r="C761" i="9" s="1"/>
  <c r="D761" i="9" s="1"/>
  <c r="Z761" i="1"/>
  <c r="U762" i="1"/>
  <c r="W762" i="1"/>
  <c r="Y762" i="1"/>
  <c r="C762" i="9" s="1"/>
  <c r="D762" i="9" s="1"/>
  <c r="Z762" i="1"/>
  <c r="U763" i="1"/>
  <c r="W763" i="1"/>
  <c r="Y763" i="1"/>
  <c r="C763" i="9" s="1"/>
  <c r="D763" i="9" s="1"/>
  <c r="Z763" i="1"/>
  <c r="U764" i="1"/>
  <c r="W764" i="1"/>
  <c r="Y764" i="1"/>
  <c r="C764" i="9" s="1"/>
  <c r="D764" i="9" s="1"/>
  <c r="Z764" i="1"/>
  <c r="U765" i="1"/>
  <c r="W765" i="1"/>
  <c r="Y765" i="1"/>
  <c r="C765" i="9" s="1"/>
  <c r="D765" i="9" s="1"/>
  <c r="Z765" i="1"/>
  <c r="U766" i="1"/>
  <c r="W766" i="1"/>
  <c r="Y766" i="1"/>
  <c r="C766" i="9" s="1"/>
  <c r="D766" i="9" s="1"/>
  <c r="Z766" i="1"/>
  <c r="U767" i="1"/>
  <c r="W767" i="1"/>
  <c r="Y767" i="1"/>
  <c r="C767" i="9" s="1"/>
  <c r="D767" i="9" s="1"/>
  <c r="Z767" i="1"/>
  <c r="U768" i="1"/>
  <c r="W768" i="1"/>
  <c r="Y768" i="1"/>
  <c r="C768" i="9" s="1"/>
  <c r="D768" i="9" s="1"/>
  <c r="Z768" i="1"/>
  <c r="U769" i="1"/>
  <c r="W769" i="1"/>
  <c r="Y769" i="1"/>
  <c r="C769" i="9" s="1"/>
  <c r="D769" i="9" s="1"/>
  <c r="Z769" i="1"/>
  <c r="U770" i="1"/>
  <c r="W770" i="1"/>
  <c r="Y770" i="1"/>
  <c r="C770" i="9" s="1"/>
  <c r="D770" i="9" s="1"/>
  <c r="Z770" i="1"/>
  <c r="U771" i="1"/>
  <c r="W771" i="1"/>
  <c r="Y771" i="1"/>
  <c r="C771" i="9" s="1"/>
  <c r="D771" i="9" s="1"/>
  <c r="Z771" i="1"/>
  <c r="U772" i="1"/>
  <c r="W772" i="1"/>
  <c r="Y772" i="1"/>
  <c r="C772" i="9" s="1"/>
  <c r="D772" i="9" s="1"/>
  <c r="Z772" i="1"/>
  <c r="U773" i="1"/>
  <c r="W773" i="1"/>
  <c r="Y773" i="1"/>
  <c r="C773" i="9" s="1"/>
  <c r="D773" i="9" s="1"/>
  <c r="Z773" i="1"/>
  <c r="U774" i="1"/>
  <c r="W774" i="1"/>
  <c r="Y774" i="1"/>
  <c r="C774" i="9" s="1"/>
  <c r="D774" i="9" s="1"/>
  <c r="Z774" i="1"/>
  <c r="U775" i="1"/>
  <c r="W775" i="1"/>
  <c r="Y775" i="1"/>
  <c r="C775" i="9" s="1"/>
  <c r="D775" i="9" s="1"/>
  <c r="Z775" i="1"/>
  <c r="U776" i="1"/>
  <c r="W776" i="1"/>
  <c r="Y776" i="1"/>
  <c r="C776" i="9" s="1"/>
  <c r="D776" i="9" s="1"/>
  <c r="Z776" i="1"/>
  <c r="U777" i="1"/>
  <c r="W777" i="1"/>
  <c r="Y777" i="1"/>
  <c r="C777" i="9" s="1"/>
  <c r="D777" i="9" s="1"/>
  <c r="Z777" i="1"/>
  <c r="U778" i="1"/>
  <c r="W778" i="1"/>
  <c r="Y778" i="1"/>
  <c r="C778" i="9" s="1"/>
  <c r="D778" i="9" s="1"/>
  <c r="Z778" i="1"/>
  <c r="U779" i="1"/>
  <c r="W779" i="1"/>
  <c r="Y779" i="1"/>
  <c r="C779" i="9" s="1"/>
  <c r="D779" i="9" s="1"/>
  <c r="Z779" i="1"/>
  <c r="U780" i="1"/>
  <c r="W780" i="1"/>
  <c r="Y780" i="1"/>
  <c r="C780" i="9" s="1"/>
  <c r="D780" i="9" s="1"/>
  <c r="Z780" i="1"/>
  <c r="U781" i="1"/>
  <c r="W781" i="1"/>
  <c r="Y781" i="1"/>
  <c r="C781" i="9" s="1"/>
  <c r="D781" i="9" s="1"/>
  <c r="Z781" i="1"/>
  <c r="U782" i="1"/>
  <c r="W782" i="1"/>
  <c r="Y782" i="1"/>
  <c r="C782" i="9" s="1"/>
  <c r="D782" i="9" s="1"/>
  <c r="Z782" i="1"/>
  <c r="U783" i="1"/>
  <c r="W783" i="1"/>
  <c r="Y783" i="1"/>
  <c r="C783" i="9" s="1"/>
  <c r="D783" i="9" s="1"/>
  <c r="Z783" i="1"/>
  <c r="U784" i="1"/>
  <c r="W784" i="1"/>
  <c r="Y784" i="1"/>
  <c r="C784" i="9" s="1"/>
  <c r="D784" i="9" s="1"/>
  <c r="Z784" i="1"/>
  <c r="U785" i="1"/>
  <c r="W785" i="1"/>
  <c r="Y785" i="1"/>
  <c r="C785" i="9" s="1"/>
  <c r="D785" i="9" s="1"/>
  <c r="Z785" i="1"/>
  <c r="U786" i="1"/>
  <c r="W786" i="1"/>
  <c r="Y786" i="1"/>
  <c r="C786" i="9" s="1"/>
  <c r="D786" i="9" s="1"/>
  <c r="Z786" i="1"/>
  <c r="U787" i="1"/>
  <c r="W787" i="1"/>
  <c r="Y787" i="1"/>
  <c r="C787" i="9" s="1"/>
  <c r="D787" i="9" s="1"/>
  <c r="Z787" i="1"/>
  <c r="U788" i="1"/>
  <c r="W788" i="1"/>
  <c r="Y788" i="1"/>
  <c r="C788" i="9" s="1"/>
  <c r="D788" i="9" s="1"/>
  <c r="Z788" i="1"/>
  <c r="U789" i="1"/>
  <c r="W789" i="1"/>
  <c r="Y789" i="1"/>
  <c r="C789" i="9" s="1"/>
  <c r="D789" i="9" s="1"/>
  <c r="Z789" i="1"/>
  <c r="U790" i="1"/>
  <c r="W790" i="1"/>
  <c r="Y790" i="1"/>
  <c r="C790" i="9" s="1"/>
  <c r="D790" i="9" s="1"/>
  <c r="Z790" i="1"/>
  <c r="U791" i="1"/>
  <c r="W791" i="1"/>
  <c r="Y791" i="1"/>
  <c r="C791" i="9" s="1"/>
  <c r="D791" i="9" s="1"/>
  <c r="Z791" i="1"/>
  <c r="U792" i="1"/>
  <c r="W792" i="1"/>
  <c r="Y792" i="1"/>
  <c r="C792" i="9" s="1"/>
  <c r="D792" i="9" s="1"/>
  <c r="Z792" i="1"/>
  <c r="U793" i="1"/>
  <c r="W793" i="1"/>
  <c r="Y793" i="1"/>
  <c r="C793" i="9" s="1"/>
  <c r="D793" i="9" s="1"/>
  <c r="Z793" i="1"/>
  <c r="U794" i="1"/>
  <c r="W794" i="1"/>
  <c r="Y794" i="1"/>
  <c r="C794" i="9" s="1"/>
  <c r="D794" i="9" s="1"/>
  <c r="Z794" i="1"/>
  <c r="U795" i="1"/>
  <c r="W795" i="1"/>
  <c r="Y795" i="1"/>
  <c r="C795" i="9" s="1"/>
  <c r="D795" i="9" s="1"/>
  <c r="Z795" i="1"/>
  <c r="U796" i="1"/>
  <c r="W796" i="1"/>
  <c r="Y796" i="1"/>
  <c r="C796" i="9" s="1"/>
  <c r="D796" i="9" s="1"/>
  <c r="Z796" i="1"/>
  <c r="U797" i="1"/>
  <c r="W797" i="1"/>
  <c r="Y797" i="1"/>
  <c r="C797" i="9" s="1"/>
  <c r="D797" i="9" s="1"/>
  <c r="Z797" i="1"/>
  <c r="U798" i="1"/>
  <c r="W798" i="1"/>
  <c r="Y798" i="1"/>
  <c r="C798" i="9" s="1"/>
  <c r="D798" i="9" s="1"/>
  <c r="Z798" i="1"/>
  <c r="U799" i="1"/>
  <c r="W799" i="1"/>
  <c r="Y799" i="1"/>
  <c r="C799" i="9" s="1"/>
  <c r="D799" i="9" s="1"/>
  <c r="Z799" i="1"/>
  <c r="U800" i="1"/>
  <c r="W800" i="1"/>
  <c r="Y800" i="1"/>
  <c r="C800" i="9" s="1"/>
  <c r="D800" i="9" s="1"/>
  <c r="Z800" i="1"/>
  <c r="U801" i="1"/>
  <c r="W801" i="1"/>
  <c r="Y801" i="1"/>
  <c r="C801" i="9" s="1"/>
  <c r="D801" i="9" s="1"/>
  <c r="Z801" i="1"/>
  <c r="U802" i="1"/>
  <c r="W802" i="1"/>
  <c r="Y802" i="1"/>
  <c r="C802" i="9" s="1"/>
  <c r="D802" i="9" s="1"/>
  <c r="Z802" i="1"/>
  <c r="U803" i="1"/>
  <c r="W803" i="1"/>
  <c r="Y803" i="1"/>
  <c r="C803" i="9" s="1"/>
  <c r="D803" i="9" s="1"/>
  <c r="Z803" i="1"/>
  <c r="U804" i="1"/>
  <c r="W804" i="1"/>
  <c r="Y804" i="1"/>
  <c r="C804" i="9" s="1"/>
  <c r="D804" i="9" s="1"/>
  <c r="Z804" i="1"/>
  <c r="U805" i="1"/>
  <c r="W805" i="1"/>
  <c r="Y805" i="1"/>
  <c r="C805" i="9" s="1"/>
  <c r="D805" i="9" s="1"/>
  <c r="Z805" i="1"/>
  <c r="U806" i="1"/>
  <c r="W806" i="1"/>
  <c r="Y806" i="1"/>
  <c r="C806" i="9" s="1"/>
  <c r="D806" i="9" s="1"/>
  <c r="Z806" i="1"/>
  <c r="U807" i="1"/>
  <c r="W807" i="1"/>
  <c r="Y807" i="1"/>
  <c r="C807" i="9" s="1"/>
  <c r="D807" i="9" s="1"/>
  <c r="Z807" i="1"/>
  <c r="U808" i="1"/>
  <c r="W808" i="1"/>
  <c r="Y808" i="1"/>
  <c r="C808" i="9" s="1"/>
  <c r="D808" i="9" s="1"/>
  <c r="Z808" i="1"/>
  <c r="U809" i="1"/>
  <c r="W809" i="1"/>
  <c r="Y809" i="1"/>
  <c r="C809" i="9" s="1"/>
  <c r="D809" i="9" s="1"/>
  <c r="Z809" i="1"/>
  <c r="U810" i="1"/>
  <c r="W810" i="1"/>
  <c r="Y810" i="1"/>
  <c r="C810" i="9" s="1"/>
  <c r="D810" i="9" s="1"/>
  <c r="Z810" i="1"/>
  <c r="U811" i="1"/>
  <c r="W811" i="1"/>
  <c r="Y811" i="1"/>
  <c r="C811" i="9" s="1"/>
  <c r="D811" i="9" s="1"/>
  <c r="Z811" i="1"/>
  <c r="U812" i="1"/>
  <c r="W812" i="1"/>
  <c r="Y812" i="1"/>
  <c r="C812" i="9" s="1"/>
  <c r="D812" i="9" s="1"/>
  <c r="Z812" i="1"/>
  <c r="U813" i="1"/>
  <c r="W813" i="1"/>
  <c r="Y813" i="1"/>
  <c r="C813" i="9" s="1"/>
  <c r="D813" i="9" s="1"/>
  <c r="Z813" i="1"/>
  <c r="U814" i="1"/>
  <c r="W814" i="1"/>
  <c r="Y814" i="1"/>
  <c r="C814" i="9" s="1"/>
  <c r="D814" i="9" s="1"/>
  <c r="Z814" i="1"/>
  <c r="U815" i="1"/>
  <c r="W815" i="1"/>
  <c r="Y815" i="1"/>
  <c r="C815" i="9" s="1"/>
  <c r="D815" i="9" s="1"/>
  <c r="Z815" i="1"/>
  <c r="U816" i="1"/>
  <c r="W816" i="1"/>
  <c r="Y816" i="1"/>
  <c r="C816" i="9" s="1"/>
  <c r="D816" i="9" s="1"/>
  <c r="Z816" i="1"/>
  <c r="U817" i="1"/>
  <c r="W817" i="1"/>
  <c r="Y817" i="1"/>
  <c r="C817" i="9" s="1"/>
  <c r="D817" i="9" s="1"/>
  <c r="Z817" i="1"/>
  <c r="U818" i="1"/>
  <c r="W818" i="1"/>
  <c r="Y818" i="1"/>
  <c r="C818" i="9" s="1"/>
  <c r="D818" i="9" s="1"/>
  <c r="Z818" i="1"/>
  <c r="U819" i="1"/>
  <c r="W819" i="1"/>
  <c r="Y819" i="1"/>
  <c r="C819" i="9" s="1"/>
  <c r="D819" i="9" s="1"/>
  <c r="Z819" i="1"/>
  <c r="U820" i="1"/>
  <c r="W820" i="1"/>
  <c r="Y820" i="1"/>
  <c r="C820" i="9" s="1"/>
  <c r="D820" i="9" s="1"/>
  <c r="Z820" i="1"/>
  <c r="U821" i="1"/>
  <c r="W821" i="1"/>
  <c r="Y821" i="1"/>
  <c r="C821" i="9" s="1"/>
  <c r="D821" i="9" s="1"/>
  <c r="Z821" i="1"/>
  <c r="U822" i="1"/>
  <c r="W822" i="1"/>
  <c r="Y822" i="1"/>
  <c r="C822" i="9" s="1"/>
  <c r="D822" i="9" s="1"/>
  <c r="Z822" i="1"/>
  <c r="U823" i="1"/>
  <c r="W823" i="1"/>
  <c r="Y823" i="1"/>
  <c r="C823" i="9" s="1"/>
  <c r="D823" i="9" s="1"/>
  <c r="Z823" i="1"/>
  <c r="U824" i="1"/>
  <c r="W824" i="1"/>
  <c r="Y824" i="1"/>
  <c r="C824" i="9" s="1"/>
  <c r="D824" i="9" s="1"/>
  <c r="Z824" i="1"/>
  <c r="U825" i="1"/>
  <c r="W825" i="1"/>
  <c r="Y825" i="1"/>
  <c r="C825" i="9" s="1"/>
  <c r="D825" i="9" s="1"/>
  <c r="Z825" i="1"/>
  <c r="U826" i="1"/>
  <c r="W826" i="1"/>
  <c r="Y826" i="1"/>
  <c r="C826" i="9" s="1"/>
  <c r="D826" i="9" s="1"/>
  <c r="Z826" i="1"/>
  <c r="U827" i="1"/>
  <c r="W827" i="1"/>
  <c r="Y827" i="1"/>
  <c r="C827" i="9" s="1"/>
  <c r="D827" i="9" s="1"/>
  <c r="Z827" i="1"/>
  <c r="U828" i="1"/>
  <c r="W828" i="1"/>
  <c r="Y828" i="1"/>
  <c r="C828" i="9" s="1"/>
  <c r="D828" i="9" s="1"/>
  <c r="Z828" i="1"/>
  <c r="U829" i="1"/>
  <c r="W829" i="1"/>
  <c r="Y829" i="1"/>
  <c r="C829" i="9" s="1"/>
  <c r="D829" i="9" s="1"/>
  <c r="Z829" i="1"/>
  <c r="U830" i="1"/>
  <c r="W830" i="1"/>
  <c r="Y830" i="1"/>
  <c r="C830" i="9" s="1"/>
  <c r="D830" i="9" s="1"/>
  <c r="Z830" i="1"/>
  <c r="U831" i="1"/>
  <c r="W831" i="1"/>
  <c r="Y831" i="1"/>
  <c r="C831" i="9" s="1"/>
  <c r="D831" i="9" s="1"/>
  <c r="Z831" i="1"/>
  <c r="U832" i="1"/>
  <c r="W832" i="1"/>
  <c r="Y832" i="1"/>
  <c r="C832" i="9" s="1"/>
  <c r="D832" i="9" s="1"/>
  <c r="Z832" i="1"/>
  <c r="U833" i="1"/>
  <c r="W833" i="1"/>
  <c r="Y833" i="1"/>
  <c r="C833" i="9" s="1"/>
  <c r="D833" i="9" s="1"/>
  <c r="Z833" i="1"/>
  <c r="U834" i="1"/>
  <c r="W834" i="1"/>
  <c r="Y834" i="1"/>
  <c r="C834" i="9" s="1"/>
  <c r="D834" i="9" s="1"/>
  <c r="Z834" i="1"/>
  <c r="U835" i="1"/>
  <c r="W835" i="1"/>
  <c r="Y835" i="1"/>
  <c r="C835" i="9" s="1"/>
  <c r="D835" i="9" s="1"/>
  <c r="Z835" i="1"/>
  <c r="U836" i="1"/>
  <c r="W836" i="1"/>
  <c r="Y836" i="1"/>
  <c r="C836" i="9" s="1"/>
  <c r="D836" i="9" s="1"/>
  <c r="Z836" i="1"/>
  <c r="U837" i="1"/>
  <c r="W837" i="1"/>
  <c r="Y837" i="1"/>
  <c r="C837" i="9" s="1"/>
  <c r="D837" i="9" s="1"/>
  <c r="Z837" i="1"/>
  <c r="U838" i="1"/>
  <c r="W838" i="1"/>
  <c r="Y838" i="1"/>
  <c r="C838" i="9" s="1"/>
  <c r="D838" i="9" s="1"/>
  <c r="Z838" i="1"/>
  <c r="U839" i="1"/>
  <c r="W839" i="1"/>
  <c r="Y839" i="1"/>
  <c r="C839" i="9" s="1"/>
  <c r="D839" i="9" s="1"/>
  <c r="Z839" i="1"/>
  <c r="U840" i="1"/>
  <c r="W840" i="1"/>
  <c r="Y840" i="1"/>
  <c r="C840" i="9" s="1"/>
  <c r="D840" i="9" s="1"/>
  <c r="Z840" i="1"/>
  <c r="U841" i="1"/>
  <c r="W841" i="1"/>
  <c r="Y841" i="1"/>
  <c r="C841" i="9" s="1"/>
  <c r="D841" i="9" s="1"/>
  <c r="Z841" i="1"/>
  <c r="U842" i="1"/>
  <c r="W842" i="1"/>
  <c r="Y842" i="1"/>
  <c r="C842" i="9" s="1"/>
  <c r="D842" i="9" s="1"/>
  <c r="Z842" i="1"/>
  <c r="U843" i="1"/>
  <c r="W843" i="1"/>
  <c r="Y843" i="1"/>
  <c r="C843" i="9" s="1"/>
  <c r="D843" i="9" s="1"/>
  <c r="Z843" i="1"/>
  <c r="U844" i="1"/>
  <c r="W844" i="1"/>
  <c r="Y844" i="1"/>
  <c r="C844" i="9" s="1"/>
  <c r="D844" i="9" s="1"/>
  <c r="Z844" i="1"/>
  <c r="U845" i="1"/>
  <c r="W845" i="1"/>
  <c r="Y845" i="1"/>
  <c r="C845" i="9" s="1"/>
  <c r="D845" i="9" s="1"/>
  <c r="Z845" i="1"/>
  <c r="U846" i="1"/>
  <c r="W846" i="1"/>
  <c r="Y846" i="1"/>
  <c r="C846" i="9" s="1"/>
  <c r="D846" i="9" s="1"/>
  <c r="Z846" i="1"/>
  <c r="U847" i="1"/>
  <c r="W847" i="1"/>
  <c r="Y847" i="1"/>
  <c r="C847" i="9" s="1"/>
  <c r="D847" i="9" s="1"/>
  <c r="Z847" i="1"/>
  <c r="U848" i="1"/>
  <c r="W848" i="1"/>
  <c r="Y848" i="1"/>
  <c r="C848" i="9" s="1"/>
  <c r="D848" i="9" s="1"/>
  <c r="Z848" i="1"/>
  <c r="U849" i="1"/>
  <c r="W849" i="1"/>
  <c r="Y849" i="1"/>
  <c r="C849" i="9" s="1"/>
  <c r="D849" i="9" s="1"/>
  <c r="Z849" i="1"/>
  <c r="U850" i="1"/>
  <c r="W850" i="1"/>
  <c r="Y850" i="1"/>
  <c r="C850" i="9" s="1"/>
  <c r="D850" i="9" s="1"/>
  <c r="Z850" i="1"/>
  <c r="U851" i="1"/>
  <c r="W851" i="1"/>
  <c r="Y851" i="1"/>
  <c r="C851" i="9" s="1"/>
  <c r="D851" i="9" s="1"/>
  <c r="Z851" i="1"/>
  <c r="U852" i="1"/>
  <c r="W852" i="1"/>
  <c r="Y852" i="1"/>
  <c r="C852" i="9" s="1"/>
  <c r="D852" i="9" s="1"/>
  <c r="Z852" i="1"/>
  <c r="U853" i="1"/>
  <c r="W853" i="1"/>
  <c r="Y853" i="1"/>
  <c r="C853" i="9" s="1"/>
  <c r="D853" i="9" s="1"/>
  <c r="Z853" i="1"/>
  <c r="U854" i="1"/>
  <c r="W854" i="1"/>
  <c r="Y854" i="1"/>
  <c r="C854" i="9" s="1"/>
  <c r="D854" i="9" s="1"/>
  <c r="Z854" i="1"/>
  <c r="U855" i="1"/>
  <c r="W855" i="1"/>
  <c r="Y855" i="1"/>
  <c r="C855" i="9" s="1"/>
  <c r="D855" i="9" s="1"/>
  <c r="Z855" i="1"/>
  <c r="U856" i="1"/>
  <c r="W856" i="1"/>
  <c r="Y856" i="1"/>
  <c r="C856" i="9" s="1"/>
  <c r="D856" i="9" s="1"/>
  <c r="Z856" i="1"/>
  <c r="U857" i="1"/>
  <c r="W857" i="1"/>
  <c r="Y857" i="1"/>
  <c r="C857" i="9" s="1"/>
  <c r="D857" i="9" s="1"/>
  <c r="Z857" i="1"/>
  <c r="U858" i="1"/>
  <c r="W858" i="1"/>
  <c r="Y858" i="1"/>
  <c r="C858" i="9" s="1"/>
  <c r="D858" i="9" s="1"/>
  <c r="Z858" i="1"/>
  <c r="U859" i="1"/>
  <c r="W859" i="1"/>
  <c r="Y859" i="1"/>
  <c r="C859" i="9" s="1"/>
  <c r="D859" i="9" s="1"/>
  <c r="Z859" i="1"/>
  <c r="U860" i="1"/>
  <c r="W860" i="1"/>
  <c r="Y860" i="1"/>
  <c r="C860" i="9" s="1"/>
  <c r="D860" i="9" s="1"/>
  <c r="Z860" i="1"/>
  <c r="U861" i="1"/>
  <c r="W861" i="1"/>
  <c r="Y861" i="1"/>
  <c r="C861" i="9" s="1"/>
  <c r="D861" i="9" s="1"/>
  <c r="Z861" i="1"/>
  <c r="U862" i="1"/>
  <c r="W862" i="1"/>
  <c r="Y862" i="1"/>
  <c r="C862" i="9" s="1"/>
  <c r="D862" i="9" s="1"/>
  <c r="Z862" i="1"/>
  <c r="U863" i="1"/>
  <c r="W863" i="1"/>
  <c r="Y863" i="1"/>
  <c r="C863" i="9" s="1"/>
  <c r="D863" i="9" s="1"/>
  <c r="Z863" i="1"/>
  <c r="U864" i="1"/>
  <c r="W864" i="1"/>
  <c r="Y864" i="1"/>
  <c r="C864" i="9" s="1"/>
  <c r="D864" i="9" s="1"/>
  <c r="Z864" i="1"/>
  <c r="U865" i="1"/>
  <c r="W865" i="1"/>
  <c r="Y865" i="1"/>
  <c r="C865" i="9" s="1"/>
  <c r="D865" i="9" s="1"/>
  <c r="Z865" i="1"/>
  <c r="U866" i="1"/>
  <c r="W866" i="1"/>
  <c r="Y866" i="1"/>
  <c r="C866" i="9" s="1"/>
  <c r="D866" i="9" s="1"/>
  <c r="Z866" i="1"/>
  <c r="U867" i="1"/>
  <c r="W867" i="1"/>
  <c r="Y867" i="1"/>
  <c r="C867" i="9" s="1"/>
  <c r="D867" i="9" s="1"/>
  <c r="Z867" i="1"/>
  <c r="U868" i="1"/>
  <c r="W868" i="1"/>
  <c r="Y868" i="1"/>
  <c r="C868" i="9" s="1"/>
  <c r="D868" i="9" s="1"/>
  <c r="Z868" i="1"/>
  <c r="U869" i="1"/>
  <c r="W869" i="1"/>
  <c r="Y869" i="1"/>
  <c r="C869" i="9" s="1"/>
  <c r="D869" i="9" s="1"/>
  <c r="Z869" i="1"/>
  <c r="U870" i="1"/>
  <c r="W870" i="1"/>
  <c r="Y870" i="1"/>
  <c r="C870" i="9" s="1"/>
  <c r="D870" i="9" s="1"/>
  <c r="Z870" i="1"/>
  <c r="U871" i="1"/>
  <c r="W871" i="1"/>
  <c r="Y871" i="1"/>
  <c r="C871" i="9" s="1"/>
  <c r="D871" i="9" s="1"/>
  <c r="Z871" i="1"/>
  <c r="U872" i="1"/>
  <c r="W872" i="1"/>
  <c r="Y872" i="1"/>
  <c r="C872" i="9" s="1"/>
  <c r="D872" i="9" s="1"/>
  <c r="Z872" i="1"/>
  <c r="U873" i="1"/>
  <c r="W873" i="1"/>
  <c r="Y873" i="1"/>
  <c r="C873" i="9" s="1"/>
  <c r="D873" i="9" s="1"/>
  <c r="Z873" i="1"/>
  <c r="U874" i="1"/>
  <c r="W874" i="1"/>
  <c r="Y874" i="1"/>
  <c r="C874" i="9" s="1"/>
  <c r="D874" i="9" s="1"/>
  <c r="Z874" i="1"/>
  <c r="U875" i="1"/>
  <c r="W875" i="1"/>
  <c r="Y875" i="1"/>
  <c r="C875" i="9" s="1"/>
  <c r="D875" i="9" s="1"/>
  <c r="Z875" i="1"/>
  <c r="U876" i="1"/>
  <c r="W876" i="1"/>
  <c r="Y876" i="1"/>
  <c r="C876" i="9" s="1"/>
  <c r="D876" i="9" s="1"/>
  <c r="Z876" i="1"/>
  <c r="U877" i="1"/>
  <c r="W877" i="1"/>
  <c r="Y877" i="1"/>
  <c r="C877" i="9" s="1"/>
  <c r="D877" i="9" s="1"/>
  <c r="Z877" i="1"/>
  <c r="U878" i="1"/>
  <c r="W878" i="1"/>
  <c r="Y878" i="1"/>
  <c r="C878" i="9" s="1"/>
  <c r="D878" i="9" s="1"/>
  <c r="Z878" i="1"/>
  <c r="U879" i="1"/>
  <c r="W879" i="1"/>
  <c r="Y879" i="1"/>
  <c r="C879" i="9" s="1"/>
  <c r="D879" i="9" s="1"/>
  <c r="Z879" i="1"/>
  <c r="U880" i="1"/>
  <c r="W880" i="1"/>
  <c r="Y880" i="1"/>
  <c r="C880" i="9" s="1"/>
  <c r="D880" i="9" s="1"/>
  <c r="Z880" i="1"/>
  <c r="U881" i="1"/>
  <c r="W881" i="1"/>
  <c r="Y881" i="1"/>
  <c r="C881" i="9" s="1"/>
  <c r="D881" i="9" s="1"/>
  <c r="Z881" i="1"/>
  <c r="U882" i="1"/>
  <c r="W882" i="1"/>
  <c r="Y882" i="1"/>
  <c r="C882" i="9" s="1"/>
  <c r="D882" i="9" s="1"/>
  <c r="Z882" i="1"/>
  <c r="U883" i="1"/>
  <c r="W883" i="1"/>
  <c r="Y883" i="1"/>
  <c r="C883" i="9" s="1"/>
  <c r="D883" i="9" s="1"/>
  <c r="Z883" i="1"/>
  <c r="U884" i="1"/>
  <c r="W884" i="1"/>
  <c r="Y884" i="1"/>
  <c r="C884" i="9" s="1"/>
  <c r="D884" i="9" s="1"/>
  <c r="Z884" i="1"/>
  <c r="U885" i="1"/>
  <c r="W885" i="1"/>
  <c r="Y885" i="1"/>
  <c r="C885" i="9" s="1"/>
  <c r="D885" i="9" s="1"/>
  <c r="Z885" i="1"/>
  <c r="U886" i="1"/>
  <c r="W886" i="1"/>
  <c r="Y886" i="1"/>
  <c r="C886" i="9" s="1"/>
  <c r="D886" i="9" s="1"/>
  <c r="Z886" i="1"/>
  <c r="U887" i="1"/>
  <c r="W887" i="1"/>
  <c r="Y887" i="1"/>
  <c r="C887" i="9" s="1"/>
  <c r="D887" i="9" s="1"/>
  <c r="Z887" i="1"/>
  <c r="U888" i="1"/>
  <c r="W888" i="1"/>
  <c r="Y888" i="1"/>
  <c r="C888" i="9" s="1"/>
  <c r="D888" i="9" s="1"/>
  <c r="Z888" i="1"/>
  <c r="U889" i="1"/>
  <c r="W889" i="1"/>
  <c r="Y889" i="1"/>
  <c r="C889" i="9" s="1"/>
  <c r="D889" i="9" s="1"/>
  <c r="Z889" i="1"/>
  <c r="U890" i="1"/>
  <c r="W890" i="1"/>
  <c r="Y890" i="1"/>
  <c r="C890" i="9" s="1"/>
  <c r="D890" i="9" s="1"/>
  <c r="Z890" i="1"/>
  <c r="U891" i="1"/>
  <c r="W891" i="1"/>
  <c r="Y891" i="1"/>
  <c r="C891" i="9" s="1"/>
  <c r="D891" i="9" s="1"/>
  <c r="Z891" i="1"/>
  <c r="U892" i="1"/>
  <c r="W892" i="1"/>
  <c r="Y892" i="1"/>
  <c r="C892" i="9" s="1"/>
  <c r="D892" i="9" s="1"/>
  <c r="Z892" i="1"/>
  <c r="U893" i="1"/>
  <c r="W893" i="1"/>
  <c r="Y893" i="1"/>
  <c r="C893" i="9" s="1"/>
  <c r="D893" i="9" s="1"/>
  <c r="Z893" i="1"/>
  <c r="U894" i="1"/>
  <c r="W894" i="1"/>
  <c r="Y894" i="1"/>
  <c r="C894" i="9" s="1"/>
  <c r="D894" i="9" s="1"/>
  <c r="Z894" i="1"/>
  <c r="U895" i="1"/>
  <c r="W895" i="1"/>
  <c r="Y895" i="1"/>
  <c r="C895" i="9" s="1"/>
  <c r="D895" i="9" s="1"/>
  <c r="Z895" i="1"/>
  <c r="U896" i="1"/>
  <c r="W896" i="1"/>
  <c r="Y896" i="1"/>
  <c r="C896" i="9" s="1"/>
  <c r="D896" i="9" s="1"/>
  <c r="Z896" i="1"/>
  <c r="U897" i="1"/>
  <c r="W897" i="1"/>
  <c r="Y897" i="1"/>
  <c r="C897" i="9" s="1"/>
  <c r="D897" i="9" s="1"/>
  <c r="Z897" i="1"/>
  <c r="U898" i="1"/>
  <c r="W898" i="1"/>
  <c r="Y898" i="1"/>
  <c r="C898" i="9" s="1"/>
  <c r="D898" i="9" s="1"/>
  <c r="Z898" i="1"/>
  <c r="U899" i="1"/>
  <c r="W899" i="1"/>
  <c r="Y899" i="1"/>
  <c r="C899" i="9" s="1"/>
  <c r="D899" i="9" s="1"/>
  <c r="Z899" i="1"/>
  <c r="U900" i="1"/>
  <c r="W900" i="1"/>
  <c r="Y900" i="1"/>
  <c r="C900" i="9" s="1"/>
  <c r="D900" i="9" s="1"/>
  <c r="Z900" i="1"/>
  <c r="U901" i="1"/>
  <c r="W901" i="1"/>
  <c r="Y901" i="1"/>
  <c r="C901" i="9" s="1"/>
  <c r="D901" i="9" s="1"/>
  <c r="Z901" i="1"/>
  <c r="U902" i="1"/>
  <c r="W902" i="1"/>
  <c r="Y902" i="1"/>
  <c r="C902" i="9" s="1"/>
  <c r="D902" i="9" s="1"/>
  <c r="Z902" i="1"/>
  <c r="U903" i="1"/>
  <c r="W903" i="1"/>
  <c r="Y903" i="1"/>
  <c r="C903" i="9" s="1"/>
  <c r="D903" i="9" s="1"/>
  <c r="Z903" i="1"/>
  <c r="U904" i="1"/>
  <c r="W904" i="1"/>
  <c r="Y904" i="1"/>
  <c r="C904" i="9" s="1"/>
  <c r="D904" i="9" s="1"/>
  <c r="Z904" i="1"/>
  <c r="U905" i="1"/>
  <c r="W905" i="1"/>
  <c r="Y905" i="1"/>
  <c r="C905" i="9" s="1"/>
  <c r="D905" i="9" s="1"/>
  <c r="Z905" i="1"/>
  <c r="U906" i="1"/>
  <c r="W906" i="1"/>
  <c r="Y906" i="1"/>
  <c r="C906" i="9" s="1"/>
  <c r="D906" i="9" s="1"/>
  <c r="Z906" i="1"/>
  <c r="U907" i="1"/>
  <c r="W907" i="1"/>
  <c r="Y907" i="1"/>
  <c r="C907" i="9" s="1"/>
  <c r="D907" i="9" s="1"/>
  <c r="Z907" i="1"/>
  <c r="U908" i="1"/>
  <c r="W908" i="1"/>
  <c r="Y908" i="1"/>
  <c r="C908" i="9" s="1"/>
  <c r="D908" i="9" s="1"/>
  <c r="Z908" i="1"/>
  <c r="U909" i="1"/>
  <c r="W909" i="1"/>
  <c r="Y909" i="1"/>
  <c r="C909" i="9" s="1"/>
  <c r="D909" i="9" s="1"/>
  <c r="Z909" i="1"/>
  <c r="U910" i="1"/>
  <c r="W910" i="1"/>
  <c r="Y910" i="1"/>
  <c r="C910" i="9" s="1"/>
  <c r="D910" i="9" s="1"/>
  <c r="Z910" i="1"/>
  <c r="U911" i="1"/>
  <c r="W911" i="1"/>
  <c r="Y911" i="1"/>
  <c r="C911" i="9" s="1"/>
  <c r="D911" i="9" s="1"/>
  <c r="Z911" i="1"/>
  <c r="U912" i="1"/>
  <c r="W912" i="1"/>
  <c r="Y912" i="1"/>
  <c r="C912" i="9" s="1"/>
  <c r="D912" i="9" s="1"/>
  <c r="Z912" i="1"/>
  <c r="U913" i="1"/>
  <c r="W913" i="1"/>
  <c r="Y913" i="1"/>
  <c r="C913" i="9" s="1"/>
  <c r="D913" i="9" s="1"/>
  <c r="Z913" i="1"/>
  <c r="U914" i="1"/>
  <c r="W914" i="1"/>
  <c r="Y914" i="1"/>
  <c r="C914" i="9" s="1"/>
  <c r="D914" i="9" s="1"/>
  <c r="Z914" i="1"/>
  <c r="U915" i="1"/>
  <c r="W915" i="1"/>
  <c r="Y915" i="1"/>
  <c r="C915" i="9" s="1"/>
  <c r="D915" i="9" s="1"/>
  <c r="Z915" i="1"/>
  <c r="U916" i="1"/>
  <c r="W916" i="1"/>
  <c r="Y916" i="1"/>
  <c r="C916" i="9" s="1"/>
  <c r="D916" i="9" s="1"/>
  <c r="Z916" i="1"/>
  <c r="U917" i="1"/>
  <c r="W917" i="1"/>
  <c r="Y917" i="1"/>
  <c r="C917" i="9" s="1"/>
  <c r="D917" i="9" s="1"/>
  <c r="Z917" i="1"/>
  <c r="U918" i="1"/>
  <c r="W918" i="1"/>
  <c r="Y918" i="1"/>
  <c r="C918" i="9" s="1"/>
  <c r="D918" i="9" s="1"/>
  <c r="Z918" i="1"/>
  <c r="U919" i="1"/>
  <c r="W919" i="1"/>
  <c r="Y919" i="1"/>
  <c r="C919" i="9" s="1"/>
  <c r="D919" i="9" s="1"/>
  <c r="Z919" i="1"/>
  <c r="U920" i="1"/>
  <c r="W920" i="1"/>
  <c r="Y920" i="1"/>
  <c r="C920" i="9" s="1"/>
  <c r="D920" i="9" s="1"/>
  <c r="Z920" i="1"/>
  <c r="U921" i="1"/>
  <c r="W921" i="1"/>
  <c r="Y921" i="1"/>
  <c r="C921" i="9" s="1"/>
  <c r="D921" i="9" s="1"/>
  <c r="Z921" i="1"/>
  <c r="U922" i="1"/>
  <c r="W922" i="1"/>
  <c r="Y922" i="1"/>
  <c r="C922" i="9" s="1"/>
  <c r="D922" i="9" s="1"/>
  <c r="Z922" i="1"/>
  <c r="U923" i="1"/>
  <c r="W923" i="1"/>
  <c r="Y923" i="1"/>
  <c r="C923" i="9" s="1"/>
  <c r="D923" i="9" s="1"/>
  <c r="Z923" i="1"/>
  <c r="U924" i="1"/>
  <c r="W924" i="1"/>
  <c r="Y924" i="1"/>
  <c r="C924" i="9" s="1"/>
  <c r="D924" i="9" s="1"/>
  <c r="Z924" i="1"/>
  <c r="U925" i="1"/>
  <c r="W925" i="1"/>
  <c r="Y925" i="1"/>
  <c r="C925" i="9" s="1"/>
  <c r="D925" i="9" s="1"/>
  <c r="Z925" i="1"/>
  <c r="U926" i="1"/>
  <c r="W926" i="1"/>
  <c r="Y926" i="1"/>
  <c r="C926" i="9" s="1"/>
  <c r="D926" i="9" s="1"/>
  <c r="Z926" i="1"/>
  <c r="U927" i="1"/>
  <c r="W927" i="1"/>
  <c r="Y927" i="1"/>
  <c r="C927" i="9" s="1"/>
  <c r="D927" i="9" s="1"/>
  <c r="Z927" i="1"/>
  <c r="U928" i="1"/>
  <c r="W928" i="1"/>
  <c r="Y928" i="1"/>
  <c r="C928" i="9" s="1"/>
  <c r="D928" i="9" s="1"/>
  <c r="Z928" i="1"/>
  <c r="U929" i="1"/>
  <c r="W929" i="1"/>
  <c r="Y929" i="1"/>
  <c r="C929" i="9" s="1"/>
  <c r="D929" i="9" s="1"/>
  <c r="Z929" i="1"/>
  <c r="U930" i="1"/>
  <c r="W930" i="1"/>
  <c r="Y930" i="1"/>
  <c r="C930" i="9" s="1"/>
  <c r="D930" i="9" s="1"/>
  <c r="Z930" i="1"/>
  <c r="U931" i="1"/>
  <c r="W931" i="1"/>
  <c r="Y931" i="1"/>
  <c r="C931" i="9" s="1"/>
  <c r="D931" i="9" s="1"/>
  <c r="Z931" i="1"/>
  <c r="U932" i="1"/>
  <c r="W932" i="1"/>
  <c r="Y932" i="1"/>
  <c r="C932" i="9" s="1"/>
  <c r="D932" i="9" s="1"/>
  <c r="Z932" i="1"/>
  <c r="U933" i="1"/>
  <c r="W933" i="1"/>
  <c r="Y933" i="1"/>
  <c r="C933" i="9" s="1"/>
  <c r="D933" i="9" s="1"/>
  <c r="Z933" i="1"/>
  <c r="U934" i="1"/>
  <c r="W934" i="1"/>
  <c r="Y934" i="1"/>
  <c r="C934" i="9" s="1"/>
  <c r="D934" i="9" s="1"/>
  <c r="Z934" i="1"/>
  <c r="U935" i="1"/>
  <c r="W935" i="1"/>
  <c r="Y935" i="1"/>
  <c r="C935" i="9" s="1"/>
  <c r="D935" i="9" s="1"/>
  <c r="Z935" i="1"/>
  <c r="U936" i="1"/>
  <c r="W936" i="1"/>
  <c r="Y936" i="1"/>
  <c r="C936" i="9" s="1"/>
  <c r="D936" i="9" s="1"/>
  <c r="Z936" i="1"/>
  <c r="U937" i="1"/>
  <c r="W937" i="1"/>
  <c r="Y937" i="1"/>
  <c r="C937" i="9" s="1"/>
  <c r="D937" i="9" s="1"/>
  <c r="Z937" i="1"/>
  <c r="U938" i="1"/>
  <c r="W938" i="1"/>
  <c r="Y938" i="1"/>
  <c r="C938" i="9" s="1"/>
  <c r="D938" i="9" s="1"/>
  <c r="Z938" i="1"/>
  <c r="U939" i="1"/>
  <c r="W939" i="1"/>
  <c r="Y939" i="1"/>
  <c r="C939" i="9" s="1"/>
  <c r="D939" i="9" s="1"/>
  <c r="Z939" i="1"/>
  <c r="U940" i="1"/>
  <c r="W940" i="1"/>
  <c r="Y940" i="1"/>
  <c r="C940" i="9" s="1"/>
  <c r="D940" i="9" s="1"/>
  <c r="Z940" i="1"/>
  <c r="U941" i="1"/>
  <c r="W941" i="1"/>
  <c r="Y941" i="1"/>
  <c r="C941" i="9" s="1"/>
  <c r="D941" i="9" s="1"/>
  <c r="Z941" i="1"/>
  <c r="U942" i="1"/>
  <c r="W942" i="1"/>
  <c r="Y942" i="1"/>
  <c r="C942" i="9" s="1"/>
  <c r="D942" i="9" s="1"/>
  <c r="Z942" i="1"/>
  <c r="U943" i="1"/>
  <c r="W943" i="1"/>
  <c r="Y943" i="1"/>
  <c r="C943" i="9" s="1"/>
  <c r="D943" i="9" s="1"/>
  <c r="Z943" i="1"/>
  <c r="U944" i="1"/>
  <c r="W944" i="1"/>
  <c r="Y944" i="1"/>
  <c r="C944" i="9" s="1"/>
  <c r="D944" i="9" s="1"/>
  <c r="Z944" i="1"/>
  <c r="U945" i="1"/>
  <c r="W945" i="1"/>
  <c r="Y945" i="1"/>
  <c r="C945" i="9" s="1"/>
  <c r="D945" i="9" s="1"/>
  <c r="Z945" i="1"/>
  <c r="U946" i="1"/>
  <c r="W946" i="1"/>
  <c r="Y946" i="1"/>
  <c r="C946" i="9" s="1"/>
  <c r="D946" i="9" s="1"/>
  <c r="Z946" i="1"/>
  <c r="U947" i="1"/>
  <c r="W947" i="1"/>
  <c r="Y947" i="1"/>
  <c r="C947" i="9" s="1"/>
  <c r="D947" i="9" s="1"/>
  <c r="Z947" i="1"/>
  <c r="U948" i="1"/>
  <c r="W948" i="1"/>
  <c r="Y948" i="1"/>
  <c r="C948" i="9" s="1"/>
  <c r="D948" i="9" s="1"/>
  <c r="Z948" i="1"/>
  <c r="U949" i="1"/>
  <c r="W949" i="1"/>
  <c r="Y949" i="1"/>
  <c r="C949" i="9" s="1"/>
  <c r="D949" i="9" s="1"/>
  <c r="Z949" i="1"/>
  <c r="U950" i="1"/>
  <c r="W950" i="1"/>
  <c r="Y950" i="1"/>
  <c r="C950" i="9" s="1"/>
  <c r="D950" i="9" s="1"/>
  <c r="Z950" i="1"/>
  <c r="U951" i="1"/>
  <c r="W951" i="1"/>
  <c r="Y951" i="1"/>
  <c r="C951" i="9" s="1"/>
  <c r="D951" i="9" s="1"/>
  <c r="Z951" i="1"/>
  <c r="U952" i="1"/>
  <c r="W952" i="1"/>
  <c r="Y952" i="1"/>
  <c r="C952" i="9" s="1"/>
  <c r="D952" i="9" s="1"/>
  <c r="Z952" i="1"/>
  <c r="U953" i="1"/>
  <c r="W953" i="1"/>
  <c r="Y953" i="1"/>
  <c r="C953" i="9" s="1"/>
  <c r="D953" i="9" s="1"/>
  <c r="Z953" i="1"/>
  <c r="U954" i="1"/>
  <c r="W954" i="1"/>
  <c r="Y954" i="1"/>
  <c r="C954" i="9" s="1"/>
  <c r="D954" i="9" s="1"/>
  <c r="Z954" i="1"/>
  <c r="U955" i="1"/>
  <c r="W955" i="1"/>
  <c r="Y955" i="1"/>
  <c r="C955" i="9" s="1"/>
  <c r="D955" i="9" s="1"/>
  <c r="Z955" i="1"/>
  <c r="U956" i="1"/>
  <c r="W956" i="1"/>
  <c r="Y956" i="1"/>
  <c r="C956" i="9" s="1"/>
  <c r="D956" i="9" s="1"/>
  <c r="Z956" i="1"/>
  <c r="U957" i="1"/>
  <c r="W957" i="1"/>
  <c r="Y957" i="1"/>
  <c r="C957" i="9" s="1"/>
  <c r="D957" i="9" s="1"/>
  <c r="Z957" i="1"/>
  <c r="U958" i="1"/>
  <c r="W958" i="1"/>
  <c r="Y958" i="1"/>
  <c r="C958" i="9" s="1"/>
  <c r="D958" i="9" s="1"/>
  <c r="Z958" i="1"/>
  <c r="U959" i="1"/>
  <c r="W959" i="1"/>
  <c r="Y959" i="1"/>
  <c r="C959" i="9" s="1"/>
  <c r="D959" i="9" s="1"/>
  <c r="Z959" i="1"/>
  <c r="U960" i="1"/>
  <c r="W960" i="1"/>
  <c r="Y960" i="1"/>
  <c r="C960" i="9" s="1"/>
  <c r="D960" i="9" s="1"/>
  <c r="Z960" i="1"/>
  <c r="U961" i="1"/>
  <c r="W961" i="1"/>
  <c r="Y961" i="1"/>
  <c r="C961" i="9" s="1"/>
  <c r="D961" i="9" s="1"/>
  <c r="Z961" i="1"/>
  <c r="U962" i="1"/>
  <c r="W962" i="1"/>
  <c r="Y962" i="1"/>
  <c r="C962" i="9" s="1"/>
  <c r="D962" i="9" s="1"/>
  <c r="Z962" i="1"/>
  <c r="U963" i="1"/>
  <c r="W963" i="1"/>
  <c r="Y963" i="1"/>
  <c r="C963" i="9" s="1"/>
  <c r="D963" i="9" s="1"/>
  <c r="Z963" i="1"/>
  <c r="U964" i="1"/>
  <c r="W964" i="1"/>
  <c r="Y964" i="1"/>
  <c r="C964" i="9" s="1"/>
  <c r="D964" i="9" s="1"/>
  <c r="Z964" i="1"/>
  <c r="U965" i="1"/>
  <c r="W965" i="1"/>
  <c r="Y965" i="1"/>
  <c r="C965" i="9" s="1"/>
  <c r="D965" i="9" s="1"/>
  <c r="Z965" i="1"/>
  <c r="U966" i="1"/>
  <c r="W966" i="1"/>
  <c r="Y966" i="1"/>
  <c r="C966" i="9" s="1"/>
  <c r="D966" i="9" s="1"/>
  <c r="Z966" i="1"/>
  <c r="U967" i="1"/>
  <c r="W967" i="1"/>
  <c r="Y967" i="1"/>
  <c r="C967" i="9" s="1"/>
  <c r="D967" i="9" s="1"/>
  <c r="Z967" i="1"/>
  <c r="U968" i="1"/>
  <c r="W968" i="1"/>
  <c r="Y968" i="1"/>
  <c r="C968" i="9" s="1"/>
  <c r="D968" i="9" s="1"/>
  <c r="Z968" i="1"/>
  <c r="U969" i="1"/>
  <c r="W969" i="1"/>
  <c r="Y969" i="1"/>
  <c r="C969" i="9" s="1"/>
  <c r="D969" i="9" s="1"/>
  <c r="Z969" i="1"/>
  <c r="U970" i="1"/>
  <c r="W970" i="1"/>
  <c r="Y970" i="1"/>
  <c r="C970" i="9" s="1"/>
  <c r="D970" i="9" s="1"/>
  <c r="Z970" i="1"/>
  <c r="U971" i="1"/>
  <c r="W971" i="1"/>
  <c r="Y971" i="1"/>
  <c r="C971" i="9" s="1"/>
  <c r="D971" i="9" s="1"/>
  <c r="Z971" i="1"/>
  <c r="U972" i="1"/>
  <c r="W972" i="1"/>
  <c r="Y972" i="1"/>
  <c r="C972" i="9" s="1"/>
  <c r="D972" i="9" s="1"/>
  <c r="Z972" i="1"/>
  <c r="U973" i="1"/>
  <c r="W973" i="1"/>
  <c r="Y973" i="1"/>
  <c r="C973" i="9" s="1"/>
  <c r="D973" i="9" s="1"/>
  <c r="Z973" i="1"/>
  <c r="U974" i="1"/>
  <c r="W974" i="1"/>
  <c r="Y974" i="1"/>
  <c r="C974" i="9" s="1"/>
  <c r="D974" i="9" s="1"/>
  <c r="Z974" i="1"/>
  <c r="U975" i="1"/>
  <c r="W975" i="1"/>
  <c r="Y975" i="1"/>
  <c r="C975" i="9" s="1"/>
  <c r="D975" i="9" s="1"/>
  <c r="Z975" i="1"/>
  <c r="U976" i="1"/>
  <c r="W976" i="1"/>
  <c r="Y976" i="1"/>
  <c r="C976" i="9" s="1"/>
  <c r="D976" i="9" s="1"/>
  <c r="Z976" i="1"/>
  <c r="U977" i="1"/>
  <c r="W977" i="1"/>
  <c r="Y977" i="1"/>
  <c r="C977" i="9" s="1"/>
  <c r="D977" i="9" s="1"/>
  <c r="Z977" i="1"/>
  <c r="U978" i="1"/>
  <c r="W978" i="1"/>
  <c r="Y978" i="1"/>
  <c r="C978" i="9" s="1"/>
  <c r="D978" i="9" s="1"/>
  <c r="Z978" i="1"/>
  <c r="U979" i="1"/>
  <c r="W979" i="1"/>
  <c r="Y979" i="1"/>
  <c r="C979" i="9" s="1"/>
  <c r="D979" i="9" s="1"/>
  <c r="Z979" i="1"/>
  <c r="U980" i="1"/>
  <c r="W980" i="1"/>
  <c r="Y980" i="1"/>
  <c r="C980" i="9" s="1"/>
  <c r="D980" i="9" s="1"/>
  <c r="Z980" i="1"/>
  <c r="U981" i="1"/>
  <c r="W981" i="1"/>
  <c r="Y981" i="1"/>
  <c r="C981" i="9" s="1"/>
  <c r="D981" i="9" s="1"/>
  <c r="Z981" i="1"/>
  <c r="U982" i="1"/>
  <c r="W982" i="1"/>
  <c r="Y982" i="1"/>
  <c r="C982" i="9" s="1"/>
  <c r="D982" i="9" s="1"/>
  <c r="Z982" i="1"/>
  <c r="U983" i="1"/>
  <c r="W983" i="1"/>
  <c r="Y983" i="1"/>
  <c r="C983" i="9" s="1"/>
  <c r="D983" i="9" s="1"/>
  <c r="Z983" i="1"/>
  <c r="U984" i="1"/>
  <c r="W984" i="1"/>
  <c r="Y984" i="1"/>
  <c r="C984" i="9" s="1"/>
  <c r="D984" i="9" s="1"/>
  <c r="Z984" i="1"/>
  <c r="U985" i="1"/>
  <c r="W985" i="1"/>
  <c r="Y985" i="1"/>
  <c r="C985" i="9" s="1"/>
  <c r="D985" i="9" s="1"/>
  <c r="Z985" i="1"/>
  <c r="U986" i="1"/>
  <c r="W986" i="1"/>
  <c r="Y986" i="1"/>
  <c r="C986" i="9" s="1"/>
  <c r="D986" i="9" s="1"/>
  <c r="Z986" i="1"/>
  <c r="U987" i="1"/>
  <c r="W987" i="1"/>
  <c r="Y987" i="1"/>
  <c r="C987" i="9" s="1"/>
  <c r="D987" i="9" s="1"/>
  <c r="Z987" i="1"/>
  <c r="U988" i="1"/>
  <c r="W988" i="1"/>
  <c r="Y988" i="1"/>
  <c r="C988" i="9" s="1"/>
  <c r="D988" i="9" s="1"/>
  <c r="Z988" i="1"/>
  <c r="U989" i="1"/>
  <c r="W989" i="1"/>
  <c r="Y989" i="1"/>
  <c r="C989" i="9" s="1"/>
  <c r="D989" i="9" s="1"/>
  <c r="Z989" i="1"/>
  <c r="U990" i="1"/>
  <c r="W990" i="1"/>
  <c r="Y990" i="1"/>
  <c r="C990" i="9" s="1"/>
  <c r="D990" i="9" s="1"/>
  <c r="Z990" i="1"/>
  <c r="U991" i="1"/>
  <c r="W991" i="1"/>
  <c r="Y991" i="1"/>
  <c r="C991" i="9" s="1"/>
  <c r="D991" i="9" s="1"/>
  <c r="Z991" i="1"/>
  <c r="U992" i="1"/>
  <c r="W992" i="1"/>
  <c r="Y992" i="1"/>
  <c r="C992" i="9" s="1"/>
  <c r="D992" i="9" s="1"/>
  <c r="Z992" i="1"/>
  <c r="U993" i="1"/>
  <c r="W993" i="1"/>
  <c r="Y993" i="1"/>
  <c r="C993" i="9" s="1"/>
  <c r="D993" i="9" s="1"/>
  <c r="Z993" i="1"/>
  <c r="U994" i="1"/>
  <c r="W994" i="1"/>
  <c r="Y994" i="1"/>
  <c r="C994" i="9" s="1"/>
  <c r="D994" i="9" s="1"/>
  <c r="Z994" i="1"/>
  <c r="U995" i="1"/>
  <c r="W995" i="1"/>
  <c r="Y995" i="1"/>
  <c r="C995" i="9" s="1"/>
  <c r="D995" i="9" s="1"/>
  <c r="Z995" i="1"/>
  <c r="U996" i="1"/>
  <c r="W996" i="1"/>
  <c r="Y996" i="1"/>
  <c r="C996" i="9" s="1"/>
  <c r="D996" i="9" s="1"/>
  <c r="Z996" i="1"/>
  <c r="U997" i="1"/>
  <c r="W997" i="1"/>
  <c r="Y997" i="1"/>
  <c r="C997" i="9" s="1"/>
  <c r="D997" i="9" s="1"/>
  <c r="Z997" i="1"/>
  <c r="U998" i="1"/>
  <c r="W998" i="1"/>
  <c r="Y998" i="1"/>
  <c r="C998" i="9" s="1"/>
  <c r="D998" i="9" s="1"/>
  <c r="Z998" i="1"/>
  <c r="U999" i="1"/>
  <c r="W999" i="1"/>
  <c r="Y999" i="1"/>
  <c r="C999" i="9" s="1"/>
  <c r="D999" i="9" s="1"/>
  <c r="Z999" i="1"/>
  <c r="U1000" i="1"/>
  <c r="W1000" i="1"/>
  <c r="Y1000" i="1"/>
  <c r="C1000" i="9" s="1"/>
  <c r="D1000" i="9" s="1"/>
  <c r="Z1000" i="1"/>
  <c r="U1001" i="1"/>
  <c r="W1001" i="1"/>
  <c r="Y1001" i="1"/>
  <c r="C1001" i="9" s="1"/>
  <c r="D1001" i="9" s="1"/>
  <c r="Z1001" i="1"/>
  <c r="U1002" i="1"/>
  <c r="W1002" i="1"/>
  <c r="Y1002" i="1"/>
  <c r="C1002" i="9" s="1"/>
  <c r="D1002" i="9" s="1"/>
  <c r="Z1002" i="1"/>
  <c r="U1003" i="1"/>
  <c r="W1003" i="1"/>
  <c r="Y1003" i="1"/>
  <c r="C1003" i="9" s="1"/>
  <c r="D1003" i="9" s="1"/>
  <c r="Z1003" i="1"/>
  <c r="U1004" i="1"/>
  <c r="W1004" i="1"/>
  <c r="Y1004" i="1"/>
  <c r="C1004" i="9" s="1"/>
  <c r="D1004" i="9" s="1"/>
  <c r="Z1004" i="1"/>
  <c r="U1005" i="1"/>
  <c r="W1005" i="1"/>
  <c r="Y1005" i="1"/>
  <c r="C1005" i="9" s="1"/>
  <c r="D1005" i="9" s="1"/>
  <c r="Z1005" i="1"/>
  <c r="U1006" i="1"/>
  <c r="W1006" i="1"/>
  <c r="Y1006" i="1"/>
  <c r="C1006" i="9" s="1"/>
  <c r="D1006" i="9" s="1"/>
  <c r="Z1006" i="1"/>
  <c r="U1007" i="1"/>
  <c r="W1007" i="1"/>
  <c r="Y1007" i="1"/>
  <c r="C1007" i="9" s="1"/>
  <c r="D1007" i="9" s="1"/>
  <c r="Z1007" i="1"/>
  <c r="U1008" i="1"/>
  <c r="W1008" i="1"/>
  <c r="Y1008" i="1"/>
  <c r="C1008" i="9" s="1"/>
  <c r="D1008" i="9" s="1"/>
  <c r="Z1008" i="1"/>
  <c r="U1009" i="1"/>
  <c r="W1009" i="1"/>
  <c r="Y1009" i="1"/>
  <c r="C1009" i="9" s="1"/>
  <c r="D1009" i="9" s="1"/>
  <c r="Z1009" i="1"/>
  <c r="U1010" i="1"/>
  <c r="W1010" i="1"/>
  <c r="Y1010" i="1"/>
  <c r="C1010" i="9" s="1"/>
  <c r="D1010" i="9" s="1"/>
  <c r="Z1010" i="1"/>
  <c r="U1011" i="1"/>
  <c r="W1011" i="1"/>
  <c r="Y1011" i="1"/>
  <c r="C1011" i="9" s="1"/>
  <c r="D1011" i="9" s="1"/>
  <c r="Z1011" i="1"/>
  <c r="U1012" i="1"/>
  <c r="W1012" i="1"/>
  <c r="Y1012" i="1"/>
  <c r="C1012" i="9" s="1"/>
  <c r="D1012" i="9" s="1"/>
  <c r="Z1012" i="1"/>
  <c r="U1013" i="1"/>
  <c r="W1013" i="1"/>
  <c r="Y1013" i="1"/>
  <c r="C1013" i="9" s="1"/>
  <c r="D1013" i="9" s="1"/>
  <c r="Z1013" i="1"/>
  <c r="U1014" i="1"/>
  <c r="W1014" i="1"/>
  <c r="Y1014" i="1"/>
  <c r="C1014" i="9" s="1"/>
  <c r="D1014" i="9" s="1"/>
  <c r="Z1014" i="1"/>
  <c r="U1015" i="1"/>
  <c r="W1015" i="1"/>
  <c r="Y1015" i="1"/>
  <c r="C1015" i="9" s="1"/>
  <c r="D1015" i="9" s="1"/>
  <c r="Z1015" i="1"/>
  <c r="U1016" i="1"/>
  <c r="W1016" i="1"/>
  <c r="Y1016" i="1"/>
  <c r="C1016" i="9" s="1"/>
  <c r="D1016" i="9" s="1"/>
  <c r="Z1016" i="1"/>
  <c r="U1017" i="1"/>
  <c r="W1017" i="1"/>
  <c r="Y1017" i="1"/>
  <c r="C1017" i="9" s="1"/>
  <c r="D1017" i="9" s="1"/>
  <c r="Z1017" i="1"/>
  <c r="U1018" i="1"/>
  <c r="W1018" i="1"/>
  <c r="Y1018" i="1"/>
  <c r="C1018" i="9" s="1"/>
  <c r="D1018" i="9" s="1"/>
  <c r="Z1018" i="1"/>
  <c r="U1019" i="1"/>
  <c r="W1019" i="1"/>
  <c r="Y1019" i="1"/>
  <c r="C1019" i="9" s="1"/>
  <c r="D1019" i="9" s="1"/>
  <c r="Z1019" i="1"/>
  <c r="U1020" i="1"/>
  <c r="W1020" i="1"/>
  <c r="Y1020" i="1"/>
  <c r="C1020" i="9" s="1"/>
  <c r="D1020" i="9" s="1"/>
  <c r="Z1020" i="1"/>
  <c r="U1021" i="1"/>
  <c r="W1021" i="1"/>
  <c r="Y1021" i="1"/>
  <c r="C1021" i="9" s="1"/>
  <c r="D1021" i="9" s="1"/>
  <c r="Z1021" i="1"/>
  <c r="U1022" i="1"/>
  <c r="W1022" i="1"/>
  <c r="Y1022" i="1"/>
  <c r="C1022" i="9" s="1"/>
  <c r="D1022" i="9" s="1"/>
  <c r="Z1022" i="1"/>
  <c r="U1023" i="1"/>
  <c r="W1023" i="1"/>
  <c r="Y1023" i="1"/>
  <c r="C1023" i="9" s="1"/>
  <c r="D1023" i="9" s="1"/>
  <c r="Z1023" i="1"/>
  <c r="U1024" i="1"/>
  <c r="W1024" i="1"/>
  <c r="Y1024" i="1"/>
  <c r="C1024" i="9" s="1"/>
  <c r="D1024" i="9" s="1"/>
  <c r="Z1024" i="1"/>
  <c r="U1025" i="1"/>
  <c r="W1025" i="1"/>
  <c r="Y1025" i="1"/>
  <c r="C1025" i="9" s="1"/>
  <c r="D1025" i="9" s="1"/>
  <c r="Z1025" i="1"/>
  <c r="U1026" i="1"/>
  <c r="W1026" i="1"/>
  <c r="Y1026" i="1"/>
  <c r="C1026" i="9" s="1"/>
  <c r="D1026" i="9" s="1"/>
  <c r="Z1026" i="1"/>
  <c r="U1027" i="1"/>
  <c r="W1027" i="1"/>
  <c r="Y1027" i="1"/>
  <c r="C1027" i="9" s="1"/>
  <c r="D1027" i="9" s="1"/>
  <c r="Z1027" i="1"/>
  <c r="U1028" i="1"/>
  <c r="W1028" i="1"/>
  <c r="Y1028" i="1"/>
  <c r="C1028" i="9" s="1"/>
  <c r="D1028" i="9" s="1"/>
  <c r="Z1028" i="1"/>
  <c r="U1029" i="1"/>
  <c r="W1029" i="1"/>
  <c r="Y1029" i="1"/>
  <c r="C1029" i="9" s="1"/>
  <c r="D1029" i="9" s="1"/>
  <c r="Z1029" i="1"/>
  <c r="U1030" i="1"/>
  <c r="W1030" i="1"/>
  <c r="Y1030" i="1"/>
  <c r="C1030" i="9" s="1"/>
  <c r="D1030" i="9" s="1"/>
  <c r="Z1030" i="1"/>
  <c r="U1031" i="1"/>
  <c r="W1031" i="1"/>
  <c r="Y1031" i="1"/>
  <c r="C1031" i="9" s="1"/>
  <c r="D1031" i="9" s="1"/>
  <c r="Z1031" i="1"/>
  <c r="U1032" i="1"/>
  <c r="W1032" i="1"/>
  <c r="Y1032" i="1"/>
  <c r="C1032" i="9" s="1"/>
  <c r="D1032" i="9" s="1"/>
  <c r="Z1032" i="1"/>
  <c r="U1033" i="1"/>
  <c r="W1033" i="1"/>
  <c r="Y1033" i="1"/>
  <c r="C1033" i="9" s="1"/>
  <c r="D1033" i="9" s="1"/>
  <c r="Z1033" i="1"/>
  <c r="U1034" i="1"/>
  <c r="W1034" i="1"/>
  <c r="Y1034" i="1"/>
  <c r="C1034" i="9" s="1"/>
  <c r="D1034" i="9" s="1"/>
  <c r="Z1034" i="1"/>
  <c r="U1035" i="1"/>
  <c r="W1035" i="1"/>
  <c r="Y1035" i="1"/>
  <c r="C1035" i="9" s="1"/>
  <c r="D1035" i="9" s="1"/>
  <c r="Z1035" i="1"/>
  <c r="U1036" i="1"/>
  <c r="W1036" i="1"/>
  <c r="Y1036" i="1"/>
  <c r="C1036" i="9" s="1"/>
  <c r="D1036" i="9" s="1"/>
  <c r="Z1036" i="1"/>
  <c r="U1037" i="1"/>
  <c r="W1037" i="1"/>
  <c r="Y1037" i="1"/>
  <c r="C1037" i="9" s="1"/>
  <c r="D1037" i="9" s="1"/>
  <c r="Z1037" i="1"/>
  <c r="U1038" i="1"/>
  <c r="W1038" i="1"/>
  <c r="Y1038" i="1"/>
  <c r="C1038" i="9" s="1"/>
  <c r="D1038" i="9" s="1"/>
  <c r="Z1038" i="1"/>
  <c r="U1039" i="1"/>
  <c r="W1039" i="1"/>
  <c r="Y1039" i="1"/>
  <c r="C1039" i="9" s="1"/>
  <c r="D1039" i="9" s="1"/>
  <c r="Z1039" i="1"/>
  <c r="U1040" i="1"/>
  <c r="W1040" i="1"/>
  <c r="Y1040" i="1"/>
  <c r="C1040" i="9" s="1"/>
  <c r="D1040" i="9" s="1"/>
  <c r="Z1040" i="1"/>
  <c r="U1041" i="1"/>
  <c r="W1041" i="1"/>
  <c r="Y1041" i="1"/>
  <c r="C1041" i="9" s="1"/>
  <c r="D1041" i="9" s="1"/>
  <c r="Z1041" i="1"/>
  <c r="U1042" i="1"/>
  <c r="W1042" i="1"/>
  <c r="Y1042" i="1"/>
  <c r="C1042" i="9" s="1"/>
  <c r="D1042" i="9" s="1"/>
  <c r="Z1042" i="1"/>
  <c r="U1043" i="1"/>
  <c r="W1043" i="1"/>
  <c r="Y1043" i="1"/>
  <c r="C1043" i="9" s="1"/>
  <c r="D1043" i="9" s="1"/>
  <c r="Z1043" i="1"/>
  <c r="U1044" i="1"/>
  <c r="W1044" i="1"/>
  <c r="Y1044" i="1"/>
  <c r="C1044" i="9" s="1"/>
  <c r="D1044" i="9" s="1"/>
  <c r="Z1044" i="1"/>
  <c r="U1045" i="1"/>
  <c r="W1045" i="1"/>
  <c r="Y1045" i="1"/>
  <c r="C1045" i="9" s="1"/>
  <c r="D1045" i="9" s="1"/>
  <c r="Z1045" i="1"/>
  <c r="U1046" i="1"/>
  <c r="W1046" i="1"/>
  <c r="Y1046" i="1"/>
  <c r="C1046" i="9" s="1"/>
  <c r="D1046" i="9" s="1"/>
  <c r="Z1046" i="1"/>
  <c r="U1047" i="1"/>
  <c r="W1047" i="1"/>
  <c r="Y1047" i="1"/>
  <c r="C1047" i="9" s="1"/>
  <c r="D1047" i="9" s="1"/>
  <c r="Z1047" i="1"/>
  <c r="U1048" i="1"/>
  <c r="W1048" i="1"/>
  <c r="Y1048" i="1"/>
  <c r="C1048" i="9" s="1"/>
  <c r="D1048" i="9" s="1"/>
  <c r="Z1048" i="1"/>
  <c r="U1049" i="1"/>
  <c r="W1049" i="1"/>
  <c r="Y1049" i="1"/>
  <c r="C1049" i="9" s="1"/>
  <c r="D1049" i="9" s="1"/>
  <c r="Z1049" i="1"/>
  <c r="U1050" i="1"/>
  <c r="W1050" i="1"/>
  <c r="Y1050" i="1"/>
  <c r="C1050" i="9" s="1"/>
  <c r="D1050" i="9" s="1"/>
  <c r="Z1050" i="1"/>
  <c r="U1051" i="1"/>
  <c r="W1051" i="1"/>
  <c r="Y1051" i="1"/>
  <c r="C1051" i="9" s="1"/>
  <c r="D1051" i="9" s="1"/>
  <c r="Z1051" i="1"/>
  <c r="U1052" i="1"/>
  <c r="W1052" i="1"/>
  <c r="Y1052" i="1"/>
  <c r="C1052" i="9" s="1"/>
  <c r="D1052" i="9" s="1"/>
  <c r="Z1052" i="1"/>
  <c r="U1053" i="1"/>
  <c r="W1053" i="1"/>
  <c r="Y1053" i="1"/>
  <c r="C1053" i="9" s="1"/>
  <c r="D1053" i="9" s="1"/>
  <c r="Z1053" i="1"/>
  <c r="U1054" i="1"/>
  <c r="W1054" i="1"/>
  <c r="Y1054" i="1"/>
  <c r="C1054" i="9" s="1"/>
  <c r="D1054" i="9" s="1"/>
  <c r="Z1054" i="1"/>
  <c r="U1055" i="1"/>
  <c r="W1055" i="1"/>
  <c r="Y1055" i="1"/>
  <c r="C1055" i="9" s="1"/>
  <c r="D1055" i="9" s="1"/>
  <c r="Z1055" i="1"/>
  <c r="U1056" i="1"/>
  <c r="W1056" i="1"/>
  <c r="Y1056" i="1"/>
  <c r="C1056" i="9" s="1"/>
  <c r="D1056" i="9" s="1"/>
  <c r="Z1056" i="1"/>
  <c r="U1057" i="1"/>
  <c r="W1057" i="1"/>
  <c r="Y1057" i="1"/>
  <c r="C1057" i="9" s="1"/>
  <c r="D1057" i="9" s="1"/>
  <c r="Z1057" i="1"/>
  <c r="U1058" i="1"/>
  <c r="W1058" i="1"/>
  <c r="Y1058" i="1"/>
  <c r="C1058" i="9" s="1"/>
  <c r="D1058" i="9" s="1"/>
  <c r="Z1058" i="1"/>
  <c r="U1059" i="1"/>
  <c r="W1059" i="1"/>
  <c r="Y1059" i="1"/>
  <c r="C1059" i="9" s="1"/>
  <c r="D1059" i="9" s="1"/>
  <c r="Z1059" i="1"/>
  <c r="U1060" i="1"/>
  <c r="W1060" i="1"/>
  <c r="Y1060" i="1"/>
  <c r="C1060" i="9" s="1"/>
  <c r="D1060" i="9" s="1"/>
  <c r="Z1060" i="1"/>
  <c r="U1061" i="1"/>
  <c r="W1061" i="1"/>
  <c r="Y1061" i="1"/>
  <c r="C1061" i="9" s="1"/>
  <c r="D1061" i="9" s="1"/>
  <c r="Z1061" i="1"/>
  <c r="U1062" i="1"/>
  <c r="W1062" i="1"/>
  <c r="Y1062" i="1"/>
  <c r="C1062" i="9" s="1"/>
  <c r="D1062" i="9" s="1"/>
  <c r="Z1062" i="1"/>
  <c r="U1063" i="1"/>
  <c r="W1063" i="1"/>
  <c r="Y1063" i="1"/>
  <c r="C1063" i="9" s="1"/>
  <c r="D1063" i="9" s="1"/>
  <c r="Z1063" i="1"/>
  <c r="U1064" i="1"/>
  <c r="W1064" i="1"/>
  <c r="Y1064" i="1"/>
  <c r="C1064" i="9" s="1"/>
  <c r="D1064" i="9" s="1"/>
  <c r="Z1064" i="1"/>
  <c r="U1065" i="1"/>
  <c r="W1065" i="1"/>
  <c r="Y1065" i="1"/>
  <c r="C1065" i="9" s="1"/>
  <c r="D1065" i="9" s="1"/>
  <c r="Z1065" i="1"/>
  <c r="U1066" i="1"/>
  <c r="W1066" i="1"/>
  <c r="Y1066" i="1"/>
  <c r="C1066" i="9" s="1"/>
  <c r="D1066" i="9" s="1"/>
  <c r="Z1066" i="1"/>
  <c r="U1067" i="1"/>
  <c r="W1067" i="1"/>
  <c r="Y1067" i="1"/>
  <c r="C1067" i="9" s="1"/>
  <c r="D1067" i="9" s="1"/>
  <c r="Z1067" i="1"/>
  <c r="U1068" i="1"/>
  <c r="W1068" i="1"/>
  <c r="Y1068" i="1"/>
  <c r="C1068" i="9" s="1"/>
  <c r="D1068" i="9" s="1"/>
  <c r="Z1068" i="1"/>
  <c r="U1069" i="1"/>
  <c r="W1069" i="1"/>
  <c r="Y1069" i="1"/>
  <c r="C1069" i="9" s="1"/>
  <c r="D1069" i="9" s="1"/>
  <c r="Z1069" i="1"/>
  <c r="U1070" i="1"/>
  <c r="W1070" i="1"/>
  <c r="Y1070" i="1"/>
  <c r="C1070" i="9" s="1"/>
  <c r="D1070" i="9" s="1"/>
  <c r="Z1070" i="1"/>
  <c r="U1071" i="1"/>
  <c r="W1071" i="1"/>
  <c r="Y1071" i="1"/>
  <c r="C1071" i="9" s="1"/>
  <c r="D1071" i="9" s="1"/>
  <c r="Z1071" i="1"/>
  <c r="U1072" i="1"/>
  <c r="W1072" i="1"/>
  <c r="Y1072" i="1"/>
  <c r="C1072" i="9" s="1"/>
  <c r="D1072" i="9" s="1"/>
  <c r="Z1072" i="1"/>
  <c r="U1073" i="1"/>
  <c r="W1073" i="1"/>
  <c r="Y1073" i="1"/>
  <c r="C1073" i="9" s="1"/>
  <c r="D1073" i="9" s="1"/>
  <c r="Z1073" i="1"/>
  <c r="U1074" i="1"/>
  <c r="W1074" i="1"/>
  <c r="Y1074" i="1"/>
  <c r="C1074" i="9" s="1"/>
  <c r="D1074" i="9" s="1"/>
  <c r="Z1074" i="1"/>
  <c r="U1075" i="1"/>
  <c r="W1075" i="1"/>
  <c r="Y1075" i="1"/>
  <c r="C1075" i="9" s="1"/>
  <c r="D1075" i="9" s="1"/>
  <c r="Z1075" i="1"/>
  <c r="U1076" i="1"/>
  <c r="W1076" i="1"/>
  <c r="Y1076" i="1"/>
  <c r="C1076" i="9" s="1"/>
  <c r="D1076" i="9" s="1"/>
  <c r="Z1076" i="1"/>
  <c r="U1077" i="1"/>
  <c r="W1077" i="1"/>
  <c r="Y1077" i="1"/>
  <c r="C1077" i="9" s="1"/>
  <c r="D1077" i="9" s="1"/>
  <c r="Z1077" i="1"/>
  <c r="U1078" i="1"/>
  <c r="W1078" i="1"/>
  <c r="Y1078" i="1"/>
  <c r="C1078" i="9" s="1"/>
  <c r="D1078" i="9" s="1"/>
  <c r="Z1078" i="1"/>
  <c r="U1079" i="1"/>
  <c r="W1079" i="1"/>
  <c r="Y1079" i="1"/>
  <c r="C1079" i="9" s="1"/>
  <c r="D1079" i="9" s="1"/>
  <c r="Z1079" i="1"/>
  <c r="U1080" i="1"/>
  <c r="W1080" i="1"/>
  <c r="Y1080" i="1"/>
  <c r="C1080" i="9" s="1"/>
  <c r="D1080" i="9" s="1"/>
  <c r="Z1080" i="1"/>
  <c r="U1081" i="1"/>
  <c r="W1081" i="1"/>
  <c r="Y1081" i="1"/>
  <c r="C1081" i="9" s="1"/>
  <c r="D1081" i="9" s="1"/>
  <c r="Z1081" i="1"/>
  <c r="U1082" i="1"/>
  <c r="W1082" i="1"/>
  <c r="Y1082" i="1"/>
  <c r="C1082" i="9" s="1"/>
  <c r="D1082" i="9" s="1"/>
  <c r="Z1082" i="1"/>
  <c r="U1083" i="1"/>
  <c r="W1083" i="1"/>
  <c r="Y1083" i="1"/>
  <c r="C1083" i="9" s="1"/>
  <c r="D1083" i="9" s="1"/>
  <c r="Z1083" i="1"/>
  <c r="U1084" i="1"/>
  <c r="W1084" i="1"/>
  <c r="Y1084" i="1"/>
  <c r="C1084" i="9" s="1"/>
  <c r="D1084" i="9" s="1"/>
  <c r="Z1084" i="1"/>
  <c r="U1085" i="1"/>
  <c r="W1085" i="1"/>
  <c r="Y1085" i="1"/>
  <c r="C1085" i="9" s="1"/>
  <c r="D1085" i="9" s="1"/>
  <c r="Z1085" i="1"/>
  <c r="U1086" i="1"/>
  <c r="W1086" i="1"/>
  <c r="Y1086" i="1"/>
  <c r="C1086" i="9" s="1"/>
  <c r="D1086" i="9" s="1"/>
  <c r="Z1086" i="1"/>
  <c r="U1087" i="1"/>
  <c r="W1087" i="1"/>
  <c r="Y1087" i="1"/>
  <c r="C1087" i="9" s="1"/>
  <c r="D1087" i="9" s="1"/>
  <c r="Z1087" i="1"/>
  <c r="U1088" i="1"/>
  <c r="W1088" i="1"/>
  <c r="Y1088" i="1"/>
  <c r="C1088" i="9" s="1"/>
  <c r="D1088" i="9" s="1"/>
  <c r="Z1088" i="1"/>
  <c r="U1089" i="1"/>
  <c r="W1089" i="1"/>
  <c r="Y1089" i="1"/>
  <c r="C1089" i="9" s="1"/>
  <c r="D1089" i="9" s="1"/>
  <c r="Z1089" i="1"/>
  <c r="U1090" i="1"/>
  <c r="W1090" i="1"/>
  <c r="Y1090" i="1"/>
  <c r="C1090" i="9" s="1"/>
  <c r="D1090" i="9" s="1"/>
  <c r="Z1090" i="1"/>
  <c r="U1091" i="1"/>
  <c r="W1091" i="1"/>
  <c r="Y1091" i="1"/>
  <c r="C1091" i="9" s="1"/>
  <c r="D1091" i="9" s="1"/>
  <c r="Z1091" i="1"/>
  <c r="U1092" i="1"/>
  <c r="W1092" i="1"/>
  <c r="Y1092" i="1"/>
  <c r="C1092" i="9" s="1"/>
  <c r="D1092" i="9" s="1"/>
  <c r="Z1092" i="1"/>
  <c r="U1093" i="1"/>
  <c r="W1093" i="1"/>
  <c r="Y1093" i="1"/>
  <c r="C1093" i="9" s="1"/>
  <c r="D1093" i="9" s="1"/>
  <c r="Z1093" i="1"/>
  <c r="U1094" i="1"/>
  <c r="W1094" i="1"/>
  <c r="Y1094" i="1"/>
  <c r="C1094" i="9" s="1"/>
  <c r="D1094" i="9" s="1"/>
  <c r="Z1094" i="1"/>
  <c r="U1095" i="1"/>
  <c r="W1095" i="1"/>
  <c r="Y1095" i="1"/>
  <c r="C1095" i="9" s="1"/>
  <c r="D1095" i="9" s="1"/>
  <c r="Z1095" i="1"/>
  <c r="U1096" i="1"/>
  <c r="W1096" i="1"/>
  <c r="Y1096" i="1"/>
  <c r="C1096" i="9" s="1"/>
  <c r="D1096" i="9" s="1"/>
  <c r="Z1096" i="1"/>
  <c r="U1097" i="1"/>
  <c r="W1097" i="1"/>
  <c r="Y1097" i="1"/>
  <c r="C1097" i="9" s="1"/>
  <c r="D1097" i="9" s="1"/>
  <c r="Z1097" i="1"/>
  <c r="U1098" i="1"/>
  <c r="W1098" i="1"/>
  <c r="Y1098" i="1"/>
  <c r="C1098" i="9" s="1"/>
  <c r="D1098" i="9" s="1"/>
  <c r="Z1098" i="1"/>
  <c r="U1099" i="1"/>
  <c r="W1099" i="1"/>
  <c r="Y1099" i="1"/>
  <c r="C1099" i="9" s="1"/>
  <c r="D1099" i="9" s="1"/>
  <c r="Z1099" i="1"/>
  <c r="U1100" i="1"/>
  <c r="W1100" i="1"/>
  <c r="Y1100" i="1"/>
  <c r="C1100" i="9" s="1"/>
  <c r="D1100" i="9" s="1"/>
  <c r="Z1100" i="1"/>
  <c r="U1101" i="1"/>
  <c r="W1101" i="1"/>
  <c r="Y1101" i="1"/>
  <c r="C1101" i="9" s="1"/>
  <c r="D1101" i="9" s="1"/>
  <c r="Z1101" i="1"/>
  <c r="U1102" i="1"/>
  <c r="W1102" i="1"/>
  <c r="Y1102" i="1"/>
  <c r="C1102" i="9" s="1"/>
  <c r="D1102" i="9" s="1"/>
  <c r="Z1102" i="1"/>
  <c r="U1103" i="1"/>
  <c r="W1103" i="1"/>
  <c r="Y1103" i="1"/>
  <c r="C1103" i="9" s="1"/>
  <c r="D1103" i="9" s="1"/>
  <c r="Z1103" i="1"/>
  <c r="U1104" i="1"/>
  <c r="W1104" i="1"/>
  <c r="Y1104" i="1"/>
  <c r="C1104" i="9" s="1"/>
  <c r="D1104" i="9" s="1"/>
  <c r="Z1104" i="1"/>
  <c r="U1105" i="1"/>
  <c r="W1105" i="1"/>
  <c r="Y1105" i="1"/>
  <c r="C1105" i="9" s="1"/>
  <c r="D1105" i="9" s="1"/>
  <c r="Z1105" i="1"/>
  <c r="U1106" i="1"/>
  <c r="W1106" i="1"/>
  <c r="Y1106" i="1"/>
  <c r="C1106" i="9" s="1"/>
  <c r="D1106" i="9" s="1"/>
  <c r="Z1106" i="1"/>
  <c r="U1107" i="1"/>
  <c r="W1107" i="1"/>
  <c r="Y1107" i="1"/>
  <c r="C1107" i="9" s="1"/>
  <c r="D1107" i="9" s="1"/>
  <c r="Z1107" i="1"/>
  <c r="U1108" i="1"/>
  <c r="W1108" i="1"/>
  <c r="Y1108" i="1"/>
  <c r="C1108" i="9" s="1"/>
  <c r="D1108" i="9" s="1"/>
  <c r="Z1108" i="1"/>
  <c r="U1109" i="1"/>
  <c r="W1109" i="1"/>
  <c r="Y1109" i="1"/>
  <c r="C1109" i="9" s="1"/>
  <c r="D1109" i="9" s="1"/>
  <c r="Z1109" i="1"/>
  <c r="U1110" i="1"/>
  <c r="W1110" i="1"/>
  <c r="Y1110" i="1"/>
  <c r="C1110" i="9" s="1"/>
  <c r="D1110" i="9" s="1"/>
  <c r="Z1110" i="1"/>
  <c r="U1111" i="1"/>
  <c r="W1111" i="1"/>
  <c r="Y1111" i="1"/>
  <c r="C1111" i="9" s="1"/>
  <c r="D1111" i="9" s="1"/>
  <c r="Z1111" i="1"/>
  <c r="U1112" i="1"/>
  <c r="W1112" i="1"/>
  <c r="Y1112" i="1"/>
  <c r="C1112" i="9" s="1"/>
  <c r="D1112" i="9" s="1"/>
  <c r="Z1112" i="1"/>
  <c r="U1113" i="1"/>
  <c r="W1113" i="1"/>
  <c r="Y1113" i="1"/>
  <c r="C1113" i="9" s="1"/>
  <c r="D1113" i="9" s="1"/>
  <c r="Z1113" i="1"/>
  <c r="U1114" i="1"/>
  <c r="W1114" i="1"/>
  <c r="Y1114" i="1"/>
  <c r="C1114" i="9" s="1"/>
  <c r="D1114" i="9" s="1"/>
  <c r="Z1114" i="1"/>
  <c r="U1115" i="1"/>
  <c r="W1115" i="1"/>
  <c r="Y1115" i="1"/>
  <c r="C1115" i="9" s="1"/>
  <c r="D1115" i="9" s="1"/>
  <c r="Z1115" i="1"/>
  <c r="U1116" i="1"/>
  <c r="W1116" i="1"/>
  <c r="Y1116" i="1"/>
  <c r="C1116" i="9" s="1"/>
  <c r="D1116" i="9" s="1"/>
  <c r="Z1116" i="1"/>
  <c r="U1117" i="1"/>
  <c r="W1117" i="1"/>
  <c r="Y1117" i="1"/>
  <c r="C1117" i="9" s="1"/>
  <c r="D1117" i="9" s="1"/>
  <c r="Z1117" i="1"/>
  <c r="U1118" i="1"/>
  <c r="W1118" i="1"/>
  <c r="Y1118" i="1"/>
  <c r="C1118" i="9" s="1"/>
  <c r="D1118" i="9" s="1"/>
  <c r="Z1118" i="1"/>
  <c r="U1119" i="1"/>
  <c r="W1119" i="1"/>
  <c r="Y1119" i="1"/>
  <c r="C1119" i="9" s="1"/>
  <c r="D1119" i="9" s="1"/>
  <c r="Z1119" i="1"/>
  <c r="U1120" i="1"/>
  <c r="W1120" i="1"/>
  <c r="Y1120" i="1"/>
  <c r="C1120" i="9" s="1"/>
  <c r="D1120" i="9" s="1"/>
  <c r="Z1120" i="1"/>
  <c r="U1121" i="1"/>
  <c r="W1121" i="1"/>
  <c r="Y1121" i="1"/>
  <c r="C1121" i="9" s="1"/>
  <c r="D1121" i="9" s="1"/>
  <c r="Z1121" i="1"/>
  <c r="U1122" i="1"/>
  <c r="W1122" i="1"/>
  <c r="Y1122" i="1"/>
  <c r="C1122" i="9" s="1"/>
  <c r="D1122" i="9" s="1"/>
  <c r="Z1122" i="1"/>
  <c r="U1123" i="1"/>
  <c r="W1123" i="1"/>
  <c r="Y1123" i="1"/>
  <c r="C1123" i="9" s="1"/>
  <c r="D1123" i="9" s="1"/>
  <c r="Z1123" i="1"/>
  <c r="U1124" i="1"/>
  <c r="W1124" i="1"/>
  <c r="Y1124" i="1"/>
  <c r="C1124" i="9" s="1"/>
  <c r="D1124" i="9" s="1"/>
  <c r="Z1124" i="1"/>
  <c r="U1125" i="1"/>
  <c r="W1125" i="1"/>
  <c r="Y1125" i="1"/>
  <c r="C1125" i="9" s="1"/>
  <c r="D1125" i="9" s="1"/>
  <c r="Z1125" i="1"/>
  <c r="U1126" i="1"/>
  <c r="W1126" i="1"/>
  <c r="Y1126" i="1"/>
  <c r="C1126" i="9" s="1"/>
  <c r="D1126" i="9" s="1"/>
  <c r="Z1126" i="1"/>
  <c r="U1127" i="1"/>
  <c r="W1127" i="1"/>
  <c r="Y1127" i="1"/>
  <c r="C1127" i="9" s="1"/>
  <c r="D1127" i="9" s="1"/>
  <c r="Z1127" i="1"/>
  <c r="U1128" i="1"/>
  <c r="W1128" i="1"/>
  <c r="Y1128" i="1"/>
  <c r="C1128" i="9" s="1"/>
  <c r="D1128" i="9" s="1"/>
  <c r="Z1128" i="1"/>
  <c r="U1129" i="1"/>
  <c r="W1129" i="1"/>
  <c r="Y1129" i="1"/>
  <c r="C1129" i="9" s="1"/>
  <c r="D1129" i="9" s="1"/>
  <c r="Z1129" i="1"/>
  <c r="U1130" i="1"/>
  <c r="W1130" i="1"/>
  <c r="Y1130" i="1"/>
  <c r="C1130" i="9" s="1"/>
  <c r="D1130" i="9" s="1"/>
  <c r="Z1130" i="1"/>
  <c r="U1131" i="1"/>
  <c r="W1131" i="1"/>
  <c r="Y1131" i="1"/>
  <c r="C1131" i="9" s="1"/>
  <c r="D1131" i="9" s="1"/>
  <c r="Z1131" i="1"/>
  <c r="U1132" i="1"/>
  <c r="W1132" i="1"/>
  <c r="Y1132" i="1"/>
  <c r="C1132" i="9" s="1"/>
  <c r="D1132" i="9" s="1"/>
  <c r="Z1132" i="1"/>
  <c r="U1133" i="1"/>
  <c r="W1133" i="1"/>
  <c r="Y1133" i="1"/>
  <c r="C1133" i="9" s="1"/>
  <c r="D1133" i="9" s="1"/>
  <c r="Z1133" i="1"/>
  <c r="U1134" i="1"/>
  <c r="W1134" i="1"/>
  <c r="Y1134" i="1"/>
  <c r="C1134" i="9" s="1"/>
  <c r="D1134" i="9" s="1"/>
  <c r="Z1134" i="1"/>
  <c r="U1135" i="1"/>
  <c r="W1135" i="1"/>
  <c r="Y1135" i="1"/>
  <c r="C1135" i="9" s="1"/>
  <c r="D1135" i="9" s="1"/>
  <c r="Z1135" i="1"/>
  <c r="U1136" i="1"/>
  <c r="W1136" i="1"/>
  <c r="Y1136" i="1"/>
  <c r="C1136" i="9" s="1"/>
  <c r="D1136" i="9" s="1"/>
  <c r="Z1136" i="1"/>
  <c r="U1137" i="1"/>
  <c r="W1137" i="1"/>
  <c r="Y1137" i="1"/>
  <c r="C1137" i="9" s="1"/>
  <c r="D1137" i="9" s="1"/>
  <c r="Z1137" i="1"/>
  <c r="U1138" i="1"/>
  <c r="W1138" i="1"/>
  <c r="Y1138" i="1"/>
  <c r="C1138" i="9" s="1"/>
  <c r="D1138" i="9" s="1"/>
  <c r="Z1138" i="1"/>
  <c r="U1139" i="1"/>
  <c r="W1139" i="1"/>
  <c r="Y1139" i="1"/>
  <c r="C1139" i="9" s="1"/>
  <c r="D1139" i="9" s="1"/>
  <c r="Z1139" i="1"/>
  <c r="U1140" i="1"/>
  <c r="W1140" i="1"/>
  <c r="Y1140" i="1"/>
  <c r="C1140" i="9" s="1"/>
  <c r="D1140" i="9" s="1"/>
  <c r="Z1140" i="1"/>
  <c r="U1141" i="1"/>
  <c r="W1141" i="1"/>
  <c r="Y1141" i="1"/>
  <c r="C1141" i="9" s="1"/>
  <c r="D1141" i="9" s="1"/>
  <c r="Z1141" i="1"/>
  <c r="U1142" i="1"/>
  <c r="W1142" i="1"/>
  <c r="Y1142" i="1"/>
  <c r="C1142" i="9" s="1"/>
  <c r="D1142" i="9" s="1"/>
  <c r="Z1142" i="1"/>
  <c r="U1143" i="1"/>
  <c r="W1143" i="1"/>
  <c r="Y1143" i="1"/>
  <c r="C1143" i="9" s="1"/>
  <c r="D1143" i="9" s="1"/>
  <c r="Z1143" i="1"/>
  <c r="U1144" i="1"/>
  <c r="W1144" i="1"/>
  <c r="Y1144" i="1"/>
  <c r="C1144" i="9" s="1"/>
  <c r="D1144" i="9" s="1"/>
  <c r="Z1144" i="1"/>
  <c r="U1145" i="1"/>
  <c r="W1145" i="1"/>
  <c r="Y1145" i="1"/>
  <c r="C1145" i="9" s="1"/>
  <c r="D1145" i="9" s="1"/>
  <c r="Z1145" i="1"/>
  <c r="U1146" i="1"/>
  <c r="W1146" i="1"/>
  <c r="Y1146" i="1"/>
  <c r="C1146" i="9" s="1"/>
  <c r="D1146" i="9" s="1"/>
  <c r="Z1146" i="1"/>
  <c r="U1147" i="1"/>
  <c r="W1147" i="1"/>
  <c r="Y1147" i="1"/>
  <c r="C1147" i="9" s="1"/>
  <c r="D1147" i="9" s="1"/>
  <c r="Z1147" i="1"/>
  <c r="U1148" i="1"/>
  <c r="W1148" i="1"/>
  <c r="Y1148" i="1"/>
  <c r="C1148" i="9" s="1"/>
  <c r="D1148" i="9" s="1"/>
  <c r="Z1148" i="1"/>
  <c r="U1149" i="1"/>
  <c r="W1149" i="1"/>
  <c r="Y1149" i="1"/>
  <c r="C1149" i="9" s="1"/>
  <c r="D1149" i="9" s="1"/>
  <c r="Z1149" i="1"/>
  <c r="U1150" i="1"/>
  <c r="W1150" i="1"/>
  <c r="Y1150" i="1"/>
  <c r="C1150" i="9" s="1"/>
  <c r="D1150" i="9" s="1"/>
  <c r="Z1150" i="1"/>
  <c r="U1151" i="1"/>
  <c r="W1151" i="1"/>
  <c r="Y1151" i="1"/>
  <c r="C1151" i="9" s="1"/>
  <c r="D1151" i="9" s="1"/>
  <c r="Z1151" i="1"/>
  <c r="U1152" i="1"/>
  <c r="W1152" i="1"/>
  <c r="Y1152" i="1"/>
  <c r="C1152" i="9" s="1"/>
  <c r="D1152" i="9" s="1"/>
  <c r="Z1152" i="1"/>
  <c r="U1153" i="1"/>
  <c r="W1153" i="1"/>
  <c r="Y1153" i="1"/>
  <c r="C1153" i="9" s="1"/>
  <c r="D1153" i="9" s="1"/>
  <c r="Z1153" i="1"/>
  <c r="U1154" i="1"/>
  <c r="W1154" i="1"/>
  <c r="Y1154" i="1"/>
  <c r="C1154" i="9" s="1"/>
  <c r="D1154" i="9" s="1"/>
  <c r="Z1154" i="1"/>
  <c r="U1155" i="1"/>
  <c r="W1155" i="1"/>
  <c r="Y1155" i="1"/>
  <c r="C1155" i="9" s="1"/>
  <c r="D1155" i="9" s="1"/>
  <c r="Z1155" i="1"/>
  <c r="U1156" i="1"/>
  <c r="W1156" i="1"/>
  <c r="Y1156" i="1"/>
  <c r="C1156" i="9" s="1"/>
  <c r="D1156" i="9" s="1"/>
  <c r="Z1156" i="1"/>
  <c r="U1157" i="1"/>
  <c r="W1157" i="1"/>
  <c r="Y1157" i="1"/>
  <c r="C1157" i="9" s="1"/>
  <c r="D1157" i="9" s="1"/>
  <c r="Z1157" i="1"/>
  <c r="U1158" i="1"/>
  <c r="W1158" i="1"/>
  <c r="Y1158" i="1"/>
  <c r="C1158" i="9" s="1"/>
  <c r="D1158" i="9" s="1"/>
  <c r="Z1158" i="1"/>
  <c r="U1159" i="1"/>
  <c r="W1159" i="1"/>
  <c r="Y1159" i="1"/>
  <c r="C1159" i="9" s="1"/>
  <c r="D1159" i="9" s="1"/>
  <c r="Z1159" i="1"/>
  <c r="U1160" i="1"/>
  <c r="W1160" i="1"/>
  <c r="Y1160" i="1"/>
  <c r="C1160" i="9" s="1"/>
  <c r="D1160" i="9" s="1"/>
  <c r="Z1160" i="1"/>
  <c r="U1161" i="1"/>
  <c r="W1161" i="1"/>
  <c r="Y1161" i="1"/>
  <c r="C1161" i="9" s="1"/>
  <c r="D1161" i="9" s="1"/>
  <c r="Z1161" i="1"/>
  <c r="U1162" i="1"/>
  <c r="W1162" i="1"/>
  <c r="Y1162" i="1"/>
  <c r="C1162" i="9" s="1"/>
  <c r="D1162" i="9" s="1"/>
  <c r="Z1162" i="1"/>
  <c r="U1163" i="1"/>
  <c r="W1163" i="1"/>
  <c r="Y1163" i="1"/>
  <c r="C1163" i="9" s="1"/>
  <c r="D1163" i="9" s="1"/>
  <c r="Z1163" i="1"/>
  <c r="U1164" i="1"/>
  <c r="W1164" i="1"/>
  <c r="Y1164" i="1"/>
  <c r="C1164" i="9" s="1"/>
  <c r="D1164" i="9" s="1"/>
  <c r="Z1164" i="1"/>
  <c r="U1165" i="1"/>
  <c r="W1165" i="1"/>
  <c r="Y1165" i="1"/>
  <c r="C1165" i="9" s="1"/>
  <c r="D1165" i="9" s="1"/>
  <c r="Z1165" i="1"/>
  <c r="U1166" i="1"/>
  <c r="W1166" i="1"/>
  <c r="Y1166" i="1"/>
  <c r="C1166" i="9" s="1"/>
  <c r="D1166" i="9" s="1"/>
  <c r="Z1166" i="1"/>
  <c r="U1167" i="1"/>
  <c r="W1167" i="1"/>
  <c r="Y1167" i="1"/>
  <c r="C1167" i="9" s="1"/>
  <c r="D1167" i="9" s="1"/>
  <c r="Z1167" i="1"/>
  <c r="U1168" i="1"/>
  <c r="W1168" i="1"/>
  <c r="Y1168" i="1"/>
  <c r="C1168" i="9" s="1"/>
  <c r="D1168" i="9" s="1"/>
  <c r="Z1168" i="1"/>
  <c r="U1169" i="1"/>
  <c r="W1169" i="1"/>
  <c r="Y1169" i="1"/>
  <c r="C1169" i="9" s="1"/>
  <c r="D1169" i="9" s="1"/>
  <c r="Z1169" i="1"/>
  <c r="U1170" i="1"/>
  <c r="W1170" i="1"/>
  <c r="Y1170" i="1"/>
  <c r="C1170" i="9" s="1"/>
  <c r="D1170" i="9" s="1"/>
  <c r="Z1170" i="1"/>
  <c r="U1171" i="1"/>
  <c r="W1171" i="1"/>
  <c r="Y1171" i="1"/>
  <c r="C1171" i="9" s="1"/>
  <c r="D1171" i="9" s="1"/>
  <c r="Z1171" i="1"/>
  <c r="U1172" i="1"/>
  <c r="W1172" i="1"/>
  <c r="Y1172" i="1"/>
  <c r="C1172" i="9" s="1"/>
  <c r="D1172" i="9" s="1"/>
  <c r="Z1172" i="1"/>
  <c r="U1173" i="1"/>
  <c r="W1173" i="1"/>
  <c r="Y1173" i="1"/>
  <c r="C1173" i="9" s="1"/>
  <c r="D1173" i="9" s="1"/>
  <c r="Z1173" i="1"/>
  <c r="U1174" i="1"/>
  <c r="W1174" i="1"/>
  <c r="Y1174" i="1"/>
  <c r="C1174" i="9" s="1"/>
  <c r="D1174" i="9" s="1"/>
  <c r="Z1174" i="1"/>
  <c r="U1175" i="1"/>
  <c r="W1175" i="1"/>
  <c r="Y1175" i="1"/>
  <c r="C1175" i="9" s="1"/>
  <c r="D1175" i="9" s="1"/>
  <c r="Z1175" i="1"/>
  <c r="U1176" i="1"/>
  <c r="W1176" i="1"/>
  <c r="Y1176" i="1"/>
  <c r="C1176" i="9" s="1"/>
  <c r="D1176" i="9" s="1"/>
  <c r="Z1176" i="1"/>
  <c r="U1177" i="1"/>
  <c r="W1177" i="1"/>
  <c r="Y1177" i="1"/>
  <c r="C1177" i="9" s="1"/>
  <c r="D1177" i="9" s="1"/>
  <c r="Z1177" i="1"/>
  <c r="U1178" i="1"/>
  <c r="W1178" i="1"/>
  <c r="Y1178" i="1"/>
  <c r="C1178" i="9" s="1"/>
  <c r="D1178" i="9" s="1"/>
  <c r="Z1178" i="1"/>
  <c r="U1179" i="1"/>
  <c r="W1179" i="1"/>
  <c r="Y1179" i="1"/>
  <c r="C1179" i="9" s="1"/>
  <c r="D1179" i="9" s="1"/>
  <c r="Z1179" i="1"/>
  <c r="U1180" i="1"/>
  <c r="W1180" i="1"/>
  <c r="Y1180" i="1"/>
  <c r="C1180" i="9" s="1"/>
  <c r="D1180" i="9" s="1"/>
  <c r="Z1180" i="1"/>
  <c r="U1181" i="1"/>
  <c r="W1181" i="1"/>
  <c r="Y1181" i="1"/>
  <c r="C1181" i="9" s="1"/>
  <c r="D1181" i="9" s="1"/>
  <c r="Z1181" i="1"/>
  <c r="U1182" i="1"/>
  <c r="W1182" i="1"/>
  <c r="Y1182" i="1"/>
  <c r="C1182" i="9" s="1"/>
  <c r="D1182" i="9" s="1"/>
  <c r="Z1182" i="1"/>
  <c r="U1183" i="1"/>
  <c r="W1183" i="1"/>
  <c r="Y1183" i="1"/>
  <c r="C1183" i="9" s="1"/>
  <c r="D1183" i="9" s="1"/>
  <c r="Z1183" i="1"/>
  <c r="U1184" i="1"/>
  <c r="W1184" i="1"/>
  <c r="Y1184" i="1"/>
  <c r="C1184" i="9" s="1"/>
  <c r="D1184" i="9" s="1"/>
  <c r="Z1184" i="1"/>
  <c r="U1185" i="1"/>
  <c r="W1185" i="1"/>
  <c r="Y1185" i="1"/>
  <c r="C1185" i="9" s="1"/>
  <c r="D1185" i="9" s="1"/>
  <c r="Z1185" i="1"/>
  <c r="U1186" i="1"/>
  <c r="W1186" i="1"/>
  <c r="Y1186" i="1"/>
  <c r="C1186" i="9" s="1"/>
  <c r="D1186" i="9" s="1"/>
  <c r="Z1186" i="1"/>
  <c r="U1187" i="1"/>
  <c r="W1187" i="1"/>
  <c r="Y1187" i="1"/>
  <c r="C1187" i="9" s="1"/>
  <c r="D1187" i="9" s="1"/>
  <c r="Z1187" i="1"/>
  <c r="U1188" i="1"/>
  <c r="W1188" i="1"/>
  <c r="Y1188" i="1"/>
  <c r="C1188" i="9" s="1"/>
  <c r="D1188" i="9" s="1"/>
  <c r="Z1188" i="1"/>
  <c r="U1189" i="1"/>
  <c r="W1189" i="1"/>
  <c r="Y1189" i="1"/>
  <c r="C1189" i="9" s="1"/>
  <c r="D1189" i="9" s="1"/>
  <c r="Z1189" i="1"/>
  <c r="U1190" i="1"/>
  <c r="W1190" i="1"/>
  <c r="Y1190" i="1"/>
  <c r="C1190" i="9" s="1"/>
  <c r="D1190" i="9" s="1"/>
  <c r="Z1190" i="1"/>
  <c r="U1191" i="1"/>
  <c r="W1191" i="1"/>
  <c r="Y1191" i="1"/>
  <c r="C1191" i="9" s="1"/>
  <c r="D1191" i="9" s="1"/>
  <c r="Z1191" i="1"/>
  <c r="U1192" i="1"/>
  <c r="W1192" i="1"/>
  <c r="Y1192" i="1"/>
  <c r="C1192" i="9" s="1"/>
  <c r="D1192" i="9" s="1"/>
  <c r="Z1192" i="1"/>
  <c r="U1193" i="1"/>
  <c r="W1193" i="1"/>
  <c r="Y1193" i="1"/>
  <c r="C1193" i="9" s="1"/>
  <c r="D1193" i="9" s="1"/>
  <c r="Z1193" i="1"/>
  <c r="U1194" i="1"/>
  <c r="W1194" i="1"/>
  <c r="Y1194" i="1"/>
  <c r="C1194" i="9" s="1"/>
  <c r="D1194" i="9" s="1"/>
  <c r="Z1194" i="1"/>
  <c r="U1195" i="1"/>
  <c r="W1195" i="1"/>
  <c r="Y1195" i="1"/>
  <c r="C1195" i="9" s="1"/>
  <c r="D1195" i="9" s="1"/>
  <c r="Z1195" i="1"/>
  <c r="U1196" i="1"/>
  <c r="W1196" i="1"/>
  <c r="Y1196" i="1"/>
  <c r="C1196" i="9" s="1"/>
  <c r="D1196" i="9" s="1"/>
  <c r="Z1196" i="1"/>
  <c r="U1197" i="1"/>
  <c r="W1197" i="1"/>
  <c r="Y1197" i="1"/>
  <c r="C1197" i="9" s="1"/>
  <c r="D1197" i="9" s="1"/>
  <c r="Z1197" i="1"/>
  <c r="U1198" i="1"/>
  <c r="W1198" i="1"/>
  <c r="Y1198" i="1"/>
  <c r="C1198" i="9" s="1"/>
  <c r="D1198" i="9" s="1"/>
  <c r="Z1198" i="1"/>
  <c r="U1199" i="1"/>
  <c r="W1199" i="1"/>
  <c r="Y1199" i="1"/>
  <c r="C1199" i="9" s="1"/>
  <c r="D1199" i="9" s="1"/>
  <c r="Z1199" i="1"/>
  <c r="U1200" i="1"/>
  <c r="W1200" i="1"/>
  <c r="Y1200" i="1"/>
  <c r="C1200" i="9" s="1"/>
  <c r="D1200" i="9" s="1"/>
  <c r="Z1200" i="1"/>
  <c r="N483" i="1"/>
  <c r="O483" i="1"/>
  <c r="Q483" i="1"/>
  <c r="S483" i="1"/>
  <c r="U483" i="1"/>
  <c r="W483" i="1"/>
  <c r="Y483" i="1"/>
  <c r="C483" i="9" s="1"/>
  <c r="D483" i="9" s="1"/>
  <c r="Z483" i="1"/>
  <c r="N484" i="1"/>
  <c r="O484" i="1"/>
  <c r="Q484" i="1"/>
  <c r="S484" i="1"/>
  <c r="U484" i="1"/>
  <c r="W484" i="1"/>
  <c r="Y484" i="1"/>
  <c r="C484" i="9" s="1"/>
  <c r="D484" i="9" s="1"/>
  <c r="Z484" i="1"/>
  <c r="A483" i="1"/>
  <c r="B483" i="1"/>
  <c r="C483" i="1"/>
  <c r="D483" i="1"/>
  <c r="F483" i="1"/>
  <c r="G483" i="1"/>
  <c r="H483" i="1"/>
  <c r="I483" i="1"/>
  <c r="K483" i="1" s="1"/>
  <c r="J483" i="1"/>
  <c r="A484" i="1"/>
  <c r="B484" i="1"/>
  <c r="C484" i="1"/>
  <c r="D484" i="1"/>
  <c r="F484" i="1"/>
  <c r="G484" i="1"/>
  <c r="H484" i="1"/>
  <c r="I484" i="1"/>
  <c r="K484" i="1" s="1"/>
  <c r="J484" i="1"/>
  <c r="A485" i="1"/>
  <c r="B485" i="1"/>
  <c r="C485" i="1"/>
  <c r="D485" i="1"/>
  <c r="F485" i="1"/>
  <c r="G485" i="1"/>
  <c r="H485" i="1"/>
  <c r="I485" i="1"/>
  <c r="K485" i="1" s="1"/>
  <c r="J485" i="1"/>
  <c r="A486" i="1"/>
  <c r="B486" i="1"/>
  <c r="C486" i="1"/>
  <c r="D486" i="1"/>
  <c r="F486" i="1"/>
  <c r="G486" i="1"/>
  <c r="H486" i="1"/>
  <c r="I486" i="1"/>
  <c r="K486" i="1" s="1"/>
  <c r="J486" i="1"/>
  <c r="A487" i="1"/>
  <c r="B487" i="1"/>
  <c r="C487" i="1"/>
  <c r="D487" i="1"/>
  <c r="F487" i="1"/>
  <c r="G487" i="1"/>
  <c r="H487" i="1"/>
  <c r="I487" i="1"/>
  <c r="K487" i="1" s="1"/>
  <c r="J487"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Y205" i="1"/>
  <c r="C205" i="9" s="1"/>
  <c r="D205" i="9" s="1"/>
  <c r="Y206" i="1"/>
  <c r="C206" i="9" s="1"/>
  <c r="D206" i="9" s="1"/>
  <c r="Y207" i="1"/>
  <c r="C207" i="9" s="1"/>
  <c r="D207" i="9" s="1"/>
  <c r="Y208" i="1"/>
  <c r="C208" i="9" s="1"/>
  <c r="D208" i="9" s="1"/>
  <c r="Y209" i="1"/>
  <c r="C209" i="9" s="1"/>
  <c r="D209" i="9" s="1"/>
  <c r="Y210" i="1"/>
  <c r="C210" i="9" s="1"/>
  <c r="D210" i="9" s="1"/>
  <c r="Y211" i="1"/>
  <c r="C211" i="9" s="1"/>
  <c r="D211" i="9" s="1"/>
  <c r="Y212" i="1"/>
  <c r="C212" i="9" s="1"/>
  <c r="D212" i="9" s="1"/>
  <c r="Y213" i="1"/>
  <c r="C213" i="9" s="1"/>
  <c r="D213" i="9" s="1"/>
  <c r="Y214" i="1"/>
  <c r="C214" i="9" s="1"/>
  <c r="D214" i="9" s="1"/>
  <c r="Y215" i="1"/>
  <c r="C215" i="9" s="1"/>
  <c r="D215" i="9" s="1"/>
  <c r="Y216" i="1"/>
  <c r="C216" i="9" s="1"/>
  <c r="D216" i="9" s="1"/>
  <c r="Y217" i="1"/>
  <c r="C217" i="9" s="1"/>
  <c r="D217" i="9" s="1"/>
  <c r="Y218" i="1"/>
  <c r="C218" i="9" s="1"/>
  <c r="D218" i="9" s="1"/>
  <c r="Y219" i="1"/>
  <c r="C219" i="9" s="1"/>
  <c r="D219" i="9" s="1"/>
  <c r="Y220" i="1"/>
  <c r="C220" i="9" s="1"/>
  <c r="D220" i="9" s="1"/>
  <c r="Y221" i="1"/>
  <c r="C221" i="9" s="1"/>
  <c r="D221" i="9" s="1"/>
  <c r="Y222" i="1"/>
  <c r="C222" i="9" s="1"/>
  <c r="D222" i="9" s="1"/>
  <c r="Y223" i="1"/>
  <c r="C223" i="9" s="1"/>
  <c r="D223" i="9" s="1"/>
  <c r="Y224" i="1"/>
  <c r="C224" i="9" s="1"/>
  <c r="D224" i="9" s="1"/>
  <c r="Y225" i="1"/>
  <c r="C225" i="9" s="1"/>
  <c r="D225" i="9" s="1"/>
  <c r="Y226" i="1"/>
  <c r="C226" i="9" s="1"/>
  <c r="D226" i="9" s="1"/>
  <c r="Y227" i="1"/>
  <c r="C227" i="9" s="1"/>
  <c r="D227" i="9" s="1"/>
  <c r="Y228" i="1"/>
  <c r="C228" i="9" s="1"/>
  <c r="D228" i="9" s="1"/>
  <c r="Y229" i="1"/>
  <c r="C229" i="9" s="1"/>
  <c r="D229" i="9" s="1"/>
  <c r="Y230" i="1"/>
  <c r="C230" i="9" s="1"/>
  <c r="D230" i="9" s="1"/>
  <c r="Y231" i="1"/>
  <c r="C231" i="9" s="1"/>
  <c r="D231" i="9" s="1"/>
  <c r="Y232" i="1"/>
  <c r="C232" i="9" s="1"/>
  <c r="D232" i="9" s="1"/>
  <c r="Y233" i="1"/>
  <c r="C233" i="9" s="1"/>
  <c r="D233" i="9" s="1"/>
  <c r="Y234" i="1"/>
  <c r="C234" i="9" s="1"/>
  <c r="D234" i="9" s="1"/>
  <c r="Y235" i="1"/>
  <c r="C235" i="9" s="1"/>
  <c r="D235" i="9" s="1"/>
  <c r="Y236" i="1"/>
  <c r="C236" i="9" s="1"/>
  <c r="D236" i="9" s="1"/>
  <c r="Y237" i="1"/>
  <c r="C237" i="9" s="1"/>
  <c r="D237" i="9" s="1"/>
  <c r="Y238" i="1"/>
  <c r="C238" i="9" s="1"/>
  <c r="D238" i="9" s="1"/>
  <c r="Y239" i="1"/>
  <c r="C239" i="9" s="1"/>
  <c r="D239" i="9" s="1"/>
  <c r="Y240" i="1"/>
  <c r="C240" i="9" s="1"/>
  <c r="D240" i="9" s="1"/>
  <c r="Y241" i="1"/>
  <c r="C241" i="9" s="1"/>
  <c r="D241" i="9" s="1"/>
  <c r="Y242" i="1"/>
  <c r="C242" i="9" s="1"/>
  <c r="D242" i="9" s="1"/>
  <c r="Y243" i="1"/>
  <c r="C243" i="9" s="1"/>
  <c r="D243" i="9" s="1"/>
  <c r="Y244" i="1"/>
  <c r="C244" i="9" s="1"/>
  <c r="D244" i="9" s="1"/>
  <c r="Y245" i="1"/>
  <c r="C245" i="9" s="1"/>
  <c r="D245" i="9" s="1"/>
  <c r="Y246" i="1"/>
  <c r="C246" i="9" s="1"/>
  <c r="D246" i="9" s="1"/>
  <c r="Y247" i="1"/>
  <c r="C247" i="9" s="1"/>
  <c r="D247" i="9" s="1"/>
  <c r="Y248" i="1"/>
  <c r="C248" i="9" s="1"/>
  <c r="D248" i="9" s="1"/>
  <c r="Y249" i="1"/>
  <c r="C249" i="9" s="1"/>
  <c r="D249" i="9" s="1"/>
  <c r="Y250" i="1"/>
  <c r="C250" i="9" s="1"/>
  <c r="D250" i="9" s="1"/>
  <c r="Y251" i="1"/>
  <c r="C251" i="9" s="1"/>
  <c r="D251" i="9" s="1"/>
  <c r="Y252" i="1"/>
  <c r="C252" i="9" s="1"/>
  <c r="D252" i="9" s="1"/>
  <c r="Y253" i="1"/>
  <c r="C253" i="9" s="1"/>
  <c r="D253" i="9" s="1"/>
  <c r="Y254" i="1"/>
  <c r="C254" i="9" s="1"/>
  <c r="D254" i="9" s="1"/>
  <c r="Y255" i="1"/>
  <c r="C255" i="9" s="1"/>
  <c r="D255" i="9" s="1"/>
  <c r="Y256" i="1"/>
  <c r="C256" i="9" s="1"/>
  <c r="D256" i="9" s="1"/>
  <c r="Y257" i="1"/>
  <c r="C257" i="9" s="1"/>
  <c r="D257" i="9" s="1"/>
  <c r="Y258" i="1"/>
  <c r="C258" i="9" s="1"/>
  <c r="D258" i="9" s="1"/>
  <c r="Y259" i="1"/>
  <c r="C259" i="9" s="1"/>
  <c r="D259" i="9" s="1"/>
  <c r="Y260" i="1"/>
  <c r="C260" i="9" s="1"/>
  <c r="D260" i="9" s="1"/>
  <c r="Y261" i="1"/>
  <c r="C261" i="9" s="1"/>
  <c r="D261" i="9" s="1"/>
  <c r="Y262" i="1"/>
  <c r="C262" i="9" s="1"/>
  <c r="D262" i="9" s="1"/>
  <c r="Y263" i="1"/>
  <c r="C263" i="9" s="1"/>
  <c r="D263" i="9" s="1"/>
  <c r="Y264" i="1"/>
  <c r="C264" i="9" s="1"/>
  <c r="D264" i="9" s="1"/>
  <c r="Y265" i="1"/>
  <c r="C265" i="9" s="1"/>
  <c r="D265" i="9" s="1"/>
  <c r="Y266" i="1"/>
  <c r="C266" i="9" s="1"/>
  <c r="D266" i="9" s="1"/>
  <c r="Y267" i="1"/>
  <c r="C267" i="9" s="1"/>
  <c r="D267" i="9" s="1"/>
  <c r="Y268" i="1"/>
  <c r="C268" i="9" s="1"/>
  <c r="D268" i="9" s="1"/>
  <c r="Y269" i="1"/>
  <c r="C269" i="9" s="1"/>
  <c r="D269" i="9" s="1"/>
  <c r="Y270" i="1"/>
  <c r="C270" i="9" s="1"/>
  <c r="D270" i="9" s="1"/>
  <c r="Y271" i="1"/>
  <c r="C271" i="9" s="1"/>
  <c r="D271" i="9" s="1"/>
  <c r="Y272" i="1"/>
  <c r="C272" i="9" s="1"/>
  <c r="D272" i="9" s="1"/>
  <c r="Y273" i="1"/>
  <c r="C273" i="9" s="1"/>
  <c r="D273" i="9" s="1"/>
  <c r="Y274" i="1"/>
  <c r="C274" i="9" s="1"/>
  <c r="D274" i="9" s="1"/>
  <c r="Y275" i="1"/>
  <c r="C275" i="9" s="1"/>
  <c r="D275" i="9" s="1"/>
  <c r="Y276" i="1"/>
  <c r="C276" i="9" s="1"/>
  <c r="D276" i="9" s="1"/>
  <c r="Y277" i="1"/>
  <c r="C277" i="9" s="1"/>
  <c r="D277" i="9" s="1"/>
  <c r="Y278" i="1"/>
  <c r="C278" i="9" s="1"/>
  <c r="D278" i="9" s="1"/>
  <c r="Y279" i="1"/>
  <c r="C279" i="9" s="1"/>
  <c r="D279" i="9" s="1"/>
  <c r="Y280" i="1"/>
  <c r="C280" i="9" s="1"/>
  <c r="D280" i="9" s="1"/>
  <c r="Y281" i="1"/>
  <c r="C281" i="9" s="1"/>
  <c r="D281" i="9" s="1"/>
  <c r="Y282" i="1"/>
  <c r="C282" i="9" s="1"/>
  <c r="D282" i="9" s="1"/>
  <c r="Y283" i="1"/>
  <c r="C283" i="9" s="1"/>
  <c r="D283" i="9" s="1"/>
  <c r="Y284" i="1"/>
  <c r="C284" i="9" s="1"/>
  <c r="D284" i="9" s="1"/>
  <c r="Y285" i="1"/>
  <c r="C285" i="9" s="1"/>
  <c r="D285" i="9" s="1"/>
  <c r="Y286" i="1"/>
  <c r="C286" i="9" s="1"/>
  <c r="D286" i="9" s="1"/>
  <c r="Y287" i="1"/>
  <c r="C287" i="9" s="1"/>
  <c r="D287" i="9" s="1"/>
  <c r="Y288" i="1"/>
  <c r="C288" i="9" s="1"/>
  <c r="D288" i="9" s="1"/>
  <c r="Y289" i="1"/>
  <c r="C289" i="9" s="1"/>
  <c r="D289" i="9" s="1"/>
  <c r="Y290" i="1"/>
  <c r="C290" i="9" s="1"/>
  <c r="D290" i="9" s="1"/>
  <c r="Y291" i="1"/>
  <c r="C291" i="9" s="1"/>
  <c r="D291" i="9" s="1"/>
  <c r="Y292" i="1"/>
  <c r="C292" i="9" s="1"/>
  <c r="D292" i="9" s="1"/>
  <c r="Y293" i="1"/>
  <c r="C293" i="9" s="1"/>
  <c r="D293" i="9" s="1"/>
  <c r="Y294" i="1"/>
  <c r="C294" i="9" s="1"/>
  <c r="D294" i="9" s="1"/>
  <c r="Y295" i="1"/>
  <c r="C295" i="9" s="1"/>
  <c r="D295" i="9" s="1"/>
  <c r="Y296" i="1"/>
  <c r="C296" i="9" s="1"/>
  <c r="D296" i="9" s="1"/>
  <c r="Y297" i="1"/>
  <c r="C297" i="9" s="1"/>
  <c r="D297" i="9" s="1"/>
  <c r="Y298" i="1"/>
  <c r="C298" i="9" s="1"/>
  <c r="D298" i="9" s="1"/>
  <c r="Y299" i="1"/>
  <c r="C299" i="9" s="1"/>
  <c r="D299" i="9" s="1"/>
  <c r="Y300" i="1"/>
  <c r="C300" i="9" s="1"/>
  <c r="D300" i="9" s="1"/>
  <c r="Y301" i="1"/>
  <c r="C301" i="9" s="1"/>
  <c r="D301" i="9" s="1"/>
  <c r="Y302" i="1"/>
  <c r="C302" i="9" s="1"/>
  <c r="D302" i="9" s="1"/>
  <c r="Y303" i="1"/>
  <c r="C303" i="9" s="1"/>
  <c r="D303" i="9" s="1"/>
  <c r="Y304" i="1"/>
  <c r="C304" i="9" s="1"/>
  <c r="D304" i="9" s="1"/>
  <c r="Y305" i="1"/>
  <c r="C305" i="9" s="1"/>
  <c r="D305" i="9" s="1"/>
  <c r="Y306" i="1"/>
  <c r="C306" i="9" s="1"/>
  <c r="D306" i="9" s="1"/>
  <c r="Y307" i="1"/>
  <c r="C307" i="9" s="1"/>
  <c r="D307" i="9" s="1"/>
  <c r="Y308" i="1"/>
  <c r="C308" i="9" s="1"/>
  <c r="D308" i="9" s="1"/>
  <c r="Y309" i="1"/>
  <c r="C309" i="9" s="1"/>
  <c r="D309" i="9" s="1"/>
  <c r="Y310" i="1"/>
  <c r="C310" i="9" s="1"/>
  <c r="D310" i="9" s="1"/>
  <c r="Y311" i="1"/>
  <c r="C311" i="9" s="1"/>
  <c r="D311" i="9" s="1"/>
  <c r="Y312" i="1"/>
  <c r="C312" i="9" s="1"/>
  <c r="D312" i="9" s="1"/>
  <c r="Y313" i="1"/>
  <c r="C313" i="9" s="1"/>
  <c r="D313" i="9" s="1"/>
  <c r="Y314" i="1"/>
  <c r="C314" i="9" s="1"/>
  <c r="D314" i="9" s="1"/>
  <c r="Y315" i="1"/>
  <c r="C315" i="9" s="1"/>
  <c r="D315" i="9" s="1"/>
  <c r="Y316" i="1"/>
  <c r="C316" i="9" s="1"/>
  <c r="D316" i="9" s="1"/>
  <c r="Y317" i="1"/>
  <c r="C317" i="9" s="1"/>
  <c r="D317" i="9" s="1"/>
  <c r="Y318" i="1"/>
  <c r="C318" i="9" s="1"/>
  <c r="D318" i="9" s="1"/>
  <c r="Y319" i="1"/>
  <c r="C319" i="9" s="1"/>
  <c r="D319" i="9" s="1"/>
  <c r="Y320" i="1"/>
  <c r="C320" i="9" s="1"/>
  <c r="D320" i="9" s="1"/>
  <c r="Y321" i="1"/>
  <c r="C321" i="9" s="1"/>
  <c r="D321" i="9" s="1"/>
  <c r="Y322" i="1"/>
  <c r="C322" i="9" s="1"/>
  <c r="D322" i="9" s="1"/>
  <c r="Y323" i="1"/>
  <c r="C323" i="9" s="1"/>
  <c r="D323" i="9" s="1"/>
  <c r="Y324" i="1"/>
  <c r="C324" i="9" s="1"/>
  <c r="D324" i="9" s="1"/>
  <c r="Y325" i="1"/>
  <c r="C325" i="9" s="1"/>
  <c r="D325" i="9" s="1"/>
  <c r="Y326" i="1"/>
  <c r="C326" i="9" s="1"/>
  <c r="D326" i="9" s="1"/>
  <c r="Y327" i="1"/>
  <c r="C327" i="9" s="1"/>
  <c r="D327" i="9" s="1"/>
  <c r="Y328" i="1"/>
  <c r="C328" i="9" s="1"/>
  <c r="D328" i="9" s="1"/>
  <c r="Y329" i="1"/>
  <c r="C329" i="9" s="1"/>
  <c r="D329" i="9" s="1"/>
  <c r="Y330" i="1"/>
  <c r="C330" i="9" s="1"/>
  <c r="D330" i="9" s="1"/>
  <c r="Y331" i="1"/>
  <c r="C331" i="9" s="1"/>
  <c r="D331" i="9" s="1"/>
  <c r="Y332" i="1"/>
  <c r="C332" i="9" s="1"/>
  <c r="D332" i="9" s="1"/>
  <c r="Y333" i="1"/>
  <c r="C333" i="9" s="1"/>
  <c r="D333" i="9" s="1"/>
  <c r="Y334" i="1"/>
  <c r="C334" i="9" s="1"/>
  <c r="D334" i="9" s="1"/>
  <c r="Y335" i="1"/>
  <c r="C335" i="9" s="1"/>
  <c r="D335" i="9" s="1"/>
  <c r="Y336" i="1"/>
  <c r="C336" i="9" s="1"/>
  <c r="D336" i="9" s="1"/>
  <c r="Y337" i="1"/>
  <c r="C337" i="9" s="1"/>
  <c r="D337" i="9" s="1"/>
  <c r="Y338" i="1"/>
  <c r="C338" i="9" s="1"/>
  <c r="D338" i="9" s="1"/>
  <c r="Y339" i="1"/>
  <c r="C339" i="9" s="1"/>
  <c r="D339" i="9" s="1"/>
  <c r="Y340" i="1"/>
  <c r="C340" i="9" s="1"/>
  <c r="D340" i="9" s="1"/>
  <c r="Y341" i="1"/>
  <c r="C341" i="9" s="1"/>
  <c r="D341" i="9" s="1"/>
  <c r="Y342" i="1"/>
  <c r="C342" i="9" s="1"/>
  <c r="D342" i="9" s="1"/>
  <c r="Y343" i="1"/>
  <c r="C343" i="9" s="1"/>
  <c r="D343" i="9" s="1"/>
  <c r="Y344" i="1"/>
  <c r="C344" i="9" s="1"/>
  <c r="D344" i="9" s="1"/>
  <c r="Y345" i="1"/>
  <c r="C345" i="9" s="1"/>
  <c r="D345" i="9" s="1"/>
  <c r="Y346" i="1"/>
  <c r="C346" i="9" s="1"/>
  <c r="D346" i="9" s="1"/>
  <c r="Y347" i="1"/>
  <c r="C347" i="9" s="1"/>
  <c r="D347" i="9" s="1"/>
  <c r="Y348" i="1"/>
  <c r="C348" i="9" s="1"/>
  <c r="D348" i="9" s="1"/>
  <c r="Y349" i="1"/>
  <c r="C349" i="9" s="1"/>
  <c r="D349" i="9" s="1"/>
  <c r="Y350" i="1"/>
  <c r="C350" i="9" s="1"/>
  <c r="D350" i="9" s="1"/>
  <c r="Y351" i="1"/>
  <c r="C351" i="9" s="1"/>
  <c r="D351" i="9" s="1"/>
  <c r="Y352" i="1"/>
  <c r="C352" i="9" s="1"/>
  <c r="D352" i="9" s="1"/>
  <c r="Y353" i="1"/>
  <c r="C353" i="9" s="1"/>
  <c r="D353" i="9" s="1"/>
  <c r="Y354" i="1"/>
  <c r="C354" i="9" s="1"/>
  <c r="D354" i="9" s="1"/>
  <c r="Y355" i="1"/>
  <c r="C355" i="9" s="1"/>
  <c r="D355" i="9" s="1"/>
  <c r="Y356" i="1"/>
  <c r="C356" i="9" s="1"/>
  <c r="D356" i="9" s="1"/>
  <c r="Y357" i="1"/>
  <c r="C357" i="9" s="1"/>
  <c r="D357" i="9" s="1"/>
  <c r="Y358" i="1"/>
  <c r="C358" i="9" s="1"/>
  <c r="D358" i="9" s="1"/>
  <c r="Y359" i="1"/>
  <c r="C359" i="9" s="1"/>
  <c r="D359" i="9" s="1"/>
  <c r="Y360" i="1"/>
  <c r="C360" i="9" s="1"/>
  <c r="D360" i="9" s="1"/>
  <c r="Y361" i="1"/>
  <c r="C361" i="9" s="1"/>
  <c r="D361" i="9" s="1"/>
  <c r="Y362" i="1"/>
  <c r="C362" i="9" s="1"/>
  <c r="D362" i="9" s="1"/>
  <c r="Y363" i="1"/>
  <c r="C363" i="9" s="1"/>
  <c r="D363" i="9" s="1"/>
  <c r="Y364" i="1"/>
  <c r="C364" i="9" s="1"/>
  <c r="D364" i="9" s="1"/>
  <c r="Y365" i="1"/>
  <c r="C365" i="9" s="1"/>
  <c r="D365" i="9" s="1"/>
  <c r="Y366" i="1"/>
  <c r="C366" i="9" s="1"/>
  <c r="D366" i="9" s="1"/>
  <c r="Y367" i="1"/>
  <c r="C367" i="9" s="1"/>
  <c r="D367" i="9" s="1"/>
  <c r="Y368" i="1"/>
  <c r="C368" i="9" s="1"/>
  <c r="D368" i="9" s="1"/>
  <c r="Y369" i="1"/>
  <c r="C369" i="9" s="1"/>
  <c r="D369" i="9" s="1"/>
  <c r="Y370" i="1"/>
  <c r="C370" i="9" s="1"/>
  <c r="D370" i="9" s="1"/>
  <c r="Y371" i="1"/>
  <c r="C371" i="9" s="1"/>
  <c r="D371" i="9" s="1"/>
  <c r="Y372" i="1"/>
  <c r="C372" i="9" s="1"/>
  <c r="D372" i="9" s="1"/>
  <c r="Y373" i="1"/>
  <c r="C373" i="9" s="1"/>
  <c r="D373" i="9" s="1"/>
  <c r="Y374" i="1"/>
  <c r="C374" i="9" s="1"/>
  <c r="D374" i="9" s="1"/>
  <c r="Y375" i="1"/>
  <c r="C375" i="9" s="1"/>
  <c r="D375" i="9" s="1"/>
  <c r="Y376" i="1"/>
  <c r="C376" i="9" s="1"/>
  <c r="D376" i="9" s="1"/>
  <c r="Y377" i="1"/>
  <c r="C377" i="9" s="1"/>
  <c r="D377" i="9" s="1"/>
  <c r="Y378" i="1"/>
  <c r="C378" i="9" s="1"/>
  <c r="D378" i="9" s="1"/>
  <c r="Y379" i="1"/>
  <c r="C379" i="9" s="1"/>
  <c r="D379" i="9" s="1"/>
  <c r="Y380" i="1"/>
  <c r="C380" i="9" s="1"/>
  <c r="D380" i="9" s="1"/>
  <c r="Y381" i="1"/>
  <c r="C381" i="9" s="1"/>
  <c r="D381" i="9" s="1"/>
  <c r="Y382" i="1"/>
  <c r="C382" i="9" s="1"/>
  <c r="D382" i="9" s="1"/>
  <c r="Y383" i="1"/>
  <c r="C383" i="9" s="1"/>
  <c r="D383" i="9" s="1"/>
  <c r="Y384" i="1"/>
  <c r="C384" i="9" s="1"/>
  <c r="D384" i="9" s="1"/>
  <c r="Y385" i="1"/>
  <c r="C385" i="9" s="1"/>
  <c r="D385" i="9" s="1"/>
  <c r="Y386" i="1"/>
  <c r="C386" i="9" s="1"/>
  <c r="D386" i="9" s="1"/>
  <c r="Y387" i="1"/>
  <c r="C387" i="9" s="1"/>
  <c r="D387" i="9" s="1"/>
  <c r="Y388" i="1"/>
  <c r="C388" i="9" s="1"/>
  <c r="D388" i="9" s="1"/>
  <c r="Y389" i="1"/>
  <c r="C389" i="9" s="1"/>
  <c r="D389" i="9" s="1"/>
  <c r="Y390" i="1"/>
  <c r="C390" i="9" s="1"/>
  <c r="D390" i="9" s="1"/>
  <c r="Y391" i="1"/>
  <c r="C391" i="9" s="1"/>
  <c r="D391" i="9" s="1"/>
  <c r="Y392" i="1"/>
  <c r="C392" i="9" s="1"/>
  <c r="D392" i="9" s="1"/>
  <c r="Y393" i="1"/>
  <c r="C393" i="9" s="1"/>
  <c r="D393" i="9" s="1"/>
  <c r="Y394" i="1"/>
  <c r="C394" i="9" s="1"/>
  <c r="D394" i="9" s="1"/>
  <c r="Y395" i="1"/>
  <c r="C395" i="9" s="1"/>
  <c r="D395" i="9" s="1"/>
  <c r="Y396" i="1"/>
  <c r="C396" i="9" s="1"/>
  <c r="D396" i="9" s="1"/>
  <c r="Y397" i="1"/>
  <c r="C397" i="9" s="1"/>
  <c r="D397" i="9" s="1"/>
  <c r="Y398" i="1"/>
  <c r="C398" i="9" s="1"/>
  <c r="D398" i="9" s="1"/>
  <c r="Y399" i="1"/>
  <c r="C399" i="9" s="1"/>
  <c r="D399" i="9" s="1"/>
  <c r="Y400" i="1"/>
  <c r="C400" i="9" s="1"/>
  <c r="D400" i="9" s="1"/>
  <c r="Y401" i="1"/>
  <c r="C401" i="9" s="1"/>
  <c r="D401" i="9" s="1"/>
  <c r="Y402" i="1"/>
  <c r="C402" i="9" s="1"/>
  <c r="D402" i="9" s="1"/>
  <c r="Y403" i="1"/>
  <c r="C403" i="9" s="1"/>
  <c r="D403" i="9" s="1"/>
  <c r="Y404" i="1"/>
  <c r="C404" i="9" s="1"/>
  <c r="D404" i="9" s="1"/>
  <c r="Y405" i="1"/>
  <c r="C405" i="9" s="1"/>
  <c r="D405" i="9" s="1"/>
  <c r="Y406" i="1"/>
  <c r="C406" i="9" s="1"/>
  <c r="D406" i="9" s="1"/>
  <c r="Y407" i="1"/>
  <c r="C407" i="9" s="1"/>
  <c r="D407" i="9" s="1"/>
  <c r="Y408" i="1"/>
  <c r="C408" i="9" s="1"/>
  <c r="D408" i="9" s="1"/>
  <c r="Y409" i="1"/>
  <c r="C409" i="9" s="1"/>
  <c r="D409" i="9" s="1"/>
  <c r="Y410" i="1"/>
  <c r="C410" i="9" s="1"/>
  <c r="D410" i="9" s="1"/>
  <c r="Y411" i="1"/>
  <c r="C411" i="9" s="1"/>
  <c r="D411" i="9" s="1"/>
  <c r="Y412" i="1"/>
  <c r="C412" i="9" s="1"/>
  <c r="D412" i="9" s="1"/>
  <c r="Y413" i="1"/>
  <c r="C413" i="9" s="1"/>
  <c r="D413" i="9" s="1"/>
  <c r="Y414" i="1"/>
  <c r="C414" i="9" s="1"/>
  <c r="D414" i="9" s="1"/>
  <c r="Y415" i="1"/>
  <c r="C415" i="9" s="1"/>
  <c r="D415" i="9" s="1"/>
  <c r="Y416" i="1"/>
  <c r="C416" i="9" s="1"/>
  <c r="D416" i="9" s="1"/>
  <c r="Y417" i="1"/>
  <c r="C417" i="9" s="1"/>
  <c r="D417" i="9" s="1"/>
  <c r="Y418" i="1"/>
  <c r="C418" i="9" s="1"/>
  <c r="D418" i="9" s="1"/>
  <c r="Y419" i="1"/>
  <c r="C419" i="9" s="1"/>
  <c r="D419" i="9" s="1"/>
  <c r="Y420" i="1"/>
  <c r="C420" i="9" s="1"/>
  <c r="D420" i="9" s="1"/>
  <c r="Y421" i="1"/>
  <c r="C421" i="9" s="1"/>
  <c r="D421" i="9" s="1"/>
  <c r="Y422" i="1"/>
  <c r="C422" i="9" s="1"/>
  <c r="D422" i="9" s="1"/>
  <c r="Y423" i="1"/>
  <c r="C423" i="9" s="1"/>
  <c r="D423" i="9" s="1"/>
  <c r="Y424" i="1"/>
  <c r="C424" i="9" s="1"/>
  <c r="D424" i="9" s="1"/>
  <c r="Y425" i="1"/>
  <c r="C425" i="9" s="1"/>
  <c r="D425" i="9" s="1"/>
  <c r="Y426" i="1"/>
  <c r="C426" i="9" s="1"/>
  <c r="D426" i="9" s="1"/>
  <c r="Y427" i="1"/>
  <c r="C427" i="9" s="1"/>
  <c r="D427" i="9" s="1"/>
  <c r="Y428" i="1"/>
  <c r="C428" i="9" s="1"/>
  <c r="D428" i="9" s="1"/>
  <c r="Y429" i="1"/>
  <c r="C429" i="9" s="1"/>
  <c r="D429" i="9" s="1"/>
  <c r="Y430" i="1"/>
  <c r="C430" i="9" s="1"/>
  <c r="D430" i="9" s="1"/>
  <c r="Y431" i="1"/>
  <c r="C431" i="9" s="1"/>
  <c r="D431" i="9" s="1"/>
  <c r="Y432" i="1"/>
  <c r="C432" i="9" s="1"/>
  <c r="D432" i="9" s="1"/>
  <c r="Y433" i="1"/>
  <c r="C433" i="9" s="1"/>
  <c r="D433" i="9" s="1"/>
  <c r="Y434" i="1"/>
  <c r="C434" i="9" s="1"/>
  <c r="D434" i="9" s="1"/>
  <c r="Y435" i="1"/>
  <c r="C435" i="9" s="1"/>
  <c r="D435" i="9" s="1"/>
  <c r="Y436" i="1"/>
  <c r="C436" i="9" s="1"/>
  <c r="D436" i="9" s="1"/>
  <c r="Y437" i="1"/>
  <c r="C437" i="9" s="1"/>
  <c r="D437" i="9" s="1"/>
  <c r="Y438" i="1"/>
  <c r="C438" i="9" s="1"/>
  <c r="D438" i="9" s="1"/>
  <c r="Y439" i="1"/>
  <c r="C439" i="9" s="1"/>
  <c r="D439" i="9" s="1"/>
  <c r="Y440" i="1"/>
  <c r="C440" i="9" s="1"/>
  <c r="D440" i="9" s="1"/>
  <c r="Y441" i="1"/>
  <c r="C441" i="9" s="1"/>
  <c r="D441" i="9" s="1"/>
  <c r="Y442" i="1"/>
  <c r="C442" i="9" s="1"/>
  <c r="D442" i="9" s="1"/>
  <c r="Y443" i="1"/>
  <c r="C443" i="9" s="1"/>
  <c r="D443" i="9" s="1"/>
  <c r="Y444" i="1"/>
  <c r="C444" i="9" s="1"/>
  <c r="D444" i="9" s="1"/>
  <c r="Y445" i="1"/>
  <c r="C445" i="9" s="1"/>
  <c r="D445" i="9" s="1"/>
  <c r="Y446" i="1"/>
  <c r="C446" i="9" s="1"/>
  <c r="D446" i="9" s="1"/>
  <c r="Y447" i="1"/>
  <c r="C447" i="9" s="1"/>
  <c r="D447" i="9" s="1"/>
  <c r="Y448" i="1"/>
  <c r="C448" i="9" s="1"/>
  <c r="D448" i="9" s="1"/>
  <c r="Y449" i="1"/>
  <c r="C449" i="9" s="1"/>
  <c r="D449" i="9" s="1"/>
  <c r="Y450" i="1"/>
  <c r="C450" i="9" s="1"/>
  <c r="D450" i="9" s="1"/>
  <c r="Y451" i="1"/>
  <c r="C451" i="9" s="1"/>
  <c r="D451" i="9" s="1"/>
  <c r="Y452" i="1"/>
  <c r="C452" i="9" s="1"/>
  <c r="D452" i="9" s="1"/>
  <c r="Y453" i="1"/>
  <c r="C453" i="9" s="1"/>
  <c r="D453" i="9" s="1"/>
  <c r="Y454" i="1"/>
  <c r="C454" i="9" s="1"/>
  <c r="D454" i="9" s="1"/>
  <c r="Y455" i="1"/>
  <c r="C455" i="9" s="1"/>
  <c r="D455" i="9" s="1"/>
  <c r="Y456" i="1"/>
  <c r="C456" i="9" s="1"/>
  <c r="D456" i="9" s="1"/>
  <c r="Y457" i="1"/>
  <c r="C457" i="9" s="1"/>
  <c r="D457" i="9" s="1"/>
  <c r="Y458" i="1"/>
  <c r="C458" i="9" s="1"/>
  <c r="D458" i="9" s="1"/>
  <c r="Y459" i="1"/>
  <c r="C459" i="9" s="1"/>
  <c r="D459" i="9" s="1"/>
  <c r="Y460" i="1"/>
  <c r="C460" i="9" s="1"/>
  <c r="D460" i="9" s="1"/>
  <c r="Y461" i="1"/>
  <c r="C461" i="9" s="1"/>
  <c r="D461" i="9" s="1"/>
  <c r="Y462" i="1"/>
  <c r="C462" i="9" s="1"/>
  <c r="D462" i="9" s="1"/>
  <c r="Y463" i="1"/>
  <c r="C463" i="9" s="1"/>
  <c r="D463" i="9" s="1"/>
  <c r="Y464" i="1"/>
  <c r="C464" i="9" s="1"/>
  <c r="D464" i="9" s="1"/>
  <c r="Y465" i="1"/>
  <c r="C465" i="9" s="1"/>
  <c r="D465" i="9" s="1"/>
  <c r="Y466" i="1"/>
  <c r="C466" i="9" s="1"/>
  <c r="D466" i="9" s="1"/>
  <c r="Y467" i="1"/>
  <c r="C467" i="9" s="1"/>
  <c r="D467" i="9" s="1"/>
  <c r="Y468" i="1"/>
  <c r="C468" i="9" s="1"/>
  <c r="D468" i="9" s="1"/>
  <c r="Y469" i="1"/>
  <c r="C469" i="9" s="1"/>
  <c r="D469" i="9" s="1"/>
  <c r="Y470" i="1"/>
  <c r="C470" i="9" s="1"/>
  <c r="D470" i="9" s="1"/>
  <c r="Y471" i="1"/>
  <c r="C471" i="9" s="1"/>
  <c r="D471" i="9" s="1"/>
  <c r="Y472" i="1"/>
  <c r="C472" i="9" s="1"/>
  <c r="D472" i="9" s="1"/>
  <c r="Y473" i="1"/>
  <c r="C473" i="9" s="1"/>
  <c r="D473" i="9" s="1"/>
  <c r="Y474" i="1"/>
  <c r="C474" i="9" s="1"/>
  <c r="D474" i="9" s="1"/>
  <c r="Y475" i="1"/>
  <c r="C475" i="9" s="1"/>
  <c r="D475" i="9" s="1"/>
  <c r="Y476" i="1"/>
  <c r="C476" i="9" s="1"/>
  <c r="D476" i="9" s="1"/>
  <c r="Y477" i="1"/>
  <c r="C477" i="9" s="1"/>
  <c r="D477" i="9" s="1"/>
  <c r="Y478" i="1"/>
  <c r="C478" i="9" s="1"/>
  <c r="D478" i="9" s="1"/>
  <c r="Y479" i="1"/>
  <c r="C479" i="9" s="1"/>
  <c r="D479" i="9" s="1"/>
  <c r="Y480" i="1"/>
  <c r="C480" i="9" s="1"/>
  <c r="D480" i="9" s="1"/>
  <c r="Y481" i="1"/>
  <c r="C481" i="9" s="1"/>
  <c r="D481" i="9" s="1"/>
  <c r="Y482" i="1"/>
  <c r="C482" i="9" s="1"/>
  <c r="D482" i="9" s="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5" i="1"/>
  <c r="I6" i="1"/>
  <c r="K6" i="1" s="1"/>
  <c r="I7" i="1"/>
  <c r="K7" i="1" s="1"/>
  <c r="I8" i="1"/>
  <c r="K8" i="1" s="1"/>
  <c r="I9" i="1"/>
  <c r="K9" i="1" s="1"/>
  <c r="I10" i="1"/>
  <c r="K10" i="1" s="1"/>
  <c r="I11" i="1"/>
  <c r="K11" i="1" s="1"/>
  <c r="I12" i="1"/>
  <c r="K12" i="1" s="1"/>
  <c r="I13" i="1"/>
  <c r="K13" i="1" s="1"/>
  <c r="I14" i="1"/>
  <c r="K14" i="1" s="1"/>
  <c r="I15" i="1"/>
  <c r="K15" i="1" s="1"/>
  <c r="I16" i="1"/>
  <c r="K16" i="1" s="1"/>
  <c r="I17" i="1"/>
  <c r="K17" i="1" s="1"/>
  <c r="I18" i="1"/>
  <c r="K18" i="1" s="1"/>
  <c r="I19" i="1"/>
  <c r="K19" i="1" s="1"/>
  <c r="I20" i="1"/>
  <c r="K20" i="1" s="1"/>
  <c r="I21" i="1"/>
  <c r="K21" i="1" s="1"/>
  <c r="I22" i="1"/>
  <c r="K22" i="1" s="1"/>
  <c r="I23" i="1"/>
  <c r="K23" i="1" s="1"/>
  <c r="I24" i="1"/>
  <c r="K24" i="1" s="1"/>
  <c r="I25" i="1"/>
  <c r="K25" i="1" s="1"/>
  <c r="I26" i="1"/>
  <c r="K26" i="1" s="1"/>
  <c r="I27" i="1"/>
  <c r="K27" i="1" s="1"/>
  <c r="I28" i="1"/>
  <c r="K28" i="1" s="1"/>
  <c r="I29" i="1"/>
  <c r="K29" i="1" s="1"/>
  <c r="I30" i="1"/>
  <c r="K30" i="1" s="1"/>
  <c r="I31" i="1"/>
  <c r="K31" i="1" s="1"/>
  <c r="I32" i="1"/>
  <c r="K32" i="1" s="1"/>
  <c r="I33" i="1"/>
  <c r="K33" i="1" s="1"/>
  <c r="I34" i="1"/>
  <c r="K34" i="1" s="1"/>
  <c r="I35" i="1"/>
  <c r="K35" i="1" s="1"/>
  <c r="I36" i="1"/>
  <c r="K36" i="1" s="1"/>
  <c r="I37" i="1"/>
  <c r="K37" i="1" s="1"/>
  <c r="I38" i="1"/>
  <c r="K38" i="1" s="1"/>
  <c r="I39" i="1"/>
  <c r="K39" i="1" s="1"/>
  <c r="I40" i="1"/>
  <c r="K40" i="1" s="1"/>
  <c r="I41" i="1"/>
  <c r="K41" i="1" s="1"/>
  <c r="I42" i="1"/>
  <c r="K42" i="1" s="1"/>
  <c r="I43" i="1"/>
  <c r="K43" i="1" s="1"/>
  <c r="I44" i="1"/>
  <c r="K44" i="1" s="1"/>
  <c r="I45" i="1"/>
  <c r="K45" i="1" s="1"/>
  <c r="I46" i="1"/>
  <c r="K46" i="1" s="1"/>
  <c r="I47" i="1"/>
  <c r="K47" i="1" s="1"/>
  <c r="I48" i="1"/>
  <c r="K48" i="1" s="1"/>
  <c r="I49" i="1"/>
  <c r="K49" i="1" s="1"/>
  <c r="I50" i="1"/>
  <c r="K50" i="1" s="1"/>
  <c r="I51" i="1"/>
  <c r="K51" i="1" s="1"/>
  <c r="I52" i="1"/>
  <c r="K52" i="1" s="1"/>
  <c r="I53" i="1"/>
  <c r="K53" i="1" s="1"/>
  <c r="I54" i="1"/>
  <c r="K54" i="1" s="1"/>
  <c r="I55" i="1"/>
  <c r="K55" i="1" s="1"/>
  <c r="I56" i="1"/>
  <c r="K56" i="1" s="1"/>
  <c r="I57" i="1"/>
  <c r="K57" i="1" s="1"/>
  <c r="I58" i="1"/>
  <c r="K58" i="1" s="1"/>
  <c r="I59" i="1"/>
  <c r="K59" i="1" s="1"/>
  <c r="I60" i="1"/>
  <c r="K60" i="1" s="1"/>
  <c r="I61" i="1"/>
  <c r="K61" i="1" s="1"/>
  <c r="I62" i="1"/>
  <c r="K62" i="1" s="1"/>
  <c r="I63" i="1"/>
  <c r="K63" i="1" s="1"/>
  <c r="I64" i="1"/>
  <c r="K64" i="1" s="1"/>
  <c r="I65" i="1"/>
  <c r="K65" i="1" s="1"/>
  <c r="I66" i="1"/>
  <c r="K66" i="1" s="1"/>
  <c r="I67" i="1"/>
  <c r="K67" i="1" s="1"/>
  <c r="I68" i="1"/>
  <c r="K68" i="1" s="1"/>
  <c r="I69" i="1"/>
  <c r="K69" i="1" s="1"/>
  <c r="I70" i="1"/>
  <c r="K70" i="1" s="1"/>
  <c r="I71" i="1"/>
  <c r="K71" i="1" s="1"/>
  <c r="I72" i="1"/>
  <c r="K72" i="1" s="1"/>
  <c r="I73" i="1"/>
  <c r="K73" i="1" s="1"/>
  <c r="I74" i="1"/>
  <c r="K74" i="1" s="1"/>
  <c r="I75" i="1"/>
  <c r="K75" i="1" s="1"/>
  <c r="I76" i="1"/>
  <c r="K76" i="1" s="1"/>
  <c r="I77" i="1"/>
  <c r="K77" i="1" s="1"/>
  <c r="I78" i="1"/>
  <c r="K78" i="1" s="1"/>
  <c r="I79" i="1"/>
  <c r="K79" i="1" s="1"/>
  <c r="I80" i="1"/>
  <c r="K80" i="1" s="1"/>
  <c r="I81" i="1"/>
  <c r="K81" i="1" s="1"/>
  <c r="I82" i="1"/>
  <c r="K82" i="1" s="1"/>
  <c r="I83" i="1"/>
  <c r="K83" i="1" s="1"/>
  <c r="I84" i="1"/>
  <c r="K84" i="1" s="1"/>
  <c r="I85" i="1"/>
  <c r="K85" i="1" s="1"/>
  <c r="I86" i="1"/>
  <c r="K86" i="1" s="1"/>
  <c r="I87" i="1"/>
  <c r="K87" i="1" s="1"/>
  <c r="I88" i="1"/>
  <c r="K88" i="1" s="1"/>
  <c r="I89" i="1"/>
  <c r="K89" i="1" s="1"/>
  <c r="I90" i="1"/>
  <c r="K90" i="1" s="1"/>
  <c r="I91" i="1"/>
  <c r="K91" i="1" s="1"/>
  <c r="I92" i="1"/>
  <c r="K92" i="1" s="1"/>
  <c r="I93" i="1"/>
  <c r="K93" i="1" s="1"/>
  <c r="I94" i="1"/>
  <c r="K94" i="1" s="1"/>
  <c r="I95" i="1"/>
  <c r="K95" i="1" s="1"/>
  <c r="I96" i="1"/>
  <c r="K96" i="1" s="1"/>
  <c r="I97" i="1"/>
  <c r="K97" i="1" s="1"/>
  <c r="I98" i="1"/>
  <c r="K98" i="1" s="1"/>
  <c r="I99" i="1"/>
  <c r="K99" i="1" s="1"/>
  <c r="I100" i="1"/>
  <c r="K100" i="1" s="1"/>
  <c r="I101" i="1"/>
  <c r="K101" i="1" s="1"/>
  <c r="I102" i="1"/>
  <c r="K102" i="1" s="1"/>
  <c r="I103" i="1"/>
  <c r="K103" i="1" s="1"/>
  <c r="I104" i="1"/>
  <c r="K104" i="1" s="1"/>
  <c r="I105" i="1"/>
  <c r="K105" i="1" s="1"/>
  <c r="I106" i="1"/>
  <c r="K106" i="1" s="1"/>
  <c r="I107" i="1"/>
  <c r="K107" i="1" s="1"/>
  <c r="I108" i="1"/>
  <c r="K108" i="1" s="1"/>
  <c r="I109" i="1"/>
  <c r="K109" i="1" s="1"/>
  <c r="I110" i="1"/>
  <c r="K110" i="1" s="1"/>
  <c r="I111" i="1"/>
  <c r="K111" i="1" s="1"/>
  <c r="I112" i="1"/>
  <c r="K112" i="1" s="1"/>
  <c r="I113" i="1"/>
  <c r="K113" i="1" s="1"/>
  <c r="I114" i="1"/>
  <c r="K114" i="1" s="1"/>
  <c r="I115" i="1"/>
  <c r="K115" i="1" s="1"/>
  <c r="I116" i="1"/>
  <c r="K116" i="1" s="1"/>
  <c r="I117" i="1"/>
  <c r="K117" i="1" s="1"/>
  <c r="I118" i="1"/>
  <c r="K118" i="1" s="1"/>
  <c r="I119" i="1"/>
  <c r="K119" i="1" s="1"/>
  <c r="I120" i="1"/>
  <c r="K120" i="1" s="1"/>
  <c r="I121" i="1"/>
  <c r="K121" i="1" s="1"/>
  <c r="I122" i="1"/>
  <c r="K122" i="1" s="1"/>
  <c r="I123" i="1"/>
  <c r="K123" i="1" s="1"/>
  <c r="I124" i="1"/>
  <c r="K124" i="1" s="1"/>
  <c r="I125" i="1"/>
  <c r="K125" i="1" s="1"/>
  <c r="I126" i="1"/>
  <c r="K126" i="1" s="1"/>
  <c r="I127" i="1"/>
  <c r="K127" i="1" s="1"/>
  <c r="I128" i="1"/>
  <c r="K128" i="1" s="1"/>
  <c r="I129" i="1"/>
  <c r="K129" i="1" s="1"/>
  <c r="I130" i="1"/>
  <c r="K130" i="1" s="1"/>
  <c r="I131" i="1"/>
  <c r="K131" i="1" s="1"/>
  <c r="I132" i="1"/>
  <c r="K132" i="1" s="1"/>
  <c r="I133" i="1"/>
  <c r="K133" i="1" s="1"/>
  <c r="I134" i="1"/>
  <c r="K134" i="1" s="1"/>
  <c r="I135" i="1"/>
  <c r="K135" i="1" s="1"/>
  <c r="I136" i="1"/>
  <c r="K136" i="1" s="1"/>
  <c r="I137" i="1"/>
  <c r="K137" i="1" s="1"/>
  <c r="I138" i="1"/>
  <c r="K138" i="1" s="1"/>
  <c r="I139" i="1"/>
  <c r="K139" i="1" s="1"/>
  <c r="I140" i="1"/>
  <c r="K140" i="1" s="1"/>
  <c r="I141" i="1"/>
  <c r="K141" i="1" s="1"/>
  <c r="I142" i="1"/>
  <c r="K142" i="1" s="1"/>
  <c r="I143" i="1"/>
  <c r="K143" i="1" s="1"/>
  <c r="I144" i="1"/>
  <c r="K144" i="1" s="1"/>
  <c r="I145" i="1"/>
  <c r="K145" i="1" s="1"/>
  <c r="I146" i="1"/>
  <c r="K146" i="1" s="1"/>
  <c r="I147" i="1"/>
  <c r="K147" i="1" s="1"/>
  <c r="I148" i="1"/>
  <c r="K148" i="1" s="1"/>
  <c r="I149" i="1"/>
  <c r="K149" i="1" s="1"/>
  <c r="I150" i="1"/>
  <c r="K150" i="1" s="1"/>
  <c r="I151" i="1"/>
  <c r="K151" i="1" s="1"/>
  <c r="I152" i="1"/>
  <c r="K152" i="1" s="1"/>
  <c r="I153" i="1"/>
  <c r="K153" i="1" s="1"/>
  <c r="I154" i="1"/>
  <c r="K154" i="1" s="1"/>
  <c r="I155" i="1"/>
  <c r="K155" i="1" s="1"/>
  <c r="I156" i="1"/>
  <c r="K156" i="1" s="1"/>
  <c r="I157" i="1"/>
  <c r="K157" i="1" s="1"/>
  <c r="I158" i="1"/>
  <c r="K158" i="1" s="1"/>
  <c r="I159" i="1"/>
  <c r="K159" i="1" s="1"/>
  <c r="I160" i="1"/>
  <c r="K160" i="1" s="1"/>
  <c r="I161" i="1"/>
  <c r="K161" i="1" s="1"/>
  <c r="I162" i="1"/>
  <c r="K162" i="1" s="1"/>
  <c r="I163" i="1"/>
  <c r="K163" i="1" s="1"/>
  <c r="I164" i="1"/>
  <c r="K164" i="1" s="1"/>
  <c r="I165" i="1"/>
  <c r="K165" i="1" s="1"/>
  <c r="I166" i="1"/>
  <c r="K166" i="1" s="1"/>
  <c r="I167" i="1"/>
  <c r="K167" i="1" s="1"/>
  <c r="I168" i="1"/>
  <c r="K168" i="1" s="1"/>
  <c r="I169" i="1"/>
  <c r="K169" i="1" s="1"/>
  <c r="I170" i="1"/>
  <c r="K170" i="1" s="1"/>
  <c r="I171" i="1"/>
  <c r="K171" i="1" s="1"/>
  <c r="I172" i="1"/>
  <c r="K172" i="1" s="1"/>
  <c r="I173" i="1"/>
  <c r="K173" i="1" s="1"/>
  <c r="I174" i="1"/>
  <c r="K174" i="1" s="1"/>
  <c r="I175" i="1"/>
  <c r="K175" i="1" s="1"/>
  <c r="I176" i="1"/>
  <c r="K176" i="1" s="1"/>
  <c r="I177" i="1"/>
  <c r="K177" i="1" s="1"/>
  <c r="I178" i="1"/>
  <c r="K178" i="1" s="1"/>
  <c r="I179" i="1"/>
  <c r="K179" i="1" s="1"/>
  <c r="I180" i="1"/>
  <c r="K180" i="1" s="1"/>
  <c r="I181" i="1"/>
  <c r="K181" i="1" s="1"/>
  <c r="I182" i="1"/>
  <c r="K182" i="1" s="1"/>
  <c r="I183" i="1"/>
  <c r="K183" i="1" s="1"/>
  <c r="I184" i="1"/>
  <c r="K184" i="1" s="1"/>
  <c r="I185" i="1"/>
  <c r="K185" i="1" s="1"/>
  <c r="I186" i="1"/>
  <c r="K186" i="1" s="1"/>
  <c r="I187" i="1"/>
  <c r="K187" i="1" s="1"/>
  <c r="I188" i="1"/>
  <c r="K188" i="1" s="1"/>
  <c r="I189" i="1"/>
  <c r="K189" i="1" s="1"/>
  <c r="I190" i="1"/>
  <c r="K190" i="1" s="1"/>
  <c r="I191" i="1"/>
  <c r="K191" i="1" s="1"/>
  <c r="I192" i="1"/>
  <c r="K192" i="1" s="1"/>
  <c r="I193" i="1"/>
  <c r="K193" i="1" s="1"/>
  <c r="I194" i="1"/>
  <c r="K194" i="1" s="1"/>
  <c r="I195" i="1"/>
  <c r="K195" i="1" s="1"/>
  <c r="I196" i="1"/>
  <c r="K196" i="1" s="1"/>
  <c r="I197" i="1"/>
  <c r="K197" i="1" s="1"/>
  <c r="I198" i="1"/>
  <c r="K198" i="1" s="1"/>
  <c r="I199" i="1"/>
  <c r="K199" i="1" s="1"/>
  <c r="I200" i="1"/>
  <c r="K200" i="1" s="1"/>
  <c r="I201" i="1"/>
  <c r="K201" i="1" s="1"/>
  <c r="I202" i="1"/>
  <c r="K202" i="1" s="1"/>
  <c r="I203" i="1"/>
  <c r="K203" i="1" s="1"/>
  <c r="I204" i="1"/>
  <c r="K204" i="1" s="1"/>
  <c r="I205" i="1"/>
  <c r="K205" i="1" s="1"/>
  <c r="I206" i="1"/>
  <c r="K206" i="1" s="1"/>
  <c r="I207" i="1"/>
  <c r="K207" i="1" s="1"/>
  <c r="I208" i="1"/>
  <c r="K208" i="1" s="1"/>
  <c r="I209" i="1"/>
  <c r="K209" i="1" s="1"/>
  <c r="I210" i="1"/>
  <c r="K210" i="1" s="1"/>
  <c r="I211" i="1"/>
  <c r="K211" i="1" s="1"/>
  <c r="I212" i="1"/>
  <c r="K212" i="1" s="1"/>
  <c r="I213" i="1"/>
  <c r="K213" i="1" s="1"/>
  <c r="I214" i="1"/>
  <c r="K214" i="1" s="1"/>
  <c r="I215" i="1"/>
  <c r="K215" i="1" s="1"/>
  <c r="I216" i="1"/>
  <c r="K216" i="1" s="1"/>
  <c r="I217" i="1"/>
  <c r="K217" i="1" s="1"/>
  <c r="I218" i="1"/>
  <c r="K218" i="1" s="1"/>
  <c r="I219" i="1"/>
  <c r="K219" i="1" s="1"/>
  <c r="I220" i="1"/>
  <c r="K220" i="1" s="1"/>
  <c r="I221" i="1"/>
  <c r="K221" i="1" s="1"/>
  <c r="I222" i="1"/>
  <c r="K222" i="1" s="1"/>
  <c r="I223" i="1"/>
  <c r="K223" i="1" s="1"/>
  <c r="I224" i="1"/>
  <c r="K224" i="1" s="1"/>
  <c r="I225" i="1"/>
  <c r="K225" i="1" s="1"/>
  <c r="I226" i="1"/>
  <c r="K226" i="1" s="1"/>
  <c r="I227" i="1"/>
  <c r="K227" i="1" s="1"/>
  <c r="I228" i="1"/>
  <c r="K228" i="1" s="1"/>
  <c r="I229" i="1"/>
  <c r="K229" i="1" s="1"/>
  <c r="I230" i="1"/>
  <c r="K230" i="1" s="1"/>
  <c r="I231" i="1"/>
  <c r="K231" i="1" s="1"/>
  <c r="I232" i="1"/>
  <c r="K232" i="1" s="1"/>
  <c r="I233" i="1"/>
  <c r="K233" i="1" s="1"/>
  <c r="I234" i="1"/>
  <c r="K234" i="1" s="1"/>
  <c r="I235" i="1"/>
  <c r="K235" i="1" s="1"/>
  <c r="I236" i="1"/>
  <c r="K236" i="1" s="1"/>
  <c r="I237" i="1"/>
  <c r="K237" i="1" s="1"/>
  <c r="I238" i="1"/>
  <c r="K238" i="1" s="1"/>
  <c r="I239" i="1"/>
  <c r="K239" i="1" s="1"/>
  <c r="I240" i="1"/>
  <c r="K240" i="1" s="1"/>
  <c r="I241" i="1"/>
  <c r="K241" i="1" s="1"/>
  <c r="I242" i="1"/>
  <c r="K242" i="1" s="1"/>
  <c r="I243" i="1"/>
  <c r="K243" i="1" s="1"/>
  <c r="I244" i="1"/>
  <c r="K244" i="1" s="1"/>
  <c r="I245" i="1"/>
  <c r="K245" i="1" s="1"/>
  <c r="I246" i="1"/>
  <c r="K246" i="1" s="1"/>
  <c r="I247" i="1"/>
  <c r="K247" i="1" s="1"/>
  <c r="I248" i="1"/>
  <c r="K248" i="1" s="1"/>
  <c r="I249" i="1"/>
  <c r="K249" i="1" s="1"/>
  <c r="I250" i="1"/>
  <c r="K250" i="1" s="1"/>
  <c r="I251" i="1"/>
  <c r="K251" i="1" s="1"/>
  <c r="I252" i="1"/>
  <c r="K252" i="1" s="1"/>
  <c r="I253" i="1"/>
  <c r="K253" i="1" s="1"/>
  <c r="I254" i="1"/>
  <c r="K254" i="1" s="1"/>
  <c r="I255" i="1"/>
  <c r="K255" i="1" s="1"/>
  <c r="I256" i="1"/>
  <c r="K256" i="1" s="1"/>
  <c r="I257" i="1"/>
  <c r="K257" i="1" s="1"/>
  <c r="I258" i="1"/>
  <c r="K258" i="1" s="1"/>
  <c r="I259" i="1"/>
  <c r="K259" i="1" s="1"/>
  <c r="I260" i="1"/>
  <c r="K260" i="1" s="1"/>
  <c r="I261" i="1"/>
  <c r="K261" i="1" s="1"/>
  <c r="I262" i="1"/>
  <c r="K262" i="1" s="1"/>
  <c r="I263" i="1"/>
  <c r="K263" i="1" s="1"/>
  <c r="I264" i="1"/>
  <c r="K264" i="1" s="1"/>
  <c r="I265" i="1"/>
  <c r="K265" i="1" s="1"/>
  <c r="I266" i="1"/>
  <c r="K266" i="1" s="1"/>
  <c r="I267" i="1"/>
  <c r="K267" i="1" s="1"/>
  <c r="I268" i="1"/>
  <c r="K268" i="1" s="1"/>
  <c r="I269" i="1"/>
  <c r="K269" i="1" s="1"/>
  <c r="I270" i="1"/>
  <c r="K270" i="1" s="1"/>
  <c r="I271" i="1"/>
  <c r="K271" i="1" s="1"/>
  <c r="I272" i="1"/>
  <c r="K272" i="1" s="1"/>
  <c r="I273" i="1"/>
  <c r="K273" i="1" s="1"/>
  <c r="I274" i="1"/>
  <c r="K274" i="1" s="1"/>
  <c r="I275" i="1"/>
  <c r="K275" i="1" s="1"/>
  <c r="I276" i="1"/>
  <c r="K276" i="1" s="1"/>
  <c r="I277" i="1"/>
  <c r="K277" i="1" s="1"/>
  <c r="I278" i="1"/>
  <c r="K278" i="1" s="1"/>
  <c r="I279" i="1"/>
  <c r="K279" i="1" s="1"/>
  <c r="I280" i="1"/>
  <c r="K280" i="1" s="1"/>
  <c r="I281" i="1"/>
  <c r="K281" i="1" s="1"/>
  <c r="I282" i="1"/>
  <c r="K282" i="1" s="1"/>
  <c r="I283" i="1"/>
  <c r="K283" i="1" s="1"/>
  <c r="I284" i="1"/>
  <c r="K284" i="1" s="1"/>
  <c r="I285" i="1"/>
  <c r="K285" i="1" s="1"/>
  <c r="I286" i="1"/>
  <c r="K286" i="1" s="1"/>
  <c r="I287" i="1"/>
  <c r="K287" i="1" s="1"/>
  <c r="I288" i="1"/>
  <c r="K288" i="1" s="1"/>
  <c r="I289" i="1"/>
  <c r="K289" i="1" s="1"/>
  <c r="I290" i="1"/>
  <c r="K290" i="1" s="1"/>
  <c r="I291" i="1"/>
  <c r="K291" i="1" s="1"/>
  <c r="I292" i="1"/>
  <c r="K292" i="1" s="1"/>
  <c r="I293" i="1"/>
  <c r="K293" i="1" s="1"/>
  <c r="I294" i="1"/>
  <c r="K294" i="1" s="1"/>
  <c r="I295" i="1"/>
  <c r="K295" i="1" s="1"/>
  <c r="I296" i="1"/>
  <c r="K296" i="1" s="1"/>
  <c r="I297" i="1"/>
  <c r="K297" i="1" s="1"/>
  <c r="I298" i="1"/>
  <c r="K298" i="1" s="1"/>
  <c r="I299" i="1"/>
  <c r="K299" i="1" s="1"/>
  <c r="I300" i="1"/>
  <c r="K300" i="1" s="1"/>
  <c r="I301" i="1"/>
  <c r="K301" i="1" s="1"/>
  <c r="I302" i="1"/>
  <c r="K302" i="1" s="1"/>
  <c r="I303" i="1"/>
  <c r="K303" i="1" s="1"/>
  <c r="I304" i="1"/>
  <c r="K304" i="1" s="1"/>
  <c r="I305" i="1"/>
  <c r="K305" i="1" s="1"/>
  <c r="I306" i="1"/>
  <c r="K306" i="1" s="1"/>
  <c r="I307" i="1"/>
  <c r="K307" i="1" s="1"/>
  <c r="I308" i="1"/>
  <c r="K308" i="1" s="1"/>
  <c r="I309" i="1"/>
  <c r="K309" i="1" s="1"/>
  <c r="I310" i="1"/>
  <c r="K310" i="1" s="1"/>
  <c r="I311" i="1"/>
  <c r="K311" i="1" s="1"/>
  <c r="I312" i="1"/>
  <c r="K312" i="1" s="1"/>
  <c r="I313" i="1"/>
  <c r="K313" i="1" s="1"/>
  <c r="I314" i="1"/>
  <c r="K314" i="1" s="1"/>
  <c r="I315" i="1"/>
  <c r="K315" i="1" s="1"/>
  <c r="I316" i="1"/>
  <c r="K316" i="1" s="1"/>
  <c r="I317" i="1"/>
  <c r="K317" i="1" s="1"/>
  <c r="I318" i="1"/>
  <c r="K318" i="1" s="1"/>
  <c r="I319" i="1"/>
  <c r="K319" i="1" s="1"/>
  <c r="I320" i="1"/>
  <c r="K320" i="1" s="1"/>
  <c r="I321" i="1"/>
  <c r="K321" i="1" s="1"/>
  <c r="I322" i="1"/>
  <c r="K322" i="1" s="1"/>
  <c r="I323" i="1"/>
  <c r="K323" i="1" s="1"/>
  <c r="I324" i="1"/>
  <c r="K324" i="1" s="1"/>
  <c r="I325" i="1"/>
  <c r="K325" i="1" s="1"/>
  <c r="I326" i="1"/>
  <c r="K326" i="1" s="1"/>
  <c r="I327" i="1"/>
  <c r="K327" i="1" s="1"/>
  <c r="I328" i="1"/>
  <c r="K328" i="1" s="1"/>
  <c r="I329" i="1"/>
  <c r="K329" i="1" s="1"/>
  <c r="I330" i="1"/>
  <c r="K330" i="1" s="1"/>
  <c r="I331" i="1"/>
  <c r="K331" i="1" s="1"/>
  <c r="I332" i="1"/>
  <c r="K332" i="1" s="1"/>
  <c r="I333" i="1"/>
  <c r="K333" i="1" s="1"/>
  <c r="I334" i="1"/>
  <c r="K334" i="1" s="1"/>
  <c r="I335" i="1"/>
  <c r="K335" i="1" s="1"/>
  <c r="I336" i="1"/>
  <c r="K336" i="1" s="1"/>
  <c r="I337" i="1"/>
  <c r="K337" i="1" s="1"/>
  <c r="I338" i="1"/>
  <c r="K338" i="1" s="1"/>
  <c r="I339" i="1"/>
  <c r="K339" i="1" s="1"/>
  <c r="I340" i="1"/>
  <c r="K340" i="1" s="1"/>
  <c r="I341" i="1"/>
  <c r="K341" i="1" s="1"/>
  <c r="I342" i="1"/>
  <c r="K342" i="1" s="1"/>
  <c r="I343" i="1"/>
  <c r="K343" i="1" s="1"/>
  <c r="I344" i="1"/>
  <c r="K344" i="1" s="1"/>
  <c r="I345" i="1"/>
  <c r="K345" i="1" s="1"/>
  <c r="I346" i="1"/>
  <c r="K346" i="1" s="1"/>
  <c r="I347" i="1"/>
  <c r="K347" i="1" s="1"/>
  <c r="I348" i="1"/>
  <c r="K348" i="1" s="1"/>
  <c r="I349" i="1"/>
  <c r="K349" i="1" s="1"/>
  <c r="I350" i="1"/>
  <c r="K350" i="1" s="1"/>
  <c r="I351" i="1"/>
  <c r="K351" i="1" s="1"/>
  <c r="I352" i="1"/>
  <c r="K352" i="1" s="1"/>
  <c r="I353" i="1"/>
  <c r="K353" i="1" s="1"/>
  <c r="I354" i="1"/>
  <c r="K354" i="1" s="1"/>
  <c r="I355" i="1"/>
  <c r="K355" i="1" s="1"/>
  <c r="I356" i="1"/>
  <c r="K356" i="1" s="1"/>
  <c r="I357" i="1"/>
  <c r="K357" i="1" s="1"/>
  <c r="I358" i="1"/>
  <c r="K358" i="1" s="1"/>
  <c r="I359" i="1"/>
  <c r="K359" i="1" s="1"/>
  <c r="I360" i="1"/>
  <c r="K360" i="1" s="1"/>
  <c r="I361" i="1"/>
  <c r="K361" i="1" s="1"/>
  <c r="I362" i="1"/>
  <c r="K362" i="1" s="1"/>
  <c r="I363" i="1"/>
  <c r="K363" i="1" s="1"/>
  <c r="I364" i="1"/>
  <c r="K364" i="1" s="1"/>
  <c r="I365" i="1"/>
  <c r="K365" i="1" s="1"/>
  <c r="I366" i="1"/>
  <c r="K366" i="1" s="1"/>
  <c r="I367" i="1"/>
  <c r="K367" i="1" s="1"/>
  <c r="I368" i="1"/>
  <c r="K368" i="1" s="1"/>
  <c r="I369" i="1"/>
  <c r="K369" i="1" s="1"/>
  <c r="I370" i="1"/>
  <c r="K370" i="1" s="1"/>
  <c r="I371" i="1"/>
  <c r="K371" i="1" s="1"/>
  <c r="I372" i="1"/>
  <c r="K372" i="1" s="1"/>
  <c r="I373" i="1"/>
  <c r="K373" i="1" s="1"/>
  <c r="I374" i="1"/>
  <c r="K374" i="1" s="1"/>
  <c r="I375" i="1"/>
  <c r="K375" i="1" s="1"/>
  <c r="I376" i="1"/>
  <c r="K376" i="1" s="1"/>
  <c r="I377" i="1"/>
  <c r="K377" i="1" s="1"/>
  <c r="I378" i="1"/>
  <c r="K378" i="1" s="1"/>
  <c r="I379" i="1"/>
  <c r="K379" i="1" s="1"/>
  <c r="I380" i="1"/>
  <c r="K380" i="1" s="1"/>
  <c r="I381" i="1"/>
  <c r="K381" i="1" s="1"/>
  <c r="I382" i="1"/>
  <c r="K382" i="1" s="1"/>
  <c r="I383" i="1"/>
  <c r="K383" i="1" s="1"/>
  <c r="I384" i="1"/>
  <c r="K384" i="1" s="1"/>
  <c r="I385" i="1"/>
  <c r="K385" i="1" s="1"/>
  <c r="I386" i="1"/>
  <c r="K386" i="1" s="1"/>
  <c r="I387" i="1"/>
  <c r="K387" i="1" s="1"/>
  <c r="I388" i="1"/>
  <c r="K388" i="1" s="1"/>
  <c r="I389" i="1"/>
  <c r="K389" i="1" s="1"/>
  <c r="I390" i="1"/>
  <c r="K390" i="1" s="1"/>
  <c r="I391" i="1"/>
  <c r="K391" i="1" s="1"/>
  <c r="I392" i="1"/>
  <c r="K392" i="1" s="1"/>
  <c r="I393" i="1"/>
  <c r="K393" i="1" s="1"/>
  <c r="I394" i="1"/>
  <c r="K394" i="1" s="1"/>
  <c r="I395" i="1"/>
  <c r="K395" i="1" s="1"/>
  <c r="I396" i="1"/>
  <c r="K396" i="1" s="1"/>
  <c r="I397" i="1"/>
  <c r="K397" i="1" s="1"/>
  <c r="I398" i="1"/>
  <c r="K398" i="1" s="1"/>
  <c r="I399" i="1"/>
  <c r="K399" i="1" s="1"/>
  <c r="I400" i="1"/>
  <c r="K400" i="1" s="1"/>
  <c r="I401" i="1"/>
  <c r="K401" i="1" s="1"/>
  <c r="I402" i="1"/>
  <c r="K402" i="1" s="1"/>
  <c r="I403" i="1"/>
  <c r="K403" i="1" s="1"/>
  <c r="I404" i="1"/>
  <c r="K404" i="1" s="1"/>
  <c r="I405" i="1"/>
  <c r="K405" i="1" s="1"/>
  <c r="I406" i="1"/>
  <c r="K406" i="1" s="1"/>
  <c r="I407" i="1"/>
  <c r="K407" i="1" s="1"/>
  <c r="I408" i="1"/>
  <c r="K408" i="1" s="1"/>
  <c r="I409" i="1"/>
  <c r="K409" i="1" s="1"/>
  <c r="I410" i="1"/>
  <c r="K410" i="1" s="1"/>
  <c r="I411" i="1"/>
  <c r="K411" i="1" s="1"/>
  <c r="I412" i="1"/>
  <c r="K412" i="1" s="1"/>
  <c r="I413" i="1"/>
  <c r="K413" i="1" s="1"/>
  <c r="I414" i="1"/>
  <c r="K414" i="1" s="1"/>
  <c r="I415" i="1"/>
  <c r="K415" i="1" s="1"/>
  <c r="I416" i="1"/>
  <c r="K416" i="1" s="1"/>
  <c r="I417" i="1"/>
  <c r="K417" i="1" s="1"/>
  <c r="I418" i="1"/>
  <c r="K418" i="1" s="1"/>
  <c r="I419" i="1"/>
  <c r="K419" i="1" s="1"/>
  <c r="I420" i="1"/>
  <c r="K420" i="1" s="1"/>
  <c r="I421" i="1"/>
  <c r="K421" i="1" s="1"/>
  <c r="I422" i="1"/>
  <c r="K422" i="1" s="1"/>
  <c r="I423" i="1"/>
  <c r="K423" i="1" s="1"/>
  <c r="I424" i="1"/>
  <c r="K424" i="1" s="1"/>
  <c r="I425" i="1"/>
  <c r="K425" i="1" s="1"/>
  <c r="I426" i="1"/>
  <c r="K426" i="1" s="1"/>
  <c r="I427" i="1"/>
  <c r="K427" i="1" s="1"/>
  <c r="I428" i="1"/>
  <c r="K428" i="1" s="1"/>
  <c r="I429" i="1"/>
  <c r="K429" i="1" s="1"/>
  <c r="I430" i="1"/>
  <c r="K430" i="1" s="1"/>
  <c r="I431" i="1"/>
  <c r="K431" i="1" s="1"/>
  <c r="I432" i="1"/>
  <c r="K432" i="1" s="1"/>
  <c r="I433" i="1"/>
  <c r="K433" i="1" s="1"/>
  <c r="I434" i="1"/>
  <c r="K434" i="1" s="1"/>
  <c r="I435" i="1"/>
  <c r="K435" i="1" s="1"/>
  <c r="I436" i="1"/>
  <c r="K436" i="1" s="1"/>
  <c r="I437" i="1"/>
  <c r="K437" i="1" s="1"/>
  <c r="I438" i="1"/>
  <c r="K438" i="1" s="1"/>
  <c r="I439" i="1"/>
  <c r="K439" i="1" s="1"/>
  <c r="I440" i="1"/>
  <c r="K440" i="1" s="1"/>
  <c r="I441" i="1"/>
  <c r="K441" i="1" s="1"/>
  <c r="I442" i="1"/>
  <c r="K442" i="1" s="1"/>
  <c r="I443" i="1"/>
  <c r="K443" i="1" s="1"/>
  <c r="I444" i="1"/>
  <c r="K444" i="1" s="1"/>
  <c r="I445" i="1"/>
  <c r="K445" i="1" s="1"/>
  <c r="I446" i="1"/>
  <c r="K446" i="1" s="1"/>
  <c r="I447" i="1"/>
  <c r="K447" i="1" s="1"/>
  <c r="I448" i="1"/>
  <c r="K448" i="1" s="1"/>
  <c r="I449" i="1"/>
  <c r="K449" i="1" s="1"/>
  <c r="I450" i="1"/>
  <c r="K450" i="1" s="1"/>
  <c r="I451" i="1"/>
  <c r="K451" i="1" s="1"/>
  <c r="I452" i="1"/>
  <c r="K452" i="1" s="1"/>
  <c r="I453" i="1"/>
  <c r="K453" i="1" s="1"/>
  <c r="I454" i="1"/>
  <c r="K454" i="1" s="1"/>
  <c r="I455" i="1"/>
  <c r="K455" i="1" s="1"/>
  <c r="I456" i="1"/>
  <c r="K456" i="1" s="1"/>
  <c r="I457" i="1"/>
  <c r="K457" i="1" s="1"/>
  <c r="I458" i="1"/>
  <c r="K458" i="1" s="1"/>
  <c r="I459" i="1"/>
  <c r="K459" i="1" s="1"/>
  <c r="I460" i="1"/>
  <c r="K460" i="1" s="1"/>
  <c r="I461" i="1"/>
  <c r="K461" i="1" s="1"/>
  <c r="I462" i="1"/>
  <c r="K462" i="1" s="1"/>
  <c r="I463" i="1"/>
  <c r="K463" i="1" s="1"/>
  <c r="I464" i="1"/>
  <c r="K464" i="1" s="1"/>
  <c r="I465" i="1"/>
  <c r="K465" i="1" s="1"/>
  <c r="I466" i="1"/>
  <c r="K466" i="1" s="1"/>
  <c r="I467" i="1"/>
  <c r="K467" i="1" s="1"/>
  <c r="I468" i="1"/>
  <c r="K468" i="1" s="1"/>
  <c r="I469" i="1"/>
  <c r="K469" i="1" s="1"/>
  <c r="I470" i="1"/>
  <c r="K470" i="1" s="1"/>
  <c r="I471" i="1"/>
  <c r="K471" i="1" s="1"/>
  <c r="I472" i="1"/>
  <c r="K472" i="1" s="1"/>
  <c r="I473" i="1"/>
  <c r="K473" i="1" s="1"/>
  <c r="I474" i="1"/>
  <c r="K474" i="1" s="1"/>
  <c r="I475" i="1"/>
  <c r="K475" i="1" s="1"/>
  <c r="I476" i="1"/>
  <c r="K476" i="1" s="1"/>
  <c r="I477" i="1"/>
  <c r="K477" i="1" s="1"/>
  <c r="I478" i="1"/>
  <c r="K478" i="1" s="1"/>
  <c r="I479" i="1"/>
  <c r="K479" i="1" s="1"/>
  <c r="I480" i="1"/>
  <c r="K480" i="1" s="1"/>
  <c r="I481" i="1"/>
  <c r="K481" i="1" s="1"/>
  <c r="I482" i="1"/>
  <c r="K482" i="1" s="1"/>
  <c r="I5" i="1"/>
  <c r="K5" i="1" s="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08" i="1"/>
  <c r="A409" i="1"/>
  <c r="A410" i="1"/>
  <c r="A411" i="1"/>
  <c r="A412" i="1"/>
  <c r="A413" i="1"/>
  <c r="A414" i="1"/>
  <c r="A415" i="1"/>
  <c r="A416" i="1"/>
  <c r="A417" i="1"/>
  <c r="A418" i="1"/>
  <c r="A419" i="1"/>
  <c r="A420" i="1"/>
  <c r="A421" i="1"/>
  <c r="A422" i="1"/>
  <c r="A423" i="1"/>
  <c r="A424" i="1"/>
  <c r="A425" i="1"/>
  <c r="A384" i="1"/>
  <c r="A385" i="1"/>
  <c r="A386" i="1"/>
  <c r="A387" i="1"/>
  <c r="A388" i="1"/>
  <c r="A389" i="1"/>
  <c r="A390" i="1"/>
  <c r="A391" i="1"/>
  <c r="A392" i="1"/>
  <c r="A393" i="1"/>
  <c r="A394" i="1"/>
  <c r="A395" i="1"/>
  <c r="A396" i="1"/>
  <c r="A397" i="1"/>
  <c r="A398" i="1"/>
  <c r="A399" i="1"/>
  <c r="A400" i="1"/>
  <c r="A401" i="1"/>
  <c r="A402" i="1"/>
  <c r="A403" i="1"/>
  <c r="A404" i="1"/>
  <c r="A405" i="1"/>
  <c r="A406" i="1"/>
  <c r="A407"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27" i="1"/>
  <c r="A328" i="1"/>
  <c r="A329" i="1"/>
  <c r="A330" i="1"/>
  <c r="A331" i="1"/>
  <c r="A332" i="1"/>
  <c r="A333" i="1"/>
  <c r="A334" i="1"/>
  <c r="A335" i="1"/>
  <c r="A336" i="1"/>
  <c r="A337" i="1"/>
  <c r="A338" i="1"/>
  <c r="A339" i="1"/>
  <c r="A340" i="1"/>
  <c r="A341" i="1"/>
  <c r="A342" i="1"/>
  <c r="A312" i="1"/>
  <c r="A313" i="1"/>
  <c r="A314" i="1"/>
  <c r="A315" i="1"/>
  <c r="A316" i="1"/>
  <c r="A317" i="1"/>
  <c r="A318" i="1"/>
  <c r="A319" i="1"/>
  <c r="A320" i="1"/>
  <c r="A321" i="1"/>
  <c r="A322" i="1"/>
  <c r="A323" i="1"/>
  <c r="A324" i="1"/>
  <c r="A325" i="1"/>
  <c r="A326"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45" i="1"/>
  <c r="A246" i="1"/>
  <c r="A247" i="1"/>
  <c r="A248" i="1"/>
  <c r="A249" i="1"/>
  <c r="A250" i="1"/>
  <c r="A251" i="1"/>
  <c r="A252" i="1"/>
  <c r="A253" i="1"/>
  <c r="A254" i="1"/>
  <c r="A255" i="1"/>
  <c r="A256" i="1"/>
  <c r="A257" i="1"/>
  <c r="A258" i="1"/>
  <c r="A233" i="1"/>
  <c r="A234" i="1"/>
  <c r="A235" i="1"/>
  <c r="A236" i="1"/>
  <c r="A237" i="1"/>
  <c r="A238" i="1"/>
  <c r="A239" i="1"/>
  <c r="A240" i="1"/>
  <c r="A241" i="1"/>
  <c r="A242" i="1"/>
  <c r="A243" i="1"/>
  <c r="A244" i="1"/>
  <c r="A220" i="1"/>
  <c r="A221" i="1"/>
  <c r="A222" i="1"/>
  <c r="A223" i="1"/>
  <c r="A224" i="1"/>
  <c r="A225" i="1"/>
  <c r="A226" i="1"/>
  <c r="A227" i="1"/>
  <c r="A228" i="1"/>
  <c r="A229" i="1"/>
  <c r="A230" i="1"/>
  <c r="A231" i="1"/>
  <c r="A232" i="1"/>
  <c r="A212" i="1"/>
  <c r="A213" i="1"/>
  <c r="A214" i="1"/>
  <c r="A215" i="1"/>
  <c r="A216" i="1"/>
  <c r="A217" i="1"/>
  <c r="A218" i="1"/>
  <c r="A219" i="1"/>
  <c r="A206" i="1"/>
  <c r="A207" i="1"/>
  <c r="A208" i="1"/>
  <c r="A209" i="1"/>
  <c r="A210" i="1"/>
  <c r="A211" i="1"/>
  <c r="A20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5" i="1"/>
  <c r="A1197" i="9" l="1"/>
  <c r="A1193" i="9"/>
  <c r="A1189" i="9"/>
  <c r="A1185" i="9"/>
  <c r="A1181" i="9"/>
  <c r="A1177" i="9"/>
  <c r="A1173" i="9"/>
  <c r="A1169" i="9"/>
  <c r="A1165" i="9"/>
  <c r="A1161" i="9"/>
  <c r="A1157" i="9"/>
  <c r="A1153" i="9"/>
  <c r="A1149" i="9"/>
  <c r="A1145" i="9"/>
  <c r="A1141" i="9"/>
  <c r="A1137" i="9"/>
  <c r="A1133" i="9"/>
  <c r="A1129" i="9"/>
  <c r="A1125" i="9"/>
  <c r="A1121" i="9"/>
  <c r="A1117" i="9"/>
  <c r="A1113" i="9"/>
  <c r="A1109" i="9"/>
  <c r="A1105" i="9"/>
  <c r="A1101" i="9"/>
  <c r="A1097" i="9"/>
  <c r="A1093" i="9"/>
  <c r="A1089" i="9"/>
  <c r="A1085" i="9"/>
  <c r="A1200" i="9"/>
  <c r="A1196" i="9"/>
  <c r="A1192" i="9"/>
  <c r="A1188" i="9"/>
  <c r="A1184" i="9"/>
  <c r="A1180" i="9"/>
  <c r="A1176" i="9"/>
  <c r="A1172" i="9"/>
  <c r="A1168" i="9"/>
  <c r="A1164" i="9"/>
  <c r="A1160" i="9"/>
  <c r="A1156" i="9"/>
  <c r="A1152" i="9"/>
  <c r="A1148" i="9"/>
  <c r="A1144" i="9"/>
  <c r="A1140" i="9"/>
  <c r="A1136" i="9"/>
  <c r="A1132" i="9"/>
  <c r="A1128" i="9"/>
  <c r="A1124" i="9"/>
  <c r="A1120" i="9"/>
  <c r="A1116" i="9"/>
  <c r="A1112" i="9"/>
  <c r="A1108" i="9"/>
  <c r="A1104" i="9"/>
  <c r="A1100" i="9"/>
  <c r="A1096" i="9"/>
  <c r="A1092" i="9"/>
  <c r="A1088" i="9"/>
  <c r="A1084" i="9"/>
  <c r="A1080" i="9"/>
  <c r="A1076" i="9"/>
  <c r="A1072" i="9"/>
  <c r="A1068" i="9"/>
  <c r="A1064" i="9"/>
  <c r="A1060" i="9"/>
  <c r="A1056" i="9"/>
  <c r="A1052" i="9"/>
  <c r="A1048" i="9"/>
  <c r="A1044" i="9"/>
  <c r="A1040" i="9"/>
  <c r="A1036" i="9"/>
  <c r="A1032" i="9"/>
  <c r="A1028" i="9"/>
  <c r="A1024" i="9"/>
  <c r="A1020" i="9"/>
  <c r="A1016" i="9"/>
  <c r="A1012" i="9"/>
  <c r="A1008" i="9"/>
  <c r="A1004" i="9"/>
  <c r="A1000" i="9"/>
  <c r="A996" i="9"/>
  <c r="A992" i="9"/>
  <c r="A988" i="9"/>
  <c r="A984" i="9"/>
  <c r="A980" i="9"/>
  <c r="A976" i="9"/>
  <c r="A972" i="9"/>
  <c r="A968" i="9"/>
  <c r="A964" i="9"/>
  <c r="A960" i="9"/>
  <c r="A956" i="9"/>
  <c r="A952" i="9"/>
  <c r="A948" i="9"/>
  <c r="A944" i="9"/>
  <c r="A940" i="9"/>
  <c r="A936" i="9"/>
  <c r="A932" i="9"/>
  <c r="A928" i="9"/>
  <c r="A924" i="9"/>
  <c r="A920" i="9"/>
  <c r="A916" i="9"/>
  <c r="A912" i="9"/>
  <c r="A908" i="9"/>
  <c r="A904" i="9"/>
  <c r="A900" i="9"/>
  <c r="A896" i="9"/>
  <c r="A892" i="9"/>
  <c r="A888" i="9"/>
  <c r="A884" i="9"/>
  <c r="A880" i="9"/>
  <c r="A876" i="9"/>
  <c r="A872" i="9"/>
  <c r="A868" i="9"/>
  <c r="A864" i="9"/>
  <c r="A860" i="9"/>
  <c r="A856" i="9"/>
  <c r="A1199" i="9"/>
  <c r="A1195" i="9"/>
  <c r="A1191" i="9"/>
  <c r="A1187" i="9"/>
  <c r="A1183" i="9"/>
  <c r="A1179" i="9"/>
  <c r="A1175" i="9"/>
  <c r="A1171" i="9"/>
  <c r="A1167" i="9"/>
  <c r="A1163" i="9"/>
  <c r="A1159" i="9"/>
  <c r="A1155" i="9"/>
  <c r="A1151" i="9"/>
  <c r="A1147" i="9"/>
  <c r="A1143" i="9"/>
  <c r="A1139" i="9"/>
  <c r="A1135" i="9"/>
  <c r="A1131" i="9"/>
  <c r="A1127" i="9"/>
  <c r="A1123" i="9"/>
  <c r="A1119" i="9"/>
  <c r="A1115" i="9"/>
  <c r="A1111" i="9"/>
  <c r="A1107" i="9"/>
  <c r="A1103" i="9"/>
  <c r="A1099" i="9"/>
  <c r="A1095" i="9"/>
  <c r="A1091" i="9"/>
  <c r="A1087" i="9"/>
  <c r="A1083" i="9"/>
  <c r="A1079" i="9"/>
  <c r="A1075" i="9"/>
  <c r="A1071" i="9"/>
  <c r="A1067" i="9"/>
  <c r="A1063" i="9"/>
  <c r="A1059" i="9"/>
  <c r="A1055" i="9"/>
  <c r="A1051" i="9"/>
  <c r="A1047" i="9"/>
  <c r="A1043" i="9"/>
  <c r="A1039" i="9"/>
  <c r="A1035" i="9"/>
  <c r="A1031" i="9"/>
  <c r="A1027" i="9"/>
  <c r="A1198" i="9"/>
  <c r="A1194" i="9"/>
  <c r="A1190" i="9"/>
  <c r="A1186" i="9"/>
  <c r="A1182" i="9"/>
  <c r="A1178" i="9"/>
  <c r="A1174" i="9"/>
  <c r="A1170" i="9"/>
  <c r="A1166" i="9"/>
  <c r="A1162" i="9"/>
  <c r="A1158" i="9"/>
  <c r="A1154" i="9"/>
  <c r="A1150" i="9"/>
  <c r="A1146" i="9"/>
  <c r="A1142" i="9"/>
  <c r="A1138" i="9"/>
  <c r="A1134" i="9"/>
  <c r="A1130" i="9"/>
  <c r="A1126" i="9"/>
  <c r="A1122" i="9"/>
  <c r="A1118" i="9"/>
  <c r="A1114" i="9"/>
  <c r="A1110" i="9"/>
  <c r="A1106" i="9"/>
  <c r="A1102" i="9"/>
  <c r="A1098" i="9"/>
  <c r="A1094" i="9"/>
  <c r="A1090" i="9"/>
  <c r="A1086" i="9"/>
  <c r="A1082" i="9"/>
  <c r="A1078" i="9"/>
  <c r="A1074" i="9"/>
  <c r="A1070" i="9"/>
  <c r="A1066" i="9"/>
  <c r="A1062" i="9"/>
  <c r="A1058" i="9"/>
  <c r="A1054" i="9"/>
  <c r="A1050" i="9"/>
  <c r="A1046" i="9"/>
  <c r="A1042" i="9"/>
  <c r="A1038" i="9"/>
  <c r="A1034" i="9"/>
  <c r="A1081" i="9"/>
  <c r="A1077" i="9"/>
  <c r="A1073" i="9"/>
  <c r="A1069" i="9"/>
  <c r="A1065" i="9"/>
  <c r="A1061" i="9"/>
  <c r="A1057" i="9"/>
  <c r="A1053" i="9"/>
  <c r="A1049" i="9"/>
  <c r="A1045" i="9"/>
  <c r="A1041" i="9"/>
  <c r="A1037" i="9"/>
  <c r="A1033" i="9"/>
  <c r="A1029" i="9"/>
  <c r="A1025" i="9"/>
  <c r="A1021" i="9"/>
  <c r="A1017" i="9"/>
  <c r="A1013" i="9"/>
  <c r="A1009" i="9"/>
  <c r="A1005" i="9"/>
  <c r="A1001" i="9"/>
  <c r="A997" i="9"/>
  <c r="A993" i="9"/>
  <c r="A989" i="9"/>
  <c r="A985" i="9"/>
  <c r="A981" i="9"/>
  <c r="A977" i="9"/>
  <c r="A973" i="9"/>
  <c r="A969" i="9"/>
  <c r="A965" i="9"/>
  <c r="A961" i="9"/>
  <c r="A957" i="9"/>
  <c r="A953" i="9"/>
  <c r="A949" i="9"/>
  <c r="A945" i="9"/>
  <c r="A941" i="9"/>
  <c r="A937" i="9"/>
  <c r="A933" i="9"/>
  <c r="A929" i="9"/>
  <c r="A925" i="9"/>
  <c r="A921" i="9"/>
  <c r="A917" i="9"/>
  <c r="A913" i="9"/>
  <c r="A909" i="9"/>
  <c r="A905" i="9"/>
  <c r="A901" i="9"/>
  <c r="A897" i="9"/>
  <c r="A893" i="9"/>
  <c r="A889" i="9"/>
  <c r="A885" i="9"/>
  <c r="A881" i="9"/>
  <c r="A877" i="9"/>
  <c r="A873" i="9"/>
  <c r="A869" i="9"/>
  <c r="A865" i="9"/>
  <c r="A861" i="9"/>
  <c r="A857" i="9"/>
  <c r="A853" i="9"/>
  <c r="A849" i="9"/>
  <c r="A845" i="9"/>
  <c r="A841" i="9"/>
  <c r="A837" i="9"/>
  <c r="A833" i="9"/>
  <c r="A829" i="9"/>
  <c r="A825" i="9"/>
  <c r="A821" i="9"/>
  <c r="A817" i="9"/>
  <c r="A813" i="9"/>
  <c r="A809" i="9"/>
  <c r="A805" i="9"/>
  <c r="A801" i="9"/>
  <c r="A797" i="9"/>
  <c r="A793" i="9"/>
  <c r="A789" i="9"/>
  <c r="A785" i="9"/>
  <c r="A781" i="9"/>
  <c r="A777" i="9"/>
  <c r="A773" i="9"/>
  <c r="A769" i="9"/>
  <c r="A765" i="9"/>
  <c r="A761" i="9"/>
  <c r="A757" i="9"/>
  <c r="A753" i="9"/>
  <c r="A749" i="9"/>
  <c r="A745" i="9"/>
  <c r="A741" i="9"/>
  <c r="A737" i="9"/>
  <c r="A733" i="9"/>
  <c r="A729" i="9"/>
  <c r="A725" i="9"/>
  <c r="A721" i="9"/>
  <c r="A717" i="9"/>
  <c r="A713" i="9"/>
  <c r="A709" i="9"/>
  <c r="A705" i="9"/>
  <c r="A701" i="9"/>
  <c r="A697" i="9"/>
  <c r="A693" i="9"/>
  <c r="A689" i="9"/>
  <c r="A685" i="9"/>
  <c r="A681" i="9"/>
  <c r="A677" i="9"/>
  <c r="A673" i="9"/>
  <c r="A669" i="9"/>
  <c r="A665" i="9"/>
  <c r="A661" i="9"/>
  <c r="A657" i="9"/>
  <c r="A653" i="9"/>
  <c r="A649" i="9"/>
  <c r="A645" i="9"/>
  <c r="A641" i="9"/>
  <c r="A637" i="9"/>
  <c r="A633" i="9"/>
  <c r="A629" i="9"/>
  <c r="A625" i="9"/>
  <c r="A621" i="9"/>
  <c r="A617" i="9"/>
  <c r="A613" i="9"/>
  <c r="A609" i="9"/>
  <c r="A605" i="9"/>
  <c r="A601" i="9"/>
  <c r="A597" i="9"/>
  <c r="A593" i="9"/>
  <c r="A589" i="9"/>
  <c r="A585" i="9"/>
  <c r="A581" i="9"/>
  <c r="A577" i="9"/>
  <c r="A573" i="9"/>
  <c r="A569" i="9"/>
  <c r="A565" i="9"/>
  <c r="A561" i="9"/>
  <c r="A557" i="9"/>
  <c r="A553" i="9"/>
  <c r="A549" i="9"/>
  <c r="A545" i="9"/>
  <c r="A541" i="9"/>
  <c r="A537" i="9"/>
  <c r="A533" i="9"/>
  <c r="A529" i="9"/>
  <c r="A525" i="9"/>
  <c r="A521" i="9"/>
  <c r="A517" i="9"/>
  <c r="A513" i="9"/>
  <c r="A509" i="9"/>
  <c r="A505" i="9"/>
  <c r="A501" i="9"/>
  <c r="A497" i="9"/>
  <c r="A493" i="9"/>
  <c r="A489" i="9"/>
  <c r="A485" i="9"/>
  <c r="A481" i="9"/>
  <c r="A477" i="9"/>
  <c r="A473" i="9"/>
  <c r="A469" i="9"/>
  <c r="A465" i="9"/>
  <c r="A461" i="9"/>
  <c r="A457" i="9"/>
  <c r="A453" i="9"/>
  <c r="A449" i="9"/>
  <c r="A445" i="9"/>
  <c r="A441" i="9"/>
  <c r="A437" i="9"/>
  <c r="A433" i="9"/>
  <c r="A429" i="9"/>
  <c r="A425" i="9"/>
  <c r="A421" i="9"/>
  <c r="A417" i="9"/>
  <c r="A852" i="9"/>
  <c r="A848" i="9"/>
  <c r="A844" i="9"/>
  <c r="A840" i="9"/>
  <c r="A836" i="9"/>
  <c r="A832" i="9"/>
  <c r="A828" i="9"/>
  <c r="A824" i="9"/>
  <c r="A820" i="9"/>
  <c r="A816" i="9"/>
  <c r="A812" i="9"/>
  <c r="A808" i="9"/>
  <c r="A804" i="9"/>
  <c r="A800" i="9"/>
  <c r="A796" i="9"/>
  <c r="A792" i="9"/>
  <c r="A788" i="9"/>
  <c r="A784" i="9"/>
  <c r="A780" i="9"/>
  <c r="A776" i="9"/>
  <c r="A772" i="9"/>
  <c r="A768" i="9"/>
  <c r="A764" i="9"/>
  <c r="A760" i="9"/>
  <c r="A756" i="9"/>
  <c r="A752" i="9"/>
  <c r="A748" i="9"/>
  <c r="A744" i="9"/>
  <c r="A740" i="9"/>
  <c r="A736" i="9"/>
  <c r="A732" i="9"/>
  <c r="A728" i="9"/>
  <c r="A724" i="9"/>
  <c r="A720" i="9"/>
  <c r="A716" i="9"/>
  <c r="A712" i="9"/>
  <c r="A708" i="9"/>
  <c r="A704" i="9"/>
  <c r="A700" i="9"/>
  <c r="A696" i="9"/>
  <c r="A692" i="9"/>
  <c r="A688" i="9"/>
  <c r="A684" i="9"/>
  <c r="A680" i="9"/>
  <c r="A676" i="9"/>
  <c r="A672" i="9"/>
  <c r="A668" i="9"/>
  <c r="A664" i="9"/>
  <c r="A660" i="9"/>
  <c r="A656" i="9"/>
  <c r="A652" i="9"/>
  <c r="A648" i="9"/>
  <c r="A644" i="9"/>
  <c r="A640" i="9"/>
  <c r="A636" i="9"/>
  <c r="A632" i="9"/>
  <c r="A628" i="9"/>
  <c r="A624" i="9"/>
  <c r="A620" i="9"/>
  <c r="A616" i="9"/>
  <c r="A612" i="9"/>
  <c r="A608" i="9"/>
  <c r="A604" i="9"/>
  <c r="A600" i="9"/>
  <c r="A596" i="9"/>
  <c r="A592" i="9"/>
  <c r="A588" i="9"/>
  <c r="A584" i="9"/>
  <c r="A580" i="9"/>
  <c r="A576" i="9"/>
  <c r="A572" i="9"/>
  <c r="A568" i="9"/>
  <c r="A564" i="9"/>
  <c r="A560" i="9"/>
  <c r="A556" i="9"/>
  <c r="A552" i="9"/>
  <c r="A548" i="9"/>
  <c r="A544" i="9"/>
  <c r="A540" i="9"/>
  <c r="A536" i="9"/>
  <c r="A532" i="9"/>
  <c r="A528" i="9"/>
  <c r="A524" i="9"/>
  <c r="A520" i="9"/>
  <c r="A516" i="9"/>
  <c r="A512" i="9"/>
  <c r="A508" i="9"/>
  <c r="A504" i="9"/>
  <c r="A500" i="9"/>
  <c r="A496" i="9"/>
  <c r="A492" i="9"/>
  <c r="A488" i="9"/>
  <c r="A484" i="9"/>
  <c r="A480" i="9"/>
  <c r="A476" i="9"/>
  <c r="A472" i="9"/>
  <c r="A468" i="9"/>
  <c r="A464" i="9"/>
  <c r="A460" i="9"/>
  <c r="A456" i="9"/>
  <c r="A452" i="9"/>
  <c r="A448" i="9"/>
  <c r="A444" i="9"/>
  <c r="A440" i="9"/>
  <c r="A436" i="9"/>
  <c r="A432" i="9"/>
  <c r="A428" i="9"/>
  <c r="A424" i="9"/>
  <c r="A420" i="9"/>
  <c r="A416" i="9"/>
  <c r="A412" i="9"/>
  <c r="A408" i="9"/>
  <c r="A404" i="9"/>
  <c r="A400" i="9"/>
  <c r="A396" i="9"/>
  <c r="A392" i="9"/>
  <c r="A388" i="9"/>
  <c r="A384" i="9"/>
  <c r="A380" i="9"/>
  <c r="A376" i="9"/>
  <c r="A372" i="9"/>
  <c r="A368" i="9"/>
  <c r="A364" i="9"/>
  <c r="A360" i="9"/>
  <c r="A356" i="9"/>
  <c r="A352" i="9"/>
  <c r="A348" i="9"/>
  <c r="A344" i="9"/>
  <c r="A340" i="9"/>
  <c r="A336" i="9"/>
  <c r="A332" i="9"/>
  <c r="A328" i="9"/>
  <c r="A324" i="9"/>
  <c r="A320" i="9"/>
  <c r="A316" i="9"/>
  <c r="A312" i="9"/>
  <c r="A308" i="9"/>
  <c r="A304" i="9"/>
  <c r="A300" i="9"/>
  <c r="A296" i="9"/>
  <c r="A292" i="9"/>
  <c r="A288" i="9"/>
  <c r="A284" i="9"/>
  <c r="A280" i="9"/>
  <c r="A276" i="9"/>
  <c r="A272" i="9"/>
  <c r="A268" i="9"/>
  <c r="A264" i="9"/>
  <c r="A260" i="9"/>
  <c r="A256" i="9"/>
  <c r="A252" i="9"/>
  <c r="A248" i="9"/>
  <c r="A244" i="9"/>
  <c r="A240" i="9"/>
  <c r="A236" i="9"/>
  <c r="A232" i="9"/>
  <c r="A228" i="9"/>
  <c r="A224" i="9"/>
  <c r="A220" i="9"/>
  <c r="A216" i="9"/>
  <c r="A212" i="9"/>
  <c r="A208" i="9"/>
  <c r="A1023" i="9"/>
  <c r="A1019" i="9"/>
  <c r="A1015" i="9"/>
  <c r="A1011" i="9"/>
  <c r="A1007" i="9"/>
  <c r="A1003" i="9"/>
  <c r="A999" i="9"/>
  <c r="A995" i="9"/>
  <c r="A991" i="9"/>
  <c r="A987" i="9"/>
  <c r="A983" i="9"/>
  <c r="A979" i="9"/>
  <c r="A975" i="9"/>
  <c r="A971" i="9"/>
  <c r="A967" i="9"/>
  <c r="A963" i="9"/>
  <c r="A959" i="9"/>
  <c r="A955" i="9"/>
  <c r="A951" i="9"/>
  <c r="A947" i="9"/>
  <c r="A943" i="9"/>
  <c r="A939" i="9"/>
  <c r="A935" i="9"/>
  <c r="A931" i="9"/>
  <c r="A927" i="9"/>
  <c r="A923" i="9"/>
  <c r="A919" i="9"/>
  <c r="A915" i="9"/>
  <c r="A911" i="9"/>
  <c r="A907" i="9"/>
  <c r="A903" i="9"/>
  <c r="A899" i="9"/>
  <c r="A895" i="9"/>
  <c r="A891" i="9"/>
  <c r="A887" i="9"/>
  <c r="A883" i="9"/>
  <c r="A879" i="9"/>
  <c r="A875" i="9"/>
  <c r="A871" i="9"/>
  <c r="A867" i="9"/>
  <c r="A863" i="9"/>
  <c r="A859" i="9"/>
  <c r="A855" i="9"/>
  <c r="A851" i="9"/>
  <c r="A847" i="9"/>
  <c r="A843" i="9"/>
  <c r="A839" i="9"/>
  <c r="A835" i="9"/>
  <c r="A831" i="9"/>
  <c r="A827" i="9"/>
  <c r="A823" i="9"/>
  <c r="A819" i="9"/>
  <c r="A815" i="9"/>
  <c r="A811" i="9"/>
  <c r="A807" i="9"/>
  <c r="A803" i="9"/>
  <c r="A799" i="9"/>
  <c r="A795" i="9"/>
  <c r="A791" i="9"/>
  <c r="A787" i="9"/>
  <c r="A783" i="9"/>
  <c r="A779" i="9"/>
  <c r="A775" i="9"/>
  <c r="A771" i="9"/>
  <c r="A767" i="9"/>
  <c r="A763" i="9"/>
  <c r="A759" i="9"/>
  <c r="A755" i="9"/>
  <c r="A751" i="9"/>
  <c r="A747" i="9"/>
  <c r="A743" i="9"/>
  <c r="A739" i="9"/>
  <c r="A735" i="9"/>
  <c r="A731" i="9"/>
  <c r="A727" i="9"/>
  <c r="A723" i="9"/>
  <c r="A719" i="9"/>
  <c r="A715" i="9"/>
  <c r="A711" i="9"/>
  <c r="A707" i="9"/>
  <c r="A703" i="9"/>
  <c r="A699" i="9"/>
  <c r="A695" i="9"/>
  <c r="A691" i="9"/>
  <c r="A687" i="9"/>
  <c r="A683" i="9"/>
  <c r="A679" i="9"/>
  <c r="A675" i="9"/>
  <c r="A671" i="9"/>
  <c r="A667" i="9"/>
  <c r="A663" i="9"/>
  <c r="A659" i="9"/>
  <c r="A655" i="9"/>
  <c r="A651" i="9"/>
  <c r="A647" i="9"/>
  <c r="A643" i="9"/>
  <c r="A639" i="9"/>
  <c r="A635" i="9"/>
  <c r="A631" i="9"/>
  <c r="A627" i="9"/>
  <c r="A623" i="9"/>
  <c r="A619" i="9"/>
  <c r="A615" i="9"/>
  <c r="A611" i="9"/>
  <c r="A607" i="9"/>
  <c r="A603" i="9"/>
  <c r="A599" i="9"/>
  <c r="A595" i="9"/>
  <c r="A591" i="9"/>
  <c r="A587" i="9"/>
  <c r="A583" i="9"/>
  <c r="A579" i="9"/>
  <c r="A575" i="9"/>
  <c r="A571" i="9"/>
  <c r="A567" i="9"/>
  <c r="A563" i="9"/>
  <c r="A559" i="9"/>
  <c r="A555" i="9"/>
  <c r="A551" i="9"/>
  <c r="A547" i="9"/>
  <c r="A543" i="9"/>
  <c r="A539" i="9"/>
  <c r="A535" i="9"/>
  <c r="A531" i="9"/>
  <c r="A527" i="9"/>
  <c r="A523" i="9"/>
  <c r="A519" i="9"/>
  <c r="A515" i="9"/>
  <c r="A511" i="9"/>
  <c r="A507" i="9"/>
  <c r="A503" i="9"/>
  <c r="A499" i="9"/>
  <c r="A495" i="9"/>
  <c r="A491" i="9"/>
  <c r="A487" i="9"/>
  <c r="A483" i="9"/>
  <c r="A479" i="9"/>
  <c r="A475" i="9"/>
  <c r="A471" i="9"/>
  <c r="A467" i="9"/>
  <c r="A463" i="9"/>
  <c r="A459" i="9"/>
  <c r="A455" i="9"/>
  <c r="A451" i="9"/>
  <c r="A447" i="9"/>
  <c r="A443" i="9"/>
  <c r="A439" i="9"/>
  <c r="A435" i="9"/>
  <c r="A431" i="9"/>
  <c r="A427" i="9"/>
  <c r="A423" i="9"/>
  <c r="A419" i="9"/>
  <c r="A415" i="9"/>
  <c r="A1030" i="9"/>
  <c r="A1026" i="9"/>
  <c r="A1022" i="9"/>
  <c r="A1018" i="9"/>
  <c r="A1014" i="9"/>
  <c r="A1010" i="9"/>
  <c r="A1006" i="9"/>
  <c r="A1002" i="9"/>
  <c r="A998" i="9"/>
  <c r="A994" i="9"/>
  <c r="A990" i="9"/>
  <c r="A986" i="9"/>
  <c r="A982" i="9"/>
  <c r="A978" i="9"/>
  <c r="A974" i="9"/>
  <c r="A970" i="9"/>
  <c r="A966" i="9"/>
  <c r="A962" i="9"/>
  <c r="A958" i="9"/>
  <c r="A954" i="9"/>
  <c r="A950" i="9"/>
  <c r="A946" i="9"/>
  <c r="A942" i="9"/>
  <c r="A938" i="9"/>
  <c r="A934" i="9"/>
  <c r="A930" i="9"/>
  <c r="A926" i="9"/>
  <c r="A922" i="9"/>
  <c r="A918" i="9"/>
  <c r="A914" i="9"/>
  <c r="A910" i="9"/>
  <c r="A906" i="9"/>
  <c r="A902" i="9"/>
  <c r="A898" i="9"/>
  <c r="A894" i="9"/>
  <c r="A890" i="9"/>
  <c r="A886" i="9"/>
  <c r="A882" i="9"/>
  <c r="A878" i="9"/>
  <c r="A874" i="9"/>
  <c r="A870" i="9"/>
  <c r="A866" i="9"/>
  <c r="A862" i="9"/>
  <c r="A858" i="9"/>
  <c r="A854" i="9"/>
  <c r="A850" i="9"/>
  <c r="A846" i="9"/>
  <c r="A842" i="9"/>
  <c r="A838" i="9"/>
  <c r="A834" i="9"/>
  <c r="A830" i="9"/>
  <c r="A826" i="9"/>
  <c r="A822" i="9"/>
  <c r="A818" i="9"/>
  <c r="A814" i="9"/>
  <c r="A810" i="9"/>
  <c r="A806" i="9"/>
  <c r="A802" i="9"/>
  <c r="A798" i="9"/>
  <c r="A794" i="9"/>
  <c r="A790" i="9"/>
  <c r="A786" i="9"/>
  <c r="A782" i="9"/>
  <c r="A778" i="9"/>
  <c r="A774" i="9"/>
  <c r="A770" i="9"/>
  <c r="A766" i="9"/>
  <c r="A762" i="9"/>
  <c r="A758" i="9"/>
  <c r="A754" i="9"/>
  <c r="A750" i="9"/>
  <c r="A746" i="9"/>
  <c r="A742" i="9"/>
  <c r="A738" i="9"/>
  <c r="A734" i="9"/>
  <c r="A730" i="9"/>
  <c r="A726" i="9"/>
  <c r="A722" i="9"/>
  <c r="A718" i="9"/>
  <c r="A714" i="9"/>
  <c r="A710" i="9"/>
  <c r="A706" i="9"/>
  <c r="A702" i="9"/>
  <c r="A698" i="9"/>
  <c r="A694" i="9"/>
  <c r="A690" i="9"/>
  <c r="A686" i="9"/>
  <c r="A682" i="9"/>
  <c r="A678" i="9"/>
  <c r="A674" i="9"/>
  <c r="A670" i="9"/>
  <c r="A666" i="9"/>
  <c r="A662" i="9"/>
  <c r="A658" i="9"/>
  <c r="A654" i="9"/>
  <c r="A650" i="9"/>
  <c r="A646" i="9"/>
  <c r="A642" i="9"/>
  <c r="A638" i="9"/>
  <c r="A634" i="9"/>
  <c r="A630" i="9"/>
  <c r="A626" i="9"/>
  <c r="A622" i="9"/>
  <c r="A618" i="9"/>
  <c r="A614" i="9"/>
  <c r="A610" i="9"/>
  <c r="A606" i="9"/>
  <c r="A602" i="9"/>
  <c r="A598" i="9"/>
  <c r="A594" i="9"/>
  <c r="A590" i="9"/>
  <c r="A586" i="9"/>
  <c r="A582" i="9"/>
  <c r="A578" i="9"/>
  <c r="A574" i="9"/>
  <c r="A570" i="9"/>
  <c r="A566" i="9"/>
  <c r="A562" i="9"/>
  <c r="A558" i="9"/>
  <c r="A554" i="9"/>
  <c r="A550" i="9"/>
  <c r="A546" i="9"/>
  <c r="A542" i="9"/>
  <c r="A538" i="9"/>
  <c r="A534" i="9"/>
  <c r="A530" i="9"/>
  <c r="A526" i="9"/>
  <c r="A522" i="9"/>
  <c r="A518" i="9"/>
  <c r="A514" i="9"/>
  <c r="A510" i="9"/>
  <c r="A506" i="9"/>
  <c r="A502" i="9"/>
  <c r="A498" i="9"/>
  <c r="A494" i="9"/>
  <c r="A490" i="9"/>
  <c r="A486" i="9"/>
  <c r="A482" i="9"/>
  <c r="A478" i="9"/>
  <c r="A474" i="9"/>
  <c r="A470" i="9"/>
  <c r="A466" i="9"/>
  <c r="A462" i="9"/>
  <c r="A458" i="9"/>
  <c r="A454" i="9"/>
  <c r="A450" i="9"/>
  <c r="A446" i="9"/>
  <c r="A442" i="9"/>
  <c r="A438" i="9"/>
  <c r="A434" i="9"/>
  <c r="A430" i="9"/>
  <c r="A426" i="9"/>
  <c r="A422" i="9"/>
  <c r="A418" i="9"/>
  <c r="A411" i="9"/>
  <c r="A407" i="9"/>
  <c r="A403" i="9"/>
  <c r="A399" i="9"/>
  <c r="A395" i="9"/>
  <c r="A391" i="9"/>
  <c r="A387" i="9"/>
  <c r="A383" i="9"/>
  <c r="A379" i="9"/>
  <c r="A375" i="9"/>
  <c r="A371" i="9"/>
  <c r="A367" i="9"/>
  <c r="A363" i="9"/>
  <c r="A359" i="9"/>
  <c r="A355" i="9"/>
  <c r="A351" i="9"/>
  <c r="A347" i="9"/>
  <c r="A343" i="9"/>
  <c r="A339" i="9"/>
  <c r="A335" i="9"/>
  <c r="A331" i="9"/>
  <c r="A327" i="9"/>
  <c r="A323" i="9"/>
  <c r="A319" i="9"/>
  <c r="A315" i="9"/>
  <c r="A311" i="9"/>
  <c r="A307" i="9"/>
  <c r="A303" i="9"/>
  <c r="A299" i="9"/>
  <c r="A295" i="9"/>
  <c r="A291" i="9"/>
  <c r="A287" i="9"/>
  <c r="A283" i="9"/>
  <c r="A279" i="9"/>
  <c r="A275" i="9"/>
  <c r="A271" i="9"/>
  <c r="A267" i="9"/>
  <c r="A263" i="9"/>
  <c r="A259" i="9"/>
  <c r="A255" i="9"/>
  <c r="A251" i="9"/>
  <c r="A247" i="9"/>
  <c r="A243" i="9"/>
  <c r="A239" i="9"/>
  <c r="A235" i="9"/>
  <c r="A231" i="9"/>
  <c r="A227" i="9"/>
  <c r="A223" i="9"/>
  <c r="A219" i="9"/>
  <c r="A215" i="9"/>
  <c r="A211" i="9"/>
  <c r="A207" i="9"/>
  <c r="A414" i="9"/>
  <c r="A410" i="9"/>
  <c r="A406" i="9"/>
  <c r="A402" i="9"/>
  <c r="A398" i="9"/>
  <c r="A394" i="9"/>
  <c r="A390" i="9"/>
  <c r="A386" i="9"/>
  <c r="A382" i="9"/>
  <c r="A378" i="9"/>
  <c r="A374" i="9"/>
  <c r="A370" i="9"/>
  <c r="A366" i="9"/>
  <c r="A362" i="9"/>
  <c r="A358" i="9"/>
  <c r="A354" i="9"/>
  <c r="A350" i="9"/>
  <c r="A346" i="9"/>
  <c r="A342" i="9"/>
  <c r="A338" i="9"/>
  <c r="A334" i="9"/>
  <c r="A330" i="9"/>
  <c r="A326" i="9"/>
  <c r="A322" i="9"/>
  <c r="A318" i="9"/>
  <c r="A314" i="9"/>
  <c r="A310" i="9"/>
  <c r="A306" i="9"/>
  <c r="A302" i="9"/>
  <c r="A298" i="9"/>
  <c r="A294" i="9"/>
  <c r="A290" i="9"/>
  <c r="A286" i="9"/>
  <c r="A282" i="9"/>
  <c r="A278" i="9"/>
  <c r="A274" i="9"/>
  <c r="A270" i="9"/>
  <c r="A266" i="9"/>
  <c r="A262" i="9"/>
  <c r="A258" i="9"/>
  <c r="A254" i="9"/>
  <c r="A250" i="9"/>
  <c r="A246" i="9"/>
  <c r="A242" i="9"/>
  <c r="A238" i="9"/>
  <c r="A234" i="9"/>
  <c r="A230" i="9"/>
  <c r="A226" i="9"/>
  <c r="A222" i="9"/>
  <c r="A218" i="9"/>
  <c r="A214" i="9"/>
  <c r="A210" i="9"/>
  <c r="A206" i="9"/>
  <c r="A413" i="9"/>
  <c r="A409" i="9"/>
  <c r="A405" i="9"/>
  <c r="A401" i="9"/>
  <c r="A397" i="9"/>
  <c r="A393" i="9"/>
  <c r="A389" i="9"/>
  <c r="A385" i="9"/>
  <c r="A381" i="9"/>
  <c r="A377" i="9"/>
  <c r="A373" i="9"/>
  <c r="A369" i="9"/>
  <c r="A365" i="9"/>
  <c r="A361" i="9"/>
  <c r="A357" i="9"/>
  <c r="A353" i="9"/>
  <c r="A349" i="9"/>
  <c r="A345" i="9"/>
  <c r="A341" i="9"/>
  <c r="A337" i="9"/>
  <c r="A333" i="9"/>
  <c r="A329" i="9"/>
  <c r="A325" i="9"/>
  <c r="A321" i="9"/>
  <c r="A317" i="9"/>
  <c r="A313" i="9"/>
  <c r="A309" i="9"/>
  <c r="A305" i="9"/>
  <c r="A301" i="9"/>
  <c r="A297" i="9"/>
  <c r="A293" i="9"/>
  <c r="A289" i="9"/>
  <c r="A285" i="9"/>
  <c r="A281" i="9"/>
  <c r="A277" i="9"/>
  <c r="A273" i="9"/>
  <c r="A269" i="9"/>
  <c r="A265" i="9"/>
  <c r="A261" i="9"/>
  <c r="A257" i="9"/>
  <c r="A253" i="9"/>
  <c r="A249" i="9"/>
  <c r="A245" i="9"/>
  <c r="A241" i="9"/>
  <c r="A237" i="9"/>
  <c r="A233" i="9"/>
  <c r="A229" i="9"/>
  <c r="A225" i="9"/>
  <c r="A221" i="9"/>
  <c r="A217" i="9"/>
  <c r="A213" i="9"/>
  <c r="A209" i="9"/>
  <c r="A205" i="9"/>
  <c r="C19" i="8"/>
  <c r="C7" i="8"/>
  <c r="B6" i="8"/>
  <c r="C24" i="8"/>
  <c r="C11" i="8"/>
  <c r="B14" i="8"/>
  <c r="B8" i="8"/>
  <c r="B10" i="8"/>
  <c r="C22" i="8"/>
  <c r="B25" i="8"/>
  <c r="C8" i="8"/>
  <c r="C12" i="8"/>
  <c r="C16" i="8"/>
  <c r="C20" i="8"/>
  <c r="B9" i="8"/>
  <c r="B15" i="8"/>
  <c r="C23" i="8"/>
  <c r="C25" i="8"/>
  <c r="B19" i="8"/>
  <c r="B21" i="8"/>
  <c r="B17" i="8"/>
  <c r="B13" i="8"/>
  <c r="C5" i="8"/>
  <c r="C9" i="8"/>
  <c r="C13" i="8"/>
  <c r="C17" i="8"/>
  <c r="C21" i="8"/>
  <c r="B11" i="8"/>
  <c r="B16" i="8"/>
  <c r="B22" i="8"/>
  <c r="C4" i="8"/>
  <c r="B20" i="8"/>
  <c r="B18" i="8"/>
  <c r="B24" i="8"/>
  <c r="C6" i="8"/>
  <c r="C10" i="8"/>
  <c r="C14" i="8"/>
  <c r="C18" i="8"/>
  <c r="B3" i="8"/>
  <c r="B12" i="8"/>
  <c r="C3" i="8"/>
  <c r="B4" i="8"/>
  <c r="B23" i="8"/>
  <c r="B5" i="8"/>
  <c r="G1" i="1"/>
  <c r="B7" i="8"/>
  <c r="B1199" i="9"/>
  <c r="B1197" i="9"/>
  <c r="B1195" i="9"/>
  <c r="B1193" i="9"/>
  <c r="B1191" i="9"/>
  <c r="B1187" i="9"/>
  <c r="B1185" i="9"/>
  <c r="B1183" i="9"/>
  <c r="B1181" i="9"/>
  <c r="B1179" i="9"/>
  <c r="B1177" i="9"/>
  <c r="B1175" i="9"/>
  <c r="B1173" i="9"/>
  <c r="B1171" i="9"/>
  <c r="B1169" i="9"/>
  <c r="B1200" i="9"/>
  <c r="B1198" i="9"/>
  <c r="B1196" i="9"/>
  <c r="B1194" i="9"/>
  <c r="B1192" i="9"/>
  <c r="B1190" i="9"/>
  <c r="B1188" i="9"/>
  <c r="B1186" i="9"/>
  <c r="B1184" i="9"/>
  <c r="B1182" i="9"/>
  <c r="B1180" i="9"/>
  <c r="B1178" i="9"/>
  <c r="B1176" i="9"/>
  <c r="B1174" i="9"/>
  <c r="B1172" i="9"/>
  <c r="B1170" i="9"/>
  <c r="B1168" i="9"/>
  <c r="B1166" i="9"/>
  <c r="B1164" i="9"/>
  <c r="B1162" i="9"/>
  <c r="B1160" i="9"/>
  <c r="B1158" i="9"/>
  <c r="B1156" i="9"/>
  <c r="B1154" i="9"/>
  <c r="B1152" i="9"/>
  <c r="B1150" i="9"/>
  <c r="B1148" i="9"/>
  <c r="B1146" i="9"/>
  <c r="B1144" i="9"/>
  <c r="B1142" i="9"/>
  <c r="B1167" i="9"/>
  <c r="B1165" i="9"/>
  <c r="B1163" i="9"/>
  <c r="B1161" i="9"/>
  <c r="B1159" i="9"/>
  <c r="B1157" i="9"/>
  <c r="B1155" i="9"/>
  <c r="B1153" i="9"/>
  <c r="B1151" i="9"/>
  <c r="B1149" i="9"/>
  <c r="B1147" i="9"/>
  <c r="B1145" i="9"/>
  <c r="B1143" i="9"/>
  <c r="B1141" i="9"/>
  <c r="B1139" i="9"/>
  <c r="B1137" i="9"/>
  <c r="B1135" i="9"/>
  <c r="B1133" i="9"/>
  <c r="B1131" i="9"/>
  <c r="B1129" i="9"/>
  <c r="B1127" i="9"/>
  <c r="B1125" i="9"/>
  <c r="B1123" i="9"/>
  <c r="B1121" i="9"/>
  <c r="B1119" i="9"/>
  <c r="B1117" i="9"/>
  <c r="B1115" i="9"/>
  <c r="B1113" i="9"/>
  <c r="B1111" i="9"/>
  <c r="B1109" i="9"/>
  <c r="B1107" i="9"/>
  <c r="B1105" i="9"/>
  <c r="B1103" i="9"/>
  <c r="B1101" i="9"/>
  <c r="B1099" i="9"/>
  <c r="B1097" i="9"/>
  <c r="B1095" i="9"/>
  <c r="B1093" i="9"/>
  <c r="B1091" i="9"/>
  <c r="B1089" i="9"/>
  <c r="B1087" i="9"/>
  <c r="B1085" i="9"/>
  <c r="B1083" i="9"/>
  <c r="B1081" i="9"/>
  <c r="B1079" i="9"/>
  <c r="B1077" i="9"/>
  <c r="B1075" i="9"/>
  <c r="B1073" i="9"/>
  <c r="B1071" i="9"/>
  <c r="B1069" i="9"/>
  <c r="B1067" i="9"/>
  <c r="B1065" i="9"/>
  <c r="B1063" i="9"/>
  <c r="B1061" i="9"/>
  <c r="B1059" i="9"/>
  <c r="B1057" i="9"/>
  <c r="B1055" i="9"/>
  <c r="B1053" i="9"/>
  <c r="B1051" i="9"/>
  <c r="B1049" i="9"/>
  <c r="B1047" i="9"/>
  <c r="B1045" i="9"/>
  <c r="B1043" i="9"/>
  <c r="B1041" i="9"/>
  <c r="B1039" i="9"/>
  <c r="B1037" i="9"/>
  <c r="B1035" i="9"/>
  <c r="B1140" i="9"/>
  <c r="B1138" i="9"/>
  <c r="B1136" i="9"/>
  <c r="B1134" i="9"/>
  <c r="B1132" i="9"/>
  <c r="B1130" i="9"/>
  <c r="B1128" i="9"/>
  <c r="B1126" i="9"/>
  <c r="B1124" i="9"/>
  <c r="B1122" i="9"/>
  <c r="B1120" i="9"/>
  <c r="B1118" i="9"/>
  <c r="B1116" i="9"/>
  <c r="B1114" i="9"/>
  <c r="B1112" i="9"/>
  <c r="B1110" i="9"/>
  <c r="B1108" i="9"/>
  <c r="B1106" i="9"/>
  <c r="B1104" i="9"/>
  <c r="B1102" i="9"/>
  <c r="B1100" i="9"/>
  <c r="B1098" i="9"/>
  <c r="B1096" i="9"/>
  <c r="B1094" i="9"/>
  <c r="B1092" i="9"/>
  <c r="B1090" i="9"/>
  <c r="B1088" i="9"/>
  <c r="B1086" i="9"/>
  <c r="B1084" i="9"/>
  <c r="B1082" i="9"/>
  <c r="B1080" i="9"/>
  <c r="B1078" i="9"/>
  <c r="B1076" i="9"/>
  <c r="B1074" i="9"/>
  <c r="B1072" i="9"/>
  <c r="B1070" i="9"/>
  <c r="B1068" i="9"/>
  <c r="B1066" i="9"/>
  <c r="B1064" i="9"/>
  <c r="B1062" i="9"/>
  <c r="B1060" i="9"/>
  <c r="B1058" i="9"/>
  <c r="B1056" i="9"/>
  <c r="B1054" i="9"/>
  <c r="B1052" i="9"/>
  <c r="B1050" i="9"/>
  <c r="B1048" i="9"/>
  <c r="B1046" i="9"/>
  <c r="B1044" i="9"/>
  <c r="B1042" i="9"/>
  <c r="B1040" i="9"/>
  <c r="B1038" i="9"/>
  <c r="B1033" i="9"/>
  <c r="B1031" i="9"/>
  <c r="B1029" i="9"/>
  <c r="B1027" i="9"/>
  <c r="B1025" i="9"/>
  <c r="B1023" i="9"/>
  <c r="B1021" i="9"/>
  <c r="B1019" i="9"/>
  <c r="B1017" i="9"/>
  <c r="B1015" i="9"/>
  <c r="B1013" i="9"/>
  <c r="B1011" i="9"/>
  <c r="B1009" i="9"/>
  <c r="B1007" i="9"/>
  <c r="B1005" i="9"/>
  <c r="B1003" i="9"/>
  <c r="B1001" i="9"/>
  <c r="B999" i="9"/>
  <c r="B997" i="9"/>
  <c r="B995" i="9"/>
  <c r="B993" i="9"/>
  <c r="B991" i="9"/>
  <c r="B989" i="9"/>
  <c r="B987" i="9"/>
  <c r="B985" i="9"/>
  <c r="B983" i="9"/>
  <c r="B981" i="9"/>
  <c r="B979" i="9"/>
  <c r="B977" i="9"/>
  <c r="B975" i="9"/>
  <c r="B973" i="9"/>
  <c r="B971" i="9"/>
  <c r="B969" i="9"/>
  <c r="B967" i="9"/>
  <c r="B965" i="9"/>
  <c r="B963" i="9"/>
  <c r="B961" i="9"/>
  <c r="B959" i="9"/>
  <c r="B957" i="9"/>
  <c r="B955" i="9"/>
  <c r="B953" i="9"/>
  <c r="B951" i="9"/>
  <c r="B949" i="9"/>
  <c r="B947" i="9"/>
  <c r="B945" i="9"/>
  <c r="B943" i="9"/>
  <c r="B941" i="9"/>
  <c r="B939" i="9"/>
  <c r="B937" i="9"/>
  <c r="B935" i="9"/>
  <c r="B933" i="9"/>
  <c r="B931" i="9"/>
  <c r="B929" i="9"/>
  <c r="B927" i="9"/>
  <c r="B925" i="9"/>
  <c r="B923" i="9"/>
  <c r="B921" i="9"/>
  <c r="B919" i="9"/>
  <c r="B917" i="9"/>
  <c r="B915" i="9"/>
  <c r="B913" i="9"/>
  <c r="B911" i="9"/>
  <c r="B909" i="9"/>
  <c r="B907" i="9"/>
  <c r="B905" i="9"/>
  <c r="B903" i="9"/>
  <c r="B901" i="9"/>
  <c r="B899" i="9"/>
  <c r="B897" i="9"/>
  <c r="B895" i="9"/>
  <c r="B893" i="9"/>
  <c r="B891" i="9"/>
  <c r="B889" i="9"/>
  <c r="B887" i="9"/>
  <c r="B885" i="9"/>
  <c r="B883" i="9"/>
  <c r="B881" i="9"/>
  <c r="B879" i="9"/>
  <c r="B877" i="9"/>
  <c r="B875" i="9"/>
  <c r="B873" i="9"/>
  <c r="B871" i="9"/>
  <c r="B869" i="9"/>
  <c r="B867" i="9"/>
  <c r="B865" i="9"/>
  <c r="B863" i="9"/>
  <c r="B861" i="9"/>
  <c r="B859" i="9"/>
  <c r="B857" i="9"/>
  <c r="B855" i="9"/>
  <c r="B853" i="9"/>
  <c r="B851" i="9"/>
  <c r="B849" i="9"/>
  <c r="B847" i="9"/>
  <c r="B845" i="9"/>
  <c r="B843" i="9"/>
  <c r="B841" i="9"/>
  <c r="B839" i="9"/>
  <c r="B837" i="9"/>
  <c r="B835" i="9"/>
  <c r="B833" i="9"/>
  <c r="B831" i="9"/>
  <c r="B829" i="9"/>
  <c r="B827" i="9"/>
  <c r="B825" i="9"/>
  <c r="B823" i="9"/>
  <c r="B821" i="9"/>
  <c r="B819" i="9"/>
  <c r="B817" i="9"/>
  <c r="B815" i="9"/>
  <c r="B813" i="9"/>
  <c r="B811" i="9"/>
  <c r="B809" i="9"/>
  <c r="B807" i="9"/>
  <c r="B805" i="9"/>
  <c r="B803" i="9"/>
  <c r="B801" i="9"/>
  <c r="B799" i="9"/>
  <c r="B797" i="9"/>
  <c r="B795" i="9"/>
  <c r="B793" i="9"/>
  <c r="B791" i="9"/>
  <c r="B789" i="9"/>
  <c r="B787" i="9"/>
  <c r="B785" i="9"/>
  <c r="B783" i="9"/>
  <c r="B781" i="9"/>
  <c r="B779" i="9"/>
  <c r="B777" i="9"/>
  <c r="B775" i="9"/>
  <c r="B773" i="9"/>
  <c r="B771" i="9"/>
  <c r="B769" i="9"/>
  <c r="B767" i="9"/>
  <c r="B765" i="9"/>
  <c r="B763" i="9"/>
  <c r="B761" i="9"/>
  <c r="B759" i="9"/>
  <c r="B757" i="9"/>
  <c r="B755" i="9"/>
  <c r="B753" i="9"/>
  <c r="B751" i="9"/>
  <c r="B749" i="9"/>
  <c r="B747" i="9"/>
  <c r="B745" i="9"/>
  <c r="B743" i="9"/>
  <c r="B741" i="9"/>
  <c r="B739" i="9"/>
  <c r="B737" i="9"/>
  <c r="B735" i="9"/>
  <c r="B733" i="9"/>
  <c r="B731" i="9"/>
  <c r="B729" i="9"/>
  <c r="B727" i="9"/>
  <c r="B725" i="9"/>
  <c r="B723" i="9"/>
  <c r="B721" i="9"/>
  <c r="B719" i="9"/>
  <c r="B717" i="9"/>
  <c r="B715" i="9"/>
  <c r="B713" i="9"/>
  <c r="B711" i="9"/>
  <c r="B709" i="9"/>
  <c r="B707" i="9"/>
  <c r="B705" i="9"/>
  <c r="B703" i="9"/>
  <c r="B701" i="9"/>
  <c r="B699" i="9"/>
  <c r="B697" i="9"/>
  <c r="B695" i="9"/>
  <c r="B484" i="9"/>
  <c r="B483" i="9"/>
  <c r="B1036" i="9"/>
  <c r="B1034" i="9"/>
  <c r="B1032" i="9"/>
  <c r="B1030" i="9"/>
  <c r="B1028" i="9"/>
  <c r="B1026" i="9"/>
  <c r="B1024" i="9"/>
  <c r="B1022" i="9"/>
  <c r="B1020" i="9"/>
  <c r="B1018" i="9"/>
  <c r="B1016" i="9"/>
  <c r="B1014" i="9"/>
  <c r="B1012" i="9"/>
  <c r="B1010" i="9"/>
  <c r="B1008" i="9"/>
  <c r="B1006" i="9"/>
  <c r="B1004" i="9"/>
  <c r="B1002" i="9"/>
  <c r="B1000" i="9"/>
  <c r="B998" i="9"/>
  <c r="B996" i="9"/>
  <c r="B994" i="9"/>
  <c r="B992" i="9"/>
  <c r="B990" i="9"/>
  <c r="B988" i="9"/>
  <c r="B986" i="9"/>
  <c r="B984" i="9"/>
  <c r="B982" i="9"/>
  <c r="B980" i="9"/>
  <c r="B978" i="9"/>
  <c r="B976" i="9"/>
  <c r="B974" i="9"/>
  <c r="B972" i="9"/>
  <c r="B970" i="9"/>
  <c r="B968" i="9"/>
  <c r="B966" i="9"/>
  <c r="B964" i="9"/>
  <c r="B962" i="9"/>
  <c r="B960" i="9"/>
  <c r="B958" i="9"/>
  <c r="B956" i="9"/>
  <c r="B954" i="9"/>
  <c r="B952" i="9"/>
  <c r="B950" i="9"/>
  <c r="B948" i="9"/>
  <c r="B946" i="9"/>
  <c r="B944" i="9"/>
  <c r="B942" i="9"/>
  <c r="B940" i="9"/>
  <c r="B938" i="9"/>
  <c r="B936" i="9"/>
  <c r="B934" i="9"/>
  <c r="B932" i="9"/>
  <c r="B930" i="9"/>
  <c r="B928" i="9"/>
  <c r="B926" i="9"/>
  <c r="B924" i="9"/>
  <c r="B922" i="9"/>
  <c r="B920" i="9"/>
  <c r="B918" i="9"/>
  <c r="B916" i="9"/>
  <c r="B914" i="9"/>
  <c r="B912" i="9"/>
  <c r="B910" i="9"/>
  <c r="B908" i="9"/>
  <c r="B906" i="9"/>
  <c r="B904" i="9"/>
  <c r="B902" i="9"/>
  <c r="B900" i="9"/>
  <c r="B898" i="9"/>
  <c r="B896" i="9"/>
  <c r="B894" i="9"/>
  <c r="B892" i="9"/>
  <c r="B890" i="9"/>
  <c r="B888" i="9"/>
  <c r="B886" i="9"/>
  <c r="B884" i="9"/>
  <c r="B882" i="9"/>
  <c r="B880" i="9"/>
  <c r="B878" i="9"/>
  <c r="B876" i="9"/>
  <c r="B874" i="9"/>
  <c r="B872" i="9"/>
  <c r="B870" i="9"/>
  <c r="B868" i="9"/>
  <c r="B866" i="9"/>
  <c r="B864" i="9"/>
  <c r="B862" i="9"/>
  <c r="B860" i="9"/>
  <c r="B858" i="9"/>
  <c r="B856" i="9"/>
  <c r="B854" i="9"/>
  <c r="B852" i="9"/>
  <c r="B850" i="9"/>
  <c r="B848" i="9"/>
  <c r="B846" i="9"/>
  <c r="B844" i="9"/>
  <c r="B842" i="9"/>
  <c r="B840" i="9"/>
  <c r="B838" i="9"/>
  <c r="B836" i="9"/>
  <c r="B834" i="9"/>
  <c r="B832" i="9"/>
  <c r="B830" i="9"/>
  <c r="B828" i="9"/>
  <c r="B826" i="9"/>
  <c r="B824" i="9"/>
  <c r="B822" i="9"/>
  <c r="B820" i="9"/>
  <c r="B818" i="9"/>
  <c r="B816" i="9"/>
  <c r="B814" i="9"/>
  <c r="B812" i="9"/>
  <c r="B810" i="9"/>
  <c r="B808" i="9"/>
  <c r="B806" i="9"/>
  <c r="B804" i="9"/>
  <c r="B802" i="9"/>
  <c r="B800" i="9"/>
  <c r="B798" i="9"/>
  <c r="B796" i="9"/>
  <c r="B794" i="9"/>
  <c r="B792" i="9"/>
  <c r="B790" i="9"/>
  <c r="B788" i="9"/>
  <c r="B786" i="9"/>
  <c r="B784" i="9"/>
  <c r="B782" i="9"/>
  <c r="B780" i="9"/>
  <c r="B778" i="9"/>
  <c r="B776" i="9"/>
  <c r="B774" i="9"/>
  <c r="B772" i="9"/>
  <c r="B770" i="9"/>
  <c r="B768" i="9"/>
  <c r="B766" i="9"/>
  <c r="B764" i="9"/>
  <c r="B762" i="9"/>
  <c r="B760" i="9"/>
  <c r="B758" i="9"/>
  <c r="B756" i="9"/>
  <c r="B754" i="9"/>
  <c r="B752" i="9"/>
  <c r="B750" i="9"/>
  <c r="B748" i="9"/>
  <c r="B746" i="9"/>
  <c r="B744" i="9"/>
  <c r="B742" i="9"/>
  <c r="B740" i="9"/>
  <c r="B738" i="9"/>
  <c r="B736" i="9"/>
  <c r="B734" i="9"/>
  <c r="B732" i="9"/>
  <c r="B730" i="9"/>
  <c r="B728" i="9"/>
  <c r="B726" i="9"/>
  <c r="B724" i="9"/>
  <c r="B722" i="9"/>
  <c r="B720" i="9"/>
  <c r="B718" i="9"/>
  <c r="B716" i="9"/>
  <c r="B714" i="9"/>
  <c r="B712" i="9"/>
  <c r="B710" i="9"/>
  <c r="B708" i="9"/>
  <c r="B706" i="9"/>
  <c r="B693" i="9"/>
  <c r="B691" i="9"/>
  <c r="B689" i="9"/>
  <c r="B687" i="9"/>
  <c r="B685" i="9"/>
  <c r="B683" i="9"/>
  <c r="B681" i="9"/>
  <c r="B679" i="9"/>
  <c r="B677" i="9"/>
  <c r="B675" i="9"/>
  <c r="B673" i="9"/>
  <c r="B671" i="9"/>
  <c r="B669" i="9"/>
  <c r="B667" i="9"/>
  <c r="B665" i="9"/>
  <c r="B663" i="9"/>
  <c r="B661" i="9"/>
  <c r="B659" i="9"/>
  <c r="B657" i="9"/>
  <c r="B655" i="9"/>
  <c r="B653" i="9"/>
  <c r="B651" i="9"/>
  <c r="B649" i="9"/>
  <c r="B647" i="9"/>
  <c r="B645" i="9"/>
  <c r="B643" i="9"/>
  <c r="B641" i="9"/>
  <c r="B639" i="9"/>
  <c r="B637" i="9"/>
  <c r="B635" i="9"/>
  <c r="B633" i="9"/>
  <c r="B631" i="9"/>
  <c r="B629" i="9"/>
  <c r="B627" i="9"/>
  <c r="B625" i="9"/>
  <c r="B623" i="9"/>
  <c r="B621" i="9"/>
  <c r="B619" i="9"/>
  <c r="B617" i="9"/>
  <c r="B615" i="9"/>
  <c r="B704" i="9"/>
  <c r="B702" i="9"/>
  <c r="B700" i="9"/>
  <c r="B698" i="9"/>
  <c r="B696" i="9"/>
  <c r="B694" i="9"/>
  <c r="B692" i="9"/>
  <c r="B690" i="9"/>
  <c r="B688" i="9"/>
  <c r="B686" i="9"/>
  <c r="B684" i="9"/>
  <c r="B682" i="9"/>
  <c r="B680" i="9"/>
  <c r="B678" i="9"/>
  <c r="B676" i="9"/>
  <c r="B674" i="9"/>
  <c r="B672" i="9"/>
  <c r="B670" i="9"/>
  <c r="B668" i="9"/>
  <c r="B666" i="9"/>
  <c r="B664" i="9"/>
  <c r="B662" i="9"/>
  <c r="B660" i="9"/>
  <c r="B658" i="9"/>
  <c r="B656" i="9"/>
  <c r="B654" i="9"/>
  <c r="B652" i="9"/>
  <c r="B650" i="9"/>
  <c r="B648" i="9"/>
  <c r="B646" i="9"/>
  <c r="B644" i="9"/>
  <c r="B642" i="9"/>
  <c r="B640" i="9"/>
  <c r="B638" i="9"/>
  <c r="B636" i="9"/>
  <c r="B634" i="9"/>
  <c r="B632" i="9"/>
  <c r="B630" i="9"/>
  <c r="B628" i="9"/>
  <c r="B626" i="9"/>
  <c r="B624" i="9"/>
  <c r="B622" i="9"/>
  <c r="B620" i="9"/>
  <c r="B618" i="9"/>
  <c r="B616" i="9"/>
  <c r="B614" i="9"/>
  <c r="B612" i="9"/>
  <c r="B610" i="9"/>
  <c r="B608" i="9"/>
  <c r="B606" i="9"/>
  <c r="B604" i="9"/>
  <c r="B602" i="9"/>
  <c r="B600" i="9"/>
  <c r="B598" i="9"/>
  <c r="B596" i="9"/>
  <c r="B594" i="9"/>
  <c r="B592" i="9"/>
  <c r="B590" i="9"/>
  <c r="B588" i="9"/>
  <c r="B586" i="9"/>
  <c r="B584" i="9"/>
  <c r="B582" i="9"/>
  <c r="B580" i="9"/>
  <c r="B578" i="9"/>
  <c r="B576" i="9"/>
  <c r="B574" i="9"/>
  <c r="B572" i="9"/>
  <c r="B570" i="9"/>
  <c r="B568" i="9"/>
  <c r="B566" i="9"/>
  <c r="B564" i="9"/>
  <c r="B562" i="9"/>
  <c r="B560" i="9"/>
  <c r="B558" i="9"/>
  <c r="B556" i="9"/>
  <c r="B554" i="9"/>
  <c r="B552" i="9"/>
  <c r="B550" i="9"/>
  <c r="B548" i="9"/>
  <c r="B546" i="9"/>
  <c r="B544" i="9"/>
  <c r="B542" i="9"/>
  <c r="B540" i="9"/>
  <c r="B538" i="9"/>
  <c r="B536" i="9"/>
  <c r="B534" i="9"/>
  <c r="B532" i="9"/>
  <c r="B530" i="9"/>
  <c r="B528" i="9"/>
  <c r="B526" i="9"/>
  <c r="B524" i="9"/>
  <c r="B522" i="9"/>
  <c r="B520" i="9"/>
  <c r="B518" i="9"/>
  <c r="B516" i="9"/>
  <c r="B514" i="9"/>
  <c r="B512" i="9"/>
  <c r="B510" i="9"/>
  <c r="B508" i="9"/>
  <c r="B506" i="9"/>
  <c r="B504" i="9"/>
  <c r="B502" i="9"/>
  <c r="B500" i="9"/>
  <c r="B498" i="9"/>
  <c r="B496" i="9"/>
  <c r="B494" i="9"/>
  <c r="B492" i="9"/>
  <c r="B490" i="9"/>
  <c r="B488" i="9"/>
  <c r="B486" i="9"/>
  <c r="B613" i="9"/>
  <c r="B611" i="9"/>
  <c r="B609" i="9"/>
  <c r="B607" i="9"/>
  <c r="B605" i="9"/>
  <c r="B603" i="9"/>
  <c r="B601" i="9"/>
  <c r="B599" i="9"/>
  <c r="B597" i="9"/>
  <c r="B595" i="9"/>
  <c r="B593" i="9"/>
  <c r="B591" i="9"/>
  <c r="B589" i="9"/>
  <c r="B587" i="9"/>
  <c r="B585" i="9"/>
  <c r="B583" i="9"/>
  <c r="B581" i="9"/>
  <c r="B579" i="9"/>
  <c r="B577" i="9"/>
  <c r="B575" i="9"/>
  <c r="B573" i="9"/>
  <c r="B571" i="9"/>
  <c r="B569" i="9"/>
  <c r="B567" i="9"/>
  <c r="B565" i="9"/>
  <c r="B563" i="9"/>
  <c r="B561" i="9"/>
  <c r="B559" i="9"/>
  <c r="B557" i="9"/>
  <c r="B555" i="9"/>
  <c r="B553" i="9"/>
  <c r="B551" i="9"/>
  <c r="B549" i="9"/>
  <c r="B547" i="9"/>
  <c r="B545" i="9"/>
  <c r="B543" i="9"/>
  <c r="B541" i="9"/>
  <c r="B539" i="9"/>
  <c r="B537" i="9"/>
  <c r="B535" i="9"/>
  <c r="B533" i="9"/>
  <c r="B531" i="9"/>
  <c r="B529" i="9"/>
  <c r="B527" i="9"/>
  <c r="B525" i="9"/>
  <c r="B523" i="9"/>
  <c r="B521" i="9"/>
  <c r="B519" i="9"/>
  <c r="B517" i="9"/>
  <c r="B515" i="9"/>
  <c r="B513" i="9"/>
  <c r="B511" i="9"/>
  <c r="B509" i="9"/>
  <c r="B507" i="9"/>
  <c r="B505" i="9"/>
  <c r="B503" i="9"/>
  <c r="B501" i="9"/>
  <c r="B499" i="9"/>
  <c r="B497" i="9"/>
  <c r="B495" i="9"/>
  <c r="B493" i="9"/>
  <c r="B491" i="9"/>
  <c r="B489" i="9"/>
  <c r="B487" i="9"/>
  <c r="B485" i="9"/>
  <c r="B1189" i="9"/>
  <c r="H1" i="1"/>
  <c r="B237" i="9"/>
  <c r="B214" i="9"/>
  <c r="B270" i="9"/>
  <c r="B390" i="9"/>
  <c r="B278" i="9"/>
  <c r="B398" i="9"/>
  <c r="B246" i="9"/>
  <c r="B406" i="9"/>
  <c r="B254" i="9"/>
  <c r="B262" i="9"/>
  <c r="B326" i="9"/>
  <c r="B318" i="9"/>
  <c r="B382" i="9"/>
  <c r="B374" i="9"/>
  <c r="B366" i="9"/>
  <c r="B358" i="9"/>
  <c r="B350" i="9"/>
  <c r="B482" i="9"/>
  <c r="B474" i="9"/>
  <c r="B466" i="9"/>
  <c r="B458" i="9"/>
  <c r="B206" i="9"/>
  <c r="B422" i="9"/>
  <c r="B414" i="9"/>
  <c r="B454" i="9"/>
  <c r="B446" i="9"/>
  <c r="B438" i="9"/>
  <c r="B430" i="9"/>
  <c r="B322" i="9"/>
  <c r="B314" i="9"/>
  <c r="B378" i="9"/>
  <c r="B370" i="9"/>
  <c r="B362" i="9"/>
  <c r="B354" i="9"/>
  <c r="B346" i="9"/>
  <c r="B478" i="9"/>
  <c r="B470" i="9"/>
  <c r="B462" i="9"/>
  <c r="B218" i="9"/>
  <c r="B250" i="9"/>
  <c r="B266" i="9"/>
  <c r="B258" i="9"/>
  <c r="B274" i="9"/>
  <c r="B230" i="9"/>
  <c r="B222" i="9"/>
  <c r="B310" i="9"/>
  <c r="B302" i="9"/>
  <c r="B294" i="9"/>
  <c r="B286" i="9"/>
  <c r="B282" i="9"/>
  <c r="B210" i="9"/>
  <c r="B238" i="9"/>
  <c r="B342" i="9"/>
  <c r="B334" i="9"/>
  <c r="B337" i="9"/>
  <c r="B413" i="9"/>
  <c r="B329" i="9"/>
  <c r="B453" i="9"/>
  <c r="B403" i="9"/>
  <c r="B395" i="9"/>
  <c r="B387" i="9"/>
  <c r="B445" i="9"/>
  <c r="B219" i="9"/>
  <c r="B241" i="9"/>
  <c r="B233" i="9"/>
  <c r="B251" i="9"/>
  <c r="B283" i="9"/>
  <c r="B275" i="9"/>
  <c r="B267" i="9"/>
  <c r="B259" i="9"/>
  <c r="B421" i="9"/>
  <c r="B437" i="9"/>
  <c r="B429" i="9"/>
  <c r="B229" i="9"/>
  <c r="B221" i="9"/>
  <c r="B309" i="9"/>
  <c r="B301" i="9"/>
  <c r="B293" i="9"/>
  <c r="B209" i="9"/>
  <c r="B247" i="9"/>
  <c r="B225" i="9"/>
  <c r="B305" i="9"/>
  <c r="B297" i="9"/>
  <c r="B289" i="9"/>
  <c r="B323" i="9"/>
  <c r="B315" i="9"/>
  <c r="B379" i="9"/>
  <c r="B371" i="9"/>
  <c r="B363" i="9"/>
  <c r="B355" i="9"/>
  <c r="B347" i="9"/>
  <c r="B479" i="9"/>
  <c r="B471" i="9"/>
  <c r="B205" i="9"/>
  <c r="B231" i="9"/>
  <c r="B223" i="9"/>
  <c r="B311" i="9"/>
  <c r="B303" i="9"/>
  <c r="B295" i="9"/>
  <c r="B287" i="9"/>
  <c r="B321" i="9"/>
  <c r="B313" i="9"/>
  <c r="B377" i="9"/>
  <c r="B369" i="9"/>
  <c r="B361" i="9"/>
  <c r="B353" i="9"/>
  <c r="B345" i="9"/>
  <c r="B477" i="9"/>
  <c r="B469" i="9"/>
  <c r="B461" i="9"/>
  <c r="B211" i="9"/>
  <c r="B217" i="9"/>
  <c r="B239" i="9"/>
  <c r="B257" i="9"/>
  <c r="B249" i="9"/>
  <c r="B281" i="9"/>
  <c r="B273" i="9"/>
  <c r="B265" i="9"/>
  <c r="B335" i="9"/>
  <c r="B327" i="9"/>
  <c r="B401" i="9"/>
  <c r="B393" i="9"/>
  <c r="B385" i="9"/>
  <c r="B419" i="9"/>
  <c r="B411" i="9"/>
  <c r="B451" i="9"/>
  <c r="B443" i="9"/>
  <c r="B435" i="9"/>
  <c r="B427" i="9"/>
  <c r="B285" i="9"/>
  <c r="B319" i="9"/>
  <c r="B383" i="9"/>
  <c r="B375" i="9"/>
  <c r="B367" i="9"/>
  <c r="B359" i="9"/>
  <c r="B351" i="9"/>
  <c r="B343" i="9"/>
  <c r="B475" i="9"/>
  <c r="B467" i="9"/>
  <c r="B459" i="9"/>
  <c r="B333" i="9"/>
  <c r="B399" i="9"/>
  <c r="B409" i="9"/>
  <c r="B255" i="9"/>
  <c r="B271" i="9"/>
  <c r="B341" i="9"/>
  <c r="B407" i="9"/>
  <c r="B425" i="9"/>
  <c r="B227" i="9"/>
  <c r="B307" i="9"/>
  <c r="B299" i="9"/>
  <c r="B291" i="9"/>
  <c r="B325" i="9"/>
  <c r="B317" i="9"/>
  <c r="B381" i="9"/>
  <c r="B373" i="9"/>
  <c r="B365" i="9"/>
  <c r="B357" i="9"/>
  <c r="B349" i="9"/>
  <c r="B481" i="9"/>
  <c r="B473" i="9"/>
  <c r="B465" i="9"/>
  <c r="B457" i="9"/>
  <c r="B215" i="9"/>
  <c r="B279" i="9"/>
  <c r="B263" i="9"/>
  <c r="B391" i="9"/>
  <c r="B417" i="9"/>
  <c r="B449" i="9"/>
  <c r="B441" i="9"/>
  <c r="B433" i="9"/>
  <c r="B207" i="9"/>
  <c r="B213" i="9"/>
  <c r="B243" i="9"/>
  <c r="B235" i="9"/>
  <c r="B253" i="9"/>
  <c r="B245" i="9"/>
  <c r="B277" i="9"/>
  <c r="B269" i="9"/>
  <c r="B261" i="9"/>
  <c r="B339" i="9"/>
  <c r="B331" i="9"/>
  <c r="B405" i="9"/>
  <c r="B397" i="9"/>
  <c r="B389" i="9"/>
  <c r="B423" i="9"/>
  <c r="B415" i="9"/>
  <c r="B455" i="9"/>
  <c r="B447" i="9"/>
  <c r="B439" i="9"/>
  <c r="B431" i="9"/>
  <c r="B306" i="9"/>
  <c r="B298" i="9"/>
  <c r="B290" i="9"/>
  <c r="B226" i="9"/>
  <c r="B242" i="9"/>
  <c r="B234" i="9"/>
  <c r="B338" i="9"/>
  <c r="B330" i="9"/>
  <c r="B463" i="9"/>
  <c r="B402" i="9"/>
  <c r="B394" i="9"/>
  <c r="B386" i="9"/>
  <c r="B418" i="9"/>
  <c r="B410" i="9"/>
  <c r="B450" i="9"/>
  <c r="B442" i="9"/>
  <c r="B434" i="9"/>
  <c r="B426" i="9"/>
  <c r="B480" i="9"/>
  <c r="B476" i="9"/>
  <c r="B472" i="9"/>
  <c r="B468" i="9"/>
  <c r="B464" i="9"/>
  <c r="B460" i="9"/>
  <c r="B456" i="9"/>
  <c r="B452" i="9"/>
  <c r="B448" i="9"/>
  <c r="B444" i="9"/>
  <c r="B440" i="9"/>
  <c r="B436" i="9"/>
  <c r="B432" i="9"/>
  <c r="B428" i="9"/>
  <c r="B424" i="9"/>
  <c r="B420" i="9"/>
  <c r="B416" i="9"/>
  <c r="B412" i="9"/>
  <c r="B408" i="9"/>
  <c r="B404" i="9"/>
  <c r="B400" i="9"/>
  <c r="B396" i="9"/>
  <c r="B392" i="9"/>
  <c r="B388" i="9"/>
  <c r="B384" i="9"/>
  <c r="B380" i="9"/>
  <c r="B376" i="9"/>
  <c r="B372" i="9"/>
  <c r="B368" i="9"/>
  <c r="B364" i="9"/>
  <c r="B360" i="9"/>
  <c r="B356" i="9"/>
  <c r="B352" i="9"/>
  <c r="B348" i="9"/>
  <c r="B344" i="9"/>
  <c r="B340" i="9"/>
  <c r="B336" i="9"/>
  <c r="B332" i="9"/>
  <c r="B328" i="9"/>
  <c r="B324" i="9"/>
  <c r="B320" i="9"/>
  <c r="B316" i="9"/>
  <c r="B312" i="9"/>
  <c r="B308" i="9"/>
  <c r="B304" i="9"/>
  <c r="B300" i="9"/>
  <c r="B296" i="9"/>
  <c r="B292" i="9"/>
  <c r="B288" i="9"/>
  <c r="B284" i="9"/>
  <c r="B280" i="9"/>
  <c r="B276" i="9"/>
  <c r="B272" i="9"/>
  <c r="B268" i="9"/>
  <c r="B264" i="9"/>
  <c r="B260" i="9"/>
  <c r="B256" i="9"/>
  <c r="B252" i="9"/>
  <c r="B248" i="9"/>
  <c r="B244" i="9"/>
  <c r="B240" i="9"/>
  <c r="B236" i="9"/>
  <c r="B232" i="9"/>
  <c r="B228" i="9"/>
  <c r="B224" i="9"/>
  <c r="B220" i="9"/>
  <c r="B216" i="9"/>
  <c r="B212" i="9"/>
  <c r="B208" i="9"/>
  <c r="Z192" i="1"/>
  <c r="Z193" i="1"/>
  <c r="Z194" i="1"/>
  <c r="Z195" i="1"/>
  <c r="Z196" i="1"/>
  <c r="Z197" i="1"/>
  <c r="Z198" i="1"/>
  <c r="Z199" i="1"/>
  <c r="Z200" i="1"/>
  <c r="Z201" i="1"/>
  <c r="Z202" i="1"/>
  <c r="Z203" i="1"/>
  <c r="Z204" i="1"/>
  <c r="Y192" i="1"/>
  <c r="C192" i="9" s="1"/>
  <c r="D192" i="9" s="1"/>
  <c r="Y193" i="1"/>
  <c r="C193" i="9" s="1"/>
  <c r="D193" i="9" s="1"/>
  <c r="Y194" i="1"/>
  <c r="C194" i="9" s="1"/>
  <c r="D194" i="9" s="1"/>
  <c r="Y195" i="1"/>
  <c r="C195" i="9" s="1"/>
  <c r="D195" i="9" s="1"/>
  <c r="Y196" i="1"/>
  <c r="C196" i="9" s="1"/>
  <c r="D196" i="9" s="1"/>
  <c r="Y197" i="1"/>
  <c r="C197" i="9" s="1"/>
  <c r="D197" i="9" s="1"/>
  <c r="Y198" i="1"/>
  <c r="C198" i="9" s="1"/>
  <c r="D198" i="9" s="1"/>
  <c r="Y199" i="1"/>
  <c r="C199" i="9" s="1"/>
  <c r="D199" i="9" s="1"/>
  <c r="Y200" i="1"/>
  <c r="C200" i="9" s="1"/>
  <c r="D200" i="9" s="1"/>
  <c r="Y201" i="1"/>
  <c r="C201" i="9" s="1"/>
  <c r="D201" i="9" s="1"/>
  <c r="Y202" i="1"/>
  <c r="C202" i="9" s="1"/>
  <c r="D202" i="9" s="1"/>
  <c r="Y203" i="1"/>
  <c r="C203" i="9" s="1"/>
  <c r="D203" i="9" s="1"/>
  <c r="Y204" i="1"/>
  <c r="C204" i="9" s="1"/>
  <c r="D204" i="9" s="1"/>
  <c r="W192" i="1"/>
  <c r="W193" i="1"/>
  <c r="W194" i="1"/>
  <c r="W195" i="1"/>
  <c r="W196" i="1"/>
  <c r="W197" i="1"/>
  <c r="W198" i="1"/>
  <c r="W199" i="1"/>
  <c r="W200" i="1"/>
  <c r="W201" i="1"/>
  <c r="W202" i="1"/>
  <c r="W203" i="1"/>
  <c r="W204" i="1"/>
  <c r="U204" i="1"/>
  <c r="U192" i="1"/>
  <c r="U193" i="1"/>
  <c r="U194" i="1"/>
  <c r="U195" i="1"/>
  <c r="U196" i="1"/>
  <c r="U197" i="1"/>
  <c r="U198" i="1"/>
  <c r="U199" i="1"/>
  <c r="U200" i="1"/>
  <c r="U201" i="1"/>
  <c r="U202" i="1"/>
  <c r="U203" i="1"/>
  <c r="S192" i="1"/>
  <c r="S193" i="1"/>
  <c r="S194" i="1"/>
  <c r="S195" i="1"/>
  <c r="S196" i="1"/>
  <c r="S197" i="1"/>
  <c r="S198" i="1"/>
  <c r="S199" i="1"/>
  <c r="S200" i="1"/>
  <c r="S201" i="1"/>
  <c r="S202" i="1"/>
  <c r="S203" i="1"/>
  <c r="S204" i="1"/>
  <c r="Q192" i="1"/>
  <c r="Q193" i="1"/>
  <c r="Q194" i="1"/>
  <c r="Q195" i="1"/>
  <c r="Q196" i="1"/>
  <c r="Q197" i="1"/>
  <c r="Q198" i="1"/>
  <c r="Q199" i="1"/>
  <c r="Q200" i="1"/>
  <c r="Q201" i="1"/>
  <c r="Q202" i="1"/>
  <c r="Q203" i="1"/>
  <c r="Q204" i="1"/>
  <c r="O192" i="1"/>
  <c r="O193" i="1"/>
  <c r="O194" i="1"/>
  <c r="O195" i="1"/>
  <c r="O196" i="1"/>
  <c r="O197" i="1"/>
  <c r="O198" i="1"/>
  <c r="O199" i="1"/>
  <c r="O200" i="1"/>
  <c r="O201" i="1"/>
  <c r="O202" i="1"/>
  <c r="O203" i="1"/>
  <c r="O204" i="1"/>
  <c r="N192" i="1"/>
  <c r="A192" i="9" s="1"/>
  <c r="N193" i="1"/>
  <c r="A193" i="9" s="1"/>
  <c r="N194" i="1"/>
  <c r="A194" i="9" s="1"/>
  <c r="N195" i="1"/>
  <c r="A195" i="9" s="1"/>
  <c r="N196" i="1"/>
  <c r="A196" i="9" s="1"/>
  <c r="N197" i="1"/>
  <c r="A197" i="9" s="1"/>
  <c r="N198" i="1"/>
  <c r="A198" i="9" s="1"/>
  <c r="N199" i="1"/>
  <c r="A199" i="9" s="1"/>
  <c r="N200" i="1"/>
  <c r="A200" i="9" s="1"/>
  <c r="N201" i="1"/>
  <c r="A201" i="9" s="1"/>
  <c r="N202" i="1"/>
  <c r="A202" i="9" s="1"/>
  <c r="N203" i="1"/>
  <c r="A203" i="9" s="1"/>
  <c r="N204" i="1"/>
  <c r="A204" i="9" s="1"/>
  <c r="G5" i="1"/>
  <c r="F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5" i="1"/>
  <c r="G2" i="1" l="1"/>
  <c r="G3" i="1" s="1"/>
  <c r="B192" i="9"/>
  <c r="B202" i="9"/>
  <c r="B199" i="9"/>
  <c r="B204" i="9"/>
  <c r="B196" i="9"/>
  <c r="B194" i="9"/>
  <c r="B201" i="9"/>
  <c r="B193" i="9"/>
  <c r="B197" i="9"/>
  <c r="B200" i="9"/>
  <c r="B203" i="9"/>
  <c r="B195" i="9"/>
  <c r="B198" i="9"/>
  <c r="O6" i="1"/>
  <c r="N6" i="1"/>
  <c r="A6" i="9" s="1"/>
  <c r="O5" i="1" l="1"/>
  <c r="N5" i="1"/>
  <c r="A5" i="9" s="1"/>
  <c r="Z6" i="1" l="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5" i="1"/>
  <c r="Y191" i="1" l="1"/>
  <c r="C191" i="9" s="1"/>
  <c r="D191" i="9" s="1"/>
  <c r="W191" i="1"/>
  <c r="U191" i="1"/>
  <c r="S191" i="1"/>
  <c r="Q191" i="1"/>
  <c r="O191" i="1"/>
  <c r="N191" i="1"/>
  <c r="A191" i="9" s="1"/>
  <c r="Y190" i="1"/>
  <c r="C190" i="9" s="1"/>
  <c r="D190" i="9" s="1"/>
  <c r="W190" i="1"/>
  <c r="U190" i="1"/>
  <c r="S190" i="1"/>
  <c r="Q190" i="1"/>
  <c r="O190" i="1"/>
  <c r="N190" i="1"/>
  <c r="A190" i="9" s="1"/>
  <c r="Y189" i="1"/>
  <c r="C189" i="9" s="1"/>
  <c r="D189" i="9" s="1"/>
  <c r="W189" i="1"/>
  <c r="U189" i="1"/>
  <c r="S189" i="1"/>
  <c r="Q189" i="1"/>
  <c r="O189" i="1"/>
  <c r="N189" i="1"/>
  <c r="A189" i="9" s="1"/>
  <c r="Y188" i="1"/>
  <c r="C188" i="9" s="1"/>
  <c r="D188" i="9" s="1"/>
  <c r="W188" i="1"/>
  <c r="U188" i="1"/>
  <c r="S188" i="1"/>
  <c r="Q188" i="1"/>
  <c r="O188" i="1"/>
  <c r="N188" i="1"/>
  <c r="A188" i="9" s="1"/>
  <c r="Y187" i="1"/>
  <c r="C187" i="9" s="1"/>
  <c r="D187" i="9" s="1"/>
  <c r="W187" i="1"/>
  <c r="U187" i="1"/>
  <c r="S187" i="1"/>
  <c r="Q187" i="1"/>
  <c r="O187" i="1"/>
  <c r="N187" i="1"/>
  <c r="A187" i="9" s="1"/>
  <c r="Y186" i="1"/>
  <c r="C186" i="9" s="1"/>
  <c r="D186" i="9" s="1"/>
  <c r="W186" i="1"/>
  <c r="U186" i="1"/>
  <c r="S186" i="1"/>
  <c r="Q186" i="1"/>
  <c r="O186" i="1"/>
  <c r="N186" i="1"/>
  <c r="A186" i="9" s="1"/>
  <c r="Y185" i="1"/>
  <c r="C185" i="9" s="1"/>
  <c r="D185" i="9" s="1"/>
  <c r="W185" i="1"/>
  <c r="U185" i="1"/>
  <c r="S185" i="1"/>
  <c r="Q185" i="1"/>
  <c r="O185" i="1"/>
  <c r="N185" i="1"/>
  <c r="A185" i="9" s="1"/>
  <c r="Y184" i="1"/>
  <c r="C184" i="9" s="1"/>
  <c r="D184" i="9" s="1"/>
  <c r="W184" i="1"/>
  <c r="U184" i="1"/>
  <c r="S184" i="1"/>
  <c r="Q184" i="1"/>
  <c r="O184" i="1"/>
  <c r="N184" i="1"/>
  <c r="A184" i="9" s="1"/>
  <c r="Y183" i="1"/>
  <c r="C183" i="9" s="1"/>
  <c r="D183" i="9" s="1"/>
  <c r="W183" i="1"/>
  <c r="U183" i="1"/>
  <c r="S183" i="1"/>
  <c r="Q183" i="1"/>
  <c r="O183" i="1"/>
  <c r="N183" i="1"/>
  <c r="A183" i="9" s="1"/>
  <c r="Y182" i="1"/>
  <c r="C182" i="9" s="1"/>
  <c r="D182" i="9" s="1"/>
  <c r="W182" i="1"/>
  <c r="U182" i="1"/>
  <c r="S182" i="1"/>
  <c r="Q182" i="1"/>
  <c r="O182" i="1"/>
  <c r="N182" i="1"/>
  <c r="A182" i="9" s="1"/>
  <c r="Y181" i="1"/>
  <c r="C181" i="9" s="1"/>
  <c r="D181" i="9" s="1"/>
  <c r="W181" i="1"/>
  <c r="U181" i="1"/>
  <c r="S181" i="1"/>
  <c r="Q181" i="1"/>
  <c r="O181" i="1"/>
  <c r="N181" i="1"/>
  <c r="A181" i="9" s="1"/>
  <c r="Y180" i="1"/>
  <c r="C180" i="9" s="1"/>
  <c r="D180" i="9" s="1"/>
  <c r="W180" i="1"/>
  <c r="U180" i="1"/>
  <c r="S180" i="1"/>
  <c r="Q180" i="1"/>
  <c r="O180" i="1"/>
  <c r="N180" i="1"/>
  <c r="A180" i="9" s="1"/>
  <c r="Y179" i="1"/>
  <c r="C179" i="9" s="1"/>
  <c r="D179" i="9" s="1"/>
  <c r="W179" i="1"/>
  <c r="U179" i="1"/>
  <c r="S179" i="1"/>
  <c r="Q179" i="1"/>
  <c r="O179" i="1"/>
  <c r="N179" i="1"/>
  <c r="A179" i="9" s="1"/>
  <c r="Y178" i="1"/>
  <c r="C178" i="9" s="1"/>
  <c r="D178" i="9" s="1"/>
  <c r="W178" i="1"/>
  <c r="U178" i="1"/>
  <c r="S178" i="1"/>
  <c r="Q178" i="1"/>
  <c r="O178" i="1"/>
  <c r="N178" i="1"/>
  <c r="A178" i="9" s="1"/>
  <c r="Y177" i="1"/>
  <c r="C177" i="9" s="1"/>
  <c r="D177" i="9" s="1"/>
  <c r="W177" i="1"/>
  <c r="U177" i="1"/>
  <c r="S177" i="1"/>
  <c r="Q177" i="1"/>
  <c r="O177" i="1"/>
  <c r="N177" i="1"/>
  <c r="A177" i="9" s="1"/>
  <c r="Y176" i="1"/>
  <c r="C176" i="9" s="1"/>
  <c r="D176" i="9" s="1"/>
  <c r="W176" i="1"/>
  <c r="U176" i="1"/>
  <c r="S176" i="1"/>
  <c r="Q176" i="1"/>
  <c r="O176" i="1"/>
  <c r="N176" i="1"/>
  <c r="A176" i="9" s="1"/>
  <c r="Y175" i="1"/>
  <c r="C175" i="9" s="1"/>
  <c r="D175" i="9" s="1"/>
  <c r="W175" i="1"/>
  <c r="U175" i="1"/>
  <c r="S175" i="1"/>
  <c r="Q175" i="1"/>
  <c r="O175" i="1"/>
  <c r="N175" i="1"/>
  <c r="A175" i="9" s="1"/>
  <c r="Y174" i="1"/>
  <c r="C174" i="9" s="1"/>
  <c r="D174" i="9" s="1"/>
  <c r="W174" i="1"/>
  <c r="U174" i="1"/>
  <c r="S174" i="1"/>
  <c r="Q174" i="1"/>
  <c r="O174" i="1"/>
  <c r="N174" i="1"/>
  <c r="A174" i="9" s="1"/>
  <c r="Y173" i="1"/>
  <c r="C173" i="9" s="1"/>
  <c r="D173" i="9" s="1"/>
  <c r="W173" i="1"/>
  <c r="U173" i="1"/>
  <c r="S173" i="1"/>
  <c r="Q173" i="1"/>
  <c r="O173" i="1"/>
  <c r="N173" i="1"/>
  <c r="A173" i="9" s="1"/>
  <c r="Y172" i="1"/>
  <c r="C172" i="9" s="1"/>
  <c r="D172" i="9" s="1"/>
  <c r="W172" i="1"/>
  <c r="U172" i="1"/>
  <c r="S172" i="1"/>
  <c r="Q172" i="1"/>
  <c r="O172" i="1"/>
  <c r="N172" i="1"/>
  <c r="A172" i="9" s="1"/>
  <c r="Y171" i="1"/>
  <c r="C171" i="9" s="1"/>
  <c r="D171" i="9" s="1"/>
  <c r="W171" i="1"/>
  <c r="U171" i="1"/>
  <c r="S171" i="1"/>
  <c r="Q171" i="1"/>
  <c r="O171" i="1"/>
  <c r="N171" i="1"/>
  <c r="A171" i="9" s="1"/>
  <c r="Y170" i="1"/>
  <c r="C170" i="9" s="1"/>
  <c r="D170" i="9" s="1"/>
  <c r="W170" i="1"/>
  <c r="U170" i="1"/>
  <c r="S170" i="1"/>
  <c r="Q170" i="1"/>
  <c r="O170" i="1"/>
  <c r="N170" i="1"/>
  <c r="A170" i="9" s="1"/>
  <c r="Y169" i="1"/>
  <c r="C169" i="9" s="1"/>
  <c r="D169" i="9" s="1"/>
  <c r="W169" i="1"/>
  <c r="U169" i="1"/>
  <c r="S169" i="1"/>
  <c r="Q169" i="1"/>
  <c r="O169" i="1"/>
  <c r="N169" i="1"/>
  <c r="A169" i="9" s="1"/>
  <c r="Y168" i="1"/>
  <c r="C168" i="9" s="1"/>
  <c r="D168" i="9" s="1"/>
  <c r="W168" i="1"/>
  <c r="U168" i="1"/>
  <c r="S168" i="1"/>
  <c r="Q168" i="1"/>
  <c r="O168" i="1"/>
  <c r="N168" i="1"/>
  <c r="A168" i="9" s="1"/>
  <c r="Y167" i="1"/>
  <c r="C167" i="9" s="1"/>
  <c r="D167" i="9" s="1"/>
  <c r="W167" i="1"/>
  <c r="U167" i="1"/>
  <c r="S167" i="1"/>
  <c r="Q167" i="1"/>
  <c r="O167" i="1"/>
  <c r="N167" i="1"/>
  <c r="A167" i="9" s="1"/>
  <c r="Y166" i="1"/>
  <c r="C166" i="9" s="1"/>
  <c r="D166" i="9" s="1"/>
  <c r="W166" i="1"/>
  <c r="U166" i="1"/>
  <c r="S166" i="1"/>
  <c r="Q166" i="1"/>
  <c r="O166" i="1"/>
  <c r="N166" i="1"/>
  <c r="A166" i="9" s="1"/>
  <c r="Y165" i="1"/>
  <c r="C165" i="9" s="1"/>
  <c r="D165" i="9" s="1"/>
  <c r="W165" i="1"/>
  <c r="U165" i="1"/>
  <c r="S165" i="1"/>
  <c r="Q165" i="1"/>
  <c r="O165" i="1"/>
  <c r="N165" i="1"/>
  <c r="A165" i="9" s="1"/>
  <c r="Y164" i="1"/>
  <c r="C164" i="9" s="1"/>
  <c r="D164" i="9" s="1"/>
  <c r="W164" i="1"/>
  <c r="U164" i="1"/>
  <c r="S164" i="1"/>
  <c r="Q164" i="1"/>
  <c r="O164" i="1"/>
  <c r="N164" i="1"/>
  <c r="A164" i="9" s="1"/>
  <c r="Y163" i="1"/>
  <c r="C163" i="9" s="1"/>
  <c r="D163" i="9" s="1"/>
  <c r="W163" i="1"/>
  <c r="U163" i="1"/>
  <c r="S163" i="1"/>
  <c r="Q163" i="1"/>
  <c r="O163" i="1"/>
  <c r="N163" i="1"/>
  <c r="A163" i="9" s="1"/>
  <c r="Y162" i="1"/>
  <c r="C162" i="9" s="1"/>
  <c r="D162" i="9" s="1"/>
  <c r="W162" i="1"/>
  <c r="U162" i="1"/>
  <c r="S162" i="1"/>
  <c r="Q162" i="1"/>
  <c r="O162" i="1"/>
  <c r="N162" i="1"/>
  <c r="A162" i="9" s="1"/>
  <c r="Y161" i="1"/>
  <c r="C161" i="9" s="1"/>
  <c r="D161" i="9" s="1"/>
  <c r="W161" i="1"/>
  <c r="U161" i="1"/>
  <c r="S161" i="1"/>
  <c r="Q161" i="1"/>
  <c r="O161" i="1"/>
  <c r="N161" i="1"/>
  <c r="A161" i="9" s="1"/>
  <c r="Y160" i="1"/>
  <c r="C160" i="9" s="1"/>
  <c r="D160" i="9" s="1"/>
  <c r="W160" i="1"/>
  <c r="U160" i="1"/>
  <c r="S160" i="1"/>
  <c r="Q160" i="1"/>
  <c r="O160" i="1"/>
  <c r="N160" i="1"/>
  <c r="A160" i="9" s="1"/>
  <c r="Y159" i="1"/>
  <c r="C159" i="9" s="1"/>
  <c r="D159" i="9" s="1"/>
  <c r="W159" i="1"/>
  <c r="U159" i="1"/>
  <c r="S159" i="1"/>
  <c r="Q159" i="1"/>
  <c r="O159" i="1"/>
  <c r="N159" i="1"/>
  <c r="A159" i="9" s="1"/>
  <c r="Y158" i="1"/>
  <c r="C158" i="9" s="1"/>
  <c r="D158" i="9" s="1"/>
  <c r="W158" i="1"/>
  <c r="U158" i="1"/>
  <c r="S158" i="1"/>
  <c r="Q158" i="1"/>
  <c r="O158" i="1"/>
  <c r="N158" i="1"/>
  <c r="A158" i="9" s="1"/>
  <c r="Y157" i="1"/>
  <c r="C157" i="9" s="1"/>
  <c r="D157" i="9" s="1"/>
  <c r="W157" i="1"/>
  <c r="U157" i="1"/>
  <c r="S157" i="1"/>
  <c r="Q157" i="1"/>
  <c r="O157" i="1"/>
  <c r="N157" i="1"/>
  <c r="A157" i="9" s="1"/>
  <c r="Y156" i="1"/>
  <c r="C156" i="9" s="1"/>
  <c r="D156" i="9" s="1"/>
  <c r="W156" i="1"/>
  <c r="U156" i="1"/>
  <c r="S156" i="1"/>
  <c r="Q156" i="1"/>
  <c r="O156" i="1"/>
  <c r="N156" i="1"/>
  <c r="A156" i="9" s="1"/>
  <c r="Y155" i="1"/>
  <c r="C155" i="9" s="1"/>
  <c r="D155" i="9" s="1"/>
  <c r="W155" i="1"/>
  <c r="U155" i="1"/>
  <c r="S155" i="1"/>
  <c r="Q155" i="1"/>
  <c r="O155" i="1"/>
  <c r="N155" i="1"/>
  <c r="A155" i="9" s="1"/>
  <c r="Y154" i="1"/>
  <c r="C154" i="9" s="1"/>
  <c r="D154" i="9" s="1"/>
  <c r="W154" i="1"/>
  <c r="U154" i="1"/>
  <c r="S154" i="1"/>
  <c r="Q154" i="1"/>
  <c r="O154" i="1"/>
  <c r="N154" i="1"/>
  <c r="A154" i="9" s="1"/>
  <c r="Y153" i="1"/>
  <c r="C153" i="9" s="1"/>
  <c r="D153" i="9" s="1"/>
  <c r="W153" i="1"/>
  <c r="U153" i="1"/>
  <c r="S153" i="1"/>
  <c r="Q153" i="1"/>
  <c r="O153" i="1"/>
  <c r="N153" i="1"/>
  <c r="A153" i="9" s="1"/>
  <c r="Y152" i="1"/>
  <c r="C152" i="9" s="1"/>
  <c r="D152" i="9" s="1"/>
  <c r="W152" i="1"/>
  <c r="U152" i="1"/>
  <c r="S152" i="1"/>
  <c r="Q152" i="1"/>
  <c r="O152" i="1"/>
  <c r="N152" i="1"/>
  <c r="A152" i="9" s="1"/>
  <c r="Y151" i="1"/>
  <c r="C151" i="9" s="1"/>
  <c r="D151" i="9" s="1"/>
  <c r="W151" i="1"/>
  <c r="U151" i="1"/>
  <c r="S151" i="1"/>
  <c r="Q151" i="1"/>
  <c r="O151" i="1"/>
  <c r="N151" i="1"/>
  <c r="A151" i="9" s="1"/>
  <c r="Y150" i="1"/>
  <c r="C150" i="9" s="1"/>
  <c r="D150" i="9" s="1"/>
  <c r="W150" i="1"/>
  <c r="U150" i="1"/>
  <c r="S150" i="1"/>
  <c r="Q150" i="1"/>
  <c r="O150" i="1"/>
  <c r="N150" i="1"/>
  <c r="A150" i="9" s="1"/>
  <c r="Y149" i="1"/>
  <c r="C149" i="9" s="1"/>
  <c r="D149" i="9" s="1"/>
  <c r="W149" i="1"/>
  <c r="U149" i="1"/>
  <c r="S149" i="1"/>
  <c r="Q149" i="1"/>
  <c r="O149" i="1"/>
  <c r="N149" i="1"/>
  <c r="A149" i="9" s="1"/>
  <c r="Y148" i="1"/>
  <c r="C148" i="9" s="1"/>
  <c r="D148" i="9" s="1"/>
  <c r="W148" i="1"/>
  <c r="U148" i="1"/>
  <c r="S148" i="1"/>
  <c r="Q148" i="1"/>
  <c r="O148" i="1"/>
  <c r="N148" i="1"/>
  <c r="A148" i="9" s="1"/>
  <c r="Y147" i="1"/>
  <c r="C147" i="9" s="1"/>
  <c r="D147" i="9" s="1"/>
  <c r="W147" i="1"/>
  <c r="U147" i="1"/>
  <c r="S147" i="1"/>
  <c r="Q147" i="1"/>
  <c r="O147" i="1"/>
  <c r="N147" i="1"/>
  <c r="A147" i="9" s="1"/>
  <c r="Y146" i="1"/>
  <c r="C146" i="9" s="1"/>
  <c r="D146" i="9" s="1"/>
  <c r="W146" i="1"/>
  <c r="U146" i="1"/>
  <c r="S146" i="1"/>
  <c r="Q146" i="1"/>
  <c r="O146" i="1"/>
  <c r="N146" i="1"/>
  <c r="A146" i="9" s="1"/>
  <c r="Y145" i="1"/>
  <c r="C145" i="9" s="1"/>
  <c r="D145" i="9" s="1"/>
  <c r="W145" i="1"/>
  <c r="U145" i="1"/>
  <c r="S145" i="1"/>
  <c r="Q145" i="1"/>
  <c r="O145" i="1"/>
  <c r="N145" i="1"/>
  <c r="A145" i="9" s="1"/>
  <c r="Y144" i="1"/>
  <c r="C144" i="9" s="1"/>
  <c r="D144" i="9" s="1"/>
  <c r="W144" i="1"/>
  <c r="U144" i="1"/>
  <c r="S144" i="1"/>
  <c r="Q144" i="1"/>
  <c r="O144" i="1"/>
  <c r="N144" i="1"/>
  <c r="A144" i="9" s="1"/>
  <c r="Y143" i="1"/>
  <c r="C143" i="9" s="1"/>
  <c r="D143" i="9" s="1"/>
  <c r="W143" i="1"/>
  <c r="U143" i="1"/>
  <c r="S143" i="1"/>
  <c r="Q143" i="1"/>
  <c r="O143" i="1"/>
  <c r="N143" i="1"/>
  <c r="A143" i="9" s="1"/>
  <c r="Y142" i="1"/>
  <c r="C142" i="9" s="1"/>
  <c r="D142" i="9" s="1"/>
  <c r="W142" i="1"/>
  <c r="U142" i="1"/>
  <c r="S142" i="1"/>
  <c r="Q142" i="1"/>
  <c r="O142" i="1"/>
  <c r="N142" i="1"/>
  <c r="A142" i="9" s="1"/>
  <c r="Y141" i="1"/>
  <c r="C141" i="9" s="1"/>
  <c r="D141" i="9" s="1"/>
  <c r="W141" i="1"/>
  <c r="U141" i="1"/>
  <c r="S141" i="1"/>
  <c r="Q141" i="1"/>
  <c r="O141" i="1"/>
  <c r="N141" i="1"/>
  <c r="A141" i="9" s="1"/>
  <c r="Y140" i="1"/>
  <c r="C140" i="9" s="1"/>
  <c r="D140" i="9" s="1"/>
  <c r="W140" i="1"/>
  <c r="U140" i="1"/>
  <c r="S140" i="1"/>
  <c r="Q140" i="1"/>
  <c r="O140" i="1"/>
  <c r="N140" i="1"/>
  <c r="A140" i="9" s="1"/>
  <c r="Y139" i="1"/>
  <c r="C139" i="9" s="1"/>
  <c r="D139" i="9" s="1"/>
  <c r="W139" i="1"/>
  <c r="U139" i="1"/>
  <c r="S139" i="1"/>
  <c r="Q139" i="1"/>
  <c r="O139" i="1"/>
  <c r="N139" i="1"/>
  <c r="A139" i="9" s="1"/>
  <c r="Y138" i="1"/>
  <c r="C138" i="9" s="1"/>
  <c r="D138" i="9" s="1"/>
  <c r="W138" i="1"/>
  <c r="U138" i="1"/>
  <c r="S138" i="1"/>
  <c r="Q138" i="1"/>
  <c r="O138" i="1"/>
  <c r="N138" i="1"/>
  <c r="A138" i="9" s="1"/>
  <c r="Y137" i="1"/>
  <c r="C137" i="9" s="1"/>
  <c r="D137" i="9" s="1"/>
  <c r="W137" i="1"/>
  <c r="U137" i="1"/>
  <c r="S137" i="1"/>
  <c r="Q137" i="1"/>
  <c r="O137" i="1"/>
  <c r="N137" i="1"/>
  <c r="A137" i="9" s="1"/>
  <c r="Y136" i="1"/>
  <c r="C136" i="9" s="1"/>
  <c r="D136" i="9" s="1"/>
  <c r="W136" i="1"/>
  <c r="U136" i="1"/>
  <c r="S136" i="1"/>
  <c r="Q136" i="1"/>
  <c r="O136" i="1"/>
  <c r="N136" i="1"/>
  <c r="A136" i="9" s="1"/>
  <c r="Y135" i="1"/>
  <c r="C135" i="9" s="1"/>
  <c r="D135" i="9" s="1"/>
  <c r="W135" i="1"/>
  <c r="U135" i="1"/>
  <c r="S135" i="1"/>
  <c r="Q135" i="1"/>
  <c r="O135" i="1"/>
  <c r="N135" i="1"/>
  <c r="A135" i="9" s="1"/>
  <c r="Y134" i="1"/>
  <c r="C134" i="9" s="1"/>
  <c r="D134" i="9" s="1"/>
  <c r="W134" i="1"/>
  <c r="U134" i="1"/>
  <c r="S134" i="1"/>
  <c r="Q134" i="1"/>
  <c r="O134" i="1"/>
  <c r="N134" i="1"/>
  <c r="A134" i="9" s="1"/>
  <c r="Y133" i="1"/>
  <c r="C133" i="9" s="1"/>
  <c r="D133" i="9" s="1"/>
  <c r="W133" i="1"/>
  <c r="U133" i="1"/>
  <c r="S133" i="1"/>
  <c r="Q133" i="1"/>
  <c r="O133" i="1"/>
  <c r="N133" i="1"/>
  <c r="A133" i="9" s="1"/>
  <c r="Y132" i="1"/>
  <c r="C132" i="9" s="1"/>
  <c r="D132" i="9" s="1"/>
  <c r="W132" i="1"/>
  <c r="U132" i="1"/>
  <c r="S132" i="1"/>
  <c r="Q132" i="1"/>
  <c r="O132" i="1"/>
  <c r="N132" i="1"/>
  <c r="A132" i="9" s="1"/>
  <c r="Y131" i="1"/>
  <c r="C131" i="9" s="1"/>
  <c r="D131" i="9" s="1"/>
  <c r="W131" i="1"/>
  <c r="U131" i="1"/>
  <c r="S131" i="1"/>
  <c r="Q131" i="1"/>
  <c r="O131" i="1"/>
  <c r="N131" i="1"/>
  <c r="A131" i="9" s="1"/>
  <c r="Y130" i="1"/>
  <c r="C130" i="9" s="1"/>
  <c r="D130" i="9" s="1"/>
  <c r="W130" i="1"/>
  <c r="U130" i="1"/>
  <c r="S130" i="1"/>
  <c r="Q130" i="1"/>
  <c r="O130" i="1"/>
  <c r="N130" i="1"/>
  <c r="A130" i="9" s="1"/>
  <c r="Y129" i="1"/>
  <c r="C129" i="9" s="1"/>
  <c r="D129" i="9" s="1"/>
  <c r="W129" i="1"/>
  <c r="U129" i="1"/>
  <c r="S129" i="1"/>
  <c r="Q129" i="1"/>
  <c r="O129" i="1"/>
  <c r="N129" i="1"/>
  <c r="A129" i="9" s="1"/>
  <c r="Y128" i="1"/>
  <c r="C128" i="9" s="1"/>
  <c r="D128" i="9" s="1"/>
  <c r="W128" i="1"/>
  <c r="U128" i="1"/>
  <c r="S128" i="1"/>
  <c r="Q128" i="1"/>
  <c r="O128" i="1"/>
  <c r="N128" i="1"/>
  <c r="A128" i="9" s="1"/>
  <c r="Y127" i="1"/>
  <c r="C127" i="9" s="1"/>
  <c r="D127" i="9" s="1"/>
  <c r="W127" i="1"/>
  <c r="U127" i="1"/>
  <c r="S127" i="1"/>
  <c r="Q127" i="1"/>
  <c r="O127" i="1"/>
  <c r="N127" i="1"/>
  <c r="A127" i="9" s="1"/>
  <c r="Y126" i="1"/>
  <c r="C126" i="9" s="1"/>
  <c r="D126" i="9" s="1"/>
  <c r="W126" i="1"/>
  <c r="U126" i="1"/>
  <c r="S126" i="1"/>
  <c r="Q126" i="1"/>
  <c r="O126" i="1"/>
  <c r="N126" i="1"/>
  <c r="A126" i="9" s="1"/>
  <c r="Y125" i="1"/>
  <c r="C125" i="9" s="1"/>
  <c r="D125" i="9" s="1"/>
  <c r="W125" i="1"/>
  <c r="U125" i="1"/>
  <c r="S125" i="1"/>
  <c r="Q125" i="1"/>
  <c r="O125" i="1"/>
  <c r="N125" i="1"/>
  <c r="A125" i="9" s="1"/>
  <c r="Y124" i="1"/>
  <c r="C124" i="9" s="1"/>
  <c r="D124" i="9" s="1"/>
  <c r="W124" i="1"/>
  <c r="U124" i="1"/>
  <c r="S124" i="1"/>
  <c r="Q124" i="1"/>
  <c r="O124" i="1"/>
  <c r="N124" i="1"/>
  <c r="A124" i="9" s="1"/>
  <c r="Y123" i="1"/>
  <c r="C123" i="9" s="1"/>
  <c r="D123" i="9" s="1"/>
  <c r="W123" i="1"/>
  <c r="U123" i="1"/>
  <c r="S123" i="1"/>
  <c r="Q123" i="1"/>
  <c r="O123" i="1"/>
  <c r="N123" i="1"/>
  <c r="A123" i="9" s="1"/>
  <c r="Y122" i="1"/>
  <c r="C122" i="9" s="1"/>
  <c r="D122" i="9" s="1"/>
  <c r="W122" i="1"/>
  <c r="U122" i="1"/>
  <c r="S122" i="1"/>
  <c r="Q122" i="1"/>
  <c r="O122" i="1"/>
  <c r="N122" i="1"/>
  <c r="A122" i="9" s="1"/>
  <c r="Y121" i="1"/>
  <c r="C121" i="9" s="1"/>
  <c r="D121" i="9" s="1"/>
  <c r="W121" i="1"/>
  <c r="U121" i="1"/>
  <c r="S121" i="1"/>
  <c r="Q121" i="1"/>
  <c r="O121" i="1"/>
  <c r="N121" i="1"/>
  <c r="A121" i="9" s="1"/>
  <c r="Y120" i="1"/>
  <c r="C120" i="9" s="1"/>
  <c r="D120" i="9" s="1"/>
  <c r="W120" i="1"/>
  <c r="U120" i="1"/>
  <c r="S120" i="1"/>
  <c r="Q120" i="1"/>
  <c r="O120" i="1"/>
  <c r="N120" i="1"/>
  <c r="A120" i="9" s="1"/>
  <c r="Y119" i="1"/>
  <c r="C119" i="9" s="1"/>
  <c r="D119" i="9" s="1"/>
  <c r="W119" i="1"/>
  <c r="U119" i="1"/>
  <c r="S119" i="1"/>
  <c r="Q119" i="1"/>
  <c r="O119" i="1"/>
  <c r="N119" i="1"/>
  <c r="A119" i="9" s="1"/>
  <c r="Y118" i="1"/>
  <c r="C118" i="9" s="1"/>
  <c r="D118" i="9" s="1"/>
  <c r="W118" i="1"/>
  <c r="U118" i="1"/>
  <c r="S118" i="1"/>
  <c r="Q118" i="1"/>
  <c r="O118" i="1"/>
  <c r="N118" i="1"/>
  <c r="A118" i="9" s="1"/>
  <c r="Y117" i="1"/>
  <c r="C117" i="9" s="1"/>
  <c r="D117" i="9" s="1"/>
  <c r="W117" i="1"/>
  <c r="U117" i="1"/>
  <c r="S117" i="1"/>
  <c r="Q117" i="1"/>
  <c r="O117" i="1"/>
  <c r="N117" i="1"/>
  <c r="A117" i="9" s="1"/>
  <c r="Y116" i="1"/>
  <c r="C116" i="9" s="1"/>
  <c r="D116" i="9" s="1"/>
  <c r="W116" i="1"/>
  <c r="U116" i="1"/>
  <c r="S116" i="1"/>
  <c r="Q116" i="1"/>
  <c r="O116" i="1"/>
  <c r="N116" i="1"/>
  <c r="A116" i="9" s="1"/>
  <c r="Y115" i="1"/>
  <c r="C115" i="9" s="1"/>
  <c r="D115" i="9" s="1"/>
  <c r="W115" i="1"/>
  <c r="U115" i="1"/>
  <c r="S115" i="1"/>
  <c r="Q115" i="1"/>
  <c r="O115" i="1"/>
  <c r="N115" i="1"/>
  <c r="A115" i="9" s="1"/>
  <c r="Y114" i="1"/>
  <c r="C114" i="9" s="1"/>
  <c r="D114" i="9" s="1"/>
  <c r="W114" i="1"/>
  <c r="U114" i="1"/>
  <c r="S114" i="1"/>
  <c r="Q114" i="1"/>
  <c r="O114" i="1"/>
  <c r="N114" i="1"/>
  <c r="A114" i="9" s="1"/>
  <c r="Y113" i="1"/>
  <c r="C113" i="9" s="1"/>
  <c r="D113" i="9" s="1"/>
  <c r="W113" i="1"/>
  <c r="U113" i="1"/>
  <c r="S113" i="1"/>
  <c r="Q113" i="1"/>
  <c r="O113" i="1"/>
  <c r="N113" i="1"/>
  <c r="A113" i="9" s="1"/>
  <c r="Y112" i="1"/>
  <c r="C112" i="9" s="1"/>
  <c r="D112" i="9" s="1"/>
  <c r="W112" i="1"/>
  <c r="U112" i="1"/>
  <c r="S112" i="1"/>
  <c r="Q112" i="1"/>
  <c r="O112" i="1"/>
  <c r="N112" i="1"/>
  <c r="A112" i="9" s="1"/>
  <c r="Y111" i="1"/>
  <c r="C111" i="9" s="1"/>
  <c r="D111" i="9" s="1"/>
  <c r="W111" i="1"/>
  <c r="U111" i="1"/>
  <c r="S111" i="1"/>
  <c r="Q111" i="1"/>
  <c r="O111" i="1"/>
  <c r="N111" i="1"/>
  <c r="A111" i="9" s="1"/>
  <c r="Y110" i="1"/>
  <c r="C110" i="9" s="1"/>
  <c r="D110" i="9" s="1"/>
  <c r="W110" i="1"/>
  <c r="U110" i="1"/>
  <c r="S110" i="1"/>
  <c r="Q110" i="1"/>
  <c r="O110" i="1"/>
  <c r="N110" i="1"/>
  <c r="A110" i="9" s="1"/>
  <c r="Y109" i="1"/>
  <c r="C109" i="9" s="1"/>
  <c r="D109" i="9" s="1"/>
  <c r="W109" i="1"/>
  <c r="U109" i="1"/>
  <c r="S109" i="1"/>
  <c r="Q109" i="1"/>
  <c r="O109" i="1"/>
  <c r="N109" i="1"/>
  <c r="A109" i="9" s="1"/>
  <c r="Y108" i="1"/>
  <c r="C108" i="9" s="1"/>
  <c r="D108" i="9" s="1"/>
  <c r="W108" i="1"/>
  <c r="U108" i="1"/>
  <c r="S108" i="1"/>
  <c r="Q108" i="1"/>
  <c r="O108" i="1"/>
  <c r="N108" i="1"/>
  <c r="A108" i="9" s="1"/>
  <c r="Y107" i="1"/>
  <c r="C107" i="9" s="1"/>
  <c r="D107" i="9" s="1"/>
  <c r="W107" i="1"/>
  <c r="U107" i="1"/>
  <c r="S107" i="1"/>
  <c r="Q107" i="1"/>
  <c r="O107" i="1"/>
  <c r="N107" i="1"/>
  <c r="A107" i="9" s="1"/>
  <c r="Y106" i="1"/>
  <c r="C106" i="9" s="1"/>
  <c r="D106" i="9" s="1"/>
  <c r="W106" i="1"/>
  <c r="U106" i="1"/>
  <c r="S106" i="1"/>
  <c r="Q106" i="1"/>
  <c r="O106" i="1"/>
  <c r="N106" i="1"/>
  <c r="A106" i="9" s="1"/>
  <c r="Y105" i="1"/>
  <c r="C105" i="9" s="1"/>
  <c r="D105" i="9" s="1"/>
  <c r="W105" i="1"/>
  <c r="U105" i="1"/>
  <c r="S105" i="1"/>
  <c r="Q105" i="1"/>
  <c r="O105" i="1"/>
  <c r="N105" i="1"/>
  <c r="A105" i="9" s="1"/>
  <c r="Y104" i="1"/>
  <c r="C104" i="9" s="1"/>
  <c r="D104" i="9" s="1"/>
  <c r="W104" i="1"/>
  <c r="U104" i="1"/>
  <c r="S104" i="1"/>
  <c r="Q104" i="1"/>
  <c r="O104" i="1"/>
  <c r="N104" i="1"/>
  <c r="A104" i="9" s="1"/>
  <c r="Y103" i="1"/>
  <c r="C103" i="9" s="1"/>
  <c r="D103" i="9" s="1"/>
  <c r="W103" i="1"/>
  <c r="U103" i="1"/>
  <c r="S103" i="1"/>
  <c r="Q103" i="1"/>
  <c r="O103" i="1"/>
  <c r="N103" i="1"/>
  <c r="A103" i="9" s="1"/>
  <c r="Y102" i="1"/>
  <c r="C102" i="9" s="1"/>
  <c r="D102" i="9" s="1"/>
  <c r="W102" i="1"/>
  <c r="U102" i="1"/>
  <c r="S102" i="1"/>
  <c r="Q102" i="1"/>
  <c r="O102" i="1"/>
  <c r="N102" i="1"/>
  <c r="A102" i="9" s="1"/>
  <c r="Y101" i="1"/>
  <c r="C101" i="9" s="1"/>
  <c r="D101" i="9" s="1"/>
  <c r="W101" i="1"/>
  <c r="U101" i="1"/>
  <c r="S101" i="1"/>
  <c r="Q101" i="1"/>
  <c r="O101" i="1"/>
  <c r="N101" i="1"/>
  <c r="A101" i="9" s="1"/>
  <c r="Y100" i="1"/>
  <c r="C100" i="9" s="1"/>
  <c r="D100" i="9" s="1"/>
  <c r="W100" i="1"/>
  <c r="U100" i="1"/>
  <c r="S100" i="1"/>
  <c r="Q100" i="1"/>
  <c r="O100" i="1"/>
  <c r="N100" i="1"/>
  <c r="A100" i="9" s="1"/>
  <c r="Y99" i="1"/>
  <c r="C99" i="9" s="1"/>
  <c r="D99" i="9" s="1"/>
  <c r="W99" i="1"/>
  <c r="U99" i="1"/>
  <c r="S99" i="1"/>
  <c r="Q99" i="1"/>
  <c r="O99" i="1"/>
  <c r="N99" i="1"/>
  <c r="A99" i="9" s="1"/>
  <c r="Y98" i="1"/>
  <c r="C98" i="9" s="1"/>
  <c r="D98" i="9" s="1"/>
  <c r="W98" i="1"/>
  <c r="U98" i="1"/>
  <c r="S98" i="1"/>
  <c r="Q98" i="1"/>
  <c r="O98" i="1"/>
  <c r="N98" i="1"/>
  <c r="A98" i="9" s="1"/>
  <c r="Y97" i="1"/>
  <c r="C97" i="9" s="1"/>
  <c r="D97" i="9" s="1"/>
  <c r="W97" i="1"/>
  <c r="U97" i="1"/>
  <c r="S97" i="1"/>
  <c r="Q97" i="1"/>
  <c r="O97" i="1"/>
  <c r="N97" i="1"/>
  <c r="A97" i="9" s="1"/>
  <c r="Y96" i="1"/>
  <c r="C96" i="9" s="1"/>
  <c r="D96" i="9" s="1"/>
  <c r="W96" i="1"/>
  <c r="U96" i="1"/>
  <c r="S96" i="1"/>
  <c r="Q96" i="1"/>
  <c r="O96" i="1"/>
  <c r="N96" i="1"/>
  <c r="A96" i="9" s="1"/>
  <c r="Y95" i="1"/>
  <c r="C95" i="9" s="1"/>
  <c r="D95" i="9" s="1"/>
  <c r="W95" i="1"/>
  <c r="U95" i="1"/>
  <c r="S95" i="1"/>
  <c r="Q95" i="1"/>
  <c r="O95" i="1"/>
  <c r="N95" i="1"/>
  <c r="A95" i="9" s="1"/>
  <c r="Y94" i="1"/>
  <c r="C94" i="9" s="1"/>
  <c r="D94" i="9" s="1"/>
  <c r="W94" i="1"/>
  <c r="U94" i="1"/>
  <c r="S94" i="1"/>
  <c r="Q94" i="1"/>
  <c r="O94" i="1"/>
  <c r="N94" i="1"/>
  <c r="A94" i="9" s="1"/>
  <c r="Y93" i="1"/>
  <c r="C93" i="9" s="1"/>
  <c r="D93" i="9" s="1"/>
  <c r="W93" i="1"/>
  <c r="U93" i="1"/>
  <c r="S93" i="1"/>
  <c r="Q93" i="1"/>
  <c r="O93" i="1"/>
  <c r="N93" i="1"/>
  <c r="A93" i="9" s="1"/>
  <c r="Y92" i="1"/>
  <c r="C92" i="9" s="1"/>
  <c r="D92" i="9" s="1"/>
  <c r="W92" i="1"/>
  <c r="U92" i="1"/>
  <c r="S92" i="1"/>
  <c r="Q92" i="1"/>
  <c r="O92" i="1"/>
  <c r="N92" i="1"/>
  <c r="A92" i="9" s="1"/>
  <c r="Y91" i="1"/>
  <c r="C91" i="9" s="1"/>
  <c r="D91" i="9" s="1"/>
  <c r="W91" i="1"/>
  <c r="U91" i="1"/>
  <c r="S91" i="1"/>
  <c r="Q91" i="1"/>
  <c r="O91" i="1"/>
  <c r="N91" i="1"/>
  <c r="A91" i="9" s="1"/>
  <c r="Y90" i="1"/>
  <c r="C90" i="9" s="1"/>
  <c r="D90" i="9" s="1"/>
  <c r="W90" i="1"/>
  <c r="U90" i="1"/>
  <c r="S90" i="1"/>
  <c r="Q90" i="1"/>
  <c r="O90" i="1"/>
  <c r="N90" i="1"/>
  <c r="A90" i="9" s="1"/>
  <c r="Y89" i="1"/>
  <c r="C89" i="9" s="1"/>
  <c r="D89" i="9" s="1"/>
  <c r="W89" i="1"/>
  <c r="U89" i="1"/>
  <c r="S89" i="1"/>
  <c r="Q89" i="1"/>
  <c r="O89" i="1"/>
  <c r="N89" i="1"/>
  <c r="A89" i="9" s="1"/>
  <c r="Y88" i="1"/>
  <c r="C88" i="9" s="1"/>
  <c r="D88" i="9" s="1"/>
  <c r="W88" i="1"/>
  <c r="U88" i="1"/>
  <c r="S88" i="1"/>
  <c r="Q88" i="1"/>
  <c r="O88" i="1"/>
  <c r="N88" i="1"/>
  <c r="A88" i="9" s="1"/>
  <c r="Y87" i="1"/>
  <c r="C87" i="9" s="1"/>
  <c r="D87" i="9" s="1"/>
  <c r="W87" i="1"/>
  <c r="U87" i="1"/>
  <c r="S87" i="1"/>
  <c r="Q87" i="1"/>
  <c r="O87" i="1"/>
  <c r="N87" i="1"/>
  <c r="A87" i="9" s="1"/>
  <c r="Y86" i="1"/>
  <c r="C86" i="9" s="1"/>
  <c r="D86" i="9" s="1"/>
  <c r="W86" i="1"/>
  <c r="U86" i="1"/>
  <c r="S86" i="1"/>
  <c r="Q86" i="1"/>
  <c r="O86" i="1"/>
  <c r="N86" i="1"/>
  <c r="A86" i="9" s="1"/>
  <c r="Y85" i="1"/>
  <c r="C85" i="9" s="1"/>
  <c r="D85" i="9" s="1"/>
  <c r="W85" i="1"/>
  <c r="U85" i="1"/>
  <c r="S85" i="1"/>
  <c r="Q85" i="1"/>
  <c r="O85" i="1"/>
  <c r="N85" i="1"/>
  <c r="A85" i="9" s="1"/>
  <c r="Y84" i="1"/>
  <c r="C84" i="9" s="1"/>
  <c r="D84" i="9" s="1"/>
  <c r="W84" i="1"/>
  <c r="U84" i="1"/>
  <c r="S84" i="1"/>
  <c r="Q84" i="1"/>
  <c r="O84" i="1"/>
  <c r="N84" i="1"/>
  <c r="A84" i="9" s="1"/>
  <c r="Y83" i="1"/>
  <c r="C83" i="9" s="1"/>
  <c r="D83" i="9" s="1"/>
  <c r="W83" i="1"/>
  <c r="U83" i="1"/>
  <c r="S83" i="1"/>
  <c r="Q83" i="1"/>
  <c r="O83" i="1"/>
  <c r="N83" i="1"/>
  <c r="A83" i="9" s="1"/>
  <c r="Y82" i="1"/>
  <c r="C82" i="9" s="1"/>
  <c r="D82" i="9" s="1"/>
  <c r="W82" i="1"/>
  <c r="U82" i="1"/>
  <c r="S82" i="1"/>
  <c r="Q82" i="1"/>
  <c r="O82" i="1"/>
  <c r="N82" i="1"/>
  <c r="A82" i="9" s="1"/>
  <c r="Y81" i="1"/>
  <c r="C81" i="9" s="1"/>
  <c r="D81" i="9" s="1"/>
  <c r="W81" i="1"/>
  <c r="U81" i="1"/>
  <c r="S81" i="1"/>
  <c r="Q81" i="1"/>
  <c r="O81" i="1"/>
  <c r="N81" i="1"/>
  <c r="A81" i="9" s="1"/>
  <c r="Y80" i="1"/>
  <c r="C80" i="9" s="1"/>
  <c r="D80" i="9" s="1"/>
  <c r="W80" i="1"/>
  <c r="U80" i="1"/>
  <c r="S80" i="1"/>
  <c r="Q80" i="1"/>
  <c r="O80" i="1"/>
  <c r="N80" i="1"/>
  <c r="A80" i="9" s="1"/>
  <c r="Y79" i="1"/>
  <c r="C79" i="9" s="1"/>
  <c r="D79" i="9" s="1"/>
  <c r="W79" i="1"/>
  <c r="U79" i="1"/>
  <c r="S79" i="1"/>
  <c r="Q79" i="1"/>
  <c r="O79" i="1"/>
  <c r="N79" i="1"/>
  <c r="A79" i="9" s="1"/>
  <c r="Y78" i="1"/>
  <c r="C78" i="9" s="1"/>
  <c r="D78" i="9" s="1"/>
  <c r="W78" i="1"/>
  <c r="U78" i="1"/>
  <c r="S78" i="1"/>
  <c r="Q78" i="1"/>
  <c r="O78" i="1"/>
  <c r="N78" i="1"/>
  <c r="A78" i="9" s="1"/>
  <c r="Y77" i="1"/>
  <c r="C77" i="9" s="1"/>
  <c r="D77" i="9" s="1"/>
  <c r="W77" i="1"/>
  <c r="U77" i="1"/>
  <c r="S77" i="1"/>
  <c r="Q77" i="1"/>
  <c r="O77" i="1"/>
  <c r="N77" i="1"/>
  <c r="A77" i="9" s="1"/>
  <c r="Y76" i="1"/>
  <c r="C76" i="9" s="1"/>
  <c r="D76" i="9" s="1"/>
  <c r="W76" i="1"/>
  <c r="U76" i="1"/>
  <c r="S76" i="1"/>
  <c r="Q76" i="1"/>
  <c r="O76" i="1"/>
  <c r="N76" i="1"/>
  <c r="A76" i="9" s="1"/>
  <c r="Y75" i="1"/>
  <c r="C75" i="9" s="1"/>
  <c r="D75" i="9" s="1"/>
  <c r="W75" i="1"/>
  <c r="U75" i="1"/>
  <c r="S75" i="1"/>
  <c r="Q75" i="1"/>
  <c r="O75" i="1"/>
  <c r="N75" i="1"/>
  <c r="A75" i="9" s="1"/>
  <c r="Y74" i="1"/>
  <c r="C74" i="9" s="1"/>
  <c r="D74" i="9" s="1"/>
  <c r="W74" i="1"/>
  <c r="U74" i="1"/>
  <c r="S74" i="1"/>
  <c r="Q74" i="1"/>
  <c r="O74" i="1"/>
  <c r="N74" i="1"/>
  <c r="A74" i="9" s="1"/>
  <c r="Y73" i="1"/>
  <c r="C73" i="9" s="1"/>
  <c r="D73" i="9" s="1"/>
  <c r="W73" i="1"/>
  <c r="U73" i="1"/>
  <c r="S73" i="1"/>
  <c r="Q73" i="1"/>
  <c r="O73" i="1"/>
  <c r="N73" i="1"/>
  <c r="A73" i="9" s="1"/>
  <c r="Y72" i="1"/>
  <c r="C72" i="9" s="1"/>
  <c r="D72" i="9" s="1"/>
  <c r="W72" i="1"/>
  <c r="U72" i="1"/>
  <c r="S72" i="1"/>
  <c r="Q72" i="1"/>
  <c r="O72" i="1"/>
  <c r="N72" i="1"/>
  <c r="A72" i="9" s="1"/>
  <c r="Y71" i="1"/>
  <c r="C71" i="9" s="1"/>
  <c r="D71" i="9" s="1"/>
  <c r="W71" i="1"/>
  <c r="U71" i="1"/>
  <c r="S71" i="1"/>
  <c r="Q71" i="1"/>
  <c r="O71" i="1"/>
  <c r="N71" i="1"/>
  <c r="A71" i="9" s="1"/>
  <c r="Y70" i="1"/>
  <c r="C70" i="9" s="1"/>
  <c r="D70" i="9" s="1"/>
  <c r="W70" i="1"/>
  <c r="U70" i="1"/>
  <c r="S70" i="1"/>
  <c r="Q70" i="1"/>
  <c r="O70" i="1"/>
  <c r="N70" i="1"/>
  <c r="A70" i="9" s="1"/>
  <c r="Y69" i="1"/>
  <c r="C69" i="9" s="1"/>
  <c r="D69" i="9" s="1"/>
  <c r="W69" i="1"/>
  <c r="U69" i="1"/>
  <c r="S69" i="1"/>
  <c r="Q69" i="1"/>
  <c r="O69" i="1"/>
  <c r="N69" i="1"/>
  <c r="A69" i="9" s="1"/>
  <c r="Y68" i="1"/>
  <c r="C68" i="9" s="1"/>
  <c r="D68" i="9" s="1"/>
  <c r="W68" i="1"/>
  <c r="U68" i="1"/>
  <c r="S68" i="1"/>
  <c r="Q68" i="1"/>
  <c r="O68" i="1"/>
  <c r="N68" i="1"/>
  <c r="A68" i="9" s="1"/>
  <c r="Y67" i="1"/>
  <c r="C67" i="9" s="1"/>
  <c r="D67" i="9" s="1"/>
  <c r="W67" i="1"/>
  <c r="U67" i="1"/>
  <c r="S67" i="1"/>
  <c r="Q67" i="1"/>
  <c r="O67" i="1"/>
  <c r="N67" i="1"/>
  <c r="A67" i="9" s="1"/>
  <c r="Y66" i="1"/>
  <c r="C66" i="9" s="1"/>
  <c r="D66" i="9" s="1"/>
  <c r="W66" i="1"/>
  <c r="U66" i="1"/>
  <c r="S66" i="1"/>
  <c r="Q66" i="1"/>
  <c r="O66" i="1"/>
  <c r="N66" i="1"/>
  <c r="A66" i="9" s="1"/>
  <c r="Y65" i="1"/>
  <c r="C65" i="9" s="1"/>
  <c r="D65" i="9" s="1"/>
  <c r="W65" i="1"/>
  <c r="U65" i="1"/>
  <c r="S65" i="1"/>
  <c r="Q65" i="1"/>
  <c r="O65" i="1"/>
  <c r="N65" i="1"/>
  <c r="A65" i="9" s="1"/>
  <c r="Y64" i="1"/>
  <c r="C64" i="9" s="1"/>
  <c r="D64" i="9" s="1"/>
  <c r="W64" i="1"/>
  <c r="U64" i="1"/>
  <c r="S64" i="1"/>
  <c r="Q64" i="1"/>
  <c r="O64" i="1"/>
  <c r="N64" i="1"/>
  <c r="A64" i="9" s="1"/>
  <c r="Y63" i="1"/>
  <c r="C63" i="9" s="1"/>
  <c r="D63" i="9" s="1"/>
  <c r="W63" i="1"/>
  <c r="U63" i="1"/>
  <c r="S63" i="1"/>
  <c r="Q63" i="1"/>
  <c r="O63" i="1"/>
  <c r="N63" i="1"/>
  <c r="A63" i="9" s="1"/>
  <c r="Y62" i="1"/>
  <c r="C62" i="9" s="1"/>
  <c r="D62" i="9" s="1"/>
  <c r="W62" i="1"/>
  <c r="U62" i="1"/>
  <c r="S62" i="1"/>
  <c r="Q62" i="1"/>
  <c r="O62" i="1"/>
  <c r="N62" i="1"/>
  <c r="A62" i="9" s="1"/>
  <c r="Y61" i="1"/>
  <c r="C61" i="9" s="1"/>
  <c r="D61" i="9" s="1"/>
  <c r="W61" i="1"/>
  <c r="U61" i="1"/>
  <c r="S61" i="1"/>
  <c r="Q61" i="1"/>
  <c r="O61" i="1"/>
  <c r="N61" i="1"/>
  <c r="A61" i="9" s="1"/>
  <c r="Y60" i="1"/>
  <c r="C60" i="9" s="1"/>
  <c r="D60" i="9" s="1"/>
  <c r="W60" i="1"/>
  <c r="U60" i="1"/>
  <c r="S60" i="1"/>
  <c r="Q60" i="1"/>
  <c r="O60" i="1"/>
  <c r="N60" i="1"/>
  <c r="A60" i="9" s="1"/>
  <c r="Y59" i="1"/>
  <c r="C59" i="9" s="1"/>
  <c r="D59" i="9" s="1"/>
  <c r="W59" i="1"/>
  <c r="U59" i="1"/>
  <c r="S59" i="1"/>
  <c r="Q59" i="1"/>
  <c r="O59" i="1"/>
  <c r="N59" i="1"/>
  <c r="A59" i="9" s="1"/>
  <c r="Y58" i="1"/>
  <c r="C58" i="9" s="1"/>
  <c r="D58" i="9" s="1"/>
  <c r="W58" i="1"/>
  <c r="U58" i="1"/>
  <c r="S58" i="1"/>
  <c r="Q58" i="1"/>
  <c r="O58" i="1"/>
  <c r="N58" i="1"/>
  <c r="A58" i="9" s="1"/>
  <c r="Y57" i="1"/>
  <c r="C57" i="9" s="1"/>
  <c r="D57" i="9" s="1"/>
  <c r="W57" i="1"/>
  <c r="U57" i="1"/>
  <c r="S57" i="1"/>
  <c r="Q57" i="1"/>
  <c r="O57" i="1"/>
  <c r="N57" i="1"/>
  <c r="A57" i="9" s="1"/>
  <c r="Y56" i="1"/>
  <c r="C56" i="9" s="1"/>
  <c r="D56" i="9" s="1"/>
  <c r="W56" i="1"/>
  <c r="U56" i="1"/>
  <c r="S56" i="1"/>
  <c r="Q56" i="1"/>
  <c r="O56" i="1"/>
  <c r="N56" i="1"/>
  <c r="A56" i="9" s="1"/>
  <c r="Y55" i="1"/>
  <c r="C55" i="9" s="1"/>
  <c r="D55" i="9" s="1"/>
  <c r="W55" i="1"/>
  <c r="U55" i="1"/>
  <c r="S55" i="1"/>
  <c r="Q55" i="1"/>
  <c r="O55" i="1"/>
  <c r="N55" i="1"/>
  <c r="A55" i="9" s="1"/>
  <c r="Y54" i="1"/>
  <c r="C54" i="9" s="1"/>
  <c r="D54" i="9" s="1"/>
  <c r="W54" i="1"/>
  <c r="U54" i="1"/>
  <c r="S54" i="1"/>
  <c r="Q54" i="1"/>
  <c r="O54" i="1"/>
  <c r="N54" i="1"/>
  <c r="A54" i="9" s="1"/>
  <c r="Y53" i="1"/>
  <c r="C53" i="9" s="1"/>
  <c r="D53" i="9" s="1"/>
  <c r="W53" i="1"/>
  <c r="U53" i="1"/>
  <c r="S53" i="1"/>
  <c r="Q53" i="1"/>
  <c r="O53" i="1"/>
  <c r="N53" i="1"/>
  <c r="A53" i="9" s="1"/>
  <c r="Y52" i="1"/>
  <c r="C52" i="9" s="1"/>
  <c r="D52" i="9" s="1"/>
  <c r="W52" i="1"/>
  <c r="U52" i="1"/>
  <c r="S52" i="1"/>
  <c r="Q52" i="1"/>
  <c r="O52" i="1"/>
  <c r="N52" i="1"/>
  <c r="A52" i="9" s="1"/>
  <c r="Y51" i="1"/>
  <c r="C51" i="9" s="1"/>
  <c r="D51" i="9" s="1"/>
  <c r="W51" i="1"/>
  <c r="U51" i="1"/>
  <c r="S51" i="1"/>
  <c r="Q51" i="1"/>
  <c r="O51" i="1"/>
  <c r="N51" i="1"/>
  <c r="A51" i="9" s="1"/>
  <c r="Y50" i="1"/>
  <c r="C50" i="9" s="1"/>
  <c r="D50" i="9" s="1"/>
  <c r="W50" i="1"/>
  <c r="U50" i="1"/>
  <c r="S50" i="1"/>
  <c r="Q50" i="1"/>
  <c r="O50" i="1"/>
  <c r="N50" i="1"/>
  <c r="A50" i="9" s="1"/>
  <c r="Y49" i="1"/>
  <c r="C49" i="9" s="1"/>
  <c r="D49" i="9" s="1"/>
  <c r="W49" i="1"/>
  <c r="U49" i="1"/>
  <c r="S49" i="1"/>
  <c r="Q49" i="1"/>
  <c r="O49" i="1"/>
  <c r="N49" i="1"/>
  <c r="A49" i="9" s="1"/>
  <c r="Y48" i="1"/>
  <c r="C48" i="9" s="1"/>
  <c r="D48" i="9" s="1"/>
  <c r="W48" i="1"/>
  <c r="U48" i="1"/>
  <c r="S48" i="1"/>
  <c r="Q48" i="1"/>
  <c r="O48" i="1"/>
  <c r="N48" i="1"/>
  <c r="A48" i="9" s="1"/>
  <c r="Y47" i="1"/>
  <c r="C47" i="9" s="1"/>
  <c r="D47" i="9" s="1"/>
  <c r="W47" i="1"/>
  <c r="U47" i="1"/>
  <c r="S47" i="1"/>
  <c r="Q47" i="1"/>
  <c r="O47" i="1"/>
  <c r="N47" i="1"/>
  <c r="A47" i="9" s="1"/>
  <c r="Y46" i="1"/>
  <c r="C46" i="9" s="1"/>
  <c r="D46" i="9" s="1"/>
  <c r="W46" i="1"/>
  <c r="U46" i="1"/>
  <c r="S46" i="1"/>
  <c r="Q46" i="1"/>
  <c r="O46" i="1"/>
  <c r="N46" i="1"/>
  <c r="A46" i="9" s="1"/>
  <c r="Y45" i="1"/>
  <c r="C45" i="9" s="1"/>
  <c r="D45" i="9" s="1"/>
  <c r="W45" i="1"/>
  <c r="U45" i="1"/>
  <c r="S45" i="1"/>
  <c r="Q45" i="1"/>
  <c r="O45" i="1"/>
  <c r="N45" i="1"/>
  <c r="A45" i="9" s="1"/>
  <c r="Y44" i="1"/>
  <c r="C44" i="9" s="1"/>
  <c r="D44" i="9" s="1"/>
  <c r="W44" i="1"/>
  <c r="U44" i="1"/>
  <c r="S44" i="1"/>
  <c r="Q44" i="1"/>
  <c r="O44" i="1"/>
  <c r="N44" i="1"/>
  <c r="A44" i="9" s="1"/>
  <c r="Y43" i="1"/>
  <c r="C43" i="9" s="1"/>
  <c r="D43" i="9" s="1"/>
  <c r="W43" i="1"/>
  <c r="U43" i="1"/>
  <c r="S43" i="1"/>
  <c r="Q43" i="1"/>
  <c r="O43" i="1"/>
  <c r="N43" i="1"/>
  <c r="A43" i="9" s="1"/>
  <c r="Y42" i="1"/>
  <c r="C42" i="9" s="1"/>
  <c r="D42" i="9" s="1"/>
  <c r="W42" i="1"/>
  <c r="U42" i="1"/>
  <c r="S42" i="1"/>
  <c r="Q42" i="1"/>
  <c r="O42" i="1"/>
  <c r="N42" i="1"/>
  <c r="A42" i="9" s="1"/>
  <c r="Y41" i="1"/>
  <c r="C41" i="9" s="1"/>
  <c r="D41" i="9" s="1"/>
  <c r="W41" i="1"/>
  <c r="U41" i="1"/>
  <c r="S41" i="1"/>
  <c r="Q41" i="1"/>
  <c r="O41" i="1"/>
  <c r="N41" i="1"/>
  <c r="A41" i="9" s="1"/>
  <c r="Y40" i="1"/>
  <c r="C40" i="9" s="1"/>
  <c r="D40" i="9" s="1"/>
  <c r="W40" i="1"/>
  <c r="U40" i="1"/>
  <c r="S40" i="1"/>
  <c r="Q40" i="1"/>
  <c r="O40" i="1"/>
  <c r="N40" i="1"/>
  <c r="A40" i="9" s="1"/>
  <c r="Y39" i="1"/>
  <c r="C39" i="9" s="1"/>
  <c r="D39" i="9" s="1"/>
  <c r="W39" i="1"/>
  <c r="U39" i="1"/>
  <c r="S39" i="1"/>
  <c r="Q39" i="1"/>
  <c r="O39" i="1"/>
  <c r="N39" i="1"/>
  <c r="A39" i="9" s="1"/>
  <c r="Y38" i="1"/>
  <c r="C38" i="9" s="1"/>
  <c r="D38" i="9" s="1"/>
  <c r="W38" i="1"/>
  <c r="U38" i="1"/>
  <c r="S38" i="1"/>
  <c r="Q38" i="1"/>
  <c r="O38" i="1"/>
  <c r="N38" i="1"/>
  <c r="A38" i="9" s="1"/>
  <c r="Y37" i="1"/>
  <c r="C37" i="9" s="1"/>
  <c r="D37" i="9" s="1"/>
  <c r="W37" i="1"/>
  <c r="U37" i="1"/>
  <c r="S37" i="1"/>
  <c r="Q37" i="1"/>
  <c r="O37" i="1"/>
  <c r="N37" i="1"/>
  <c r="A37" i="9" s="1"/>
  <c r="Y36" i="1"/>
  <c r="C36" i="9" s="1"/>
  <c r="D36" i="9" s="1"/>
  <c r="W36" i="1"/>
  <c r="U36" i="1"/>
  <c r="S36" i="1"/>
  <c r="Q36" i="1"/>
  <c r="O36" i="1"/>
  <c r="N36" i="1"/>
  <c r="A36" i="9" s="1"/>
  <c r="Y35" i="1"/>
  <c r="C35" i="9" s="1"/>
  <c r="D35" i="9" s="1"/>
  <c r="W35" i="1"/>
  <c r="U35" i="1"/>
  <c r="S35" i="1"/>
  <c r="Q35" i="1"/>
  <c r="O35" i="1"/>
  <c r="N35" i="1"/>
  <c r="A35" i="9" s="1"/>
  <c r="Y34" i="1"/>
  <c r="C34" i="9" s="1"/>
  <c r="D34" i="9" s="1"/>
  <c r="W34" i="1"/>
  <c r="U34" i="1"/>
  <c r="S34" i="1"/>
  <c r="Q34" i="1"/>
  <c r="O34" i="1"/>
  <c r="N34" i="1"/>
  <c r="A34" i="9" s="1"/>
  <c r="Y33" i="1"/>
  <c r="C33" i="9" s="1"/>
  <c r="D33" i="9" s="1"/>
  <c r="W33" i="1"/>
  <c r="U33" i="1"/>
  <c r="S33" i="1"/>
  <c r="Q33" i="1"/>
  <c r="O33" i="1"/>
  <c r="N33" i="1"/>
  <c r="A33" i="9" s="1"/>
  <c r="Y32" i="1"/>
  <c r="C32" i="9" s="1"/>
  <c r="D32" i="9" s="1"/>
  <c r="W32" i="1"/>
  <c r="U32" i="1"/>
  <c r="S32" i="1"/>
  <c r="Q32" i="1"/>
  <c r="O32" i="1"/>
  <c r="N32" i="1"/>
  <c r="A32" i="9" s="1"/>
  <c r="Y31" i="1"/>
  <c r="C31" i="9" s="1"/>
  <c r="D31" i="9" s="1"/>
  <c r="W31" i="1"/>
  <c r="U31" i="1"/>
  <c r="S31" i="1"/>
  <c r="Q31" i="1"/>
  <c r="O31" i="1"/>
  <c r="N31" i="1"/>
  <c r="A31" i="9" s="1"/>
  <c r="Y30" i="1"/>
  <c r="C30" i="9" s="1"/>
  <c r="D30" i="9" s="1"/>
  <c r="W30" i="1"/>
  <c r="U30" i="1"/>
  <c r="S30" i="1"/>
  <c r="Q30" i="1"/>
  <c r="O30" i="1"/>
  <c r="N30" i="1"/>
  <c r="A30" i="9" s="1"/>
  <c r="Y29" i="1"/>
  <c r="C29" i="9" s="1"/>
  <c r="D29" i="9" s="1"/>
  <c r="W29" i="1"/>
  <c r="U29" i="1"/>
  <c r="S29" i="1"/>
  <c r="Q29" i="1"/>
  <c r="O29" i="1"/>
  <c r="N29" i="1"/>
  <c r="A29" i="9" s="1"/>
  <c r="Y28" i="1"/>
  <c r="C28" i="9" s="1"/>
  <c r="D28" i="9" s="1"/>
  <c r="W28" i="1"/>
  <c r="U28" i="1"/>
  <c r="S28" i="1"/>
  <c r="Q28" i="1"/>
  <c r="O28" i="1"/>
  <c r="N28" i="1"/>
  <c r="A28" i="9" s="1"/>
  <c r="Y27" i="1"/>
  <c r="C27" i="9" s="1"/>
  <c r="D27" i="9" s="1"/>
  <c r="W27" i="1"/>
  <c r="U27" i="1"/>
  <c r="S27" i="1"/>
  <c r="Q27" i="1"/>
  <c r="O27" i="1"/>
  <c r="N27" i="1"/>
  <c r="A27" i="9" s="1"/>
  <c r="Y26" i="1"/>
  <c r="C26" i="9" s="1"/>
  <c r="D26" i="9" s="1"/>
  <c r="W26" i="1"/>
  <c r="U26" i="1"/>
  <c r="S26" i="1"/>
  <c r="Q26" i="1"/>
  <c r="O26" i="1"/>
  <c r="N26" i="1"/>
  <c r="A26" i="9" s="1"/>
  <c r="Y25" i="1"/>
  <c r="C25" i="9" s="1"/>
  <c r="D25" i="9" s="1"/>
  <c r="W25" i="1"/>
  <c r="U25" i="1"/>
  <c r="S25" i="1"/>
  <c r="Q25" i="1"/>
  <c r="O25" i="1"/>
  <c r="N25" i="1"/>
  <c r="A25" i="9" s="1"/>
  <c r="Y24" i="1"/>
  <c r="C24" i="9" s="1"/>
  <c r="D24" i="9" s="1"/>
  <c r="W24" i="1"/>
  <c r="U24" i="1"/>
  <c r="S24" i="1"/>
  <c r="Q24" i="1"/>
  <c r="O24" i="1"/>
  <c r="N24" i="1"/>
  <c r="A24" i="9" s="1"/>
  <c r="Y23" i="1"/>
  <c r="C23" i="9" s="1"/>
  <c r="D23" i="9" s="1"/>
  <c r="W23" i="1"/>
  <c r="U23" i="1"/>
  <c r="S23" i="1"/>
  <c r="Q23" i="1"/>
  <c r="O23" i="1"/>
  <c r="N23" i="1"/>
  <c r="A23" i="9" s="1"/>
  <c r="Y22" i="1"/>
  <c r="C22" i="9" s="1"/>
  <c r="D22" i="9" s="1"/>
  <c r="W22" i="1"/>
  <c r="U22" i="1"/>
  <c r="S22" i="1"/>
  <c r="Q22" i="1"/>
  <c r="O22" i="1"/>
  <c r="N22" i="1"/>
  <c r="A22" i="9" s="1"/>
  <c r="Y21" i="1"/>
  <c r="C21" i="9" s="1"/>
  <c r="D21" i="9" s="1"/>
  <c r="W21" i="1"/>
  <c r="U21" i="1"/>
  <c r="S21" i="1"/>
  <c r="Q21" i="1"/>
  <c r="O21" i="1"/>
  <c r="N21" i="1"/>
  <c r="A21" i="9" s="1"/>
  <c r="Y20" i="1"/>
  <c r="C20" i="9" s="1"/>
  <c r="D20" i="9" s="1"/>
  <c r="W20" i="1"/>
  <c r="U20" i="1"/>
  <c r="S20" i="1"/>
  <c r="Q20" i="1"/>
  <c r="O20" i="1"/>
  <c r="N20" i="1"/>
  <c r="A20" i="9" s="1"/>
  <c r="Y19" i="1"/>
  <c r="C19" i="9" s="1"/>
  <c r="D19" i="9" s="1"/>
  <c r="W19" i="1"/>
  <c r="U19" i="1"/>
  <c r="S19" i="1"/>
  <c r="Q19" i="1"/>
  <c r="O19" i="1"/>
  <c r="N19" i="1"/>
  <c r="A19" i="9" s="1"/>
  <c r="Y18" i="1"/>
  <c r="C18" i="9" s="1"/>
  <c r="D18" i="9" s="1"/>
  <c r="W18" i="1"/>
  <c r="U18" i="1"/>
  <c r="S18" i="1"/>
  <c r="Q18" i="1"/>
  <c r="O18" i="1"/>
  <c r="N18" i="1"/>
  <c r="A18" i="9" s="1"/>
  <c r="Y17" i="1"/>
  <c r="C17" i="9" s="1"/>
  <c r="D17" i="9" s="1"/>
  <c r="W17" i="1"/>
  <c r="U17" i="1"/>
  <c r="S17" i="1"/>
  <c r="Q17" i="1"/>
  <c r="O17" i="1"/>
  <c r="N17" i="1"/>
  <c r="A17" i="9" s="1"/>
  <c r="Y16" i="1"/>
  <c r="C16" i="9" s="1"/>
  <c r="D16" i="9" s="1"/>
  <c r="W16" i="1"/>
  <c r="U16" i="1"/>
  <c r="S16" i="1"/>
  <c r="Q16" i="1"/>
  <c r="O16" i="1"/>
  <c r="N16" i="1"/>
  <c r="A16" i="9" s="1"/>
  <c r="Y15" i="1"/>
  <c r="C15" i="9" s="1"/>
  <c r="D15" i="9" s="1"/>
  <c r="W15" i="1"/>
  <c r="U15" i="1"/>
  <c r="S15" i="1"/>
  <c r="Q15" i="1"/>
  <c r="O15" i="1"/>
  <c r="N15" i="1"/>
  <c r="A15" i="9" s="1"/>
  <c r="Y14" i="1"/>
  <c r="C14" i="9" s="1"/>
  <c r="D14" i="9" s="1"/>
  <c r="W14" i="1"/>
  <c r="U14" i="1"/>
  <c r="S14" i="1"/>
  <c r="Q14" i="1"/>
  <c r="O14" i="1"/>
  <c r="N14" i="1"/>
  <c r="A14" i="9" s="1"/>
  <c r="Y13" i="1"/>
  <c r="C13" i="9" s="1"/>
  <c r="D13" i="9" s="1"/>
  <c r="W13" i="1"/>
  <c r="U13" i="1"/>
  <c r="S13" i="1"/>
  <c r="Q13" i="1"/>
  <c r="O13" i="1"/>
  <c r="N13" i="1"/>
  <c r="A13" i="9" s="1"/>
  <c r="Y12" i="1"/>
  <c r="C12" i="9" s="1"/>
  <c r="D12" i="9" s="1"/>
  <c r="W12" i="1"/>
  <c r="U12" i="1"/>
  <c r="S12" i="1"/>
  <c r="Q12" i="1"/>
  <c r="O12" i="1"/>
  <c r="N12" i="1"/>
  <c r="A12" i="9" s="1"/>
  <c r="Y11" i="1"/>
  <c r="C11" i="9" s="1"/>
  <c r="D11" i="9" s="1"/>
  <c r="W11" i="1"/>
  <c r="U11" i="1"/>
  <c r="S11" i="1"/>
  <c r="Q11" i="1"/>
  <c r="O11" i="1"/>
  <c r="N11" i="1"/>
  <c r="A11" i="9" s="1"/>
  <c r="Y10" i="1"/>
  <c r="C10" i="9" s="1"/>
  <c r="D10" i="9" s="1"/>
  <c r="W10" i="1"/>
  <c r="U10" i="1"/>
  <c r="S10" i="1"/>
  <c r="Q10" i="1"/>
  <c r="O10" i="1"/>
  <c r="N10" i="1"/>
  <c r="A10" i="9" s="1"/>
  <c r="Y9" i="1"/>
  <c r="C9" i="9" s="1"/>
  <c r="D9" i="9" s="1"/>
  <c r="W9" i="1"/>
  <c r="U9" i="1"/>
  <c r="S9" i="1"/>
  <c r="Q9" i="1"/>
  <c r="O9" i="1"/>
  <c r="N9" i="1"/>
  <c r="A9" i="9" s="1"/>
  <c r="Y8" i="1"/>
  <c r="C8" i="9" s="1"/>
  <c r="D8" i="9" s="1"/>
  <c r="W8" i="1"/>
  <c r="U8" i="1"/>
  <c r="S8" i="1"/>
  <c r="Q8" i="1"/>
  <c r="O8" i="1"/>
  <c r="N8" i="1"/>
  <c r="A8" i="9" s="1"/>
  <c r="Y7" i="1"/>
  <c r="C7" i="9" s="1"/>
  <c r="D7" i="9" s="1"/>
  <c r="W7" i="1"/>
  <c r="U7" i="1"/>
  <c r="S7" i="1"/>
  <c r="Q7" i="1"/>
  <c r="O7" i="1"/>
  <c r="N7" i="1"/>
  <c r="A7" i="9" s="1"/>
  <c r="Y6" i="1"/>
  <c r="C6" i="9" s="1"/>
  <c r="D6" i="9" s="1"/>
  <c r="W6" i="1"/>
  <c r="U6" i="1"/>
  <c r="S6" i="1"/>
  <c r="Q6" i="1"/>
  <c r="Y5" i="1"/>
  <c r="C5" i="9" s="1"/>
  <c r="D5" i="9" s="1"/>
  <c r="W5" i="1"/>
  <c r="U5" i="1"/>
  <c r="S5" i="1"/>
  <c r="Q5" i="1"/>
  <c r="B5" i="9" l="1"/>
  <c r="H3" i="1"/>
  <c r="B37"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38"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C26" i="8" l="1"/>
  <c r="C27" i="8" s="1"/>
  <c r="E1" i="9" s="1"/>
  <c r="B26" i="8"/>
  <c r="B27" i="8" s="1"/>
</calcChain>
</file>

<file path=xl/sharedStrings.xml><?xml version="1.0" encoding="utf-8"?>
<sst xmlns="http://schemas.openxmlformats.org/spreadsheetml/2006/main" count="16475" uniqueCount="4228">
  <si>
    <t>Claim Status</t>
  </si>
  <si>
    <t>Claim Action</t>
  </si>
  <si>
    <t>Worked By</t>
  </si>
  <si>
    <t>STATUS</t>
  </si>
  <si>
    <t>ACTION</t>
  </si>
  <si>
    <t>CLAIM PAID - EFT</t>
  </si>
  <si>
    <t xml:space="preserve">Task Post Pmt Queue </t>
  </si>
  <si>
    <t>CLAIM PAID - CHK</t>
  </si>
  <si>
    <t xml:space="preserve">Task Cashed Chk Queue </t>
  </si>
  <si>
    <t>CLAIM IN PROCESS</t>
  </si>
  <si>
    <t>No Action</t>
  </si>
  <si>
    <t>DENIED - FREQ</t>
  </si>
  <si>
    <t>DENIED - MAX</t>
  </si>
  <si>
    <t>DENIED - MISS TTH</t>
  </si>
  <si>
    <t>DENIED - SRP HIST DT</t>
  </si>
  <si>
    <t>DENIED - TFL</t>
  </si>
  <si>
    <t xml:space="preserve">Task Appeals Queue </t>
  </si>
  <si>
    <t>DENIED - AGE</t>
  </si>
  <si>
    <t>DENIED - MISS ATTCH</t>
  </si>
  <si>
    <t xml:space="preserve">Task Sub Pending Claims Queue </t>
  </si>
  <si>
    <t>DENIED - MORE INFO</t>
  </si>
  <si>
    <t>SENT</t>
  </si>
  <si>
    <t>PATIENT NAME</t>
  </si>
  <si>
    <t>TOTAL</t>
  </si>
  <si>
    <t xml:space="preserve">Generated Statements </t>
  </si>
  <si>
    <t>Action</t>
  </si>
  <si>
    <t>Select Status</t>
  </si>
  <si>
    <t xml:space="preserve">Yearly Max: </t>
  </si>
  <si>
    <t xml:space="preserve">Task Client - Denied Claim Queue </t>
  </si>
  <si>
    <t>Task Sub Pending Claims Queue</t>
  </si>
  <si>
    <t>CNOF Active</t>
  </si>
  <si>
    <t>CNOF Not Active</t>
  </si>
  <si>
    <t>Task Denied Claims Queue</t>
  </si>
  <si>
    <t>Q2</t>
  </si>
  <si>
    <t>Q3</t>
  </si>
  <si>
    <t>Q4</t>
  </si>
  <si>
    <t>Q5</t>
  </si>
  <si>
    <t>Cust Rep:</t>
  </si>
  <si>
    <t>Q1</t>
  </si>
  <si>
    <t>Issue Date:</t>
  </si>
  <si>
    <t>Hist dts:</t>
  </si>
  <si>
    <t>Freq for Proc:</t>
  </si>
  <si>
    <t>Call Ref#:</t>
  </si>
  <si>
    <t xml:space="preserve">Status of original Claim: </t>
  </si>
  <si>
    <t>Waiting period ends:</t>
  </si>
  <si>
    <t>DENIED - NOT COVERED</t>
  </si>
  <si>
    <t>DENIED - DUP SUBMIT</t>
  </si>
  <si>
    <t>DENIED - WAIT PRD</t>
  </si>
  <si>
    <t>DENIED - PRM PAID MAX</t>
  </si>
  <si>
    <t>DENIED - INV PROC CODE</t>
  </si>
  <si>
    <t>DENIED - INTL PLACE DT</t>
  </si>
  <si>
    <t>Note</t>
  </si>
  <si>
    <t xml:space="preserve">Why? </t>
  </si>
  <si>
    <t>Replacement Code:</t>
  </si>
  <si>
    <t>Claim Rec'd on:</t>
  </si>
  <si>
    <t>Age Limit:</t>
  </si>
  <si>
    <t>TFL in months:</t>
  </si>
  <si>
    <t>Attachments/Info needed?</t>
  </si>
  <si>
    <t>Policy Term Dt:</t>
  </si>
  <si>
    <t>Payor ID &amp; Address:</t>
  </si>
  <si>
    <t>Fax # (If Fax Yes):</t>
  </si>
  <si>
    <t>Bulk/Sep:</t>
  </si>
  <si>
    <t>TFL in Mnths:</t>
  </si>
  <si>
    <t>DOS</t>
  </si>
  <si>
    <t>INS Company</t>
  </si>
  <si>
    <t>SUBSCRIBER NAME</t>
  </si>
  <si>
    <t>SUB ID</t>
  </si>
  <si>
    <t>INS Ph No</t>
  </si>
  <si>
    <t>DOB</t>
  </si>
  <si>
    <t>Dt orig. claim submitted:</t>
  </si>
  <si>
    <t xml:space="preserve">Waitng period 4 procedure:   </t>
  </si>
  <si>
    <t>Claim Paid by EFT;</t>
  </si>
  <si>
    <t>Claim Paid by Check;</t>
  </si>
  <si>
    <t>Claim is in Process;</t>
  </si>
  <si>
    <t>Claim denied due to Frequency;</t>
  </si>
  <si>
    <t>Patient maxed out;</t>
  </si>
  <si>
    <t>Procedure is not a covered benefit;</t>
  </si>
  <si>
    <t>Denied due to Missing tooth clause;</t>
  </si>
  <si>
    <t>Duplicate Submission;</t>
  </si>
  <si>
    <t>Denied due to waiting period;</t>
  </si>
  <si>
    <t>Primary Ins paid Max allowable;</t>
  </si>
  <si>
    <t>Invalid Procedure Code;</t>
  </si>
  <si>
    <t>Denied due to SRP History Dates;</t>
  </si>
  <si>
    <t>Need Initial Placement Date;</t>
  </si>
  <si>
    <t>Denied due to Timely Filing Limit;</t>
  </si>
  <si>
    <t>Denied due to Age Limitation;</t>
  </si>
  <si>
    <t>Attachments missing, need to submit;</t>
  </si>
  <si>
    <t>Ins needs more info, need to submit;</t>
  </si>
  <si>
    <t>Claim not on file. Patient is active ;</t>
  </si>
  <si>
    <t>Patient not active/no active policy;</t>
  </si>
  <si>
    <t xml:space="preserve">General Statements </t>
  </si>
  <si>
    <t>Select</t>
  </si>
  <si>
    <t>Task Subject</t>
  </si>
  <si>
    <t>Follow-Up Status</t>
  </si>
  <si>
    <t>Additional Notes:</t>
  </si>
  <si>
    <t>OTHER</t>
  </si>
  <si>
    <t xml:space="preserve"> Team Lead Follow-Up</t>
  </si>
  <si>
    <t>EOB Downloaded</t>
  </si>
  <si>
    <t>EOB Not Found</t>
  </si>
  <si>
    <t>EOB Requested</t>
  </si>
  <si>
    <t>Further Follow-Up</t>
  </si>
  <si>
    <t>Follow-Up Complete</t>
  </si>
  <si>
    <t>FOLLOW-UP</t>
  </si>
  <si>
    <r>
      <rPr>
        <b/>
        <sz val="11"/>
        <color theme="1"/>
        <rFont val="Calibri"/>
        <family val="2"/>
        <scheme val="minor"/>
      </rPr>
      <t>What We Need From You:</t>
    </r>
    <r>
      <rPr>
        <sz val="11"/>
        <color theme="1"/>
        <rFont val="Calibri"/>
        <family val="2"/>
        <scheme val="minor"/>
      </rPr>
      <t xml:space="preserve"> Please confirm Check was received. </t>
    </r>
    <r>
      <rPr>
        <b/>
        <sz val="11"/>
        <color theme="1"/>
        <rFont val="Calibri"/>
        <family val="2"/>
        <scheme val="minor"/>
      </rPr>
      <t>Reason:</t>
    </r>
    <r>
      <rPr>
        <sz val="11"/>
        <color theme="1"/>
        <rFont val="Calibri"/>
        <family val="2"/>
        <scheme val="minor"/>
      </rPr>
      <t xml:space="preserve"> To close claim.</t>
    </r>
  </si>
  <si>
    <r>
      <rPr>
        <b/>
        <sz val="11"/>
        <color theme="1"/>
        <rFont val="Calibri"/>
        <family val="2"/>
        <scheme val="minor"/>
      </rPr>
      <t>What We Need From You:</t>
    </r>
    <r>
      <rPr>
        <sz val="11"/>
        <color theme="1"/>
        <rFont val="Calibri"/>
        <family val="2"/>
        <scheme val="minor"/>
      </rPr>
      <t xml:space="preserve"> </t>
    </r>
    <r>
      <rPr>
        <b/>
        <sz val="11"/>
        <color theme="1"/>
        <rFont val="Calibri"/>
        <family val="2"/>
        <scheme val="minor"/>
      </rPr>
      <t xml:space="preserve">Reason: </t>
    </r>
  </si>
  <si>
    <t>What we need from you/Reason</t>
  </si>
  <si>
    <t>What We Need/Reason (Tasking to Client)</t>
  </si>
  <si>
    <t>N/A</t>
  </si>
  <si>
    <t>Task Detail</t>
  </si>
  <si>
    <t>CHK#</t>
  </si>
  <si>
    <t>EFT#</t>
  </si>
  <si>
    <t>Total</t>
  </si>
  <si>
    <r>
      <rPr>
        <b/>
        <sz val="11"/>
        <color theme="1"/>
        <rFont val="Calibri"/>
        <family val="2"/>
        <scheme val="minor"/>
      </rPr>
      <t>What We Need From You:</t>
    </r>
    <r>
      <rPr>
        <sz val="11"/>
        <color theme="1"/>
        <rFont val="Calibri"/>
        <family val="2"/>
        <scheme val="minor"/>
      </rPr>
      <t xml:space="preserve"> Pls confirm if we can close the claims</t>
    </r>
    <r>
      <rPr>
        <b/>
        <sz val="11"/>
        <color theme="1"/>
        <rFont val="Calibri"/>
        <family val="2"/>
        <scheme val="minor"/>
      </rPr>
      <t xml:space="preserve"> Reason: </t>
    </r>
    <r>
      <rPr>
        <sz val="11"/>
        <color theme="1"/>
        <rFont val="Calibri"/>
        <family val="2"/>
        <scheme val="minor"/>
      </rPr>
      <t>To close claim</t>
    </r>
  </si>
  <si>
    <t>Task Created</t>
  </si>
  <si>
    <t>Completed By</t>
  </si>
  <si>
    <t>YES</t>
  </si>
  <si>
    <t>COMPLETED</t>
  </si>
  <si>
    <t>NOT COMPLETED</t>
  </si>
  <si>
    <t>DAYS</t>
  </si>
  <si>
    <t>Claims</t>
  </si>
  <si>
    <t>OUTSTANDING</t>
  </si>
  <si>
    <t>To be Followed up</t>
  </si>
  <si>
    <t>No Active Policy</t>
  </si>
  <si>
    <t xml:space="preserve">AR SUMMARY </t>
  </si>
  <si>
    <t>Claim Paid - EFT</t>
  </si>
  <si>
    <t>Claim Paid - CHK</t>
  </si>
  <si>
    <t>Claim in Process</t>
  </si>
  <si>
    <t xml:space="preserve">Frequency Denial </t>
  </si>
  <si>
    <t xml:space="preserve">Maxed out Denial </t>
  </si>
  <si>
    <t xml:space="preserve">Not Covered </t>
  </si>
  <si>
    <t>Miss Tth Clause Denial</t>
  </si>
  <si>
    <t>Dup Submission</t>
  </si>
  <si>
    <t>AMOUNT</t>
  </si>
  <si>
    <t>NO OF CLAIMS</t>
  </si>
  <si>
    <t>Waiting Pd Denial</t>
  </si>
  <si>
    <t>Pr Paid Max</t>
  </si>
  <si>
    <t>Invd Proc Code</t>
  </si>
  <si>
    <t>SRP Hist Dts Denial</t>
  </si>
  <si>
    <t>Init Placement Dt Denial</t>
  </si>
  <si>
    <t>TFL Denial</t>
  </si>
  <si>
    <t xml:space="preserve">Age Limit Denial </t>
  </si>
  <si>
    <t>Miss Attach Denial</t>
  </si>
  <si>
    <t>Nd More Info</t>
  </si>
  <si>
    <t>Claim not on File</t>
  </si>
  <si>
    <t>Level 1</t>
  </si>
  <si>
    <r>
      <rPr>
        <b/>
        <sz val="11"/>
        <color rgb="FFC00000"/>
        <rFont val="Calibri"/>
        <family val="2"/>
        <scheme val="minor"/>
      </rPr>
      <t>⭣</t>
    </r>
    <r>
      <rPr>
        <b/>
        <sz val="11"/>
        <color theme="1"/>
        <rFont val="Calibri"/>
        <family val="2"/>
        <scheme val="minor"/>
      </rPr>
      <t xml:space="preserve"> </t>
    </r>
    <r>
      <rPr>
        <b/>
        <i/>
        <sz val="11"/>
        <color theme="1"/>
        <rFont val="Calibri"/>
        <family val="2"/>
        <scheme val="minor"/>
      </rPr>
      <t>Actual Patient data starts from the row below</t>
    </r>
    <r>
      <rPr>
        <b/>
        <sz val="11"/>
        <color theme="1"/>
        <rFont val="Calibri"/>
        <family val="2"/>
        <scheme val="minor"/>
      </rPr>
      <t xml:space="preserve"> </t>
    </r>
    <r>
      <rPr>
        <b/>
        <sz val="11"/>
        <color rgb="FFC00000"/>
        <rFont val="Calibri"/>
        <family val="2"/>
        <scheme val="minor"/>
      </rPr>
      <t>⭣</t>
    </r>
  </si>
  <si>
    <t>CLIENT NAME</t>
  </si>
  <si>
    <t xml:space="preserve">AR REPORT </t>
  </si>
  <si>
    <t>TASK TEMPLATE</t>
  </si>
  <si>
    <t xml:space="preserve">Provider Information </t>
  </si>
  <si>
    <t xml:space="preserve"> </t>
  </si>
  <si>
    <t>Phone</t>
  </si>
  <si>
    <t>Denti-Cal</t>
  </si>
  <si>
    <t>PatientDOB</t>
  </si>
  <si>
    <t>Subscriber</t>
  </si>
  <si>
    <t>TreatingProv</t>
  </si>
  <si>
    <t>SubscriberID</t>
  </si>
  <si>
    <t>SubscriberDOB</t>
  </si>
  <si>
    <t>DateService</t>
  </si>
  <si>
    <t>ClaimFee</t>
  </si>
  <si>
    <t>CarrierName</t>
  </si>
  <si>
    <t>DateSent</t>
  </si>
  <si>
    <t>Dr.Yoon S Kim</t>
  </si>
  <si>
    <t>Tax Id 954344053</t>
  </si>
  <si>
    <t>NPI - 1700909553</t>
  </si>
  <si>
    <t>NIP 2: 1497318885</t>
  </si>
  <si>
    <t>Tax ID: 834-459-230</t>
  </si>
  <si>
    <t>PIN -  530377</t>
  </si>
  <si>
    <t>Address: 1517 W 6th St, Los Angeles, CA 90017</t>
  </si>
  <si>
    <t>Phone: 2134830772</t>
  </si>
  <si>
    <t>Union Dental</t>
  </si>
  <si>
    <t>PRTL - PAID EFT</t>
  </si>
  <si>
    <t xml:space="preserve">PRTL -PAID CHK </t>
  </si>
  <si>
    <t xml:space="preserve">PATIENT - NOT - FOUND </t>
  </si>
  <si>
    <t xml:space="preserve">Patient Not found in Ins system </t>
  </si>
  <si>
    <t>WORKED BY</t>
  </si>
  <si>
    <t xml:space="preserve">NV Team </t>
  </si>
  <si>
    <t xml:space="preserve">V Team </t>
  </si>
  <si>
    <t xml:space="preserve"> Team Lead to review &amp; Follow-Up</t>
  </si>
  <si>
    <t>Write information in Addl Notes</t>
  </si>
  <si>
    <t>Claim Partially Paid by Check; Add notes</t>
  </si>
  <si>
    <t>Claim Partially Paid by EFT; Add notes</t>
  </si>
  <si>
    <t>Call Required</t>
  </si>
  <si>
    <t>Report Date</t>
  </si>
  <si>
    <t>EOB DL</t>
  </si>
  <si>
    <t>NO</t>
  </si>
  <si>
    <t>Mailed to Office</t>
  </si>
  <si>
    <t>Will be faxed</t>
  </si>
  <si>
    <t>Team worked</t>
  </si>
  <si>
    <t>NXT FLUP DT</t>
  </si>
  <si>
    <t>Worked Dt</t>
  </si>
  <si>
    <t>CLAIM STATUS</t>
  </si>
  <si>
    <t xml:space="preserve">Claim Resolved </t>
  </si>
  <si>
    <t xml:space="preserve">INSB NV Team Task </t>
  </si>
  <si>
    <t>In Process with Ins</t>
  </si>
  <si>
    <t>Review in next report</t>
  </si>
  <si>
    <t>Claim Partially Paid - EFT</t>
  </si>
  <si>
    <t>Claim Partially Paid - CHK</t>
  </si>
  <si>
    <t>Patient Not Found</t>
  </si>
  <si>
    <t xml:space="preserve">Claim Status </t>
  </si>
  <si>
    <t>INSB NV Team Pending Tasks ===========&gt;</t>
  </si>
  <si>
    <t>Total No of Claims ===================================&gt;</t>
  </si>
  <si>
    <t xml:space="preserve">Level 2 Comment </t>
  </si>
  <si>
    <t>Other</t>
  </si>
  <si>
    <t>&lt;==========================Task Created</t>
  </si>
  <si>
    <t>Closed (Task Created + Resolved =======================&gt;</t>
  </si>
  <si>
    <t>&lt;==========================Further Followup</t>
  </si>
  <si>
    <t xml:space="preserve">Patient Name </t>
  </si>
  <si>
    <t>Patient ID</t>
  </si>
  <si>
    <t>Location</t>
  </si>
  <si>
    <t>Passehl , Kayla</t>
  </si>
  <si>
    <t xml:space="preserve">Brown, Isabella </t>
  </si>
  <si>
    <t>Thom, Keri</t>
  </si>
  <si>
    <t>Wricks, Derrishia</t>
  </si>
  <si>
    <t>Allen, Janiyah</t>
  </si>
  <si>
    <t xml:space="preserve">Sullivan, Jessica </t>
  </si>
  <si>
    <t xml:space="preserve">Sullivan, Carter </t>
  </si>
  <si>
    <t>Arthur, Bernika</t>
  </si>
  <si>
    <t>Arthur, Lilyana</t>
  </si>
  <si>
    <t xml:space="preserve">Belle , Byron </t>
  </si>
  <si>
    <t>Arthur, Devin</t>
  </si>
  <si>
    <t xml:space="preserve">Rasmussen , John </t>
  </si>
  <si>
    <t xml:space="preserve">Knight, Richard </t>
  </si>
  <si>
    <t>Mokry, Lila</t>
  </si>
  <si>
    <t xml:space="preserve">Johnson , Alina </t>
  </si>
  <si>
    <t>Johnson, Aila</t>
  </si>
  <si>
    <t>Kienia, Jaxon</t>
  </si>
  <si>
    <t>Michaelis, Benjamin</t>
  </si>
  <si>
    <t>Salgado, Manuel</t>
  </si>
  <si>
    <t xml:space="preserve">Cox, Racheal </t>
  </si>
  <si>
    <t>Sexton Free , Brittney</t>
  </si>
  <si>
    <t xml:space="preserve">Gibson, Karl </t>
  </si>
  <si>
    <t>Huston, Olivia</t>
  </si>
  <si>
    <t>Delk, Mark</t>
  </si>
  <si>
    <t xml:space="preserve">Ramsey, Jerod </t>
  </si>
  <si>
    <t>Kienia, Brooke</t>
  </si>
  <si>
    <t>Al-Jehani, Afton</t>
  </si>
  <si>
    <t>SHERMAN, STEPHANIE</t>
  </si>
  <si>
    <t xml:space="preserve">Tamsen , Robin </t>
  </si>
  <si>
    <t xml:space="preserve">Tweedt, David </t>
  </si>
  <si>
    <t>Penland, Teagan</t>
  </si>
  <si>
    <t>Turner, Lukas</t>
  </si>
  <si>
    <t xml:space="preserve">Mccarter , Markayla </t>
  </si>
  <si>
    <t xml:space="preserve">Cordero, Ana </t>
  </si>
  <si>
    <t xml:space="preserve">Mejia , Jason </t>
  </si>
  <si>
    <t xml:space="preserve">Clark, Charles </t>
  </si>
  <si>
    <t>Syas, Brenae</t>
  </si>
  <si>
    <t>Mejia, Viannie</t>
  </si>
  <si>
    <t>Legree, Cristie</t>
  </si>
  <si>
    <t xml:space="preserve">Barber, Jazaria </t>
  </si>
  <si>
    <t>Casarez , Romeo</t>
  </si>
  <si>
    <t xml:space="preserve">Anadell, Carrie </t>
  </si>
  <si>
    <t xml:space="preserve">Wooden, Jasmine </t>
  </si>
  <si>
    <t>Malone , Kalahni</t>
  </si>
  <si>
    <t>Sesham Haribabu, Saigopal</t>
  </si>
  <si>
    <t xml:space="preserve">Gordon, Jamie </t>
  </si>
  <si>
    <t xml:space="preserve">Rubach , Gretchen </t>
  </si>
  <si>
    <t xml:space="preserve">Ramirez , Jazmin </t>
  </si>
  <si>
    <t>Pedersen, Arianna</t>
  </si>
  <si>
    <t>Malone , Kaleyah</t>
  </si>
  <si>
    <t>Vanderwielen, Brenda</t>
  </si>
  <si>
    <t xml:space="preserve">Sanchez Esquive , Israel </t>
  </si>
  <si>
    <t>Kyles , Amari</t>
  </si>
  <si>
    <t>Franke , Ryan</t>
  </si>
  <si>
    <t>BLANTON, LOUISE</t>
  </si>
  <si>
    <t>Liggett, Carrie</t>
  </si>
  <si>
    <t xml:space="preserve">Rivera , Reyes </t>
  </si>
  <si>
    <t xml:space="preserve">Washington , Valencia </t>
  </si>
  <si>
    <t>Arries, Daniel</t>
  </si>
  <si>
    <t xml:space="preserve">Luttrell, Melanie </t>
  </si>
  <si>
    <t>Goffe, Dennis</t>
  </si>
  <si>
    <t xml:space="preserve">Prasser , Stephanie </t>
  </si>
  <si>
    <t>Rice, Matthew</t>
  </si>
  <si>
    <t>Rice, Quiana</t>
  </si>
  <si>
    <t>Mcneal, Gabrielle</t>
  </si>
  <si>
    <t xml:space="preserve">Veasey, Zayden </t>
  </si>
  <si>
    <t xml:space="preserve">Bell , Muhammed </t>
  </si>
  <si>
    <t>Conner, Aaron</t>
  </si>
  <si>
    <t xml:space="preserve">Brown, Jayce </t>
  </si>
  <si>
    <t xml:space="preserve">Beqiri, Malik </t>
  </si>
  <si>
    <t>Edmonds, Kelly</t>
  </si>
  <si>
    <t xml:space="preserve">Howard , Jace </t>
  </si>
  <si>
    <t>Hayes , Shequita</t>
  </si>
  <si>
    <t xml:space="preserve">Baker, Marquis </t>
  </si>
  <si>
    <t xml:space="preserve">Brown , Jeremiah </t>
  </si>
  <si>
    <t>Baker, Mariah</t>
  </si>
  <si>
    <t>Rogers, Charles</t>
  </si>
  <si>
    <t>Simmons, Arionna</t>
  </si>
  <si>
    <t>Nelson , Annette</t>
  </si>
  <si>
    <t>Paw, Mya</t>
  </si>
  <si>
    <t xml:space="preserve">Lenegar, Erin </t>
  </si>
  <si>
    <t xml:space="preserve">Rodriguez Rivera, Juan </t>
  </si>
  <si>
    <t xml:space="preserve">Cervantes, Giselle </t>
  </si>
  <si>
    <t>Miller, Christopher</t>
  </si>
  <si>
    <t>Stropes, Skylar</t>
  </si>
  <si>
    <t xml:space="preserve">Vallin, Lola </t>
  </si>
  <si>
    <t xml:space="preserve">Vallin, Aria </t>
  </si>
  <si>
    <t>Doxtater , Jenna</t>
  </si>
  <si>
    <t xml:space="preserve">Williams, James </t>
  </si>
  <si>
    <t>SAUER, Joseph</t>
  </si>
  <si>
    <t>Mayes, Shanitra</t>
  </si>
  <si>
    <t xml:space="preserve">Reed, Christine </t>
  </si>
  <si>
    <t xml:space="preserve">Sloat , Breanna </t>
  </si>
  <si>
    <t>Groves, Nolan</t>
  </si>
  <si>
    <t xml:space="preserve">Lees, Vannessa </t>
  </si>
  <si>
    <t xml:space="preserve">Johnson , Elliott </t>
  </si>
  <si>
    <t>Jaimes, Gener</t>
  </si>
  <si>
    <t>Guzman, Daniel</t>
  </si>
  <si>
    <t>Allen, Andre</t>
  </si>
  <si>
    <t xml:space="preserve">Guzman, Nydia </t>
  </si>
  <si>
    <t xml:space="preserve">Groves, Vincent </t>
  </si>
  <si>
    <t xml:space="preserve">BROOK , STELLA </t>
  </si>
  <si>
    <t>Mohammadur Rahm, Umil Janab</t>
  </si>
  <si>
    <t xml:space="preserve">Black, Yolanda </t>
  </si>
  <si>
    <t>Butler Jr , Richard</t>
  </si>
  <si>
    <t>Medrow , Thomas</t>
  </si>
  <si>
    <t>Groves, Christopher</t>
  </si>
  <si>
    <t>Hicks, Cardella</t>
  </si>
  <si>
    <t>SAUER, Adalyn</t>
  </si>
  <si>
    <t>Hunter, Antonio</t>
  </si>
  <si>
    <t xml:space="preserve">Guzman Chavez, Aiden </t>
  </si>
  <si>
    <t xml:space="preserve">Zold , Joseph </t>
  </si>
  <si>
    <t>Allen, Joseph</t>
  </si>
  <si>
    <t xml:space="preserve">Kaur, Davinder </t>
  </si>
  <si>
    <t>Meza, Jose</t>
  </si>
  <si>
    <t>Walker, Malia</t>
  </si>
  <si>
    <t xml:space="preserve">Gross, Shanon </t>
  </si>
  <si>
    <t>Cortez, Anjel</t>
  </si>
  <si>
    <t xml:space="preserve">Poikonen, Zachary </t>
  </si>
  <si>
    <t>Singstocktrevin , Jacob</t>
  </si>
  <si>
    <t>Rodriguez, Marcelino</t>
  </si>
  <si>
    <t>Ortiz Espada, Lia</t>
  </si>
  <si>
    <t>Burgess, Hayley</t>
  </si>
  <si>
    <t xml:space="preserve">CHAMBERS , Colten </t>
  </si>
  <si>
    <t xml:space="preserve">Ramirez, Jayden </t>
  </si>
  <si>
    <t xml:space="preserve">Santiago, Jenny </t>
  </si>
  <si>
    <t xml:space="preserve">House , Deja </t>
  </si>
  <si>
    <t xml:space="preserve">House , Alesia </t>
  </si>
  <si>
    <t>Seay, Dashawn</t>
  </si>
  <si>
    <t>Lennon, Jackson</t>
  </si>
  <si>
    <t xml:space="preserve">Roman, Henry </t>
  </si>
  <si>
    <t xml:space="preserve">Nebel, Holly </t>
  </si>
  <si>
    <t>Bruinsma, Lillyan</t>
  </si>
  <si>
    <t xml:space="preserve">Epps , Shatoya </t>
  </si>
  <si>
    <t xml:space="preserve">Rayls, Kim </t>
  </si>
  <si>
    <t>Nailing , Julius</t>
  </si>
  <si>
    <t>Begaj, Floriana</t>
  </si>
  <si>
    <t xml:space="preserve">Graham , Tiffany </t>
  </si>
  <si>
    <t xml:space="preserve">Hell, Kyler </t>
  </si>
  <si>
    <t xml:space="preserve">Bruinsma , Henley </t>
  </si>
  <si>
    <t>Cavero Zavala, Walter</t>
  </si>
  <si>
    <t xml:space="preserve">Diem , Kelly </t>
  </si>
  <si>
    <t xml:space="preserve">Musaitf , Jalal </t>
  </si>
  <si>
    <t>Tobar, Deanna</t>
  </si>
  <si>
    <t xml:space="preserve">Alvarez, Jace </t>
  </si>
  <si>
    <t xml:space="preserve">Tobar , Noah </t>
  </si>
  <si>
    <t xml:space="preserve">Young , Melissa </t>
  </si>
  <si>
    <t>Simpson, Shavonta</t>
  </si>
  <si>
    <t xml:space="preserve">Garcia , Evelina </t>
  </si>
  <si>
    <t>Taborn- Bryant, Le`Nijah</t>
  </si>
  <si>
    <t>Moore, Keyon</t>
  </si>
  <si>
    <t xml:space="preserve">MENDEZ, LANA </t>
  </si>
  <si>
    <t xml:space="preserve">Dawson, Tacara </t>
  </si>
  <si>
    <t>Brown, Catalina</t>
  </si>
  <si>
    <t>Chisem, Javon</t>
  </si>
  <si>
    <t xml:space="preserve">Carnegie , Mae </t>
  </si>
  <si>
    <t xml:space="preserve">Williams, Shakyra </t>
  </si>
  <si>
    <t>DIAZ, ZAIDA</t>
  </si>
  <si>
    <t>Mclaughlin, Bradley</t>
  </si>
  <si>
    <t xml:space="preserve">Dagostino , Sophia </t>
  </si>
  <si>
    <t xml:space="preserve">Donson , Jaivion </t>
  </si>
  <si>
    <t>Canday, Skylah</t>
  </si>
  <si>
    <t>Reyes - Gomez, Leonardo</t>
  </si>
  <si>
    <t>Ruiz- Perez, Juan</t>
  </si>
  <si>
    <t>Craig, Kenley</t>
  </si>
  <si>
    <t xml:space="preserve">Baldwin, Shannon </t>
  </si>
  <si>
    <t xml:space="preserve">Campos , Eddie </t>
  </si>
  <si>
    <t>Gardner, Courtney</t>
  </si>
  <si>
    <t xml:space="preserve">Leahy, Chelsea </t>
  </si>
  <si>
    <t xml:space="preserve">Villarreal , Irma </t>
  </si>
  <si>
    <t>Abu Naaj, Aiman</t>
  </si>
  <si>
    <t>Garcia, Michelle</t>
  </si>
  <si>
    <t xml:space="preserve">Walley , Mikayla </t>
  </si>
  <si>
    <t>Rivera, Pedro</t>
  </si>
  <si>
    <t xml:space="preserve">Halbur, Valerie </t>
  </si>
  <si>
    <t xml:space="preserve">Burazin , Laura </t>
  </si>
  <si>
    <t xml:space="preserve">Frederick Guzma , Sofia </t>
  </si>
  <si>
    <t>Turner, Neylon</t>
  </si>
  <si>
    <t>Fleifel, Noor</t>
  </si>
  <si>
    <t xml:space="preserve">Rivera, Angel </t>
  </si>
  <si>
    <t xml:space="preserve">Sanford , Kiyus </t>
  </si>
  <si>
    <t>De Jesus , Ariel</t>
  </si>
  <si>
    <t xml:space="preserve">Chavez Vasquez, Camila </t>
  </si>
  <si>
    <t xml:space="preserve">Zamora , Adrian </t>
  </si>
  <si>
    <t xml:space="preserve">Agosto, Jessica </t>
  </si>
  <si>
    <t xml:space="preserve">Steward, Tyauna </t>
  </si>
  <si>
    <t xml:space="preserve">Walker , Terry </t>
  </si>
  <si>
    <t>Campos, Nalah</t>
  </si>
  <si>
    <t>Muslija, Sadzide</t>
  </si>
  <si>
    <t>Price, Terry</t>
  </si>
  <si>
    <t xml:space="preserve">Al Dabbeh , Mohammed </t>
  </si>
  <si>
    <t>Zwickey , Carly</t>
  </si>
  <si>
    <t>Wynne, John</t>
  </si>
  <si>
    <t>Henges , Robert</t>
  </si>
  <si>
    <t>Grigg, Melissa</t>
  </si>
  <si>
    <t>Crespo Rosa , Jetziell</t>
  </si>
  <si>
    <t>Hidalgo Rosa  , Jeryel</t>
  </si>
  <si>
    <t xml:space="preserve">ROSA , CINDY </t>
  </si>
  <si>
    <t>Lehmann, Chelsea</t>
  </si>
  <si>
    <t>Mcginnity, Ariel</t>
  </si>
  <si>
    <t xml:space="preserve">Jabbar, Seriya </t>
  </si>
  <si>
    <t>Bogdala , Mark</t>
  </si>
  <si>
    <t>Rand, Jennifer</t>
  </si>
  <si>
    <t>Daniels, Allison</t>
  </si>
  <si>
    <t>Crespo, Melanie</t>
  </si>
  <si>
    <t xml:space="preserve">Crespo, Clarissa </t>
  </si>
  <si>
    <t xml:space="preserve">Moore , Sarah </t>
  </si>
  <si>
    <t xml:space="preserve">Uribe, Olimpia </t>
  </si>
  <si>
    <t xml:space="preserve">ROMO, CRISTINA </t>
  </si>
  <si>
    <t xml:space="preserve">Lynch, Miricle </t>
  </si>
  <si>
    <t xml:space="preserve">Bogdala , Olivia </t>
  </si>
  <si>
    <t xml:space="preserve">Bogdala, Luke </t>
  </si>
  <si>
    <t>Szeklinski, Cheralynn</t>
  </si>
  <si>
    <t xml:space="preserve">Swiatkowski, Lorna </t>
  </si>
  <si>
    <t>Caldoza, Eden</t>
  </si>
  <si>
    <t xml:space="preserve">Hassan , Nur Fatimah </t>
  </si>
  <si>
    <t>Caldoza, Eliana</t>
  </si>
  <si>
    <t xml:space="preserve">Black, Janessa </t>
  </si>
  <si>
    <t>Fattah, Nizar</t>
  </si>
  <si>
    <t xml:space="preserve">Mcginnity, Penelope </t>
  </si>
  <si>
    <t xml:space="preserve">Kassim, Osman </t>
  </si>
  <si>
    <t>Mcclendon, Kayla</t>
  </si>
  <si>
    <t>Burgos, Leticia</t>
  </si>
  <si>
    <t xml:space="preserve">Oneill, Summer </t>
  </si>
  <si>
    <t xml:space="preserve">Hess, Heather </t>
  </si>
  <si>
    <t>Sconzert, Jada</t>
  </si>
  <si>
    <t>MUSTAFA, ADAMARIS</t>
  </si>
  <si>
    <t xml:space="preserve">Pintor , Elayna </t>
  </si>
  <si>
    <t xml:space="preserve">TELFORD, LARONDA </t>
  </si>
  <si>
    <t>Becker , David</t>
  </si>
  <si>
    <t xml:space="preserve">Mcginnty , Theodore </t>
  </si>
  <si>
    <t xml:space="preserve">Kaur , Khushwant </t>
  </si>
  <si>
    <t>Gonzalez, Alicia</t>
  </si>
  <si>
    <t xml:space="preserve">Miro, Aria </t>
  </si>
  <si>
    <t>KIRSOP, WENDY</t>
  </si>
  <si>
    <t>Chon, Natalie</t>
  </si>
  <si>
    <t>Dahadha  Hying , Laura</t>
  </si>
  <si>
    <t xml:space="preserve">Mueller , Aubrey </t>
  </si>
  <si>
    <t>Chon, Lianna</t>
  </si>
  <si>
    <t>THLADI , MAH</t>
  </si>
  <si>
    <t>Mueller , Abigail</t>
  </si>
  <si>
    <t xml:space="preserve">Duldulao , Amy </t>
  </si>
  <si>
    <t xml:space="preserve">Malik, Adeel </t>
  </si>
  <si>
    <t>Kaur Jr, Sandeep</t>
  </si>
  <si>
    <t xml:space="preserve">Carey, Stephanie </t>
  </si>
  <si>
    <t>Zettelmeier, Justin</t>
  </si>
  <si>
    <t>Hoffmann, Shawn</t>
  </si>
  <si>
    <t>Rodriguez Herre, Isabela</t>
  </si>
  <si>
    <t>Anderson, Audrey</t>
  </si>
  <si>
    <t xml:space="preserve">Mcgowan, Refoncia </t>
  </si>
  <si>
    <t>Cosme, Joseline</t>
  </si>
  <si>
    <t>Coleman , Cedric</t>
  </si>
  <si>
    <t xml:space="preserve">Magdaleno, Martin </t>
  </si>
  <si>
    <t xml:space="preserve">Duldulao , Mya </t>
  </si>
  <si>
    <t xml:space="preserve">Garcia, Zelia </t>
  </si>
  <si>
    <t xml:space="preserve">Boclair , Makayla </t>
  </si>
  <si>
    <t xml:space="preserve">Beltran , Andrew </t>
  </si>
  <si>
    <t xml:space="preserve">Luevano Torres , Shadenny </t>
  </si>
  <si>
    <t>Bills, Kyzion</t>
  </si>
  <si>
    <t>BU, AH</t>
  </si>
  <si>
    <t xml:space="preserve">Dundon, Kody </t>
  </si>
  <si>
    <t>Estupinan Perez, Alexia</t>
  </si>
  <si>
    <t>Ramirez, Wendy</t>
  </si>
  <si>
    <t xml:space="preserve">Potis , Kion </t>
  </si>
  <si>
    <t>Galaviz Rueda, Ximena</t>
  </si>
  <si>
    <t xml:space="preserve">Potis, Kieja </t>
  </si>
  <si>
    <t>Cleveland , Deja</t>
  </si>
  <si>
    <t>Galaviz Rueda, Stephanie</t>
  </si>
  <si>
    <t>Galaviz Rueda, Thomas</t>
  </si>
  <si>
    <t>Ventura, Arieana</t>
  </si>
  <si>
    <t>Zuniga Aranda, Sipriano</t>
  </si>
  <si>
    <t>Rios, Fernando</t>
  </si>
  <si>
    <t xml:space="preserve">Febres Orta , Carol </t>
  </si>
  <si>
    <t>SOSA, JULISA</t>
  </si>
  <si>
    <t>Lin, Ethan</t>
  </si>
  <si>
    <t xml:space="preserve">Fitzgerald , Liam </t>
  </si>
  <si>
    <t>Fernandez , Krystal</t>
  </si>
  <si>
    <t>Sood, Jamal</t>
  </si>
  <si>
    <t>Zarate Marin, Manuel</t>
  </si>
  <si>
    <t>Ridgeway, Aliyanah</t>
  </si>
  <si>
    <t>Schroeder, Robert</t>
  </si>
  <si>
    <t xml:space="preserve">Jensen , Christopher </t>
  </si>
  <si>
    <t xml:space="preserve">Hamed , Ali </t>
  </si>
  <si>
    <t xml:space="preserve">Anderson, Eshawn </t>
  </si>
  <si>
    <t>VARELA DIAZ , DAMIALYS</t>
  </si>
  <si>
    <t xml:space="preserve">Rios, Rogelio </t>
  </si>
  <si>
    <t xml:space="preserve">Ledoux , Leonard </t>
  </si>
  <si>
    <t>Otero, Tulio</t>
  </si>
  <si>
    <t xml:space="preserve">Hamed , Laith </t>
  </si>
  <si>
    <t>Peterson, Angelina</t>
  </si>
  <si>
    <t>BEDARD , CHERYL</t>
  </si>
  <si>
    <t xml:space="preserve">Deol, Baljeet </t>
  </si>
  <si>
    <t xml:space="preserve">Harris , Marcus </t>
  </si>
  <si>
    <t xml:space="preserve">Martinez Lopez , Daniel </t>
  </si>
  <si>
    <t xml:space="preserve">Mitchell, Trevean </t>
  </si>
  <si>
    <t>Brem, Jessica</t>
  </si>
  <si>
    <t>Mahoney , Evie</t>
  </si>
  <si>
    <t>Fudeh , Saleh</t>
  </si>
  <si>
    <t xml:space="preserve">Knilans , Joseph </t>
  </si>
  <si>
    <t xml:space="preserve">Hamed , Majd </t>
  </si>
  <si>
    <t>Arteaga, Abizael</t>
  </si>
  <si>
    <t xml:space="preserve">Rupert , Laura </t>
  </si>
  <si>
    <t xml:space="preserve">Hamed , Sham </t>
  </si>
  <si>
    <t xml:space="preserve">Sharma, Sunil </t>
  </si>
  <si>
    <t xml:space="preserve">Montes De Oca , Alejandra </t>
  </si>
  <si>
    <t xml:space="preserve">Nelson, Amy </t>
  </si>
  <si>
    <t xml:space="preserve">Sharma , Kavita </t>
  </si>
  <si>
    <t xml:space="preserve">Hussain, Shahab </t>
  </si>
  <si>
    <t xml:space="preserve">Shahab, Sana </t>
  </si>
  <si>
    <t>Torres, Ricardo</t>
  </si>
  <si>
    <t xml:space="preserve">Deol, Manpreet </t>
  </si>
  <si>
    <t>Gonzales, Julius</t>
  </si>
  <si>
    <t xml:space="preserve">Jabbar, Muhammad </t>
  </si>
  <si>
    <t>Cartagena, Dante</t>
  </si>
  <si>
    <t xml:space="preserve">Rivera , Danielle </t>
  </si>
  <si>
    <t xml:space="preserve">Brem , Alexzander </t>
  </si>
  <si>
    <t>Brem, Gabriella</t>
  </si>
  <si>
    <t xml:space="preserve">Thurman , Tova </t>
  </si>
  <si>
    <t xml:space="preserve">Gomez, Ariel </t>
  </si>
  <si>
    <t xml:space="preserve">Gomez Cruz, Alayna </t>
  </si>
  <si>
    <t>Gomez, Star</t>
  </si>
  <si>
    <t>Ayala, Isaiah</t>
  </si>
  <si>
    <t>Ezhar Miah, Mohamad Yunus</t>
  </si>
  <si>
    <t>Blanks, Chaniyah</t>
  </si>
  <si>
    <t xml:space="preserve">Munoz Rios, Zoie </t>
  </si>
  <si>
    <t xml:space="preserve">Melnik, Ashley </t>
  </si>
  <si>
    <t xml:space="preserve">Yousif, Adam </t>
  </si>
  <si>
    <t xml:space="preserve">Yousif , Aya </t>
  </si>
  <si>
    <t>Lian, Ram</t>
  </si>
  <si>
    <t xml:space="preserve">Bey, Kayla </t>
  </si>
  <si>
    <t>Yousif, Ali</t>
  </si>
  <si>
    <t xml:space="preserve">Lozada, Jesian </t>
  </si>
  <si>
    <t xml:space="preserve">Lozada Vazquez , Jeslian </t>
  </si>
  <si>
    <t>Ruiz Ortiz , Miguel</t>
  </si>
  <si>
    <t xml:space="preserve">Penkalski , Angela </t>
  </si>
  <si>
    <t xml:space="preserve">Czarnecki, Fiona </t>
  </si>
  <si>
    <t xml:space="preserve">Crespo, Jose </t>
  </si>
  <si>
    <t xml:space="preserve">Leahy, Seth </t>
  </si>
  <si>
    <t>Gonzalez , Vanessa</t>
  </si>
  <si>
    <t>Sanchez, Melissa</t>
  </si>
  <si>
    <t xml:space="preserve">Gonzalez , Arlene </t>
  </si>
  <si>
    <t>Sanchez , Jose</t>
  </si>
  <si>
    <t>Mahone, Avianna</t>
  </si>
  <si>
    <t>Speckmann, Mikah</t>
  </si>
  <si>
    <t>Peeples, Michele</t>
  </si>
  <si>
    <t xml:space="preserve">Stinson, Jamya </t>
  </si>
  <si>
    <t>Riemer , Josie</t>
  </si>
  <si>
    <t xml:space="preserve">Emmanuel Hollow , Ishmael </t>
  </si>
  <si>
    <t xml:space="preserve">Jackson, Superior </t>
  </si>
  <si>
    <t xml:space="preserve">Nunez, Elvira </t>
  </si>
  <si>
    <t xml:space="preserve">Delgado , Genesis </t>
  </si>
  <si>
    <t>Nunez, Jose</t>
  </si>
  <si>
    <t>Ramirez Hernandez, Yaretzi</t>
  </si>
  <si>
    <t xml:space="preserve">Willis , Zyriah </t>
  </si>
  <si>
    <t xml:space="preserve">Fernandez , Briana </t>
  </si>
  <si>
    <t>Abdalla, Abdalla</t>
  </si>
  <si>
    <t>Wilson, Garrett</t>
  </si>
  <si>
    <t>Gonzalez, Ayden</t>
  </si>
  <si>
    <t xml:space="preserve">Rein Madden , Josie </t>
  </si>
  <si>
    <t>Barron Cabriale , Laura</t>
  </si>
  <si>
    <t xml:space="preserve">Santos , Jessica </t>
  </si>
  <si>
    <t xml:space="preserve">Lentini, Kolten </t>
  </si>
  <si>
    <t xml:space="preserve">LENTINI, SONJA </t>
  </si>
  <si>
    <t>Hopgood, Shemika</t>
  </si>
  <si>
    <t>Perez Rios, Shayra</t>
  </si>
  <si>
    <t>CRITES, SAVANNAH</t>
  </si>
  <si>
    <t xml:space="preserve">Hogan Alford, Shamir </t>
  </si>
  <si>
    <t>Lentini, Randy</t>
  </si>
  <si>
    <t xml:space="preserve">Mercado , Monica </t>
  </si>
  <si>
    <t>Escobedo , Karla</t>
  </si>
  <si>
    <t xml:space="preserve">Cox , Mosiah </t>
  </si>
  <si>
    <t>Butterfield, Ryelund</t>
  </si>
  <si>
    <t xml:space="preserve">Piotrowski , Amelia </t>
  </si>
  <si>
    <t xml:space="preserve">Nunez, David </t>
  </si>
  <si>
    <t>Forrest, Lenora</t>
  </si>
  <si>
    <t xml:space="preserve">Cuccia Ramos, Liliana </t>
  </si>
  <si>
    <t xml:space="preserve">Villa, Jaquelin </t>
  </si>
  <si>
    <t>ASSIM, ALYAN</t>
  </si>
  <si>
    <t>ASSIM, YOUSIF</t>
  </si>
  <si>
    <t xml:space="preserve">Gonzales, Olivia </t>
  </si>
  <si>
    <t>Sconzert , Jennifer</t>
  </si>
  <si>
    <t xml:space="preserve">Archibald , Veyda </t>
  </si>
  <si>
    <t>Lee, Urya</t>
  </si>
  <si>
    <t xml:space="preserve">Vazquez, Niomy </t>
  </si>
  <si>
    <t xml:space="preserve">Lee , Isa </t>
  </si>
  <si>
    <t>Payne, Michael</t>
  </si>
  <si>
    <t>RAMSEY, COURTNEY</t>
  </si>
  <si>
    <t xml:space="preserve">Maldonado, Jadxel </t>
  </si>
  <si>
    <t>Mohammed, Sadiya</t>
  </si>
  <si>
    <t xml:space="preserve">Torres Santos , Aracelis </t>
  </si>
  <si>
    <t xml:space="preserve">Martinez Perez , Shaelys </t>
  </si>
  <si>
    <t>Tapia Cruz, Bertha Alicia</t>
  </si>
  <si>
    <t xml:space="preserve">Martinez Perez, Ezequiel </t>
  </si>
  <si>
    <t xml:space="preserve">Perez , Branden </t>
  </si>
  <si>
    <t>Kindred, Latesha</t>
  </si>
  <si>
    <t>Lee, Isaiah</t>
  </si>
  <si>
    <t>Sharma , Sanjeev</t>
  </si>
  <si>
    <t xml:space="preserve">Lee , Isarella </t>
  </si>
  <si>
    <t>Williams , Caden</t>
  </si>
  <si>
    <t xml:space="preserve">Quiroz , Nolen </t>
  </si>
  <si>
    <t>Tipton, Calarey</t>
  </si>
  <si>
    <t xml:space="preserve">Penkalski, Autumn </t>
  </si>
  <si>
    <t>Griffin, Vataurus</t>
  </si>
  <si>
    <t>GARCIA, LYNETTE</t>
  </si>
  <si>
    <t>Chavez Esquivia, Juan</t>
  </si>
  <si>
    <t>Dahadha, Malik</t>
  </si>
  <si>
    <t>Jensen Wright , Heather Ann</t>
  </si>
  <si>
    <t xml:space="preserve">Hood , Brandon </t>
  </si>
  <si>
    <t>West, Cathryn</t>
  </si>
  <si>
    <t>Torres, Alexander</t>
  </si>
  <si>
    <t>EDWARDS, MESSIAH</t>
  </si>
  <si>
    <t xml:space="preserve">Martinez Perez, Eliud </t>
  </si>
  <si>
    <t>Calderon Padill, Mara</t>
  </si>
  <si>
    <t>Lopez, Neolani</t>
  </si>
  <si>
    <t xml:space="preserve">Rebollar , Marilu </t>
  </si>
  <si>
    <t xml:space="preserve">Bedard , Annabella </t>
  </si>
  <si>
    <t xml:space="preserve">Ruiz , Angelina </t>
  </si>
  <si>
    <t xml:space="preserve">Maldonado , Zuleyka </t>
  </si>
  <si>
    <t>Saldivar Venega, Javier</t>
  </si>
  <si>
    <t>Saldivar Venega, Pamela</t>
  </si>
  <si>
    <t xml:space="preserve">Candelaria, Jariel </t>
  </si>
  <si>
    <t>Siso, Samuel</t>
  </si>
  <si>
    <t>Rahmani, Perparim</t>
  </si>
  <si>
    <t>Howell, Jamaria</t>
  </si>
  <si>
    <t>Gonzalez, Sophia</t>
  </si>
  <si>
    <t xml:space="preserve">Santiago Cervan, Alondra </t>
  </si>
  <si>
    <t xml:space="preserve">Rahmani , Elvina </t>
  </si>
  <si>
    <t xml:space="preserve">Mohammed Ali , Ahmed </t>
  </si>
  <si>
    <t xml:space="preserve">Chiappe , Alyssa </t>
  </si>
  <si>
    <t xml:space="preserve">Asala, Lacianna </t>
  </si>
  <si>
    <t>Augustus, Tahjaie</t>
  </si>
  <si>
    <t>Mather, Jade</t>
  </si>
  <si>
    <t xml:space="preserve">Mccoy , Rhyan </t>
  </si>
  <si>
    <t>NESBY , TANISHA</t>
  </si>
  <si>
    <t>Hay, Theodore D</t>
  </si>
  <si>
    <t xml:space="preserve">Valle , Angel </t>
  </si>
  <si>
    <t xml:space="preserve">Gonzales, Monica </t>
  </si>
  <si>
    <t>Rembalski, Yamilet</t>
  </si>
  <si>
    <t>Guadalupe Febre, Jesus</t>
  </si>
  <si>
    <t>Espino Avalos, Alexander</t>
  </si>
  <si>
    <t>Podoba, Sheri</t>
  </si>
  <si>
    <t xml:space="preserve">Uribe , Jose </t>
  </si>
  <si>
    <t>Smith, Chazay</t>
  </si>
  <si>
    <t>Lawreszuk, Krystian</t>
  </si>
  <si>
    <t xml:space="preserve">Wierzchowski, Stella </t>
  </si>
  <si>
    <t>Gonzales, Cristina</t>
  </si>
  <si>
    <t xml:space="preserve">Peyton, Skylar </t>
  </si>
  <si>
    <t>Vanegas, Arely</t>
  </si>
  <si>
    <t>Garcia, Alejandra</t>
  </si>
  <si>
    <t>Bentley, Jessica</t>
  </si>
  <si>
    <t>Zwickey, Sara</t>
  </si>
  <si>
    <t>ALFOQAHA, KARAM</t>
  </si>
  <si>
    <t>Lopez, Christian</t>
  </si>
  <si>
    <t xml:space="preserve">Hamed , Malik </t>
  </si>
  <si>
    <t xml:space="preserve">Nyun , Aung </t>
  </si>
  <si>
    <t>Hamed, Salma</t>
  </si>
  <si>
    <t>Murphy, Carter</t>
  </si>
  <si>
    <t>Mayer, Derrick</t>
  </si>
  <si>
    <t xml:space="preserve">Mayer, Errick </t>
  </si>
  <si>
    <t>Mayer, Devon</t>
  </si>
  <si>
    <t>Hlim , Thiang</t>
  </si>
  <si>
    <t xml:space="preserve">Mitchell, Damiya </t>
  </si>
  <si>
    <t xml:space="preserve">Ramirez, Liliana </t>
  </si>
  <si>
    <t xml:space="preserve">Edwards, Shania </t>
  </si>
  <si>
    <t xml:space="preserve">Wallace , Abel </t>
  </si>
  <si>
    <t>Copado, Carina</t>
  </si>
  <si>
    <t>Benitez, Bianca</t>
  </si>
  <si>
    <t xml:space="preserve">Keller , Nathan </t>
  </si>
  <si>
    <t xml:space="preserve">Brown , Shirley </t>
  </si>
  <si>
    <t xml:space="preserve">Petersen, Christian </t>
  </si>
  <si>
    <t>BARRERA, NATALIE</t>
  </si>
  <si>
    <t xml:space="preserve">Sang Nai , Ah Pong </t>
  </si>
  <si>
    <t xml:space="preserve">ST. ONGE, MEGHAN </t>
  </si>
  <si>
    <t xml:space="preserve">Mahmood , Rehan </t>
  </si>
  <si>
    <t xml:space="preserve">Fowler, Samantha </t>
  </si>
  <si>
    <t>Cruz , Uriel</t>
  </si>
  <si>
    <t>Rivera Pacheco, Ayden</t>
  </si>
  <si>
    <t xml:space="preserve">Hensley, David </t>
  </si>
  <si>
    <t>Casey, Emma</t>
  </si>
  <si>
    <t xml:space="preserve">Mehring , Jacob </t>
  </si>
  <si>
    <t>Osman , Mohamed Khada</t>
  </si>
  <si>
    <t xml:space="preserve">ZAPOT , ALAN </t>
  </si>
  <si>
    <t>Rodriguez, Ashley</t>
  </si>
  <si>
    <t>Hess, Jessica</t>
  </si>
  <si>
    <t>Obrien , Christian</t>
  </si>
  <si>
    <t>BURKS, JAQUALA</t>
  </si>
  <si>
    <t>Vazquez, Iliana</t>
  </si>
  <si>
    <t>Obaidi, Ali Hussein</t>
  </si>
  <si>
    <t>Maldonado, Leslie</t>
  </si>
  <si>
    <t xml:space="preserve">Olivares Camach, Sebastian </t>
  </si>
  <si>
    <t>Gastaldi, Ellyianah</t>
  </si>
  <si>
    <t>Gastaldi, Elliyah</t>
  </si>
  <si>
    <t>Spenceer, Qu Shanda</t>
  </si>
  <si>
    <t>Rubio Prieto, Maria</t>
  </si>
  <si>
    <t xml:space="preserve">Degroot , Isaiah </t>
  </si>
  <si>
    <t xml:space="preserve">Ruiz , Angel </t>
  </si>
  <si>
    <t>Akhbar, Farida</t>
  </si>
  <si>
    <t>Montanez, Maura</t>
  </si>
  <si>
    <t>Fisher , Heidi</t>
  </si>
  <si>
    <t>Frye, Ellen</t>
  </si>
  <si>
    <t>Vassh, Robert</t>
  </si>
  <si>
    <t xml:space="preserve">Al Salihi, Suhad </t>
  </si>
  <si>
    <t>HERNANDEZ AYALA , MERARI</t>
  </si>
  <si>
    <t>Mene, Camila</t>
  </si>
  <si>
    <t xml:space="preserve">York , Christopher </t>
  </si>
  <si>
    <t>Piehl, Jeana</t>
  </si>
  <si>
    <t>Martinez Guzman , Cruz Maria</t>
  </si>
  <si>
    <t xml:space="preserve">Sanders Jones, Kamaya </t>
  </si>
  <si>
    <t>Ibarra Aguilera , Ariel</t>
  </si>
  <si>
    <t xml:space="preserve">York, Harper </t>
  </si>
  <si>
    <t>Torrez, Gabriel</t>
  </si>
  <si>
    <t>Breis, Brian</t>
  </si>
  <si>
    <t>Abdi, Faiza</t>
  </si>
  <si>
    <t xml:space="preserve">Abrego Melendre, Adriana </t>
  </si>
  <si>
    <t xml:space="preserve">Elder , Brooks </t>
  </si>
  <si>
    <t>ORTEGA TREJO, ALVARO</t>
  </si>
  <si>
    <t>Pilot, Heather</t>
  </si>
  <si>
    <t xml:space="preserve">De La Torre , Eduardo </t>
  </si>
  <si>
    <t xml:space="preserve">Evans , Brady </t>
  </si>
  <si>
    <t xml:space="preserve">Rosado , Natalia </t>
  </si>
  <si>
    <t>Dolley, Tiffany</t>
  </si>
  <si>
    <t>Dolley, Michael</t>
  </si>
  <si>
    <t>Mullen, Lakeasha</t>
  </si>
  <si>
    <t xml:space="preserve">Gutierrez Perez , Wendy </t>
  </si>
  <si>
    <t>Abuyyash , Noor</t>
  </si>
  <si>
    <t xml:space="preserve">Hoffmann, Tyler </t>
  </si>
  <si>
    <t>HERNANDEZ PEREZ, JAASIEL</t>
  </si>
  <si>
    <t>D PE , WAHI</t>
  </si>
  <si>
    <t>Ziemianin, Karson</t>
  </si>
  <si>
    <t xml:space="preserve">Romero, Christian </t>
  </si>
  <si>
    <t>Gutierrez, Dalilah</t>
  </si>
  <si>
    <t>Ryan , Reeve</t>
  </si>
  <si>
    <t>LANIER, MADALYNN</t>
  </si>
  <si>
    <t>Rabe , Julia</t>
  </si>
  <si>
    <t xml:space="preserve">Navarrette , Alyson </t>
  </si>
  <si>
    <t>Navarrete, Jade</t>
  </si>
  <si>
    <t>Navarrete, Jacob</t>
  </si>
  <si>
    <t xml:space="preserve">Esparza , Crystal </t>
  </si>
  <si>
    <t xml:space="preserve">Esparza , Zenia </t>
  </si>
  <si>
    <t xml:space="preserve">Porter , Marqwan </t>
  </si>
  <si>
    <t>BENTLEY, CHARLES</t>
  </si>
  <si>
    <t>Townsend, Londyn</t>
  </si>
  <si>
    <t>Lebron Correa, Yahir</t>
  </si>
  <si>
    <t xml:space="preserve">Lagerman , Harper </t>
  </si>
  <si>
    <t xml:space="preserve">Brooks, Lucia </t>
  </si>
  <si>
    <t>Fleming , Glenn</t>
  </si>
  <si>
    <t>Lewis, Tye</t>
  </si>
  <si>
    <t>Mc`Allister, Mary</t>
  </si>
  <si>
    <t xml:space="preserve">Kearney, Troy </t>
  </si>
  <si>
    <t xml:space="preserve">Flores, Raul </t>
  </si>
  <si>
    <t xml:space="preserve">Trapp, Kimberly </t>
  </si>
  <si>
    <t xml:space="preserve">Ruiz , Helen </t>
  </si>
  <si>
    <t>Tercher , James</t>
  </si>
  <si>
    <t xml:space="preserve">Cervantes, Caress </t>
  </si>
  <si>
    <t>Vasey, Ayden</t>
  </si>
  <si>
    <t xml:space="preserve">Popp, Kimberly </t>
  </si>
  <si>
    <t xml:space="preserve">Weiss, Bonnie </t>
  </si>
  <si>
    <t xml:space="preserve">Kemp, Isaiah </t>
  </si>
  <si>
    <t xml:space="preserve">Valle Teron , Luis </t>
  </si>
  <si>
    <t>Jacobsen , Makayla</t>
  </si>
  <si>
    <t xml:space="preserve">Taylor , Natalie </t>
  </si>
  <si>
    <t>Porter, Tobarus</t>
  </si>
  <si>
    <t>Tyler, Aria</t>
  </si>
  <si>
    <t xml:space="preserve">Taylor , Adrian </t>
  </si>
  <si>
    <t xml:space="preserve">Ahrens , Carrie </t>
  </si>
  <si>
    <t>Lopez, Linda</t>
  </si>
  <si>
    <t xml:space="preserve">Mobley , Rosie </t>
  </si>
  <si>
    <t>Abdul Majid , Abdulrashi</t>
  </si>
  <si>
    <t>Dhami, Usha</t>
  </si>
  <si>
    <t>Haupt , Breanna</t>
  </si>
  <si>
    <t>Nevius, Logan</t>
  </si>
  <si>
    <t>Griffin , Jade</t>
  </si>
  <si>
    <t xml:space="preserve">GUZMAN, KEELY </t>
  </si>
  <si>
    <t xml:space="preserve">BROWN , MYRON </t>
  </si>
  <si>
    <t>Lopez Ramirez, Evelyn</t>
  </si>
  <si>
    <t xml:space="preserve">Wooden, Shana </t>
  </si>
  <si>
    <t>Taborn, Tashima</t>
  </si>
  <si>
    <t>Garcia , Qjorge</t>
  </si>
  <si>
    <t>Win, Khin</t>
  </si>
  <si>
    <t>Morales Rivera , Yomary</t>
  </si>
  <si>
    <t>Vetor, Shayla</t>
  </si>
  <si>
    <t xml:space="preserve">Lembke , David </t>
  </si>
  <si>
    <t>Hamilton, Nathan</t>
  </si>
  <si>
    <t>Verdejo, Amelia</t>
  </si>
  <si>
    <t>Disney, Cody</t>
  </si>
  <si>
    <t>Harper, Tom</t>
  </si>
  <si>
    <t xml:space="preserve">Asala , Tracey </t>
  </si>
  <si>
    <t>Klim, Landan</t>
  </si>
  <si>
    <t>Aquino, Alexander</t>
  </si>
  <si>
    <t xml:space="preserve">Williams , Ramon </t>
  </si>
  <si>
    <t xml:space="preserve">Holderman , Brian </t>
  </si>
  <si>
    <t xml:space="preserve">Ward , Glenda </t>
  </si>
  <si>
    <t>Santiago , Ezequiel</t>
  </si>
  <si>
    <t>Busby, Rajanay</t>
  </si>
  <si>
    <t>Foster , Philip</t>
  </si>
  <si>
    <t xml:space="preserve">Miller, Jimmie </t>
  </si>
  <si>
    <t xml:space="preserve">Rogers, Suzette </t>
  </si>
  <si>
    <t>Uihlein, Damon</t>
  </si>
  <si>
    <t>Nelson, Thomas</t>
  </si>
  <si>
    <t xml:space="preserve">Cuautle , Jose </t>
  </si>
  <si>
    <t>Kayed, Mohammad</t>
  </si>
  <si>
    <t xml:space="preserve">Harris , Kylie </t>
  </si>
  <si>
    <t>Cartagena, Sulma</t>
  </si>
  <si>
    <t xml:space="preserve">Rushing , Robert </t>
  </si>
  <si>
    <t>Wagner , Patricia</t>
  </si>
  <si>
    <t xml:space="preserve">Woodall, Anthony </t>
  </si>
  <si>
    <t>Miller , Renee</t>
  </si>
  <si>
    <t xml:space="preserve">Kaczmarek, Robin </t>
  </si>
  <si>
    <t xml:space="preserve">MCKENNEY , BRYCE </t>
  </si>
  <si>
    <t xml:space="preserve">Just , Angela </t>
  </si>
  <si>
    <t>RAMIREZ, GINA</t>
  </si>
  <si>
    <t xml:space="preserve">Mall, Yuna </t>
  </si>
  <si>
    <t xml:space="preserve">Freed , Cynthia </t>
  </si>
  <si>
    <t>Espinoza , Juanmanuel</t>
  </si>
  <si>
    <t xml:space="preserve">Anderson, Jaxson </t>
  </si>
  <si>
    <t>Patel , Sherri</t>
  </si>
  <si>
    <t>FLORES, REYMUNDO</t>
  </si>
  <si>
    <t xml:space="preserve">Musaitef, Suha </t>
  </si>
  <si>
    <t xml:space="preserve">Ford , Zoe </t>
  </si>
  <si>
    <t>COLLIER, ANDREW</t>
  </si>
  <si>
    <t xml:space="preserve">Bey, Tieshina </t>
  </si>
  <si>
    <t>Jackson, Leslie</t>
  </si>
  <si>
    <t>Campbell, Shawnah</t>
  </si>
  <si>
    <t>Argueta, Santos</t>
  </si>
  <si>
    <t>Belongia , Shelly</t>
  </si>
  <si>
    <t>Saldana, Ricardo</t>
  </si>
  <si>
    <t xml:space="preserve">Zamora , Jill </t>
  </si>
  <si>
    <t xml:space="preserve">Mueller , Anthony </t>
  </si>
  <si>
    <t>Whiting , Meikala</t>
  </si>
  <si>
    <t>Whiting, Karmen</t>
  </si>
  <si>
    <t>MIAN, OMAR</t>
  </si>
  <si>
    <t xml:space="preserve">Rogers , Talva </t>
  </si>
  <si>
    <t xml:space="preserve">Bass Hunter , Kaden </t>
  </si>
  <si>
    <t>Pacheco Fonseca , Nilsa</t>
  </si>
  <si>
    <t xml:space="preserve">Dejesus , Adina </t>
  </si>
  <si>
    <t>Britts , Trevoy</t>
  </si>
  <si>
    <t>Hilgers, Jason</t>
  </si>
  <si>
    <t>Zaman, Kamruz</t>
  </si>
  <si>
    <t>Rhinehouse, Suzette</t>
  </si>
  <si>
    <t xml:space="preserve">Ivy, Charity </t>
  </si>
  <si>
    <t xml:space="preserve">Scott , Marshinique </t>
  </si>
  <si>
    <t xml:space="preserve">Roldan, Matthew </t>
  </si>
  <si>
    <t>Faster, Lionedra</t>
  </si>
  <si>
    <t>Romo, Diana</t>
  </si>
  <si>
    <t>Kazikowski, Christian</t>
  </si>
  <si>
    <t xml:space="preserve">Rowe , A`alyssia </t>
  </si>
  <si>
    <t>JACKSON, RAELYN</t>
  </si>
  <si>
    <t>Watts, Laderrius</t>
  </si>
  <si>
    <t>Bain , Scarlett</t>
  </si>
  <si>
    <t>Jiron, Jovan</t>
  </si>
  <si>
    <t>Dougherty, Daniel</t>
  </si>
  <si>
    <t>Asala, Lillian</t>
  </si>
  <si>
    <t xml:space="preserve">Butler , Kenny </t>
  </si>
  <si>
    <t>Lopez Diaz , Abigail</t>
  </si>
  <si>
    <t xml:space="preserve">Alvarado Ortiz, Jean </t>
  </si>
  <si>
    <t xml:space="preserve">Statema, Elanna </t>
  </si>
  <si>
    <t xml:space="preserve">Govea , Guisselle </t>
  </si>
  <si>
    <t xml:space="preserve">Torres, Kimberly </t>
  </si>
  <si>
    <t>Contreras, Jacqueline</t>
  </si>
  <si>
    <t>Bostick Mcgee, Kiya</t>
  </si>
  <si>
    <t>Anderson, Kashmir</t>
  </si>
  <si>
    <t>Baker , Jennifer</t>
  </si>
  <si>
    <t>Monarres, Saul</t>
  </si>
  <si>
    <t>Rainer , Adam</t>
  </si>
  <si>
    <t xml:space="preserve">Christoforos , Wendy </t>
  </si>
  <si>
    <t>Mcgregor, Jamell</t>
  </si>
  <si>
    <t>Robles, Yajaira</t>
  </si>
  <si>
    <t>Jensen , Samuel</t>
  </si>
  <si>
    <t>Buckley, Shikeyla</t>
  </si>
  <si>
    <t>Turner, James</t>
  </si>
  <si>
    <t>HIEU TRUNG, NGUYEN</t>
  </si>
  <si>
    <t>Hulbert, Gabrielle</t>
  </si>
  <si>
    <t xml:space="preserve">Taleb, Ahmad </t>
  </si>
  <si>
    <t>Rumsey, Julie</t>
  </si>
  <si>
    <t>Conner , Nevin</t>
  </si>
  <si>
    <t>Travers, Vanessa</t>
  </si>
  <si>
    <t xml:space="preserve">Cartagena, Isaiah </t>
  </si>
  <si>
    <t xml:space="preserve">MOSLEY , SHAIELA </t>
  </si>
  <si>
    <t xml:space="preserve">Flowers, Dedrick </t>
  </si>
  <si>
    <t>Mcfarland, Kamiah</t>
  </si>
  <si>
    <t xml:space="preserve">Jackson Jr, Jeremy </t>
  </si>
  <si>
    <t>Mohamad Salim, Harun Bin</t>
  </si>
  <si>
    <t>Mcwhorter, Julian</t>
  </si>
  <si>
    <t xml:space="preserve">Martinez, Sabrina </t>
  </si>
  <si>
    <t>MAYER , MELISSA</t>
  </si>
  <si>
    <t>Gloede, Michele</t>
  </si>
  <si>
    <t>Asboth, Patricia</t>
  </si>
  <si>
    <t>Mullen, Natasha</t>
  </si>
  <si>
    <t>Lafever, Lora Lee</t>
  </si>
  <si>
    <t>Lafever, Amberlee</t>
  </si>
  <si>
    <t xml:space="preserve">HIBBLER ORTIZ, JAVION </t>
  </si>
  <si>
    <t>Lichtenwalner, Katherine</t>
  </si>
  <si>
    <t xml:space="preserve">Chudzik, Monika </t>
  </si>
  <si>
    <t>Reyes Berryhill, Aniyah</t>
  </si>
  <si>
    <t xml:space="preserve">Stockdale , Max </t>
  </si>
  <si>
    <t xml:space="preserve">Mcinroy , Clarissa </t>
  </si>
  <si>
    <t>Ghotra, Parminder</t>
  </si>
  <si>
    <t xml:space="preserve">Singh , Jatinder </t>
  </si>
  <si>
    <t>Beardsley , John</t>
  </si>
  <si>
    <t>Singh, Rajbir</t>
  </si>
  <si>
    <t>Singh, Harpreet</t>
  </si>
  <si>
    <t xml:space="preserve">Arreola Correa, Jose Manuel </t>
  </si>
  <si>
    <t>Reh , Mi</t>
  </si>
  <si>
    <t xml:space="preserve">Bachmann, Steven </t>
  </si>
  <si>
    <t>Smith, Garry</t>
  </si>
  <si>
    <t xml:space="preserve">Rodriguez , Miguel </t>
  </si>
  <si>
    <t xml:space="preserve">Fernandez Corrales , Reyna </t>
  </si>
  <si>
    <t xml:space="preserve">Roman, Suley </t>
  </si>
  <si>
    <t>Rivas, Maria</t>
  </si>
  <si>
    <t>Pacheco  Lopez, Guillermo</t>
  </si>
  <si>
    <t xml:space="preserve">Singh Khashre, Manjeet </t>
  </si>
  <si>
    <t xml:space="preserve">Farley , D`Juan </t>
  </si>
  <si>
    <t xml:space="preserve">Martino , Kimberly </t>
  </si>
  <si>
    <t>ABDEL KHALEQ, AMMAR MOHD AHMAD</t>
  </si>
  <si>
    <t>Bedard, Marcia</t>
  </si>
  <si>
    <t xml:space="preserve">Cox , Ryan </t>
  </si>
  <si>
    <t xml:space="preserve">Cruz Montes, Luis </t>
  </si>
  <si>
    <t>Silva, Maria</t>
  </si>
  <si>
    <t>Ricchio, Adam</t>
  </si>
  <si>
    <t xml:space="preserve">Howell Stewart , Cynthia </t>
  </si>
  <si>
    <t>Herredia, Valeria</t>
  </si>
  <si>
    <t xml:space="preserve">Oliver , Kelly </t>
  </si>
  <si>
    <t>Garcia Luis, Maria De Jesus</t>
  </si>
  <si>
    <t>Arrcho, Maria</t>
  </si>
  <si>
    <t>Pearson, Gilbert</t>
  </si>
  <si>
    <t>Carmona, Alejo</t>
  </si>
  <si>
    <t xml:space="preserve">Cain, Adam </t>
  </si>
  <si>
    <t>Haen , Darrell</t>
  </si>
  <si>
    <t>Arellano, Angel</t>
  </si>
  <si>
    <t>Rubio, Cinthia</t>
  </si>
  <si>
    <t>Santana , Wilfrido</t>
  </si>
  <si>
    <t xml:space="preserve">Villa , Alicia </t>
  </si>
  <si>
    <t>Nizar Fattah , Obaida</t>
  </si>
  <si>
    <t>Miller, Donald</t>
  </si>
  <si>
    <t>Mohamed, Suher</t>
  </si>
  <si>
    <t>Hussein , Morad</t>
  </si>
  <si>
    <t>Petsin, Ashley</t>
  </si>
  <si>
    <t>VALAZQUEZ, VIRGINIA</t>
  </si>
  <si>
    <t>Brock , William</t>
  </si>
  <si>
    <t>Story, Mary</t>
  </si>
  <si>
    <t xml:space="preserve">Hasting, Donald </t>
  </si>
  <si>
    <t xml:space="preserve">Saldivar , Silvia </t>
  </si>
  <si>
    <t>Kaur, Kuldip</t>
  </si>
  <si>
    <t>Singh, Satnam</t>
  </si>
  <si>
    <t>Garcia , Martin</t>
  </si>
  <si>
    <t>Cox , Sherry</t>
  </si>
  <si>
    <t>Jaitly, Kiran</t>
  </si>
  <si>
    <t>Kaur , Rajwinder</t>
  </si>
  <si>
    <t>Mcdougalds, James</t>
  </si>
  <si>
    <t xml:space="preserve">Rabideau, Wayne </t>
  </si>
  <si>
    <t>Rangel, Anastacia</t>
  </si>
  <si>
    <t xml:space="preserve">Reed , Janet </t>
  </si>
  <si>
    <t xml:space="preserve">Payne , Daniel </t>
  </si>
  <si>
    <t>Modesti, Eugene</t>
  </si>
  <si>
    <t>Smith, Amy</t>
  </si>
  <si>
    <t xml:space="preserve">Shannon, Versie </t>
  </si>
  <si>
    <t>Jorgensen , Michael</t>
  </si>
  <si>
    <t>Bostick, Dale</t>
  </si>
  <si>
    <t>Sanderson, Karen</t>
  </si>
  <si>
    <t>Walker, Nehemiah</t>
  </si>
  <si>
    <t xml:space="preserve">Beatovic , Dennis </t>
  </si>
  <si>
    <t>PLUMB, STELLA</t>
  </si>
  <si>
    <t>Udvare, Sherry</t>
  </si>
  <si>
    <t>Waterstraat , Brian</t>
  </si>
  <si>
    <t xml:space="preserve">Titone , Ronald </t>
  </si>
  <si>
    <t>Parnell, Dajsha</t>
  </si>
  <si>
    <t xml:space="preserve">Landreman , Carolyn </t>
  </si>
  <si>
    <t>Pecard , Lorna</t>
  </si>
  <si>
    <t xml:space="preserve">STOCKER , ETHAN </t>
  </si>
  <si>
    <t>Dickman, David</t>
  </si>
  <si>
    <t>Kahlani, Medina</t>
  </si>
  <si>
    <t>Eckert, Justin</t>
  </si>
  <si>
    <t xml:space="preserve">Atkinson , Anita </t>
  </si>
  <si>
    <t>Evangelista, Yazmin</t>
  </si>
  <si>
    <t>Rattle , Loree</t>
  </si>
  <si>
    <t>Vargas, Mariah</t>
  </si>
  <si>
    <t xml:space="preserve">Williams , Treanta </t>
  </si>
  <si>
    <t xml:space="preserve">Naumczik , Stacey </t>
  </si>
  <si>
    <t>Vargas Ruiz , Alfredo</t>
  </si>
  <si>
    <t>Pollack , Kai</t>
  </si>
  <si>
    <t>Salamone Cacciotti , Kimberle</t>
  </si>
  <si>
    <t xml:space="preserve">Jaeger , Brooke </t>
  </si>
  <si>
    <t>Velazquez, Spencer</t>
  </si>
  <si>
    <t xml:space="preserve">Siebold , Ruth </t>
  </si>
  <si>
    <t>Martinez Mendez , Kiara</t>
  </si>
  <si>
    <t>Kraft, Douglas</t>
  </si>
  <si>
    <t>Chavez, Britney</t>
  </si>
  <si>
    <t>Bautista, Nathan</t>
  </si>
  <si>
    <t>Pandey, Asha</t>
  </si>
  <si>
    <t>Mason, Umar</t>
  </si>
  <si>
    <t>Rojas, Emiliano</t>
  </si>
  <si>
    <t xml:space="preserve">Castillo, Maria </t>
  </si>
  <si>
    <t xml:space="preserve">Jackson, Kiara </t>
  </si>
  <si>
    <t>Golden , Elvin</t>
  </si>
  <si>
    <t xml:space="preserve">Perkins, Ronald </t>
  </si>
  <si>
    <t>Knepper, Emmalyn</t>
  </si>
  <si>
    <t>Knepper, Bennet</t>
  </si>
  <si>
    <t xml:space="preserve">Nealduncan , Charlotte </t>
  </si>
  <si>
    <t xml:space="preserve">Koch, Gabriella </t>
  </si>
  <si>
    <t>Armstrong, Linda</t>
  </si>
  <si>
    <t>Wellhausen , William</t>
  </si>
  <si>
    <t>Deal, Michelle</t>
  </si>
  <si>
    <t>RANDLE, RACHAEL</t>
  </si>
  <si>
    <t xml:space="preserve">Mokry , Bianca </t>
  </si>
  <si>
    <t xml:space="preserve">Eckblad , Amanda </t>
  </si>
  <si>
    <t>Shkreli, Aleks</t>
  </si>
  <si>
    <t>FONK, JOLENE</t>
  </si>
  <si>
    <t>BETTACK, EMBER</t>
  </si>
  <si>
    <t xml:space="preserve">Love , Sandra </t>
  </si>
  <si>
    <t xml:space="preserve">Sahebi, Jahan </t>
  </si>
  <si>
    <t>Shelby , David</t>
  </si>
  <si>
    <t>Cortez, Theresa</t>
  </si>
  <si>
    <t>RILEY, LONNIE</t>
  </si>
  <si>
    <t>Perkins, Noah</t>
  </si>
  <si>
    <t xml:space="preserve">Brown , Norma </t>
  </si>
  <si>
    <t>Titone, Diane</t>
  </si>
  <si>
    <t xml:space="preserve">Lawrence, Jaxon </t>
  </si>
  <si>
    <t>Morrison, Holly</t>
  </si>
  <si>
    <t xml:space="preserve">Daher, Aziza </t>
  </si>
  <si>
    <t>Castor, Casandra</t>
  </si>
  <si>
    <t xml:space="preserve">Tutaj, Rylee </t>
  </si>
  <si>
    <t xml:space="preserve">Turcios , Maribel </t>
  </si>
  <si>
    <t xml:space="preserve">Love , Rebecca </t>
  </si>
  <si>
    <t>Capol , Joseph</t>
  </si>
  <si>
    <t>Alioto , Rose</t>
  </si>
  <si>
    <t>Nunez, Gema</t>
  </si>
  <si>
    <t>9200</t>
  </si>
  <si>
    <t>7412</t>
  </si>
  <si>
    <t>9330</t>
  </si>
  <si>
    <t>4527</t>
  </si>
  <si>
    <t>8543</t>
  </si>
  <si>
    <t>9345</t>
  </si>
  <si>
    <t>2668</t>
  </si>
  <si>
    <t>3727</t>
  </si>
  <si>
    <t>3729</t>
  </si>
  <si>
    <t>4246</t>
  </si>
  <si>
    <t>3728</t>
  </si>
  <si>
    <t>6734</t>
  </si>
  <si>
    <t>5453</t>
  </si>
  <si>
    <t>7171</t>
  </si>
  <si>
    <t>5823</t>
  </si>
  <si>
    <t>9036</t>
  </si>
  <si>
    <t>7711</t>
  </si>
  <si>
    <t>8777</t>
  </si>
  <si>
    <t>9237</t>
  </si>
  <si>
    <t>7471</t>
  </si>
  <si>
    <t>5759</t>
  </si>
  <si>
    <t>8803</t>
  </si>
  <si>
    <t>8802</t>
  </si>
  <si>
    <t>8713</t>
  </si>
  <si>
    <t>8165</t>
  </si>
  <si>
    <t>7712</t>
  </si>
  <si>
    <t>7755</t>
  </si>
  <si>
    <t>3523</t>
  </si>
  <si>
    <t>5758</t>
  </si>
  <si>
    <t>8109</t>
  </si>
  <si>
    <t>479</t>
  </si>
  <si>
    <t>5310</t>
  </si>
  <si>
    <t>7084</t>
  </si>
  <si>
    <t>821</t>
  </si>
  <si>
    <t>3001</t>
  </si>
  <si>
    <t>1865</t>
  </si>
  <si>
    <t>5461</t>
  </si>
  <si>
    <t>2870</t>
  </si>
  <si>
    <t>6277</t>
  </si>
  <si>
    <t>9286</t>
  </si>
  <si>
    <t>8966</t>
  </si>
  <si>
    <t>9079</t>
  </si>
  <si>
    <t>4735</t>
  </si>
  <si>
    <t>6339</t>
  </si>
  <si>
    <t>8250</t>
  </si>
  <si>
    <t>8537</t>
  </si>
  <si>
    <t>7397</t>
  </si>
  <si>
    <t>8419</t>
  </si>
  <si>
    <t>7216</t>
  </si>
  <si>
    <t>6340</t>
  </si>
  <si>
    <t>7729</t>
  </si>
  <si>
    <t>4691</t>
  </si>
  <si>
    <t>5011</t>
  </si>
  <si>
    <t>5311</t>
  </si>
  <si>
    <t>1695</t>
  </si>
  <si>
    <t>6130</t>
  </si>
  <si>
    <t>8678</t>
  </si>
  <si>
    <t>8437</t>
  </si>
  <si>
    <t>7808</t>
  </si>
  <si>
    <t>7899</t>
  </si>
  <si>
    <t>7782</t>
  </si>
  <si>
    <t>7024</t>
  </si>
  <si>
    <t>2431</t>
  </si>
  <si>
    <t>2432</t>
  </si>
  <si>
    <t>3084</t>
  </si>
  <si>
    <t>9219</t>
  </si>
  <si>
    <t>2943</t>
  </si>
  <si>
    <t>9077</t>
  </si>
  <si>
    <t>9302</t>
  </si>
  <si>
    <t>7851</t>
  </si>
  <si>
    <t>9278</t>
  </si>
  <si>
    <t>9285</t>
  </si>
  <si>
    <t>8696</t>
  </si>
  <si>
    <t>9053</t>
  </si>
  <si>
    <t>9303</t>
  </si>
  <si>
    <t>9056</t>
  </si>
  <si>
    <t>9055</t>
  </si>
  <si>
    <t>3351</t>
  </si>
  <si>
    <t>903</t>
  </si>
  <si>
    <t>8091</t>
  </si>
  <si>
    <t>7691</t>
  </si>
  <si>
    <t>8087</t>
  </si>
  <si>
    <t>8667</t>
  </si>
  <si>
    <t>6261</t>
  </si>
  <si>
    <t>4228</t>
  </si>
  <si>
    <t>2389</t>
  </si>
  <si>
    <t>9035</t>
  </si>
  <si>
    <t>8773</t>
  </si>
  <si>
    <t>9126</t>
  </si>
  <si>
    <t>8849</t>
  </si>
  <si>
    <t>2363</t>
  </si>
  <si>
    <t>8814</t>
  </si>
  <si>
    <t>9013</t>
  </si>
  <si>
    <t>8958</t>
  </si>
  <si>
    <t>2956</t>
  </si>
  <si>
    <t>8714</t>
  </si>
  <si>
    <t>8863</t>
  </si>
  <si>
    <t>629</t>
  </si>
  <si>
    <t>8765</t>
  </si>
  <si>
    <t>8807</t>
  </si>
  <si>
    <t>8755</t>
  </si>
  <si>
    <t>2692</t>
  </si>
  <si>
    <t>3566</t>
  </si>
  <si>
    <t>8816</t>
  </si>
  <si>
    <t>8820</t>
  </si>
  <si>
    <t>8818</t>
  </si>
  <si>
    <t>8824</t>
  </si>
  <si>
    <t>3354</t>
  </si>
  <si>
    <t>4161</t>
  </si>
  <si>
    <t>2411</t>
  </si>
  <si>
    <t>7575</t>
  </si>
  <si>
    <t>7903</t>
  </si>
  <si>
    <t>8736</t>
  </si>
  <si>
    <t>8505</t>
  </si>
  <si>
    <t>8772</t>
  </si>
  <si>
    <t>8749</t>
  </si>
  <si>
    <t>4780</t>
  </si>
  <si>
    <t>5639</t>
  </si>
  <si>
    <t>8742</t>
  </si>
  <si>
    <t>8619</t>
  </si>
  <si>
    <t>8725</t>
  </si>
  <si>
    <t>8307</t>
  </si>
  <si>
    <t>4346</t>
  </si>
  <si>
    <t>8523</t>
  </si>
  <si>
    <t>4513</t>
  </si>
  <si>
    <t>8364</t>
  </si>
  <si>
    <t>7804</t>
  </si>
  <si>
    <t>5893</t>
  </si>
  <si>
    <t>5894</t>
  </si>
  <si>
    <t>9415</t>
  </si>
  <si>
    <t>6232</t>
  </si>
  <si>
    <t>9418</t>
  </si>
  <si>
    <t>9369</t>
  </si>
  <si>
    <t>7791</t>
  </si>
  <si>
    <t>3132</t>
  </si>
  <si>
    <t>6446</t>
  </si>
  <si>
    <t>8576</t>
  </si>
  <si>
    <t>9177</t>
  </si>
  <si>
    <t>9382</t>
  </si>
  <si>
    <t>7792</t>
  </si>
  <si>
    <t>8103</t>
  </si>
  <si>
    <t>9374</t>
  </si>
  <si>
    <t>5008</t>
  </si>
  <si>
    <t>8999</t>
  </si>
  <si>
    <t>7552</t>
  </si>
  <si>
    <t>7507</t>
  </si>
  <si>
    <t>9228</t>
  </si>
  <si>
    <t>8289</t>
  </si>
  <si>
    <t>8912</t>
  </si>
  <si>
    <t>8223</t>
  </si>
  <si>
    <t>963</t>
  </si>
  <si>
    <t>8875</t>
  </si>
  <si>
    <t>3381</t>
  </si>
  <si>
    <t>7002</t>
  </si>
  <si>
    <t>9057</t>
  </si>
  <si>
    <t>2435</t>
  </si>
  <si>
    <t>5743</t>
  </si>
  <si>
    <t>9050</t>
  </si>
  <si>
    <t>3498</t>
  </si>
  <si>
    <t>148</t>
  </si>
  <si>
    <t>8979</t>
  </si>
  <si>
    <t>8054</t>
  </si>
  <si>
    <t>7671</t>
  </si>
  <si>
    <t>1665</t>
  </si>
  <si>
    <t>193</t>
  </si>
  <si>
    <t>3544</t>
  </si>
  <si>
    <t>7001</t>
  </si>
  <si>
    <t>8579</t>
  </si>
  <si>
    <t>1427</t>
  </si>
  <si>
    <t>8587</t>
  </si>
  <si>
    <t>8333</t>
  </si>
  <si>
    <t>3994</t>
  </si>
  <si>
    <t>7777</t>
  </si>
  <si>
    <t>4685</t>
  </si>
  <si>
    <t>4039</t>
  </si>
  <si>
    <t>4837</t>
  </si>
  <si>
    <t>8263</t>
  </si>
  <si>
    <t>8425</t>
  </si>
  <si>
    <t>3075</t>
  </si>
  <si>
    <t>7477</t>
  </si>
  <si>
    <t>7772</t>
  </si>
  <si>
    <t>7056</t>
  </si>
  <si>
    <t>7387</t>
  </si>
  <si>
    <t>4567</t>
  </si>
  <si>
    <t>5270</t>
  </si>
  <si>
    <t>4720</t>
  </si>
  <si>
    <t>8131</t>
  </si>
  <si>
    <t>5783</t>
  </si>
  <si>
    <t>7416</t>
  </si>
  <si>
    <t>8126</t>
  </si>
  <si>
    <t>1899</t>
  </si>
  <si>
    <t>5432</t>
  </si>
  <si>
    <t>7482</t>
  </si>
  <si>
    <t>7489</t>
  </si>
  <si>
    <t>8747</t>
  </si>
  <si>
    <t>9424</t>
  </si>
  <si>
    <t>8673</t>
  </si>
  <si>
    <t>4331</t>
  </si>
  <si>
    <t>4269</t>
  </si>
  <si>
    <t>9243</t>
  </si>
  <si>
    <t>9313</t>
  </si>
  <si>
    <t>8925</t>
  </si>
  <si>
    <t>9377</t>
  </si>
  <si>
    <t>7182</t>
  </si>
  <si>
    <t>1597</t>
  </si>
  <si>
    <t>9154</t>
  </si>
  <si>
    <t>9156</t>
  </si>
  <si>
    <t>9176</t>
  </si>
  <si>
    <t>9357</t>
  </si>
  <si>
    <t>3645</t>
  </si>
  <si>
    <t>6000</t>
  </si>
  <si>
    <t>9170</t>
  </si>
  <si>
    <t>9171</t>
  </si>
  <si>
    <t>9305</t>
  </si>
  <si>
    <t>4183</t>
  </si>
  <si>
    <t>3807</t>
  </si>
  <si>
    <t>8855</t>
  </si>
  <si>
    <t>3802</t>
  </si>
  <si>
    <t>6797</t>
  </si>
  <si>
    <t>2028</t>
  </si>
  <si>
    <t>9312</t>
  </si>
  <si>
    <t>9339</t>
  </si>
  <si>
    <t>7281</t>
  </si>
  <si>
    <t>1902</t>
  </si>
  <si>
    <t>8028</t>
  </si>
  <si>
    <t>9323</t>
  </si>
  <si>
    <t>7981</t>
  </si>
  <si>
    <t>3710</t>
  </si>
  <si>
    <t>9118</t>
  </si>
  <si>
    <t>3276</t>
  </si>
  <si>
    <t>9315</t>
  </si>
  <si>
    <t>9314</t>
  </si>
  <si>
    <t>9091</t>
  </si>
  <si>
    <t>9290</t>
  </si>
  <si>
    <t>6822</t>
  </si>
  <si>
    <t>750</t>
  </si>
  <si>
    <t>1005</t>
  </si>
  <si>
    <t>9263</t>
  </si>
  <si>
    <t>4621</t>
  </si>
  <si>
    <t>1004</t>
  </si>
  <si>
    <t>4989</t>
  </si>
  <si>
    <t>4622</t>
  </si>
  <si>
    <t>3227</t>
  </si>
  <si>
    <t>7855</t>
  </si>
  <si>
    <t>7306</t>
  </si>
  <si>
    <t>6902</t>
  </si>
  <si>
    <t>4131</t>
  </si>
  <si>
    <t>6019</t>
  </si>
  <si>
    <t>4383</t>
  </si>
  <si>
    <t>8442</t>
  </si>
  <si>
    <t>8439</t>
  </si>
  <si>
    <t>4682</t>
  </si>
  <si>
    <t>8973</t>
  </si>
  <si>
    <t>9051</t>
  </si>
  <si>
    <t>8851</t>
  </si>
  <si>
    <t>8984</t>
  </si>
  <si>
    <t>8835</t>
  </si>
  <si>
    <t>2372</t>
  </si>
  <si>
    <t>4785</t>
  </si>
  <si>
    <t>4289</t>
  </si>
  <si>
    <t>7310</t>
  </si>
  <si>
    <t>7759</t>
  </si>
  <si>
    <t>8738</t>
  </si>
  <si>
    <t>1349</t>
  </si>
  <si>
    <t>8761</t>
  </si>
  <si>
    <t>4414</t>
  </si>
  <si>
    <t>8760</t>
  </si>
  <si>
    <t>8758</t>
  </si>
  <si>
    <t>3440</t>
  </si>
  <si>
    <t>4388</t>
  </si>
  <si>
    <t>8573</t>
  </si>
  <si>
    <t>2501</t>
  </si>
  <si>
    <t>3740</t>
  </si>
  <si>
    <t>8290</t>
  </si>
  <si>
    <t>3687</t>
  </si>
  <si>
    <t>8804</t>
  </si>
  <si>
    <t>8850</t>
  </si>
  <si>
    <t>2653</t>
  </si>
  <si>
    <t>8834</t>
  </si>
  <si>
    <t>8833</t>
  </si>
  <si>
    <t>8633</t>
  </si>
  <si>
    <t>8822</t>
  </si>
  <si>
    <t>8682</t>
  </si>
  <si>
    <t>2541</t>
  </si>
  <si>
    <t>5944</t>
  </si>
  <si>
    <t>7034</t>
  </si>
  <si>
    <t>8809</t>
  </si>
  <si>
    <t>7964</t>
  </si>
  <si>
    <t>8770</t>
  </si>
  <si>
    <t>2540</t>
  </si>
  <si>
    <t>7680</t>
  </si>
  <si>
    <t>3996</t>
  </si>
  <si>
    <t>8187</t>
  </si>
  <si>
    <t>8647</t>
  </si>
  <si>
    <t>1199</t>
  </si>
  <si>
    <t>4530</t>
  </si>
  <si>
    <t>8716</t>
  </si>
  <si>
    <t>8732</t>
  </si>
  <si>
    <t>8027</t>
  </si>
  <si>
    <t>4500</t>
  </si>
  <si>
    <t>5821</t>
  </si>
  <si>
    <t>6169</t>
  </si>
  <si>
    <t>8715</t>
  </si>
  <si>
    <t>5822</t>
  </si>
  <si>
    <t>5718</t>
  </si>
  <si>
    <t>5932</t>
  </si>
  <si>
    <t>7273</t>
  </si>
  <si>
    <t>5933</t>
  </si>
  <si>
    <t>8701</t>
  </si>
  <si>
    <t>8702</t>
  </si>
  <si>
    <t>8527</t>
  </si>
  <si>
    <t>8719</t>
  </si>
  <si>
    <t>7857</t>
  </si>
  <si>
    <t>8706</t>
  </si>
  <si>
    <t>4132</t>
  </si>
  <si>
    <t>8658</t>
  </si>
  <si>
    <t>7374</t>
  </si>
  <si>
    <t>7376</t>
  </si>
  <si>
    <t>7652</t>
  </si>
  <si>
    <t>4181</t>
  </si>
  <si>
    <t>4180</t>
  </si>
  <si>
    <t>8360</t>
  </si>
  <si>
    <t>3074</t>
  </si>
  <si>
    <t>1771</t>
  </si>
  <si>
    <t>3011</t>
  </si>
  <si>
    <t>2813</t>
  </si>
  <si>
    <t>6945</t>
  </si>
  <si>
    <t>6191</t>
  </si>
  <si>
    <t>6193</t>
  </si>
  <si>
    <t>8610</t>
  </si>
  <si>
    <t>6499</t>
  </si>
  <si>
    <t>6192</t>
  </si>
  <si>
    <t>7162</t>
  </si>
  <si>
    <t>7163</t>
  </si>
  <si>
    <t>8570</t>
  </si>
  <si>
    <t>5147</t>
  </si>
  <si>
    <t>8675</t>
  </si>
  <si>
    <t>8285</t>
  </si>
  <si>
    <t>7885</t>
  </si>
  <si>
    <t>8283</t>
  </si>
  <si>
    <t>8676</t>
  </si>
  <si>
    <t>8404</t>
  </si>
  <si>
    <t>8555</t>
  </si>
  <si>
    <t>7705</t>
  </si>
  <si>
    <t>8483</t>
  </si>
  <si>
    <t>2825</t>
  </si>
  <si>
    <t>596</t>
  </si>
  <si>
    <t>6769</t>
  </si>
  <si>
    <t>8480</t>
  </si>
  <si>
    <t>8578</t>
  </si>
  <si>
    <t>4857</t>
  </si>
  <si>
    <t>8564</t>
  </si>
  <si>
    <t>4841</t>
  </si>
  <si>
    <t>8565</t>
  </si>
  <si>
    <t>6266</t>
  </si>
  <si>
    <t>2654</t>
  </si>
  <si>
    <t>8493</t>
  </si>
  <si>
    <t>7842</t>
  </si>
  <si>
    <t>752</t>
  </si>
  <si>
    <t>7081</t>
  </si>
  <si>
    <t>8560</t>
  </si>
  <si>
    <t>8561</t>
  </si>
  <si>
    <t>7135</t>
  </si>
  <si>
    <t>3707</t>
  </si>
  <si>
    <t>5596</t>
  </si>
  <si>
    <t>5720</t>
  </si>
  <si>
    <t>3144</t>
  </si>
  <si>
    <t>8514</t>
  </si>
  <si>
    <t>3546</t>
  </si>
  <si>
    <t>8575</t>
  </si>
  <si>
    <t>8546</t>
  </si>
  <si>
    <t>6770</t>
  </si>
  <si>
    <t>7904</t>
  </si>
  <si>
    <t>8470</t>
  </si>
  <si>
    <t>8508</t>
  </si>
  <si>
    <t>1982</t>
  </si>
  <si>
    <t>1661</t>
  </si>
  <si>
    <t>8214</t>
  </si>
  <si>
    <t>3914</t>
  </si>
  <si>
    <t>3960</t>
  </si>
  <si>
    <t>5419</t>
  </si>
  <si>
    <t>7983</t>
  </si>
  <si>
    <t>5568</t>
  </si>
  <si>
    <t>1750</t>
  </si>
  <si>
    <t>6646</t>
  </si>
  <si>
    <t>8421</t>
  </si>
  <si>
    <t>3514</t>
  </si>
  <si>
    <t>3447</t>
  </si>
  <si>
    <t>5240</t>
  </si>
  <si>
    <t>7348</t>
  </si>
  <si>
    <t>5798</t>
  </si>
  <si>
    <t>5533</t>
  </si>
  <si>
    <t>5256</t>
  </si>
  <si>
    <t>5532</t>
  </si>
  <si>
    <t>5735</t>
  </si>
  <si>
    <t>8039</t>
  </si>
  <si>
    <t>1749</t>
  </si>
  <si>
    <t>8347</t>
  </si>
  <si>
    <t>8420</t>
  </si>
  <si>
    <t>8299</t>
  </si>
  <si>
    <t>8275</t>
  </si>
  <si>
    <t>7846</t>
  </si>
  <si>
    <t>7828</t>
  </si>
  <si>
    <t>4291</t>
  </si>
  <si>
    <t>8388</t>
  </si>
  <si>
    <t>3105</t>
  </si>
  <si>
    <t>8334</t>
  </si>
  <si>
    <t>6353</t>
  </si>
  <si>
    <t>8397</t>
  </si>
  <si>
    <t>8359</t>
  </si>
  <si>
    <t>5841</t>
  </si>
  <si>
    <t>3881</t>
  </si>
  <si>
    <t>5531</t>
  </si>
  <si>
    <t>8323</t>
  </si>
  <si>
    <t>8329</t>
  </si>
  <si>
    <t>8338</t>
  </si>
  <si>
    <t>5489</t>
  </si>
  <si>
    <t>2568</t>
  </si>
  <si>
    <t>5290</t>
  </si>
  <si>
    <t>2502</t>
  </si>
  <si>
    <t>2503</t>
  </si>
  <si>
    <t>7833</t>
  </si>
  <si>
    <t>2688</t>
  </si>
  <si>
    <t>8340</t>
  </si>
  <si>
    <t>8348</t>
  </si>
  <si>
    <t>1188</t>
  </si>
  <si>
    <t>8227</t>
  </si>
  <si>
    <t>6958</t>
  </si>
  <si>
    <t>5488</t>
  </si>
  <si>
    <t>8286</t>
  </si>
  <si>
    <t>6367</t>
  </si>
  <si>
    <t>1627</t>
  </si>
  <si>
    <t>6136</t>
  </si>
  <si>
    <t>6501</t>
  </si>
  <si>
    <t>698</t>
  </si>
  <si>
    <t>5257</t>
  </si>
  <si>
    <t>7874</t>
  </si>
  <si>
    <t>8118</t>
  </si>
  <si>
    <t>8045</t>
  </si>
  <si>
    <t>7746</t>
  </si>
  <si>
    <t>6881</t>
  </si>
  <si>
    <t>474</t>
  </si>
  <si>
    <t>8218</t>
  </si>
  <si>
    <t>6022</t>
  </si>
  <si>
    <t>7697</t>
  </si>
  <si>
    <t>6765</t>
  </si>
  <si>
    <t>8121</t>
  </si>
  <si>
    <t>7896</t>
  </si>
  <si>
    <t>36</t>
  </si>
  <si>
    <t>7765</t>
  </si>
  <si>
    <t>1434</t>
  </si>
  <si>
    <t>124</t>
  </si>
  <si>
    <t>3848</t>
  </si>
  <si>
    <t>8207</t>
  </si>
  <si>
    <t>4772</t>
  </si>
  <si>
    <t>8219</t>
  </si>
  <si>
    <t>1093</t>
  </si>
  <si>
    <t>2358</t>
  </si>
  <si>
    <t>6238</t>
  </si>
  <si>
    <t>6237</t>
  </si>
  <si>
    <t>6236</t>
  </si>
  <si>
    <t>6830</t>
  </si>
  <si>
    <t>4538</t>
  </si>
  <si>
    <t>6163</t>
  </si>
  <si>
    <t>6867</t>
  </si>
  <si>
    <t>7478</t>
  </si>
  <si>
    <t>1191</t>
  </si>
  <si>
    <t>7624</t>
  </si>
  <si>
    <t>6368</t>
  </si>
  <si>
    <t>5670</t>
  </si>
  <si>
    <t>797</t>
  </si>
  <si>
    <t>4266</t>
  </si>
  <si>
    <t>7394</t>
  </si>
  <si>
    <t>3817</t>
  </si>
  <si>
    <t>7240</t>
  </si>
  <si>
    <t>6108</t>
  </si>
  <si>
    <t>7032</t>
  </si>
  <si>
    <t>7360</t>
  </si>
  <si>
    <t>7292</t>
  </si>
  <si>
    <t>1084</t>
  </si>
  <si>
    <t>5101</t>
  </si>
  <si>
    <t>7349</t>
  </si>
  <si>
    <t>7242</t>
  </si>
  <si>
    <t>7086</t>
  </si>
  <si>
    <t>3959</t>
  </si>
  <si>
    <t>7356</t>
  </si>
  <si>
    <t>3918</t>
  </si>
  <si>
    <t>7157</t>
  </si>
  <si>
    <t>7285</t>
  </si>
  <si>
    <t>7192</t>
  </si>
  <si>
    <t>6349</t>
  </si>
  <si>
    <t>7093</t>
  </si>
  <si>
    <t>7094</t>
  </si>
  <si>
    <t>7118</t>
  </si>
  <si>
    <t>7121</t>
  </si>
  <si>
    <t>7108</t>
  </si>
  <si>
    <t>6774</t>
  </si>
  <si>
    <t>6974</t>
  </si>
  <si>
    <t>6749</t>
  </si>
  <si>
    <t>6906</t>
  </si>
  <si>
    <t>1404</t>
  </si>
  <si>
    <t>562</t>
  </si>
  <si>
    <t>6010</t>
  </si>
  <si>
    <t>6831</t>
  </si>
  <si>
    <t>6741</t>
  </si>
  <si>
    <t>6833</t>
  </si>
  <si>
    <t>956</t>
  </si>
  <si>
    <t>5643</t>
  </si>
  <si>
    <t>4844</t>
  </si>
  <si>
    <t>5700</t>
  </si>
  <si>
    <t>4843</t>
  </si>
  <si>
    <t>2932</t>
  </si>
  <si>
    <t>1745</t>
  </si>
  <si>
    <t>5848</t>
  </si>
  <si>
    <t>6146</t>
  </si>
  <si>
    <t>6007</t>
  </si>
  <si>
    <t>3477</t>
  </si>
  <si>
    <t>1992</t>
  </si>
  <si>
    <t>5201</t>
  </si>
  <si>
    <t>5063</t>
  </si>
  <si>
    <t>5175</t>
  </si>
  <si>
    <t>5819</t>
  </si>
  <si>
    <t>5818</t>
  </si>
  <si>
    <t>1662</t>
  </si>
  <si>
    <t>5258</t>
  </si>
  <si>
    <t>5205</t>
  </si>
  <si>
    <t>4401</t>
  </si>
  <si>
    <t>3547</t>
  </si>
  <si>
    <t>3955</t>
  </si>
  <si>
    <t>4319</t>
  </si>
  <si>
    <t>4304</t>
  </si>
  <si>
    <t>4272</t>
  </si>
  <si>
    <t>3469</t>
  </si>
  <si>
    <t>3503</t>
  </si>
  <si>
    <t>570</t>
  </si>
  <si>
    <t>79</t>
  </si>
  <si>
    <t>1264</t>
  </si>
  <si>
    <t>131</t>
  </si>
  <si>
    <t>3218</t>
  </si>
  <si>
    <t>3269</t>
  </si>
  <si>
    <t>2188</t>
  </si>
  <si>
    <t>1610</t>
  </si>
  <si>
    <t>716</t>
  </si>
  <si>
    <t>7330</t>
  </si>
  <si>
    <t>9307</t>
  </si>
  <si>
    <t>1347</t>
  </si>
  <si>
    <t>9158</t>
  </si>
  <si>
    <t>9331</t>
  </si>
  <si>
    <t>9405</t>
  </si>
  <si>
    <t>9019</t>
  </si>
  <si>
    <t>8563</t>
  </si>
  <si>
    <t>7815</t>
  </si>
  <si>
    <t>2686</t>
  </si>
  <si>
    <t>9267</t>
  </si>
  <si>
    <t>4419</t>
  </si>
  <si>
    <t>1460</t>
  </si>
  <si>
    <t>9328</t>
  </si>
  <si>
    <t>8064</t>
  </si>
  <si>
    <t>8006</t>
  </si>
  <si>
    <t>9279</t>
  </si>
  <si>
    <t>9261</t>
  </si>
  <si>
    <t>9340</t>
  </si>
  <si>
    <t>9343</t>
  </si>
  <si>
    <t>9309</t>
  </si>
  <si>
    <t>9308</t>
  </si>
  <si>
    <t>9121</t>
  </si>
  <si>
    <t>7045</t>
  </si>
  <si>
    <t>8959</t>
  </si>
  <si>
    <t>9277</t>
  </si>
  <si>
    <t>9321</t>
  </si>
  <si>
    <t>2288</t>
  </si>
  <si>
    <t>7974</t>
  </si>
  <si>
    <t>9317</t>
  </si>
  <si>
    <t>6013</t>
  </si>
  <si>
    <t>4447</t>
  </si>
  <si>
    <t>1196</t>
  </si>
  <si>
    <t>2235</t>
  </si>
  <si>
    <t>962</t>
  </si>
  <si>
    <t>9133</t>
  </si>
  <si>
    <t>9246</t>
  </si>
  <si>
    <t>9095</t>
  </si>
  <si>
    <t>7723</t>
  </si>
  <si>
    <t>9266</t>
  </si>
  <si>
    <t>7053</t>
  </si>
  <si>
    <t>7370</t>
  </si>
  <si>
    <t>9271</t>
  </si>
  <si>
    <t>5922</t>
  </si>
  <si>
    <t>8929</t>
  </si>
  <si>
    <t>7561</t>
  </si>
  <si>
    <t>7756</t>
  </si>
  <si>
    <t>8292</t>
  </si>
  <si>
    <t>6328</t>
  </si>
  <si>
    <t>7553</t>
  </si>
  <si>
    <t>8884</t>
  </si>
  <si>
    <t>1262</t>
  </si>
  <si>
    <t>9169</t>
  </si>
  <si>
    <t>9226</t>
  </si>
  <si>
    <t>9130</t>
  </si>
  <si>
    <t>9073</t>
  </si>
  <si>
    <t>9215</t>
  </si>
  <si>
    <t>9212</t>
  </si>
  <si>
    <t>16</t>
  </si>
  <si>
    <t>8890</t>
  </si>
  <si>
    <t>9149</t>
  </si>
  <si>
    <t>9107</t>
  </si>
  <si>
    <t>9042</t>
  </si>
  <si>
    <t>8927</t>
  </si>
  <si>
    <t>9157</t>
  </si>
  <si>
    <t>9168</t>
  </si>
  <si>
    <t>3475</t>
  </si>
  <si>
    <t>7724</t>
  </si>
  <si>
    <t>2918</t>
  </si>
  <si>
    <t>6188</t>
  </si>
  <si>
    <t>6433</t>
  </si>
  <si>
    <t>9140</t>
  </si>
  <si>
    <t>6034</t>
  </si>
  <si>
    <t>9062</t>
  </si>
  <si>
    <t>7957</t>
  </si>
  <si>
    <t>8974</t>
  </si>
  <si>
    <t>6956</t>
  </si>
  <si>
    <t>1694</t>
  </si>
  <si>
    <t>8385</t>
  </si>
  <si>
    <t>4647</t>
  </si>
  <si>
    <t>8866</t>
  </si>
  <si>
    <t>4822</t>
  </si>
  <si>
    <t>8585</t>
  </si>
  <si>
    <t>7143</t>
  </si>
  <si>
    <t>8198</t>
  </si>
  <si>
    <t>7041</t>
  </si>
  <si>
    <t>2589</t>
  </si>
  <si>
    <t>2582</t>
  </si>
  <si>
    <t>3732</t>
  </si>
  <si>
    <t>8409</t>
  </si>
  <si>
    <t>8383</t>
  </si>
  <si>
    <t>7238</t>
  </si>
  <si>
    <t>8356</t>
  </si>
  <si>
    <t>8149</t>
  </si>
  <si>
    <t>119</t>
  </si>
  <si>
    <t>5982</t>
  </si>
  <si>
    <t>912</t>
  </si>
  <si>
    <t>2638</t>
  </si>
  <si>
    <t>6948</t>
  </si>
  <si>
    <t>8243</t>
  </si>
  <si>
    <t>8157</t>
  </si>
  <si>
    <t>6793</t>
  </si>
  <si>
    <t>1478</t>
  </si>
  <si>
    <t>7362</t>
  </si>
  <si>
    <t>4293</t>
  </si>
  <si>
    <t>6825</t>
  </si>
  <si>
    <t>5373</t>
  </si>
  <si>
    <t>7200</t>
  </si>
  <si>
    <t>6135</t>
  </si>
  <si>
    <t>6366</t>
  </si>
  <si>
    <t>9101</t>
  </si>
  <si>
    <t>8524</t>
  </si>
  <si>
    <t>8655</t>
  </si>
  <si>
    <t>2747</t>
  </si>
  <si>
    <t>8446</t>
  </si>
  <si>
    <t>5412</t>
  </si>
  <si>
    <t>4173</t>
  </si>
  <si>
    <t>7801</t>
  </si>
  <si>
    <t>7800</t>
  </si>
  <si>
    <t>7389</t>
  </si>
  <si>
    <t>6950</t>
  </si>
  <si>
    <t>6180</t>
  </si>
  <si>
    <t>8320</t>
  </si>
  <si>
    <t>7897</t>
  </si>
  <si>
    <t>8677</t>
  </si>
  <si>
    <t>1247</t>
  </si>
  <si>
    <t>7853</t>
  </si>
  <si>
    <t>977</t>
  </si>
  <si>
    <t>8371</t>
  </si>
  <si>
    <t>8253</t>
  </si>
  <si>
    <t>8528</t>
  </si>
  <si>
    <t>1207</t>
  </si>
  <si>
    <t>8411</t>
  </si>
  <si>
    <t>7744</t>
  </si>
  <si>
    <t>5139</t>
  </si>
  <si>
    <t>5641</t>
  </si>
  <si>
    <t>8008</t>
  </si>
  <si>
    <t>7699</t>
  </si>
  <si>
    <t>7083</t>
  </si>
  <si>
    <t>7571</t>
  </si>
  <si>
    <t>7629</t>
  </si>
  <si>
    <t>4190</t>
  </si>
  <si>
    <t>3382</t>
  </si>
  <si>
    <t>1972</t>
  </si>
  <si>
    <t>2274</t>
  </si>
  <si>
    <t>2078</t>
  </si>
  <si>
    <t>1079</t>
  </si>
  <si>
    <t>1078</t>
  </si>
  <si>
    <t>3962</t>
  </si>
  <si>
    <t>1499</t>
  </si>
  <si>
    <t>6980</t>
  </si>
  <si>
    <t>1496</t>
  </si>
  <si>
    <t>6773</t>
  </si>
  <si>
    <t>6505</t>
  </si>
  <si>
    <t>9421</t>
  </si>
  <si>
    <t>9297</t>
  </si>
  <si>
    <t>9270</t>
  </si>
  <si>
    <t>9227</t>
  </si>
  <si>
    <t>9255</t>
  </si>
  <si>
    <t>9173</t>
  </si>
  <si>
    <t>9151</t>
  </si>
  <si>
    <t>8892</t>
  </si>
  <si>
    <t>9030</t>
  </si>
  <si>
    <t>9046</t>
  </si>
  <si>
    <t>9047</t>
  </si>
  <si>
    <t>8983</t>
  </si>
  <si>
    <t>8894</t>
  </si>
  <si>
    <t>6629</t>
  </si>
  <si>
    <t>7678</t>
  </si>
  <si>
    <t>8919</t>
  </si>
  <si>
    <t>8885</t>
  </si>
  <si>
    <t>8853</t>
  </si>
  <si>
    <t>8683</t>
  </si>
  <si>
    <t>8837</t>
  </si>
  <si>
    <t>8718</t>
  </si>
  <si>
    <t>8001</t>
  </si>
  <si>
    <t>8688</t>
  </si>
  <si>
    <t>8663</t>
  </si>
  <si>
    <t>8455</t>
  </si>
  <si>
    <t>6947</t>
  </si>
  <si>
    <t>2691</t>
  </si>
  <si>
    <t>8547</t>
  </si>
  <si>
    <t>8545</t>
  </si>
  <si>
    <t>8457</t>
  </si>
  <si>
    <t>8343</t>
  </si>
  <si>
    <t>8403</t>
  </si>
  <si>
    <t>7988</t>
  </si>
  <si>
    <t>8269</t>
  </si>
  <si>
    <t>8276</t>
  </si>
  <si>
    <t>8215</t>
  </si>
  <si>
    <t>4935</t>
  </si>
  <si>
    <t>8113</t>
  </si>
  <si>
    <t>2384</t>
  </si>
  <si>
    <t>8077</t>
  </si>
  <si>
    <t>7776</t>
  </si>
  <si>
    <t>7939</t>
  </si>
  <si>
    <t>7672</t>
  </si>
  <si>
    <t>3721</t>
  </si>
  <si>
    <t>6943</t>
  </si>
  <si>
    <t>6884</t>
  </si>
  <si>
    <t>7070</t>
  </si>
  <si>
    <t>7071</t>
  </si>
  <si>
    <t>7020</t>
  </si>
  <si>
    <t>6937</t>
  </si>
  <si>
    <t>6806</t>
  </si>
  <si>
    <t>6748</t>
  </si>
  <si>
    <t>9306</t>
  </si>
  <si>
    <t>5380</t>
  </si>
  <si>
    <t>879</t>
  </si>
  <si>
    <t>5370</t>
  </si>
  <si>
    <t>9137</t>
  </si>
  <si>
    <t>9359</t>
  </si>
  <si>
    <t>5260</t>
  </si>
  <si>
    <t>9241</t>
  </si>
  <si>
    <t>6648</t>
  </si>
  <si>
    <t>7621</t>
  </si>
  <si>
    <t>172</t>
  </si>
  <si>
    <t>8408</t>
  </si>
  <si>
    <t>7554</t>
  </si>
  <si>
    <t>2857</t>
  </si>
  <si>
    <t>8748</t>
  </si>
  <si>
    <t>8542</t>
  </si>
  <si>
    <t>7366</t>
  </si>
  <si>
    <t>6342</t>
  </si>
  <si>
    <t>8598</t>
  </si>
  <si>
    <t>9319</t>
  </si>
  <si>
    <t>3372</t>
  </si>
  <si>
    <t>7701</t>
  </si>
  <si>
    <t>8753</t>
  </si>
  <si>
    <t>8838</t>
  </si>
  <si>
    <t>6776</t>
  </si>
  <si>
    <t>6102</t>
  </si>
  <si>
    <t>8016</t>
  </si>
  <si>
    <t>8978</t>
  </si>
  <si>
    <t>6492</t>
  </si>
  <si>
    <t>7139</t>
  </si>
  <si>
    <t>8775</t>
  </si>
  <si>
    <t>7891</t>
  </si>
  <si>
    <t>7481</t>
  </si>
  <si>
    <t>8601</t>
  </si>
  <si>
    <t>1747</t>
  </si>
  <si>
    <t>7647</t>
  </si>
  <si>
    <t>8533</t>
  </si>
  <si>
    <t>8358</t>
  </si>
  <si>
    <t>5180</t>
  </si>
  <si>
    <t>2009</t>
  </si>
  <si>
    <t>5078</t>
  </si>
  <si>
    <t>8047</t>
  </si>
  <si>
    <t>8254</t>
  </si>
  <si>
    <t>8377</t>
  </si>
  <si>
    <t>8379</t>
  </si>
  <si>
    <t>8352</t>
  </si>
  <si>
    <t>8224</t>
  </si>
  <si>
    <t>2734</t>
  </si>
  <si>
    <t>2735</t>
  </si>
  <si>
    <t>5074</t>
  </si>
  <si>
    <t>8222</t>
  </si>
  <si>
    <t>3643</t>
  </si>
  <si>
    <t>8138</t>
  </si>
  <si>
    <t>8252</t>
  </si>
  <si>
    <t>8018</t>
  </si>
  <si>
    <t>4531</t>
  </si>
  <si>
    <t>5867</t>
  </si>
  <si>
    <t>7735</t>
  </si>
  <si>
    <t>7677</t>
  </si>
  <si>
    <t>1245</t>
  </si>
  <si>
    <t>7586</t>
  </si>
  <si>
    <t>8071</t>
  </si>
  <si>
    <t>8023</t>
  </si>
  <si>
    <t>7636</t>
  </si>
  <si>
    <t>3879</t>
  </si>
  <si>
    <t>2184</t>
  </si>
  <si>
    <t>7402</t>
  </si>
  <si>
    <t>6666</t>
  </si>
  <si>
    <t>7722</t>
  </si>
  <si>
    <t>3333</t>
  </si>
  <si>
    <t>7469</t>
  </si>
  <si>
    <t>203</t>
  </si>
  <si>
    <t>6923</t>
  </si>
  <si>
    <t>7009</t>
  </si>
  <si>
    <t>5588</t>
  </si>
  <si>
    <t>6589</t>
  </si>
  <si>
    <t>6737</t>
  </si>
  <si>
    <t>5668</t>
  </si>
  <si>
    <t>7/30/1991</t>
  </si>
  <si>
    <t>3/15/1962</t>
  </si>
  <si>
    <t>8/14/2006</t>
  </si>
  <si>
    <t>9/28/1993</t>
  </si>
  <si>
    <t>7/12/1984</t>
  </si>
  <si>
    <t>8/26/1988</t>
  </si>
  <si>
    <t>6/10/1992</t>
  </si>
  <si>
    <t>9/25/1954</t>
  </si>
  <si>
    <t>5/5/1970</t>
  </si>
  <si>
    <t>8/15/2016</t>
  </si>
  <si>
    <t>11/19/1975</t>
  </si>
  <si>
    <t>12/2/1990</t>
  </si>
  <si>
    <t>12/13/1986</t>
  </si>
  <si>
    <t>10/30/1993</t>
  </si>
  <si>
    <t>11/27/1996</t>
  </si>
  <si>
    <t>11/9/1994</t>
  </si>
  <si>
    <t>4/7/1988</t>
  </si>
  <si>
    <t>7/1/1961</t>
  </si>
  <si>
    <t>4/11/1992</t>
  </si>
  <si>
    <t>5/10/1992</t>
  </si>
  <si>
    <t>5/20/1977</t>
  </si>
  <si>
    <t>10/8/1961</t>
  </si>
  <si>
    <t>11/16/1989</t>
  </si>
  <si>
    <t>6/29/1992</t>
  </si>
  <si>
    <t>2/19/1989</t>
  </si>
  <si>
    <t>4/4/1993</t>
  </si>
  <si>
    <t>8/6/1982</t>
  </si>
  <si>
    <t>2/8/1998</t>
  </si>
  <si>
    <t>2/26/1987</t>
  </si>
  <si>
    <t>2/24/2009</t>
  </si>
  <si>
    <t>4/6/1985</t>
  </si>
  <si>
    <t>6/20/1979</t>
  </si>
  <si>
    <t>7/27/1990</t>
  </si>
  <si>
    <t>4/11/1991</t>
  </si>
  <si>
    <t>6/2/1980</t>
  </si>
  <si>
    <t>2/15/1972</t>
  </si>
  <si>
    <t>3/21/1972</t>
  </si>
  <si>
    <t>1/9/1992</t>
  </si>
  <si>
    <t>10/28/1974</t>
  </si>
  <si>
    <t>9/3/1975</t>
  </si>
  <si>
    <t>9/29/1984</t>
  </si>
  <si>
    <t>3/11/1995</t>
  </si>
  <si>
    <t>6/9/1986</t>
  </si>
  <si>
    <t>9/17/1979</t>
  </si>
  <si>
    <t>8/17/1972</t>
  </si>
  <si>
    <t>4/7/1981</t>
  </si>
  <si>
    <t>2/21/1984</t>
  </si>
  <si>
    <t>5/13/1986</t>
  </si>
  <si>
    <t>5/20/1993</t>
  </si>
  <si>
    <t>2/8/1957</t>
  </si>
  <si>
    <t>5/10/1995</t>
  </si>
  <si>
    <t>8/29/2003</t>
  </si>
  <si>
    <t>4/15/2005</t>
  </si>
  <si>
    <t>4/13/1995</t>
  </si>
  <si>
    <t>4/2/2014</t>
  </si>
  <si>
    <t>2/27/1998</t>
  </si>
  <si>
    <t>5/26/1993</t>
  </si>
  <si>
    <t>3/15/2012</t>
  </si>
  <si>
    <t>9/14/2019</t>
  </si>
  <si>
    <t>10/7/1964</t>
  </si>
  <si>
    <t>6/21/2019</t>
  </si>
  <si>
    <t>8/1/1992</t>
  </si>
  <si>
    <t>6/10/1991</t>
  </si>
  <si>
    <t>2/22/2011</t>
  </si>
  <si>
    <t>9/8/2012</t>
  </si>
  <si>
    <t>9/9/1992</t>
  </si>
  <si>
    <t>2/23/2001</t>
  </si>
  <si>
    <t>7/20/1951</t>
  </si>
  <si>
    <t>10/2/2009</t>
  </si>
  <si>
    <t>12/12/1997</t>
  </si>
  <si>
    <t>4/22/1986</t>
  </si>
  <si>
    <t>5/6/2016</t>
  </si>
  <si>
    <t>12/16/1976</t>
  </si>
  <si>
    <t>8/20/2017</t>
  </si>
  <si>
    <t>12/19/2014</t>
  </si>
  <si>
    <t>10/9/2016</t>
  </si>
  <si>
    <t>3/5/1998</t>
  </si>
  <si>
    <t>2/10/1998</t>
  </si>
  <si>
    <t>5/27/2013</t>
  </si>
  <si>
    <t>4/30/1992</t>
  </si>
  <si>
    <t>5/11/1999</t>
  </si>
  <si>
    <t>5/23/1998</t>
  </si>
  <si>
    <t>7/17/2017</t>
  </si>
  <si>
    <t>10/2/1996</t>
  </si>
  <si>
    <t>11/16/1985</t>
  </si>
  <si>
    <t>6/6/1970</t>
  </si>
  <si>
    <t>12/9/1994</t>
  </si>
  <si>
    <t>4/19/1982</t>
  </si>
  <si>
    <t>3/7/1980</t>
  </si>
  <si>
    <t>11/22/2014</t>
  </si>
  <si>
    <t>8/18/2016</t>
  </si>
  <si>
    <t>3/3/2014</t>
  </si>
  <si>
    <t>5/12/1974</t>
  </si>
  <si>
    <t>11/7/1991</t>
  </si>
  <si>
    <t>12/31/1970</t>
  </si>
  <si>
    <t>12/19/1971</t>
  </si>
  <si>
    <t>9/14/1969</t>
  </si>
  <si>
    <t>11/13/2015</t>
  </si>
  <si>
    <t>6/25/1976</t>
  </si>
  <si>
    <t>5/16/2014</t>
  </si>
  <si>
    <t>1/26/1997</t>
  </si>
  <si>
    <t>7/11/2014</t>
  </si>
  <si>
    <t>9/13/1947</t>
  </si>
  <si>
    <t>9/16/1994</t>
  </si>
  <si>
    <t>5/19/2017</t>
  </si>
  <si>
    <t>10/20/1976</t>
  </si>
  <si>
    <t>9/16/1990</t>
  </si>
  <si>
    <t>10/5/1998</t>
  </si>
  <si>
    <t>2/15/1991</t>
  </si>
  <si>
    <t>12/3/2017</t>
  </si>
  <si>
    <t>9/4/2014</t>
  </si>
  <si>
    <t>10/23/1990</t>
  </si>
  <si>
    <t>7/25/2018</t>
  </si>
  <si>
    <t>9/25/2013</t>
  </si>
  <si>
    <t>3/30/2005</t>
  </si>
  <si>
    <t>6/20/2003</t>
  </si>
  <si>
    <t>10/22/2006</t>
  </si>
  <si>
    <t>5/5/1995</t>
  </si>
  <si>
    <t>8/29/2011</t>
  </si>
  <si>
    <t>3/19/1991</t>
  </si>
  <si>
    <t>5/17/2001</t>
  </si>
  <si>
    <t>7/31/2013</t>
  </si>
  <si>
    <t>1/25/1991</t>
  </si>
  <si>
    <t>5/3/1969</t>
  </si>
  <si>
    <t>11/29/1981</t>
  </si>
  <si>
    <t>9/17/1990</t>
  </si>
  <si>
    <t>9/29/1985</t>
  </si>
  <si>
    <t>8/16/2007</t>
  </si>
  <si>
    <t>6/19/2017</t>
  </si>
  <si>
    <t>2/26/1977</t>
  </si>
  <si>
    <t>2/9/1962</t>
  </si>
  <si>
    <t>9/18/2008</t>
  </si>
  <si>
    <t>8/3/1992</t>
  </si>
  <si>
    <t>1/1/2017</t>
  </si>
  <si>
    <t>10/19/2015</t>
  </si>
  <si>
    <t>12/16/1983</t>
  </si>
  <si>
    <t>6/1/1983</t>
  </si>
  <si>
    <t>4/27/1982</t>
  </si>
  <si>
    <t>5/14/2009</t>
  </si>
  <si>
    <t>8/17/2014</t>
  </si>
  <si>
    <t>11/5/1977</t>
  </si>
  <si>
    <t>2/10/1989</t>
  </si>
  <si>
    <t>8/26/2014</t>
  </si>
  <si>
    <t>10/4/2014</t>
  </si>
  <si>
    <t>11/18/1956</t>
  </si>
  <si>
    <t>6/16/1986</t>
  </si>
  <si>
    <t>10/14/2015</t>
  </si>
  <si>
    <t>11/7/1963</t>
  </si>
  <si>
    <t>12/9/1989</t>
  </si>
  <si>
    <t>11/17/2016</t>
  </si>
  <si>
    <t>4/3/2017</t>
  </si>
  <si>
    <t>11/29/2014</t>
  </si>
  <si>
    <t>2/22/2017</t>
  </si>
  <si>
    <t>4/15/2015</t>
  </si>
  <si>
    <t>4/17/1997</t>
  </si>
  <si>
    <t>3/28/2017</t>
  </si>
  <si>
    <t>4/23/1989</t>
  </si>
  <si>
    <t>12/15/1994</t>
  </si>
  <si>
    <t>2/24/1958</t>
  </si>
  <si>
    <t>11/13/1968</t>
  </si>
  <si>
    <t>2/12/1977</t>
  </si>
  <si>
    <t>11/15/2012</t>
  </si>
  <si>
    <t>4/27/1960</t>
  </si>
  <si>
    <t>9/2/1999</t>
  </si>
  <si>
    <t>1/19/1983</t>
  </si>
  <si>
    <t>9/13/2017</t>
  </si>
  <si>
    <t>8/16/2015</t>
  </si>
  <si>
    <t>6/11/2001</t>
  </si>
  <si>
    <t>8/2/2016</t>
  </si>
  <si>
    <t>11/6/1989</t>
  </si>
  <si>
    <t>12/12/2012</t>
  </si>
  <si>
    <t>11/30/2009</t>
  </si>
  <si>
    <t>3/7/1976</t>
  </si>
  <si>
    <t>11/26/2000</t>
  </si>
  <si>
    <t>7/28/1970</t>
  </si>
  <si>
    <t>7/18/2017</t>
  </si>
  <si>
    <t>12/11/1953</t>
  </si>
  <si>
    <t>5/10/1993</t>
  </si>
  <si>
    <t>12/15/2015</t>
  </si>
  <si>
    <t>4/26/2001</t>
  </si>
  <si>
    <t>3/24/1965</t>
  </si>
  <si>
    <t>5/31/1987</t>
  </si>
  <si>
    <t>7/27/1979</t>
  </si>
  <si>
    <t>3/14/2014</t>
  </si>
  <si>
    <t>3/9/2004</t>
  </si>
  <si>
    <t>6/29/1986</t>
  </si>
  <si>
    <t>6/17/1990</t>
  </si>
  <si>
    <t>12/27/2006</t>
  </si>
  <si>
    <t>3/19/2017</t>
  </si>
  <si>
    <t>9/19/1988</t>
  </si>
  <si>
    <t>8/19/1974</t>
  </si>
  <si>
    <t>3/24/1994</t>
  </si>
  <si>
    <t>7/31/2007</t>
  </si>
  <si>
    <t>8/31/1991</t>
  </si>
  <si>
    <t>1/5/1971</t>
  </si>
  <si>
    <t>5/21/1993</t>
  </si>
  <si>
    <t>12/30/1997</t>
  </si>
  <si>
    <t>10/13/2020</t>
  </si>
  <si>
    <t>3/19/2013</t>
  </si>
  <si>
    <t>6/7/1995</t>
  </si>
  <si>
    <t>11/4/2000</t>
  </si>
  <si>
    <t>1/31/2014</t>
  </si>
  <si>
    <t>1/1/1988</t>
  </si>
  <si>
    <t>7/10/2011</t>
  </si>
  <si>
    <t>6/27/1995</t>
  </si>
  <si>
    <t>3/5/1970</t>
  </si>
  <si>
    <t>12/19/2012</t>
  </si>
  <si>
    <t>5/16/1962</t>
  </si>
  <si>
    <t>3/29/1991</t>
  </si>
  <si>
    <t>2/16/2014</t>
  </si>
  <si>
    <t>9/8/2004</t>
  </si>
  <si>
    <t>10/25/1986</t>
  </si>
  <si>
    <t>8/1/2010</t>
  </si>
  <si>
    <t>12/17/1998</t>
  </si>
  <si>
    <t>11/21/1989</t>
  </si>
  <si>
    <t>7/31/1993</t>
  </si>
  <si>
    <t>4/16/2018</t>
  </si>
  <si>
    <t>12/20/2010</t>
  </si>
  <si>
    <t>6/8/1957</t>
  </si>
  <si>
    <t>7/12/2002</t>
  </si>
  <si>
    <t>4/6/2017</t>
  </si>
  <si>
    <t>5/11/1980</t>
  </si>
  <si>
    <t>6/21/2006</t>
  </si>
  <si>
    <t>6/29/1984</t>
  </si>
  <si>
    <t>10/9/2012</t>
  </si>
  <si>
    <t>2/5/2012</t>
  </si>
  <si>
    <t>11/12/1984</t>
  </si>
  <si>
    <t>5/8/2016</t>
  </si>
  <si>
    <t>1/11/1970</t>
  </si>
  <si>
    <t>5/17/1979</t>
  </si>
  <si>
    <t>8/6/2009</t>
  </si>
  <si>
    <t>11/30/1982</t>
  </si>
  <si>
    <t>5/3/2008</t>
  </si>
  <si>
    <t>4/4/2008</t>
  </si>
  <si>
    <t>4/2/2009</t>
  </si>
  <si>
    <t>5/2/1974</t>
  </si>
  <si>
    <t>1/24/2005</t>
  </si>
  <si>
    <t>10/15/1998</t>
  </si>
  <si>
    <t>6/20/1962</t>
  </si>
  <si>
    <t>3/13/1986</t>
  </si>
  <si>
    <t>12/18/2000</t>
  </si>
  <si>
    <t>2/28/1996</t>
  </si>
  <si>
    <t>3/3/1998</t>
  </si>
  <si>
    <t>10/6/2010</t>
  </si>
  <si>
    <t>12/16/2012</t>
  </si>
  <si>
    <t>6/3/2007</t>
  </si>
  <si>
    <t>4/24/1972</t>
  </si>
  <si>
    <t>12/30/1991</t>
  </si>
  <si>
    <t>1/7/2013</t>
  </si>
  <si>
    <t>5/12/2006</t>
  </si>
  <si>
    <t>2/14/2015</t>
  </si>
  <si>
    <t>12/27/2018</t>
  </si>
  <si>
    <t>9/25/2012</t>
  </si>
  <si>
    <t>11/9/1989</t>
  </si>
  <si>
    <t>6/3/2015</t>
  </si>
  <si>
    <t>9/23/2013</t>
  </si>
  <si>
    <t>7/7/2015</t>
  </si>
  <si>
    <t>9/12/2010</t>
  </si>
  <si>
    <t>3/6/2003</t>
  </si>
  <si>
    <t>7/13/1990</t>
  </si>
  <si>
    <t>7/13/1993</t>
  </si>
  <si>
    <t>6/19/2013</t>
  </si>
  <si>
    <t>3/11/2016</t>
  </si>
  <si>
    <t>9/21/2009</t>
  </si>
  <si>
    <t>10/3/1969</t>
  </si>
  <si>
    <t>5/11/1984</t>
  </si>
  <si>
    <t>3/24/2013</t>
  </si>
  <si>
    <t>1/12/2021</t>
  </si>
  <si>
    <t>7/31/2012</t>
  </si>
  <si>
    <t>9/1/2013</t>
  </si>
  <si>
    <t>7/28/2013</t>
  </si>
  <si>
    <t>1/28/1958</t>
  </si>
  <si>
    <t>6/9/1970</t>
  </si>
  <si>
    <t>11/10/1988</t>
  </si>
  <si>
    <t>5/27/2014</t>
  </si>
  <si>
    <t>5/10/2000</t>
  </si>
  <si>
    <t>11/28/1978</t>
  </si>
  <si>
    <t>1/1/1961</t>
  </si>
  <si>
    <t>12/25/1981</t>
  </si>
  <si>
    <t>5/14/2017</t>
  </si>
  <si>
    <t>5/2/2011</t>
  </si>
  <si>
    <t>6/4/1986</t>
  </si>
  <si>
    <t>2/16/2018</t>
  </si>
  <si>
    <t>5/29/2012</t>
  </si>
  <si>
    <t>7/11/1970</t>
  </si>
  <si>
    <t>7/23/2016</t>
  </si>
  <si>
    <t>8/23/2007</t>
  </si>
  <si>
    <t>11/25/1957</t>
  </si>
  <si>
    <t>1/12/2018</t>
  </si>
  <si>
    <t>5/6/1981</t>
  </si>
  <si>
    <t>2/10/1999</t>
  </si>
  <si>
    <t>5/9/1991</t>
  </si>
  <si>
    <t>9/3/1983</t>
  </si>
  <si>
    <t>10/15/1977</t>
  </si>
  <si>
    <t>10/15/1983</t>
  </si>
  <si>
    <t>7/26/1983</t>
  </si>
  <si>
    <t>6/14/1989</t>
  </si>
  <si>
    <t>11/7/2008</t>
  </si>
  <si>
    <t>5/20/2016</t>
  </si>
  <si>
    <t>5/26/2009</t>
  </si>
  <si>
    <t>6/27/1985</t>
  </si>
  <si>
    <t>2/12/2013</t>
  </si>
  <si>
    <t>4/12/2017</t>
  </si>
  <si>
    <t>12/24/1991</t>
  </si>
  <si>
    <t>5/3/2016</t>
  </si>
  <si>
    <t>4/27/2014</t>
  </si>
  <si>
    <t>1/29/1994</t>
  </si>
  <si>
    <t>8/1/2014</t>
  </si>
  <si>
    <t>1/1/1972</t>
  </si>
  <si>
    <t>1/14/2012</t>
  </si>
  <si>
    <t>8/21/2014</t>
  </si>
  <si>
    <t>5/21/1995</t>
  </si>
  <si>
    <t>11/22/2016</t>
  </si>
  <si>
    <t>9/24/2007</t>
  </si>
  <si>
    <t>7/7/1983</t>
  </si>
  <si>
    <t>6/1/2005</t>
  </si>
  <si>
    <t>7/29/2014</t>
  </si>
  <si>
    <t>10/13/2009</t>
  </si>
  <si>
    <t>10/17/2010</t>
  </si>
  <si>
    <t>10/14/2014</t>
  </si>
  <si>
    <t>9/6/1987</t>
  </si>
  <si>
    <t>1/30/2007</t>
  </si>
  <si>
    <t>7/16/2004</t>
  </si>
  <si>
    <t>10/26/1985</t>
  </si>
  <si>
    <t>11/4/1978</t>
  </si>
  <si>
    <t>6/7/2003</t>
  </si>
  <si>
    <t>3/22/1982</t>
  </si>
  <si>
    <t>9/1/1996</t>
  </si>
  <si>
    <t>12/6/2012</t>
  </si>
  <si>
    <t>8/29/2015</t>
  </si>
  <si>
    <t>3/30/1970</t>
  </si>
  <si>
    <t>10/12/2009</t>
  </si>
  <si>
    <t>9/14/1991</t>
  </si>
  <si>
    <t>5/31/2005</t>
  </si>
  <si>
    <t>1/25/2014</t>
  </si>
  <si>
    <t>1/25/1977</t>
  </si>
  <si>
    <t>11/17/2017</t>
  </si>
  <si>
    <t>1/20/1971</t>
  </si>
  <si>
    <t>10/25/2011</t>
  </si>
  <si>
    <t>8/30/2009</t>
  </si>
  <si>
    <t>4/17/2014</t>
  </si>
  <si>
    <t>6/14/2012</t>
  </si>
  <si>
    <t>12/30/1983</t>
  </si>
  <si>
    <t>8/9/2014</t>
  </si>
  <si>
    <t>10/16/2017</t>
  </si>
  <si>
    <t>5/1/1971</t>
  </si>
  <si>
    <t>8/26/1995</t>
  </si>
  <si>
    <t>4/2/2011</t>
  </si>
  <si>
    <t>2/15/1987</t>
  </si>
  <si>
    <t>1/12/1984</t>
  </si>
  <si>
    <t>2/25/1988</t>
  </si>
  <si>
    <t>5/18/1998</t>
  </si>
  <si>
    <t>10/26/2009</t>
  </si>
  <si>
    <t>4/9/1984</t>
  </si>
  <si>
    <t>4/4/1978</t>
  </si>
  <si>
    <t>9/10/2001</t>
  </si>
  <si>
    <t>5/2/2016</t>
  </si>
  <si>
    <t>6/14/2014</t>
  </si>
  <si>
    <t>2/28/2018</t>
  </si>
  <si>
    <t>4/13/2005</t>
  </si>
  <si>
    <t>10/28/1986</t>
  </si>
  <si>
    <t>9/24/2013</t>
  </si>
  <si>
    <t>10/17/2004</t>
  </si>
  <si>
    <t>1/19/2012</t>
  </si>
  <si>
    <t>1/26/2015</t>
  </si>
  <si>
    <t>4/26/1988</t>
  </si>
  <si>
    <t>10/5/2010</t>
  </si>
  <si>
    <t>5/13/1989</t>
  </si>
  <si>
    <t>7/19/2018</t>
  </si>
  <si>
    <t>9/8/2011</t>
  </si>
  <si>
    <t>12/31/1990</t>
  </si>
  <si>
    <t>5/23/2015</t>
  </si>
  <si>
    <t>1/1/1985</t>
  </si>
  <si>
    <t>7/9/1995</t>
  </si>
  <si>
    <t>10/17/2013</t>
  </si>
  <si>
    <t>1/14/1987</t>
  </si>
  <si>
    <t>7/2/2012</t>
  </si>
  <si>
    <t>7/24/2007</t>
  </si>
  <si>
    <t>2/8/1988</t>
  </si>
  <si>
    <t>2/12/2017</t>
  </si>
  <si>
    <t>12/6/1978</t>
  </si>
  <si>
    <t>7/25/2019</t>
  </si>
  <si>
    <t>1/25/2007</t>
  </si>
  <si>
    <t>11/18/2008</t>
  </si>
  <si>
    <t>7/8/2007</t>
  </si>
  <si>
    <t>8/29/2009</t>
  </si>
  <si>
    <t>12/23/1984</t>
  </si>
  <si>
    <t>12/16/1987</t>
  </si>
  <si>
    <t>10/13/2010</t>
  </si>
  <si>
    <t>7/14/2013</t>
  </si>
  <si>
    <t>11/27/1979</t>
  </si>
  <si>
    <t>9/28/2011</t>
  </si>
  <si>
    <t>9/6/1972</t>
  </si>
  <si>
    <t>9/4/2008</t>
  </si>
  <si>
    <t>8/18/2014</t>
  </si>
  <si>
    <t>10/7/2010</t>
  </si>
  <si>
    <t>12/17/1986</t>
  </si>
  <si>
    <t>12/17/2005</t>
  </si>
  <si>
    <t>10/3/1995</t>
  </si>
  <si>
    <t>8/2/2019</t>
  </si>
  <si>
    <t>1/3/2009</t>
  </si>
  <si>
    <t>9/7/1987</t>
  </si>
  <si>
    <t>4/5/2011</t>
  </si>
  <si>
    <t>5/14/2015</t>
  </si>
  <si>
    <t>5/21/2008</t>
  </si>
  <si>
    <t>6/11/2008</t>
  </si>
  <si>
    <t>2/10/1992</t>
  </si>
  <si>
    <t>8/24/2002</t>
  </si>
  <si>
    <t>7/19/2011</t>
  </si>
  <si>
    <t>3/3/2011</t>
  </si>
  <si>
    <t>2/17/2014</t>
  </si>
  <si>
    <t>5/14/1999</t>
  </si>
  <si>
    <t>6/26/1994</t>
  </si>
  <si>
    <t>12/12/2015</t>
  </si>
  <si>
    <t>4/2/1998</t>
  </si>
  <si>
    <t>1/31/2005</t>
  </si>
  <si>
    <t>11/25/2010</t>
  </si>
  <si>
    <t>9/14/1972</t>
  </si>
  <si>
    <t>7/23/2015</t>
  </si>
  <si>
    <t>11/20/2013</t>
  </si>
  <si>
    <t>11/12/2009</t>
  </si>
  <si>
    <t>9/10/1995</t>
  </si>
  <si>
    <t>4/8/2012</t>
  </si>
  <si>
    <t>8/16/2014</t>
  </si>
  <si>
    <t>6/28/1979</t>
  </si>
  <si>
    <t>1/24/2000</t>
  </si>
  <si>
    <t>12/15/2009</t>
  </si>
  <si>
    <t>9/23/1992</t>
  </si>
  <si>
    <t>7/18/2012</t>
  </si>
  <si>
    <t>12/15/1986</t>
  </si>
  <si>
    <t>11/12/2011</t>
  </si>
  <si>
    <t>12/14/2014</t>
  </si>
  <si>
    <t>3/22/2008</t>
  </si>
  <si>
    <t>10/9/1986</t>
  </si>
  <si>
    <t>8/29/1991</t>
  </si>
  <si>
    <t>8/24/2015</t>
  </si>
  <si>
    <t>2/20/1992</t>
  </si>
  <si>
    <t>8/21/2016</t>
  </si>
  <si>
    <t>8/28/1973</t>
  </si>
  <si>
    <t>9/12/2013</t>
  </si>
  <si>
    <t>5/23/2009</t>
  </si>
  <si>
    <t>12/22/2007</t>
  </si>
  <si>
    <t>10/15/2003</t>
  </si>
  <si>
    <t>8/23/1985</t>
  </si>
  <si>
    <t>1/29/2008</t>
  </si>
  <si>
    <t>10/7/2005</t>
  </si>
  <si>
    <t>9/7/1996</t>
  </si>
  <si>
    <t>11/1/1997</t>
  </si>
  <si>
    <t>1/16/1989</t>
  </si>
  <si>
    <t>4/11/1998</t>
  </si>
  <si>
    <t>9/15/2015</t>
  </si>
  <si>
    <t>4/8/1980</t>
  </si>
  <si>
    <t>9/9/2014</t>
  </si>
  <si>
    <t>12/17/1989</t>
  </si>
  <si>
    <t>3/29/1987</t>
  </si>
  <si>
    <t>7/12/1992</t>
  </si>
  <si>
    <t>12/11/1988</t>
  </si>
  <si>
    <t>1/9/1987</t>
  </si>
  <si>
    <t>2/11/2016</t>
  </si>
  <si>
    <t>6/1/2015</t>
  </si>
  <si>
    <t>1/30/1986</t>
  </si>
  <si>
    <t>1/4/2010</t>
  </si>
  <si>
    <t>3/25/2010</t>
  </si>
  <si>
    <t>1/10/2004</t>
  </si>
  <si>
    <t>3/31/2016</t>
  </si>
  <si>
    <t>4/10/1998</t>
  </si>
  <si>
    <t>9/6/1989</t>
  </si>
  <si>
    <t>9/19/2010</t>
  </si>
  <si>
    <t>6/27/1993</t>
  </si>
  <si>
    <t>6/26/1986</t>
  </si>
  <si>
    <t>8/10/1981</t>
  </si>
  <si>
    <t>8/23/2011</t>
  </si>
  <si>
    <t>5/10/2012</t>
  </si>
  <si>
    <t>3/22/2018</t>
  </si>
  <si>
    <t>9/6/1975</t>
  </si>
  <si>
    <t>3/12/1983</t>
  </si>
  <si>
    <t>6/14/2018</t>
  </si>
  <si>
    <t>6/15/1992</t>
  </si>
  <si>
    <t>12/16/1988</t>
  </si>
  <si>
    <t>12/12/1982</t>
  </si>
  <si>
    <t>4/22/1991</t>
  </si>
  <si>
    <t>7/14/1964</t>
  </si>
  <si>
    <t>12/17/1967</t>
  </si>
  <si>
    <t>4/13/1977</t>
  </si>
  <si>
    <t>1/7/2014</t>
  </si>
  <si>
    <t>9/14/2014</t>
  </si>
  <si>
    <t>1/8/1976</t>
  </si>
  <si>
    <t>12/7/1965</t>
  </si>
  <si>
    <t>3/7/1971</t>
  </si>
  <si>
    <t>4/12/2004</t>
  </si>
  <si>
    <t>1/7/2016</t>
  </si>
  <si>
    <t>6/14/2015</t>
  </si>
  <si>
    <t>12/14/2006</t>
  </si>
  <si>
    <t>1/1/1984</t>
  </si>
  <si>
    <t>12/30/1998</t>
  </si>
  <si>
    <t>8/15/2012</t>
  </si>
  <si>
    <t>1/19/2013</t>
  </si>
  <si>
    <t>5/27/1994</t>
  </si>
  <si>
    <t>12/19/1986</t>
  </si>
  <si>
    <t>11/25/2003</t>
  </si>
  <si>
    <t>3/15/2013</t>
  </si>
  <si>
    <t>8/24/1979</t>
  </si>
  <si>
    <t>8/4/1984</t>
  </si>
  <si>
    <t>8/23/1989</t>
  </si>
  <si>
    <t>3/22/2001</t>
  </si>
  <si>
    <t>8/2/2008</t>
  </si>
  <si>
    <t>2/4/2004</t>
  </si>
  <si>
    <t>2/18/2006</t>
  </si>
  <si>
    <t>8/18/2009</t>
  </si>
  <si>
    <t>6/4/2019</t>
  </si>
  <si>
    <t>8/5/1984</t>
  </si>
  <si>
    <t>6/25/2009</t>
  </si>
  <si>
    <t>9/8/2018</t>
  </si>
  <si>
    <t>11/9/2017</t>
  </si>
  <si>
    <t>4/17/2011</t>
  </si>
  <si>
    <t>2/13/2017</t>
  </si>
  <si>
    <t>12/13/2012</t>
  </si>
  <si>
    <t>10/19/2009</t>
  </si>
  <si>
    <t>3/9/2006</t>
  </si>
  <si>
    <t>6/29/2016</t>
  </si>
  <si>
    <t>4/25/2012</t>
  </si>
  <si>
    <t>1/9/2017</t>
  </si>
  <si>
    <t>5/9/2017</t>
  </si>
  <si>
    <t>2/17/1977</t>
  </si>
  <si>
    <t>7/14/1958</t>
  </si>
  <si>
    <t>5/31/1969</t>
  </si>
  <si>
    <t>7/31/1958</t>
  </si>
  <si>
    <t>8/10/1993</t>
  </si>
  <si>
    <t>6/18/1958</t>
  </si>
  <si>
    <t>4/19/1991</t>
  </si>
  <si>
    <t>4/30/1972</t>
  </si>
  <si>
    <t>1/19/1962</t>
  </si>
  <si>
    <t>6/4/1991</t>
  </si>
  <si>
    <t>11/5/2009</t>
  </si>
  <si>
    <t>5/14/1961</t>
  </si>
  <si>
    <t>12/8/1956</t>
  </si>
  <si>
    <t>11/15/2013</t>
  </si>
  <si>
    <t>1/11/1982</t>
  </si>
  <si>
    <t>2/23/2002</t>
  </si>
  <si>
    <t>4/13/1974</t>
  </si>
  <si>
    <t>8/12/2011</t>
  </si>
  <si>
    <t>9/27/2009</t>
  </si>
  <si>
    <t>6/8/1961</t>
  </si>
  <si>
    <t>8/1/1975</t>
  </si>
  <si>
    <t>4/5/1933</t>
  </si>
  <si>
    <t>9/1/1961</t>
  </si>
  <si>
    <t>5/8/1955</t>
  </si>
  <si>
    <t>8/7/2002</t>
  </si>
  <si>
    <t>2/19/2011</t>
  </si>
  <si>
    <t>11/6/2000</t>
  </si>
  <si>
    <t>11/27/1992</t>
  </si>
  <si>
    <t>11/8/1979</t>
  </si>
  <si>
    <t>1/31/1988</t>
  </si>
  <si>
    <t>11/20/1983</t>
  </si>
  <si>
    <t>8/16/1989</t>
  </si>
  <si>
    <t>8/31/1967</t>
  </si>
  <si>
    <t>12/12/1948</t>
  </si>
  <si>
    <t>12/14/2011</t>
  </si>
  <si>
    <t>10/30/2006</t>
  </si>
  <si>
    <t>10/12/1971</t>
  </si>
  <si>
    <t>1/19/2009</t>
  </si>
  <si>
    <t>3/31/1941</t>
  </si>
  <si>
    <t>8/13/2003</t>
  </si>
  <si>
    <t>7/31/1956</t>
  </si>
  <si>
    <t>6/17/1966</t>
  </si>
  <si>
    <t>10/20/2015</t>
  </si>
  <si>
    <t>1/15/2016</t>
  </si>
  <si>
    <t>3/18/1976</t>
  </si>
  <si>
    <t>9/28/1964</t>
  </si>
  <si>
    <t>6/21/1959</t>
  </si>
  <si>
    <t>12/20/1966</t>
  </si>
  <si>
    <t>7/21/1954</t>
  </si>
  <si>
    <t>1/29/1963</t>
  </si>
  <si>
    <t>6/21/2013</t>
  </si>
  <si>
    <t>7/17/1962</t>
  </si>
  <si>
    <t>3/28/1984</t>
  </si>
  <si>
    <t>10/27/2003</t>
  </si>
  <si>
    <t>2/11/1997</t>
  </si>
  <si>
    <t>12/1/1979</t>
  </si>
  <si>
    <t>7/17/1980</t>
  </si>
  <si>
    <t>10/24/1947</t>
  </si>
  <si>
    <t>2/6/1991</t>
  </si>
  <si>
    <t>3/31/1956</t>
  </si>
  <si>
    <t>1/5/2005</t>
  </si>
  <si>
    <t>2/8/1986</t>
  </si>
  <si>
    <t>8/13/1972</t>
  </si>
  <si>
    <t>10/30/2016</t>
  </si>
  <si>
    <t>7/7/1961</t>
  </si>
  <si>
    <t>11/15/2006</t>
  </si>
  <si>
    <t>3/19/2008</t>
  </si>
  <si>
    <t>6/29/1994</t>
  </si>
  <si>
    <t>4/2/1976</t>
  </si>
  <si>
    <t>4/27/1977</t>
  </si>
  <si>
    <t>11/17/2015</t>
  </si>
  <si>
    <t>2/7/1987</t>
  </si>
  <si>
    <t>2/18/1988</t>
  </si>
  <si>
    <t>6/4/1974</t>
  </si>
  <si>
    <t>8/4/1987</t>
  </si>
  <si>
    <t>10/20/1931</t>
  </si>
  <si>
    <t>9/10/1977</t>
  </si>
  <si>
    <t>8/15/1990</t>
  </si>
  <si>
    <t>5/20/1963</t>
  </si>
  <si>
    <t>10/31/2018</t>
  </si>
  <si>
    <t>1/7/2015</t>
  </si>
  <si>
    <t>2/17/2001</t>
  </si>
  <si>
    <t>11/15/2014</t>
  </si>
  <si>
    <t>10/25/1974</t>
  </si>
  <si>
    <t>12/18/1980</t>
  </si>
  <si>
    <t>3/18/1968</t>
  </si>
  <si>
    <t>2/26/1992</t>
  </si>
  <si>
    <t>5/25/1954</t>
  </si>
  <si>
    <t>12/5/1950</t>
  </si>
  <si>
    <t>3/20/1978</t>
  </si>
  <si>
    <t>1/25/1990</t>
  </si>
  <si>
    <t>10/16/2015</t>
  </si>
  <si>
    <t>11/15/1976</t>
  </si>
  <si>
    <t>1/10/2019</t>
  </si>
  <si>
    <t>3/26/2012</t>
  </si>
  <si>
    <t>12/6/2015</t>
  </si>
  <si>
    <t>9/4/2015</t>
  </si>
  <si>
    <t>9/18/2017</t>
  </si>
  <si>
    <t>5/15/2008</t>
  </si>
  <si>
    <t>1/2/1961</t>
  </si>
  <si>
    <t>3/29/1981</t>
  </si>
  <si>
    <t>9/4/1990</t>
  </si>
  <si>
    <t>2/8/1977</t>
  </si>
  <si>
    <t>11/21/1981</t>
  </si>
  <si>
    <t>9/9/1997</t>
  </si>
  <si>
    <t>7/24/1982</t>
  </si>
  <si>
    <t>3/13/1999</t>
  </si>
  <si>
    <t>3/2/1978</t>
  </si>
  <si>
    <t>6/7/1990</t>
  </si>
  <si>
    <t>4/1/1993</t>
  </si>
  <si>
    <t>12/27/1976</t>
  </si>
  <si>
    <t>9/18/1981</t>
  </si>
  <si>
    <t>7/28/1994</t>
  </si>
  <si>
    <t>10/12/1955</t>
  </si>
  <si>
    <t>5/11/2014</t>
  </si>
  <si>
    <t>6/8/1986</t>
  </si>
  <si>
    <t>10/5/2005</t>
  </si>
  <si>
    <t>2/19/1993</t>
  </si>
  <si>
    <t>12/19/1968</t>
  </si>
  <si>
    <t>12/4/1972</t>
  </si>
  <si>
    <t>7/17/1993</t>
  </si>
  <si>
    <t>8/30/2017</t>
  </si>
  <si>
    <t>5/17/1982</t>
  </si>
  <si>
    <t>1/13/2009</t>
  </si>
  <si>
    <t>7/31/2016</t>
  </si>
  <si>
    <t>1/7/2009</t>
  </si>
  <si>
    <t>6/18/1993</t>
  </si>
  <si>
    <t>8/31/2017</t>
  </si>
  <si>
    <t>10/9/2006</t>
  </si>
  <si>
    <t>6/14/2016</t>
  </si>
  <si>
    <t>7/21/2014</t>
  </si>
  <si>
    <t>5/3/1990</t>
  </si>
  <si>
    <t>4/24/1984</t>
  </si>
  <si>
    <t>2/18/1991</t>
  </si>
  <si>
    <t>7/28/1981</t>
  </si>
  <si>
    <t>1/8/1971</t>
  </si>
  <si>
    <t>2/9/1983</t>
  </si>
  <si>
    <t>9/10/1986</t>
  </si>
  <si>
    <t>5/21/2011</t>
  </si>
  <si>
    <t>12/26/2010</t>
  </si>
  <si>
    <t>4/14/1966</t>
  </si>
  <si>
    <t>6/16/2006</t>
  </si>
  <si>
    <t>8/19/1993</t>
  </si>
  <si>
    <t>10/15/1971</t>
  </si>
  <si>
    <t>3/20/1971</t>
  </si>
  <si>
    <t>3/9/1982</t>
  </si>
  <si>
    <t>9/7/1979</t>
  </si>
  <si>
    <t>2/24/1995</t>
  </si>
  <si>
    <t>3/2/1994</t>
  </si>
  <si>
    <t>4/1/1995</t>
  </si>
  <si>
    <t>9/2/1967</t>
  </si>
  <si>
    <t>4/15/1938</t>
  </si>
  <si>
    <t>12/11/1985</t>
  </si>
  <si>
    <t>9/12/1989</t>
  </si>
  <si>
    <t>1/31/1999</t>
  </si>
  <si>
    <t>11/1/1974</t>
  </si>
  <si>
    <t>3/26/1982</t>
  </si>
  <si>
    <t>3/26/1997</t>
  </si>
  <si>
    <t>10/5/1972</t>
  </si>
  <si>
    <t>7/21/1992</t>
  </si>
  <si>
    <t>3/24/1947</t>
  </si>
  <si>
    <t>12/22/1992</t>
  </si>
  <si>
    <t>8/5/1986</t>
  </si>
  <si>
    <t>5/17/1981</t>
  </si>
  <si>
    <t>2/2/1994</t>
  </si>
  <si>
    <t>7/27/1960</t>
  </si>
  <si>
    <t>6/20/2013</t>
  </si>
  <si>
    <t>11/15/1987</t>
  </si>
  <si>
    <t>4/17/1986</t>
  </si>
  <si>
    <t>5/23/1972</t>
  </si>
  <si>
    <t>11/2/1944</t>
  </si>
  <si>
    <t>3/25/1970</t>
  </si>
  <si>
    <t>6/12/1991</t>
  </si>
  <si>
    <t>9/30/1939</t>
  </si>
  <si>
    <t>11/7/1985</t>
  </si>
  <si>
    <t>6/27/2002</t>
  </si>
  <si>
    <t>6/2/1985</t>
  </si>
  <si>
    <t>7/1/1964</t>
  </si>
  <si>
    <t>12/10/2009</t>
  </si>
  <si>
    <t>11/21/1970</t>
  </si>
  <si>
    <t>5/1/1977</t>
  </si>
  <si>
    <t>10/14/1975</t>
  </si>
  <si>
    <t>7/28/1998</t>
  </si>
  <si>
    <t>12/10/1982</t>
  </si>
  <si>
    <t>1/4/2021</t>
  </si>
  <si>
    <t>7/7/1971</t>
  </si>
  <si>
    <t>10/8/1959</t>
  </si>
  <si>
    <t>1/13/1971</t>
  </si>
  <si>
    <t>10/17/1965</t>
  </si>
  <si>
    <t>2/20/1964</t>
  </si>
  <si>
    <t>10/28/1991</t>
  </si>
  <si>
    <t>11/22/1971</t>
  </si>
  <si>
    <t>6/6/1962</t>
  </si>
  <si>
    <t>11/19/1990</t>
  </si>
  <si>
    <t>8/22/1975</t>
  </si>
  <si>
    <t>4/6/1951</t>
  </si>
  <si>
    <t>4/15/1935</t>
  </si>
  <si>
    <t>3/19/1954</t>
  </si>
  <si>
    <t>8/16/1985</t>
  </si>
  <si>
    <t>2/21/1962</t>
  </si>
  <si>
    <t>12/27/1977</t>
  </si>
  <si>
    <t>11/11/1960</t>
  </si>
  <si>
    <t>6/5/1951</t>
  </si>
  <si>
    <t>12/24/1960</t>
  </si>
  <si>
    <t>8/16/1964</t>
  </si>
  <si>
    <t>2/3/2008</t>
  </si>
  <si>
    <t>2/2/1954</t>
  </si>
  <si>
    <t>2/26/1947</t>
  </si>
  <si>
    <t>7/1/1953</t>
  </si>
  <si>
    <t>5/13/1956</t>
  </si>
  <si>
    <t>2/19/1943</t>
  </si>
  <si>
    <t>10/13/1956</t>
  </si>
  <si>
    <t>2/20/1962</t>
  </si>
  <si>
    <t>4/25/1994</t>
  </si>
  <si>
    <t>10/5/1997</t>
  </si>
  <si>
    <t>4/13/1971</t>
  </si>
  <si>
    <t>5/4/1998</t>
  </si>
  <si>
    <t>2/23/2000</t>
  </si>
  <si>
    <t>12/24/1957</t>
  </si>
  <si>
    <t>2/9/1987</t>
  </si>
  <si>
    <t>9/17/1961</t>
  </si>
  <si>
    <t>9/1/2006</t>
  </si>
  <si>
    <t>12/1/1977</t>
  </si>
  <si>
    <t>3/21/1988</t>
  </si>
  <si>
    <t>4/19/2012</t>
  </si>
  <si>
    <t>12/6/1974</t>
  </si>
  <si>
    <t>9/21/2011</t>
  </si>
  <si>
    <t>3/12/1970</t>
  </si>
  <si>
    <t>10/4/2000</t>
  </si>
  <si>
    <t>2/7/1966</t>
  </si>
  <si>
    <t>11/11/1991</t>
  </si>
  <si>
    <t>6/17/2017</t>
  </si>
  <si>
    <t>9/9/1944</t>
  </si>
  <si>
    <t>5/20/1975</t>
  </si>
  <si>
    <t>2/3/1958</t>
  </si>
  <si>
    <t>4/15/1995</t>
  </si>
  <si>
    <t>10/16/1964</t>
  </si>
  <si>
    <t>5/19/1985</t>
  </si>
  <si>
    <t>7/20/2011</t>
  </si>
  <si>
    <t>5/26/2013</t>
  </si>
  <si>
    <t>2/17/1970</t>
  </si>
  <si>
    <t>10/5/2018</t>
  </si>
  <si>
    <t>5/8/1974</t>
  </si>
  <si>
    <t>8/23/1957</t>
  </si>
  <si>
    <t>5/13/1987</t>
  </si>
  <si>
    <t>6/17/2002</t>
  </si>
  <si>
    <t>3/2/1996</t>
  </si>
  <si>
    <t>4/27/2016</t>
  </si>
  <si>
    <t>9/18/1994</t>
  </si>
  <si>
    <t>11/12/1977</t>
  </si>
  <si>
    <t>6/30/1943</t>
  </si>
  <si>
    <t>9/5/1949</t>
  </si>
  <si>
    <t>3/8/1960</t>
  </si>
  <si>
    <t>7/14/1969</t>
  </si>
  <si>
    <t>7/4/1956</t>
  </si>
  <si>
    <t>9/22/2011</t>
  </si>
  <si>
    <t>7/31/1961</t>
  </si>
  <si>
    <t>7/23/1947</t>
  </si>
  <si>
    <t>4/28/2016</t>
  </si>
  <si>
    <t>11/7/1956</t>
  </si>
  <si>
    <t>10/22/1970</t>
  </si>
  <si>
    <t>12/29/1982</t>
  </si>
  <si>
    <t>10/27/2011</t>
  </si>
  <si>
    <t>7/30/1966</t>
  </si>
  <si>
    <t>3/10/1960</t>
  </si>
  <si>
    <t>2/17/2013</t>
  </si>
  <si>
    <t>6/17/1987</t>
  </si>
  <si>
    <t>6/7/2013</t>
  </si>
  <si>
    <t>W237205096</t>
  </si>
  <si>
    <t>016776290</t>
  </si>
  <si>
    <t>GQP130W03886</t>
  </si>
  <si>
    <t>201W03443</t>
  </si>
  <si>
    <t>U47262786</t>
  </si>
  <si>
    <t>U49852743</t>
  </si>
  <si>
    <t>U72051724</t>
  </si>
  <si>
    <t>U153667756</t>
  </si>
  <si>
    <t>U72076261</t>
  </si>
  <si>
    <t>u34464213</t>
  </si>
  <si>
    <t xml:space="preserve">U26438292 </t>
  </si>
  <si>
    <t>U53657370</t>
  </si>
  <si>
    <t>U50621274</t>
  </si>
  <si>
    <t>U52668717</t>
  </si>
  <si>
    <t>U7550053602</t>
  </si>
  <si>
    <t>u65208005</t>
  </si>
  <si>
    <t>U39194271</t>
  </si>
  <si>
    <t>U62450847</t>
  </si>
  <si>
    <t>U69059849</t>
  </si>
  <si>
    <t>U50782273</t>
  </si>
  <si>
    <t>3199644</t>
  </si>
  <si>
    <t xml:space="preserve">394847319 </t>
  </si>
  <si>
    <t>916435131</t>
  </si>
  <si>
    <t>916516138</t>
  </si>
  <si>
    <t>930691605</t>
  </si>
  <si>
    <t>598207509</t>
  </si>
  <si>
    <t>963587927</t>
  </si>
  <si>
    <t>963886263</t>
  </si>
  <si>
    <t>962760622</t>
  </si>
  <si>
    <t>08068800996</t>
  </si>
  <si>
    <t>08046078168</t>
  </si>
  <si>
    <t>08037992525</t>
  </si>
  <si>
    <t>08092951962</t>
  </si>
  <si>
    <t>08081760881</t>
  </si>
  <si>
    <t>08013357739</t>
  </si>
  <si>
    <t>08005831007</t>
  </si>
  <si>
    <t>08007200266</t>
  </si>
  <si>
    <t>08082233537</t>
  </si>
  <si>
    <t>011405227</t>
  </si>
  <si>
    <t>08041397221</t>
  </si>
  <si>
    <t>08094978110</t>
  </si>
  <si>
    <t>08025116974</t>
  </si>
  <si>
    <t>08066254638</t>
  </si>
  <si>
    <t>08058488409</t>
  </si>
  <si>
    <t>08068258853</t>
  </si>
  <si>
    <t>07730973539</t>
  </si>
  <si>
    <t>0002426991</t>
  </si>
  <si>
    <t>000248499</t>
  </si>
  <si>
    <t>0003474082</t>
  </si>
  <si>
    <t>0002458747</t>
  </si>
  <si>
    <t>0002988406</t>
  </si>
  <si>
    <t>0003096716</t>
  </si>
  <si>
    <t>0003388416</t>
  </si>
  <si>
    <t>8453528381</t>
  </si>
  <si>
    <t>9453528391</t>
  </si>
  <si>
    <t>4405491747</t>
  </si>
  <si>
    <t>2446058621</t>
  </si>
  <si>
    <t>7440164377</t>
  </si>
  <si>
    <t>7436049879</t>
  </si>
  <si>
    <t>4442014043</t>
  </si>
  <si>
    <t>0456692509</t>
  </si>
  <si>
    <t>5432809656</t>
  </si>
  <si>
    <t>3454824532</t>
  </si>
  <si>
    <t>9450379491</t>
  </si>
  <si>
    <t>9416757993</t>
  </si>
  <si>
    <t>1442014113</t>
  </si>
  <si>
    <t>1440845115</t>
  </si>
  <si>
    <t>4442744742</t>
  </si>
  <si>
    <t>9414395890</t>
  </si>
  <si>
    <t>1422588114</t>
  </si>
  <si>
    <t>5414321655</t>
  </si>
  <si>
    <t>4448709043</t>
  </si>
  <si>
    <t>4406052445</t>
  </si>
  <si>
    <t>3445240132</t>
  </si>
  <si>
    <t>6454600963</t>
  </si>
  <si>
    <t>6453024365</t>
  </si>
  <si>
    <t>5451968250</t>
  </si>
  <si>
    <t>4447388243</t>
  </si>
  <si>
    <t>5450665857</t>
  </si>
  <si>
    <t>7420561079</t>
  </si>
  <si>
    <t>3455093931</t>
  </si>
  <si>
    <t>6444532469</t>
  </si>
  <si>
    <t>1419719513</t>
  </si>
  <si>
    <t>5430626457</t>
  </si>
  <si>
    <t>2422230121</t>
  </si>
  <si>
    <t>4451849241</t>
  </si>
  <si>
    <t>8417361189</t>
  </si>
  <si>
    <t>5438989150</t>
  </si>
  <si>
    <t>7421220771</t>
  </si>
  <si>
    <t>7450197171</t>
  </si>
  <si>
    <t>0411704605</t>
  </si>
  <si>
    <t>5424267955</t>
  </si>
  <si>
    <t>7447241971</t>
  </si>
  <si>
    <t>5450313454</t>
  </si>
  <si>
    <t>7451626270</t>
  </si>
  <si>
    <t>8449160481</t>
  </si>
  <si>
    <t>2421178622</t>
  </si>
  <si>
    <t>3422086234</t>
  </si>
  <si>
    <t>5445273156</t>
  </si>
  <si>
    <t>3402696835</t>
  </si>
  <si>
    <t>2448964521</t>
  </si>
  <si>
    <t>6414125067</t>
  </si>
  <si>
    <t>5446273753</t>
  </si>
  <si>
    <t>0449395707</t>
  </si>
  <si>
    <t>0446533203</t>
  </si>
  <si>
    <t>5447637350</t>
  </si>
  <si>
    <t>1414786913</t>
  </si>
  <si>
    <t>7451599370</t>
  </si>
  <si>
    <t>2452728420</t>
  </si>
  <si>
    <t>2409667821</t>
  </si>
  <si>
    <t>9458122899</t>
  </si>
  <si>
    <t>5410149254</t>
  </si>
  <si>
    <t>0452484804</t>
  </si>
  <si>
    <t>3451638134</t>
  </si>
  <si>
    <t>3437534432</t>
  </si>
  <si>
    <t>0453918905</t>
  </si>
  <si>
    <t>1445381818</t>
  </si>
  <si>
    <t>9449249091</t>
  </si>
  <si>
    <t>1409048314</t>
  </si>
  <si>
    <t>9426691294</t>
  </si>
  <si>
    <t>3407828730</t>
  </si>
  <si>
    <t>719031826</t>
  </si>
  <si>
    <t>722204139</t>
  </si>
  <si>
    <t>728856894</t>
  </si>
  <si>
    <t>723305636</t>
  </si>
  <si>
    <t>724862696</t>
  </si>
  <si>
    <t>720877496</t>
  </si>
  <si>
    <t>9403407697</t>
  </si>
  <si>
    <t>1455209210</t>
  </si>
  <si>
    <t>730413713</t>
  </si>
  <si>
    <t>723304347</t>
  </si>
  <si>
    <t>728270248</t>
  </si>
  <si>
    <t>7442077277</t>
  </si>
  <si>
    <t>729353694</t>
  </si>
  <si>
    <t>725047148</t>
  </si>
  <si>
    <t>719019996</t>
  </si>
  <si>
    <t>723304850</t>
  </si>
  <si>
    <t>722665361</t>
  </si>
  <si>
    <t>719058392</t>
  </si>
  <si>
    <t>796141693</t>
  </si>
  <si>
    <t>725162611</t>
  </si>
  <si>
    <t>719038165</t>
  </si>
  <si>
    <t>4446736345</t>
  </si>
  <si>
    <t>719036392</t>
  </si>
  <si>
    <t>4404718748</t>
  </si>
  <si>
    <t>1446967913</t>
  </si>
  <si>
    <t>719855286</t>
  </si>
  <si>
    <t>730339481</t>
  </si>
  <si>
    <t>7414471071</t>
  </si>
  <si>
    <t>721527852</t>
  </si>
  <si>
    <t>720828138</t>
  </si>
  <si>
    <t>725098123</t>
  </si>
  <si>
    <t>723155665</t>
  </si>
  <si>
    <t>723651921</t>
  </si>
  <si>
    <t xml:space="preserve">723303627 </t>
  </si>
  <si>
    <t>723537356</t>
  </si>
  <si>
    <t>BTP182W10146</t>
  </si>
  <si>
    <t>1412773814</t>
  </si>
  <si>
    <t>2451407921</t>
  </si>
  <si>
    <t>6421188664</t>
  </si>
  <si>
    <t>8417098682</t>
  </si>
  <si>
    <t>720528281</t>
  </si>
  <si>
    <t>719059902</t>
  </si>
  <si>
    <t>725625027</t>
  </si>
  <si>
    <t>729252947</t>
  </si>
  <si>
    <t>7448066978</t>
  </si>
  <si>
    <t>719056699</t>
  </si>
  <si>
    <t>719056986</t>
  </si>
  <si>
    <t>724241718</t>
  </si>
  <si>
    <t>1448546613</t>
  </si>
  <si>
    <t>7401651173</t>
  </si>
  <si>
    <t>5450254059</t>
  </si>
  <si>
    <t>724304682</t>
  </si>
  <si>
    <t>729253651</t>
  </si>
  <si>
    <t>728721171</t>
  </si>
  <si>
    <t>731734356</t>
  </si>
  <si>
    <t>1447088719</t>
  </si>
  <si>
    <t>5401563957</t>
  </si>
  <si>
    <t>729927684</t>
  </si>
  <si>
    <t>8451855181</t>
  </si>
  <si>
    <t>719437747</t>
  </si>
  <si>
    <t>5413341555</t>
  </si>
  <si>
    <t>721767643</t>
  </si>
  <si>
    <t>730728189</t>
  </si>
  <si>
    <t>730948868</t>
  </si>
  <si>
    <t>6400608061</t>
  </si>
  <si>
    <t>5411538751</t>
  </si>
  <si>
    <t>9453639192</t>
  </si>
  <si>
    <t>8455938382</t>
  </si>
  <si>
    <t>0453638309</t>
  </si>
  <si>
    <t>2414990520</t>
  </si>
  <si>
    <t>3428534433</t>
  </si>
  <si>
    <t>0451334205</t>
  </si>
  <si>
    <t>8443867884</t>
  </si>
  <si>
    <t>6417182266</t>
  </si>
  <si>
    <t>1453191518</t>
  </si>
  <si>
    <t>6429042669</t>
  </si>
  <si>
    <t>7429042678</t>
  </si>
  <si>
    <t>0438495705</t>
  </si>
  <si>
    <t>9403073390</t>
  </si>
  <si>
    <t>7411002771</t>
  </si>
  <si>
    <t>9413032297</t>
  </si>
  <si>
    <t>7456769877</t>
  </si>
  <si>
    <t>0443816000</t>
  </si>
  <si>
    <t>2400837929</t>
  </si>
  <si>
    <t>0408563907</t>
  </si>
  <si>
    <t>4454387249</t>
  </si>
  <si>
    <t>1448754313</t>
  </si>
  <si>
    <t>8443969881</t>
  </si>
  <si>
    <t>7400846973</t>
  </si>
  <si>
    <t>3442334136</t>
  </si>
  <si>
    <t>6443361661</t>
  </si>
  <si>
    <t>8453443289</t>
  </si>
  <si>
    <t>0421163500</t>
  </si>
  <si>
    <t>4445570842</t>
  </si>
  <si>
    <t>8402278485</t>
  </si>
  <si>
    <t>0435773704</t>
  </si>
  <si>
    <t>8438892086</t>
  </si>
  <si>
    <t>8415299184</t>
  </si>
  <si>
    <t>0434789208</t>
  </si>
  <si>
    <t>2416980025</t>
  </si>
  <si>
    <t>7453071577</t>
  </si>
  <si>
    <t>9439694599</t>
  </si>
  <si>
    <t>6448685961</t>
  </si>
  <si>
    <t>3413481436</t>
  </si>
  <si>
    <t>2451421223</t>
  </si>
  <si>
    <t>7447685771</t>
  </si>
  <si>
    <t>4426177545</t>
  </si>
  <si>
    <t>7401182475</t>
  </si>
  <si>
    <t>1443810614</t>
  </si>
  <si>
    <t>9441754595</t>
  </si>
  <si>
    <t>3453380631</t>
  </si>
  <si>
    <t>3449842935</t>
  </si>
  <si>
    <t>4423120143</t>
  </si>
  <si>
    <t>7439176472</t>
  </si>
  <si>
    <t>0448978202</t>
  </si>
  <si>
    <t>1421500311</t>
  </si>
  <si>
    <t>8430379584</t>
  </si>
  <si>
    <t>7430235077</t>
  </si>
  <si>
    <t>3435892536</t>
  </si>
  <si>
    <t>5402763852</t>
  </si>
  <si>
    <t>0423477005</t>
  </si>
  <si>
    <t>0408290307</t>
  </si>
  <si>
    <t>7430653871</t>
  </si>
  <si>
    <t>4426198241</t>
  </si>
  <si>
    <t>7423120171</t>
  </si>
  <si>
    <t>9408488091</t>
  </si>
  <si>
    <t>0415200709</t>
  </si>
  <si>
    <t>2439268828</t>
  </si>
  <si>
    <t>0443360901</t>
  </si>
  <si>
    <t>2428925423</t>
  </si>
  <si>
    <t>3446219731</t>
  </si>
  <si>
    <t>8418778784</t>
  </si>
  <si>
    <t>2443439321</t>
  </si>
  <si>
    <t>0425873501</t>
  </si>
  <si>
    <t>8447709281</t>
  </si>
  <si>
    <t>8454168982</t>
  </si>
  <si>
    <t>6442860761</t>
  </si>
  <si>
    <t>8407255181</t>
  </si>
  <si>
    <t>2448223220</t>
  </si>
  <si>
    <t>5444831252</t>
  </si>
  <si>
    <t>2448343926</t>
  </si>
  <si>
    <t>9439169290</t>
  </si>
  <si>
    <t>9401994293</t>
  </si>
  <si>
    <t>0450067807</t>
  </si>
  <si>
    <t>6405267865</t>
  </si>
  <si>
    <t>9449874590</t>
  </si>
  <si>
    <t>8449601088</t>
  </si>
  <si>
    <t>1436874017</t>
  </si>
  <si>
    <t>0442620004</t>
  </si>
  <si>
    <t>8443136987</t>
  </si>
  <si>
    <t>9443847892</t>
  </si>
  <si>
    <t>3457170436</t>
  </si>
  <si>
    <t>5441339357</t>
  </si>
  <si>
    <t>9442560794</t>
  </si>
  <si>
    <t>8445049780</t>
  </si>
  <si>
    <t>4454204845</t>
  </si>
  <si>
    <t>8405892681</t>
  </si>
  <si>
    <t>4427299148</t>
  </si>
  <si>
    <t>0456827005</t>
  </si>
  <si>
    <t>6446320264</t>
  </si>
  <si>
    <t>9406148692</t>
  </si>
  <si>
    <t>2419075625</t>
  </si>
  <si>
    <t>6444949165</t>
  </si>
  <si>
    <t>2409432620</t>
  </si>
  <si>
    <t>5451663955</t>
  </si>
  <si>
    <t>8440414684</t>
  </si>
  <si>
    <t>3423740931</t>
  </si>
  <si>
    <t>1453930311</t>
  </si>
  <si>
    <t>8442265783</t>
  </si>
  <si>
    <t>9426900292</t>
  </si>
  <si>
    <t>5450181957</t>
  </si>
  <si>
    <t>0429297203</t>
  </si>
  <si>
    <t>0406644501</t>
  </si>
  <si>
    <t>6452699261</t>
  </si>
  <si>
    <t>5437766254</t>
  </si>
  <si>
    <t>1422326314</t>
  </si>
  <si>
    <t>2436866627</t>
  </si>
  <si>
    <t>7435907871</t>
  </si>
  <si>
    <t>4436698246</t>
  </si>
  <si>
    <t>0437128504</t>
  </si>
  <si>
    <t>5412252958</t>
  </si>
  <si>
    <t>9444949397</t>
  </si>
  <si>
    <t>3435089032</t>
  </si>
  <si>
    <t>7449937379</t>
  </si>
  <si>
    <t>7436217577</t>
  </si>
  <si>
    <t>2407584422</t>
  </si>
  <si>
    <t>7443634579</t>
  </si>
  <si>
    <t>7451451372</t>
  </si>
  <si>
    <t>9409799791</t>
  </si>
  <si>
    <t>4453176643</t>
  </si>
  <si>
    <t>2448233829</t>
  </si>
  <si>
    <t>7407597979</t>
  </si>
  <si>
    <t>9446626293</t>
  </si>
  <si>
    <t>5450296851</t>
  </si>
  <si>
    <t>9455301695</t>
  </si>
  <si>
    <t>2446736025</t>
  </si>
  <si>
    <t>5417166057</t>
  </si>
  <si>
    <t>1450786111</t>
  </si>
  <si>
    <t>5443200453</t>
  </si>
  <si>
    <t>8449931487</t>
  </si>
  <si>
    <t>0424011701</t>
  </si>
  <si>
    <t>9446645395</t>
  </si>
  <si>
    <t>8439412282</t>
  </si>
  <si>
    <t>9439412291</t>
  </si>
  <si>
    <t>1447042212</t>
  </si>
  <si>
    <t>2414716126</t>
  </si>
  <si>
    <t>8428325782</t>
  </si>
  <si>
    <t>0402248601</t>
  </si>
  <si>
    <t>4412256847</t>
  </si>
  <si>
    <t>0405230001</t>
  </si>
  <si>
    <t>0406718008</t>
  </si>
  <si>
    <t>0428968708</t>
  </si>
  <si>
    <t>6422017863</t>
  </si>
  <si>
    <t>1443298514</t>
  </si>
  <si>
    <t>9448592493</t>
  </si>
  <si>
    <t>0424122006</t>
  </si>
  <si>
    <t>2437019928</t>
  </si>
  <si>
    <t>6412392661</t>
  </si>
  <si>
    <t>8424118481</t>
  </si>
  <si>
    <t>5445428656</t>
  </si>
  <si>
    <t>8409133482</t>
  </si>
  <si>
    <t>3452609731</t>
  </si>
  <si>
    <t>3409136339</t>
  </si>
  <si>
    <t>9441322695</t>
  </si>
  <si>
    <t>2436756325</t>
  </si>
  <si>
    <t>9446127297</t>
  </si>
  <si>
    <t>5442341151</t>
  </si>
  <si>
    <t>7409725877</t>
  </si>
  <si>
    <t>3446681931</t>
  </si>
  <si>
    <t>0452224705</t>
  </si>
  <si>
    <t>5424598757</t>
  </si>
  <si>
    <t>4410225146</t>
  </si>
  <si>
    <t>6440274767</t>
  </si>
  <si>
    <t>1418059811</t>
  </si>
  <si>
    <t>5416730153</t>
  </si>
  <si>
    <t>7417360173</t>
  </si>
  <si>
    <t>9410562295</t>
  </si>
  <si>
    <t>8437137080</t>
  </si>
  <si>
    <t>9420219399</t>
  </si>
  <si>
    <t>5410621158</t>
  </si>
  <si>
    <t>5418395955</t>
  </si>
  <si>
    <t>7449851172</t>
  </si>
  <si>
    <t>1446404811</t>
  </si>
  <si>
    <t>2452911623</t>
  </si>
  <si>
    <t>0437588009</t>
  </si>
  <si>
    <t>5407108551</t>
  </si>
  <si>
    <t>3445324531</t>
  </si>
  <si>
    <t>9418631296</t>
  </si>
  <si>
    <t>3442533333</t>
  </si>
  <si>
    <t>5447591759</t>
  </si>
  <si>
    <t>3412199036</t>
  </si>
  <si>
    <t>8414635083</t>
  </si>
  <si>
    <t>0439245800</t>
  </si>
  <si>
    <t>9416912492</t>
  </si>
  <si>
    <t>1414563116</t>
  </si>
  <si>
    <t>0453436609</t>
  </si>
  <si>
    <t>1441048618</t>
  </si>
  <si>
    <t>4430083541</t>
  </si>
  <si>
    <t>0448178109</t>
  </si>
  <si>
    <t>3447163933</t>
  </si>
  <si>
    <t>3424097632</t>
  </si>
  <si>
    <t>1452171718</t>
  </si>
  <si>
    <t>2428283022</t>
  </si>
  <si>
    <t>0452171709</t>
  </si>
  <si>
    <t>0429013809</t>
  </si>
  <si>
    <t>0445207205</t>
  </si>
  <si>
    <t>2451192925</t>
  </si>
  <si>
    <t>9445104099</t>
  </si>
  <si>
    <t>1455552518</t>
  </si>
  <si>
    <t>3428264339</t>
  </si>
  <si>
    <t>1435081510</t>
  </si>
  <si>
    <t>8448442181</t>
  </si>
  <si>
    <t>4436714748</t>
  </si>
  <si>
    <t>1416371711</t>
  </si>
  <si>
    <t>5414589950</t>
  </si>
  <si>
    <t>8439417381</t>
  </si>
  <si>
    <t>7444330972</t>
  </si>
  <si>
    <t>7420037370</t>
  </si>
  <si>
    <t>7441151473</t>
  </si>
  <si>
    <t>2414425121</t>
  </si>
  <si>
    <t>5434825357</t>
  </si>
  <si>
    <t>6446707363</t>
  </si>
  <si>
    <t>9452171693</t>
  </si>
  <si>
    <t>4450221842</t>
  </si>
  <si>
    <t>3425041134</t>
  </si>
  <si>
    <t>2402176229</t>
  </si>
  <si>
    <t>0454998309</t>
  </si>
  <si>
    <t>3435601833</t>
  </si>
  <si>
    <t>1404580212</t>
  </si>
  <si>
    <t>9440306998</t>
  </si>
  <si>
    <t>0448181703</t>
  </si>
  <si>
    <t>6453471264</t>
  </si>
  <si>
    <t>9430513699</t>
  </si>
  <si>
    <t>2420049322</t>
  </si>
  <si>
    <t>7411210871</t>
  </si>
  <si>
    <t>2440784729</t>
  </si>
  <si>
    <t>4440130640</t>
  </si>
  <si>
    <t>8445558382</t>
  </si>
  <si>
    <t>5443483056</t>
  </si>
  <si>
    <t>8415013680</t>
  </si>
  <si>
    <t>3449173138</t>
  </si>
  <si>
    <t>7419875375</t>
  </si>
  <si>
    <t>9423460895</t>
  </si>
  <si>
    <t>9439549696</t>
  </si>
  <si>
    <t>1414096615</t>
  </si>
  <si>
    <t>7448420275</t>
  </si>
  <si>
    <t>4453252145</t>
  </si>
  <si>
    <t>0437263401</t>
  </si>
  <si>
    <t>3419551134</t>
  </si>
  <si>
    <t>9450067791</t>
  </si>
  <si>
    <t>8446719681</t>
  </si>
  <si>
    <t>3419850239</t>
  </si>
  <si>
    <t>9426928294</t>
  </si>
  <si>
    <t>5437494751</t>
  </si>
  <si>
    <t>0425571602</t>
  </si>
  <si>
    <t>4442491046</t>
  </si>
  <si>
    <t>7400262572</t>
  </si>
  <si>
    <t>7444137277</t>
  </si>
  <si>
    <t>9447901191</t>
  </si>
  <si>
    <t>3430236134</t>
  </si>
  <si>
    <t>3407065931</t>
  </si>
  <si>
    <t>3407301138</t>
  </si>
  <si>
    <t>5448554857</t>
  </si>
  <si>
    <t>3400483133</t>
  </si>
  <si>
    <t>6450352761</t>
  </si>
  <si>
    <t>0447925709</t>
  </si>
  <si>
    <t>8444639982</t>
  </si>
  <si>
    <t>8436215087</t>
  </si>
  <si>
    <t>1430257016</t>
  </si>
  <si>
    <t>0430257007</t>
  </si>
  <si>
    <t>3411456230</t>
  </si>
  <si>
    <t>4441009445</t>
  </si>
  <si>
    <t>7429829279</t>
  </si>
  <si>
    <t>0424682303</t>
  </si>
  <si>
    <t>2408023629</t>
  </si>
  <si>
    <t>4417495742</t>
  </si>
  <si>
    <t>2407863623</t>
  </si>
  <si>
    <t>4419875445</t>
  </si>
  <si>
    <t>1448656818</t>
  </si>
  <si>
    <t>2425769226</t>
  </si>
  <si>
    <t>9447685790</t>
  </si>
  <si>
    <t>2423596324</t>
  </si>
  <si>
    <t>1452713511</t>
  </si>
  <si>
    <t>7436723979</t>
  </si>
  <si>
    <t>9416231690</t>
  </si>
  <si>
    <t>6408453767</t>
  </si>
  <si>
    <t>7449462079</t>
  </si>
  <si>
    <t>1448208513</t>
  </si>
  <si>
    <t>8449831989</t>
  </si>
  <si>
    <t>4437843347</t>
  </si>
  <si>
    <t>8438092781</t>
  </si>
  <si>
    <t>8454666281</t>
  </si>
  <si>
    <t>2449719628</t>
  </si>
  <si>
    <t>9426790799</t>
  </si>
  <si>
    <t>6425545666</t>
  </si>
  <si>
    <t>0439169208</t>
  </si>
  <si>
    <t>7419585270</t>
  </si>
  <si>
    <t>2439412228</t>
  </si>
  <si>
    <t>0455443807</t>
  </si>
  <si>
    <t>9440953896</t>
  </si>
  <si>
    <t>4442185841</t>
  </si>
  <si>
    <t>9452994991</t>
  </si>
  <si>
    <t>3449194933</t>
  </si>
  <si>
    <t>5405478750</t>
  </si>
  <si>
    <t>9425530394</t>
  </si>
  <si>
    <t>2453308122</t>
  </si>
  <si>
    <t>2448447829</t>
  </si>
  <si>
    <t>7448155776</t>
  </si>
  <si>
    <t>9409903297</t>
  </si>
  <si>
    <t>1416661913</t>
  </si>
  <si>
    <t>3422126635</t>
  </si>
  <si>
    <t>4436768244</t>
  </si>
  <si>
    <t>0444120408</t>
  </si>
  <si>
    <t>4425996143</t>
  </si>
  <si>
    <t>6445283268</t>
  </si>
  <si>
    <t>1446847811</t>
  </si>
  <si>
    <t>0412614804</t>
  </si>
  <si>
    <t>1418990515</t>
  </si>
  <si>
    <t>4455949542</t>
  </si>
  <si>
    <t>9447256899</t>
  </si>
  <si>
    <t>6449304561</t>
  </si>
  <si>
    <t>8448616782</t>
  </si>
  <si>
    <t>2426962429</t>
  </si>
  <si>
    <t>0438857305</t>
  </si>
  <si>
    <t>0443923906</t>
  </si>
  <si>
    <t>0422297208</t>
  </si>
  <si>
    <t>2444407822</t>
  </si>
  <si>
    <t>5443503359</t>
  </si>
  <si>
    <t>2427077623</t>
  </si>
  <si>
    <t>7422800071</t>
  </si>
  <si>
    <t>1435920619</t>
  </si>
  <si>
    <t>3443797130</t>
  </si>
  <si>
    <t>2409407722</t>
  </si>
  <si>
    <t>1439159912</t>
  </si>
  <si>
    <t>0409643700</t>
  </si>
  <si>
    <t>5420440458</t>
  </si>
  <si>
    <t>8430945385</t>
  </si>
  <si>
    <t>5411548055</t>
  </si>
  <si>
    <t>2425673628</t>
  </si>
  <si>
    <t>2442103427</t>
  </si>
  <si>
    <t>7454780571</t>
  </si>
  <si>
    <t>3409312234</t>
  </si>
  <si>
    <t>6436354069</t>
  </si>
  <si>
    <t>0445411708</t>
  </si>
  <si>
    <t>6453661268</t>
  </si>
  <si>
    <t>1452359814</t>
  </si>
  <si>
    <t>4440371141</t>
  </si>
  <si>
    <t>0451194004</t>
  </si>
  <si>
    <t>8443405180</t>
  </si>
  <si>
    <t>2437144820</t>
  </si>
  <si>
    <t>9425839891</t>
  </si>
  <si>
    <t>4450081048</t>
  </si>
  <si>
    <t>7442119476</t>
  </si>
  <si>
    <t>7453407079</t>
  </si>
  <si>
    <t>7452223071</t>
  </si>
  <si>
    <t>2454446227</t>
  </si>
  <si>
    <t>4410244949</t>
  </si>
  <si>
    <t>1439379017</t>
  </si>
  <si>
    <t>0415685702</t>
  </si>
  <si>
    <t>0418747903</t>
  </si>
  <si>
    <t>9405247891</t>
  </si>
  <si>
    <t>1422235017</t>
  </si>
  <si>
    <t>8405603484</t>
  </si>
  <si>
    <t>7419119571</t>
  </si>
  <si>
    <t>7437156377</t>
  </si>
  <si>
    <t>5419155656</t>
  </si>
  <si>
    <t>0437235301</t>
  </si>
  <si>
    <t>0442050704</t>
  </si>
  <si>
    <t>8406307587</t>
  </si>
  <si>
    <t>8445034383</t>
  </si>
  <si>
    <t>0412383004</t>
  </si>
  <si>
    <t>2420418425</t>
  </si>
  <si>
    <t>1416524410</t>
  </si>
  <si>
    <t>5409643755</t>
  </si>
  <si>
    <t>4440909141</t>
  </si>
  <si>
    <t>5436927254</t>
  </si>
  <si>
    <t>4411396645</t>
  </si>
  <si>
    <t>2405259923</t>
  </si>
  <si>
    <t>5450442556</t>
  </si>
  <si>
    <t>2450814221</t>
  </si>
  <si>
    <t>1457134110</t>
  </si>
  <si>
    <t>2408853427</t>
  </si>
  <si>
    <t>6440058967</t>
  </si>
  <si>
    <t>1420231910</t>
  </si>
  <si>
    <t>0446615706</t>
  </si>
  <si>
    <t>5407513552</t>
  </si>
  <si>
    <t>8434975785</t>
  </si>
  <si>
    <t>5419961253</t>
  </si>
  <si>
    <t>1400007411</t>
  </si>
  <si>
    <t>7429025277</t>
  </si>
  <si>
    <t>0443497001</t>
  </si>
  <si>
    <t>3446858539</t>
  </si>
  <si>
    <t>3426784831</t>
  </si>
  <si>
    <t>2405160722</t>
  </si>
  <si>
    <t>9435389791</t>
  </si>
  <si>
    <t>5402897956</t>
  </si>
  <si>
    <t>3413823434</t>
  </si>
  <si>
    <t>0439333903</t>
  </si>
  <si>
    <t>0425031101</t>
  </si>
  <si>
    <t>9448820798</t>
  </si>
  <si>
    <t>5449325851</t>
  </si>
  <si>
    <t>1427286116</t>
  </si>
  <si>
    <t>5417951153</t>
  </si>
  <si>
    <t>6421504965</t>
  </si>
  <si>
    <t>0451374002</t>
  </si>
  <si>
    <t>0441699502</t>
  </si>
  <si>
    <t>0429649703</t>
  </si>
  <si>
    <t>0405451601</t>
  </si>
  <si>
    <t>4411946947</t>
  </si>
  <si>
    <t>5444222850</t>
  </si>
  <si>
    <t>7428041376</t>
  </si>
  <si>
    <t>0427343909</t>
  </si>
  <si>
    <t>8453451184</t>
  </si>
  <si>
    <t>8458664585</t>
  </si>
  <si>
    <t>7409732270</t>
  </si>
  <si>
    <t>0430573804</t>
  </si>
  <si>
    <t>3412507334</t>
  </si>
  <si>
    <t>7418807775</t>
  </si>
  <si>
    <t>5404739754</t>
  </si>
  <si>
    <t>5444663651</t>
  </si>
  <si>
    <t>4414008344</t>
  </si>
  <si>
    <t>4411677547</t>
  </si>
  <si>
    <t>1419155610</t>
  </si>
  <si>
    <t>4450663047</t>
  </si>
  <si>
    <t>5418807757</t>
  </si>
  <si>
    <t>7426830675</t>
  </si>
  <si>
    <t>5456052750</t>
  </si>
  <si>
    <t>4413139542</t>
  </si>
  <si>
    <t>8405264981</t>
  </si>
  <si>
    <t>7410688271</t>
  </si>
  <si>
    <t>1448999715</t>
  </si>
  <si>
    <t>3414613239</t>
  </si>
  <si>
    <t>4444081341</t>
  </si>
  <si>
    <t>3400026131</t>
  </si>
  <si>
    <t>9415393092</t>
  </si>
  <si>
    <t>2413302123</t>
  </si>
  <si>
    <t>0400701502</t>
  </si>
  <si>
    <t>4404678541</t>
  </si>
  <si>
    <t>4419123940</t>
  </si>
  <si>
    <t>9427738294</t>
  </si>
  <si>
    <t>4453877242</t>
  </si>
  <si>
    <t>7448283171</t>
  </si>
  <si>
    <t>0408608706</t>
  </si>
  <si>
    <t>4447186543</t>
  </si>
  <si>
    <t>2458043828</t>
  </si>
  <si>
    <t>3455192335</t>
  </si>
  <si>
    <t>4409814842</t>
  </si>
  <si>
    <t>7444082871</t>
  </si>
  <si>
    <t>5412617956</t>
  </si>
  <si>
    <t>3443145132</t>
  </si>
  <si>
    <t>5418696157</t>
  </si>
  <si>
    <t>8415687788</t>
  </si>
  <si>
    <t>7425603578</t>
  </si>
  <si>
    <t>2448808203</t>
  </si>
  <si>
    <t>6419165466</t>
  </si>
  <si>
    <t>7454218474</t>
  </si>
  <si>
    <t>6441989361</t>
  </si>
  <si>
    <t>0449080803</t>
  </si>
  <si>
    <t>4449121244</t>
  </si>
  <si>
    <t>1448604419</t>
  </si>
  <si>
    <t>1452103011</t>
  </si>
  <si>
    <t>1441049118</t>
  </si>
  <si>
    <t>391780831</t>
  </si>
  <si>
    <t>322828812</t>
  </si>
  <si>
    <t>105607652</t>
  </si>
  <si>
    <t>C2220007603</t>
  </si>
  <si>
    <t>426133768</t>
  </si>
  <si>
    <t>397-33-0534</t>
  </si>
  <si>
    <t>930674432</t>
  </si>
  <si>
    <t>391906210</t>
  </si>
  <si>
    <t>326960787</t>
  </si>
  <si>
    <t>NO ID FOUND</t>
  </si>
  <si>
    <t>395060858</t>
  </si>
  <si>
    <t>722862489</t>
  </si>
  <si>
    <t>396888205</t>
  </si>
  <si>
    <t>392136917</t>
  </si>
  <si>
    <t>9447037097</t>
  </si>
  <si>
    <t>4446260944</t>
  </si>
  <si>
    <t>5437328257</t>
  </si>
  <si>
    <t>5424658156</t>
  </si>
  <si>
    <t>2421396620</t>
  </si>
  <si>
    <t>5404073055</t>
  </si>
  <si>
    <t>8418628383</t>
  </si>
  <si>
    <t>6421206069</t>
  </si>
  <si>
    <t>2452037222</t>
  </si>
  <si>
    <t>3453067231</t>
  </si>
  <si>
    <t>3435362031</t>
  </si>
  <si>
    <t>6450213060</t>
  </si>
  <si>
    <t>3435575930</t>
  </si>
  <si>
    <t>2402763221</t>
  </si>
  <si>
    <t>0452023408</t>
  </si>
  <si>
    <t>5426716455</t>
  </si>
  <si>
    <t>3450008536</t>
  </si>
  <si>
    <t>1448838614</t>
  </si>
  <si>
    <t>1419002112</t>
  </si>
  <si>
    <t>1413176119</t>
  </si>
  <si>
    <t>1411106016</t>
  </si>
  <si>
    <t>4422456041</t>
  </si>
  <si>
    <t>0410821705</t>
  </si>
  <si>
    <t>119722806</t>
  </si>
  <si>
    <t>9404468797</t>
  </si>
  <si>
    <t>2440530522</t>
  </si>
  <si>
    <t>6439738861</t>
  </si>
  <si>
    <t>3407342233</t>
  </si>
  <si>
    <t>9418200392</t>
  </si>
  <si>
    <t>5423767253</t>
  </si>
  <si>
    <t>2426076828</t>
  </si>
  <si>
    <t>5404656255</t>
  </si>
  <si>
    <t/>
  </si>
  <si>
    <t>00000000</t>
  </si>
  <si>
    <t>000000000</t>
  </si>
  <si>
    <t>000000000000</t>
  </si>
  <si>
    <t>0000000000</t>
  </si>
  <si>
    <t>000000</t>
  </si>
  <si>
    <t>000231</t>
  </si>
  <si>
    <t>0002393670</t>
  </si>
  <si>
    <t>803558567</t>
  </si>
  <si>
    <t>000000000000000</t>
  </si>
  <si>
    <t>00000000000</t>
  </si>
  <si>
    <t>2403182524</t>
  </si>
  <si>
    <t>22025054901</t>
  </si>
  <si>
    <t>07704984319</t>
  </si>
  <si>
    <t>0000000</t>
  </si>
  <si>
    <t>001493310</t>
  </si>
  <si>
    <t>902874743</t>
  </si>
  <si>
    <t>961911362</t>
  </si>
  <si>
    <t>909421807</t>
  </si>
  <si>
    <t>943830350</t>
  </si>
  <si>
    <t>441061703</t>
  </si>
  <si>
    <t>935204780</t>
  </si>
  <si>
    <t>923526102</t>
  </si>
  <si>
    <t>944107972</t>
  </si>
  <si>
    <t>945153491</t>
  </si>
  <si>
    <t>951037218</t>
  </si>
  <si>
    <t>925061671</t>
  </si>
  <si>
    <t>931758465</t>
  </si>
  <si>
    <t>976347578</t>
  </si>
  <si>
    <t>905362287-00</t>
  </si>
  <si>
    <t>932742209</t>
  </si>
  <si>
    <t>929008820</t>
  </si>
  <si>
    <t>906501610</t>
  </si>
  <si>
    <t>122201668</t>
  </si>
  <si>
    <t>122685961</t>
  </si>
  <si>
    <t>115851983</t>
  </si>
  <si>
    <t>114353427</t>
  </si>
  <si>
    <t>122059120</t>
  </si>
  <si>
    <t>118322056</t>
  </si>
  <si>
    <t>120147020</t>
  </si>
  <si>
    <t>118936006</t>
  </si>
  <si>
    <t>120963752</t>
  </si>
  <si>
    <t>115204024</t>
  </si>
  <si>
    <t>110617798</t>
  </si>
  <si>
    <t>118095514</t>
  </si>
  <si>
    <t>121934062</t>
  </si>
  <si>
    <t>121933081</t>
  </si>
  <si>
    <t>116182830</t>
  </si>
  <si>
    <t>119457072</t>
  </si>
  <si>
    <t>116312474</t>
  </si>
  <si>
    <t>116134476</t>
  </si>
  <si>
    <t>119091534</t>
  </si>
  <si>
    <t>119009087</t>
  </si>
  <si>
    <t>110229651</t>
  </si>
  <si>
    <t>113779552</t>
  </si>
  <si>
    <t>102833216</t>
  </si>
  <si>
    <t>121991478</t>
  </si>
  <si>
    <t>122201171</t>
  </si>
  <si>
    <t>118509377</t>
  </si>
  <si>
    <t>116145551</t>
  </si>
  <si>
    <t>105358591</t>
  </si>
  <si>
    <t>110227269</t>
  </si>
  <si>
    <t>116006811</t>
  </si>
  <si>
    <t>116006810</t>
  </si>
  <si>
    <t>119841896</t>
  </si>
  <si>
    <t>116825463</t>
  </si>
  <si>
    <t>110732628</t>
  </si>
  <si>
    <t>120558499</t>
  </si>
  <si>
    <t>115911114</t>
  </si>
  <si>
    <t>118068673</t>
  </si>
  <si>
    <t>119167874</t>
  </si>
  <si>
    <t>116006677</t>
  </si>
  <si>
    <t>110572004</t>
  </si>
  <si>
    <t>119276954</t>
  </si>
  <si>
    <t>110879086</t>
  </si>
  <si>
    <t>114906706</t>
  </si>
  <si>
    <t>119615866</t>
  </si>
  <si>
    <t>102832926</t>
  </si>
  <si>
    <t>108869649</t>
  </si>
  <si>
    <t>121543077</t>
  </si>
  <si>
    <t>110227267</t>
  </si>
  <si>
    <t>121542554</t>
  </si>
  <si>
    <t>114147751</t>
  </si>
  <si>
    <t>111399996</t>
  </si>
  <si>
    <t>115911493</t>
  </si>
  <si>
    <t>106915962</t>
  </si>
  <si>
    <t>109545323</t>
  </si>
  <si>
    <t>116006372</t>
  </si>
  <si>
    <t>103757705</t>
  </si>
  <si>
    <t>114908264</t>
  </si>
  <si>
    <t>105561068</t>
  </si>
  <si>
    <t>119208384</t>
  </si>
  <si>
    <t>105140148</t>
  </si>
  <si>
    <t>106912078</t>
  </si>
  <si>
    <t>3/24/2022</t>
  </si>
  <si>
    <t>10/7/2021</t>
  </si>
  <si>
    <t>3/25/2022</t>
  </si>
  <si>
    <t>2/10/2022</t>
  </si>
  <si>
    <t>2/11/2022</t>
  </si>
  <si>
    <t>3/21/2022</t>
  </si>
  <si>
    <t>1/13/2022</t>
  </si>
  <si>
    <t>10/11/2021</t>
  </si>
  <si>
    <t>5/6/2021</t>
  </si>
  <si>
    <t>6/2/2021</t>
  </si>
  <si>
    <t>3/17/2022</t>
  </si>
  <si>
    <t>3/11/2022</t>
  </si>
  <si>
    <t>3/7/2022</t>
  </si>
  <si>
    <t>1/17/2022</t>
  </si>
  <si>
    <t>1/12/2022</t>
  </si>
  <si>
    <t>12/30/2021</t>
  </si>
  <si>
    <t>8/27/2021</t>
  </si>
  <si>
    <t>4/15/2021</t>
  </si>
  <si>
    <t>12/11/2021</t>
  </si>
  <si>
    <t>2/25/2022</t>
  </si>
  <si>
    <t>12/14/2021</t>
  </si>
  <si>
    <t>9/22/2021</t>
  </si>
  <si>
    <t>12/9/2021</t>
  </si>
  <si>
    <t>3/23/2021</t>
  </si>
  <si>
    <t>4/1/2022</t>
  </si>
  <si>
    <t>3/2/2022</t>
  </si>
  <si>
    <t>2/1/2022</t>
  </si>
  <si>
    <t>2/15/2022</t>
  </si>
  <si>
    <t>12/1/2021</t>
  </si>
  <si>
    <t>10/15/2021</t>
  </si>
  <si>
    <t>9/21/2021</t>
  </si>
  <si>
    <t>8/16/2021</t>
  </si>
  <si>
    <t>7/31/2021</t>
  </si>
  <si>
    <t>5/11/2021</t>
  </si>
  <si>
    <t>2/1/2021</t>
  </si>
  <si>
    <t>4/21/2021</t>
  </si>
  <si>
    <t>3/5/2022</t>
  </si>
  <si>
    <t>12/22/2021</t>
  </si>
  <si>
    <t>11/18/2021</t>
  </si>
  <si>
    <t>9/15/2021</t>
  </si>
  <si>
    <t>8/30/2021</t>
  </si>
  <si>
    <t>4/4/2022</t>
  </si>
  <si>
    <t>3/30/2022</t>
  </si>
  <si>
    <t>3/28/2022</t>
  </si>
  <si>
    <t>3/23/2022</t>
  </si>
  <si>
    <t>3/1/2022</t>
  </si>
  <si>
    <t>2/28/2022</t>
  </si>
  <si>
    <t>2/24/2022</t>
  </si>
  <si>
    <t>2/23/2022</t>
  </si>
  <si>
    <t>2/22/2022</t>
  </si>
  <si>
    <t>2/9/2022</t>
  </si>
  <si>
    <t>1/27/2022</t>
  </si>
  <si>
    <t>2/16/2022</t>
  </si>
  <si>
    <t>1/14/2022</t>
  </si>
  <si>
    <t>1/7/2022</t>
  </si>
  <si>
    <t>1/1/2022</t>
  </si>
  <si>
    <t>12/20/2021</t>
  </si>
  <si>
    <t>12/10/2021</t>
  </si>
  <si>
    <t>11/12/2021</t>
  </si>
  <si>
    <t>11/5/2021</t>
  </si>
  <si>
    <t>5/22/2021</t>
  </si>
  <si>
    <t>4/29/2021</t>
  </si>
  <si>
    <t>3/31/2022</t>
  </si>
  <si>
    <t>3/14/2022</t>
  </si>
  <si>
    <t>3/16/2022</t>
  </si>
  <si>
    <t>3/9/2022</t>
  </si>
  <si>
    <t>2/4/2022</t>
  </si>
  <si>
    <t>1/26/2022</t>
  </si>
  <si>
    <t>12/18/2021</t>
  </si>
  <si>
    <t>12/3/2021</t>
  </si>
  <si>
    <t>11/30/2021</t>
  </si>
  <si>
    <t>11/11/2021</t>
  </si>
  <si>
    <t>11/9/2021</t>
  </si>
  <si>
    <t>11/8/2021</t>
  </si>
  <si>
    <t>11/2/2021</t>
  </si>
  <si>
    <t>11/1/2021</t>
  </si>
  <si>
    <t>10/28/2021</t>
  </si>
  <si>
    <t>10/22/2021</t>
  </si>
  <si>
    <t>10/21/2021</t>
  </si>
  <si>
    <t>10/14/2021</t>
  </si>
  <si>
    <t>9/7/2021</t>
  </si>
  <si>
    <t>8/23/2021</t>
  </si>
  <si>
    <t>8/6/2021</t>
  </si>
  <si>
    <t>7/29/2021</t>
  </si>
  <si>
    <t>7/12/2021</t>
  </si>
  <si>
    <t>3/22/2022</t>
  </si>
  <si>
    <t>3/18/2022</t>
  </si>
  <si>
    <t>3/15/2022</t>
  </si>
  <si>
    <t>1/20/2022</t>
  </si>
  <si>
    <t>1/19/2022</t>
  </si>
  <si>
    <t>1/9/2022</t>
  </si>
  <si>
    <t>12/23/2021</t>
  </si>
  <si>
    <t>12/17/2021</t>
  </si>
  <si>
    <t>12/15/2021</t>
  </si>
  <si>
    <t>12/12/2021</t>
  </si>
  <si>
    <t>12/2/2021</t>
  </si>
  <si>
    <t>10/27/2021</t>
  </si>
  <si>
    <t>11/6/2021</t>
  </si>
  <si>
    <t>10/29/2021</t>
  </si>
  <si>
    <t>10/26/2021</t>
  </si>
  <si>
    <t>10/19/2021</t>
  </si>
  <si>
    <t>10/16/2021</t>
  </si>
  <si>
    <t>10/8/2021</t>
  </si>
  <si>
    <t>10/4/2021</t>
  </si>
  <si>
    <t>10/18/2021</t>
  </si>
  <si>
    <t>9/25/2021</t>
  </si>
  <si>
    <t>9/24/2021</t>
  </si>
  <si>
    <t>9/18/2021</t>
  </si>
  <si>
    <t>9/17/2021</t>
  </si>
  <si>
    <t>9/9/2021</t>
  </si>
  <si>
    <t>9/1/2021</t>
  </si>
  <si>
    <t>7/26/2021</t>
  </si>
  <si>
    <t>6/29/2021</t>
  </si>
  <si>
    <t>6/24/2021</t>
  </si>
  <si>
    <t>6/22/2021</t>
  </si>
  <si>
    <t>6/17/2021</t>
  </si>
  <si>
    <t>6/15/2021</t>
  </si>
  <si>
    <t>6/11/2021</t>
  </si>
  <si>
    <t>6/9/2021</t>
  </si>
  <si>
    <t>6/7/2021</t>
  </si>
  <si>
    <t>5/20/2021</t>
  </si>
  <si>
    <t>5/18/2021</t>
  </si>
  <si>
    <t>5/3/2021</t>
  </si>
  <si>
    <t>4/28/2021</t>
  </si>
  <si>
    <t>4/19/2021</t>
  </si>
  <si>
    <t>4/12/2021</t>
  </si>
  <si>
    <t>4/1/2021</t>
  </si>
  <si>
    <t>3/8/2021</t>
  </si>
  <si>
    <t>3/1/2021</t>
  </si>
  <si>
    <t>3/17/2021</t>
  </si>
  <si>
    <t>3/5/2021</t>
  </si>
  <si>
    <t>2/15/2021</t>
  </si>
  <si>
    <t>2/9/2021</t>
  </si>
  <si>
    <t>2/4/2021</t>
  </si>
  <si>
    <t>2/2/2021</t>
  </si>
  <si>
    <t>1/26/2021</t>
  </si>
  <si>
    <t>1/13/2021</t>
  </si>
  <si>
    <t>1/11/2021</t>
  </si>
  <si>
    <t>12/31/2020</t>
  </si>
  <si>
    <t>12/30/2020</t>
  </si>
  <si>
    <t>12/23/2020</t>
  </si>
  <si>
    <t>12/21/2020</t>
  </si>
  <si>
    <t>12/15/2020</t>
  </si>
  <si>
    <t>12/14/2020</t>
  </si>
  <si>
    <t>11/25/2020</t>
  </si>
  <si>
    <t>11/20/2020</t>
  </si>
  <si>
    <t>11/18/2020</t>
  </si>
  <si>
    <t>10/4/2020</t>
  </si>
  <si>
    <t>10/5/2020</t>
  </si>
  <si>
    <t>7/3/2020</t>
  </si>
  <si>
    <t>6/18/2020</t>
  </si>
  <si>
    <t>6/16/2020</t>
  </si>
  <si>
    <t>1/21/2020</t>
  </si>
  <si>
    <t>1/13/2020</t>
  </si>
  <si>
    <t>1/9/2020</t>
  </si>
  <si>
    <t>1/3/2020</t>
  </si>
  <si>
    <t>12/18/2019</t>
  </si>
  <si>
    <t>12/13/2019</t>
  </si>
  <si>
    <t>11/25/2019</t>
  </si>
  <si>
    <t>10/31/2019</t>
  </si>
  <si>
    <t>4/19/2019</t>
  </si>
  <si>
    <t>3/29/2022</t>
  </si>
  <si>
    <t>3/10/2022</t>
  </si>
  <si>
    <t>3/4/2022</t>
  </si>
  <si>
    <t>3/3/2022</t>
  </si>
  <si>
    <t>2/18/2022</t>
  </si>
  <si>
    <t>10/20/2021</t>
  </si>
  <si>
    <t>9/2/2021</t>
  </si>
  <si>
    <t>2/8/2022</t>
  </si>
  <si>
    <t>7/28/2021</t>
  </si>
  <si>
    <t>7/7/2021</t>
  </si>
  <si>
    <t>5/14/2021</t>
  </si>
  <si>
    <t>4/8/2021</t>
  </si>
  <si>
    <t>3/19/2022</t>
  </si>
  <si>
    <t>3/12/2022</t>
  </si>
  <si>
    <t>1/31/2022</t>
  </si>
  <si>
    <t>1/28/2022</t>
  </si>
  <si>
    <t>1/25/2022</t>
  </si>
  <si>
    <t>12/21/2021</t>
  </si>
  <si>
    <t>12/7/2021</t>
  </si>
  <si>
    <t>11/13/2021</t>
  </si>
  <si>
    <t>10/13/2021</t>
  </si>
  <si>
    <t>10/9/2021</t>
  </si>
  <si>
    <t>10/2/2021</t>
  </si>
  <si>
    <t>10/1/2021</t>
  </si>
  <si>
    <t>9/28/2021</t>
  </si>
  <si>
    <t>9/14/2021</t>
  </si>
  <si>
    <t>8/18/2021</t>
  </si>
  <si>
    <t>8/12/2021</t>
  </si>
  <si>
    <t>8/4/2021</t>
  </si>
  <si>
    <t>7/30/2021</t>
  </si>
  <si>
    <t>5/17/2021</t>
  </si>
  <si>
    <t>4/27/2021</t>
  </si>
  <si>
    <t>4/24/2021</t>
  </si>
  <si>
    <t>4/7/2021</t>
  </si>
  <si>
    <t>4/6/2021</t>
  </si>
  <si>
    <t>3/26/2021</t>
  </si>
  <si>
    <t>2/17/2021</t>
  </si>
  <si>
    <t>2/26/2022</t>
  </si>
  <si>
    <t>8/7/2021</t>
  </si>
  <si>
    <t>9/20/2021</t>
  </si>
  <si>
    <t>6/1/2021</t>
  </si>
  <si>
    <t>4/26/2021</t>
  </si>
  <si>
    <t>Aetna</t>
  </si>
  <si>
    <t>8004517715</t>
  </si>
  <si>
    <t>Ameritas</t>
  </si>
  <si>
    <t>8006592223</t>
  </si>
  <si>
    <t>Anthem</t>
  </si>
  <si>
    <t>8447291565</t>
  </si>
  <si>
    <t xml:space="preserve">Cigna </t>
  </si>
  <si>
    <t>8002446224</t>
  </si>
  <si>
    <t xml:space="preserve">Cigna Out Of Network </t>
  </si>
  <si>
    <t>8004486262</t>
  </si>
  <si>
    <t>Cigna</t>
  </si>
  <si>
    <t>DELTA DENTAL OF IOWA</t>
  </si>
  <si>
    <t>8005440718</t>
  </si>
  <si>
    <t xml:space="preserve">DELTA DENTAL OF MICHIGAN </t>
  </si>
  <si>
    <t>8005240149</t>
  </si>
  <si>
    <t xml:space="preserve">Delta Dental of Minnesota </t>
  </si>
  <si>
    <t>8004483815</t>
  </si>
  <si>
    <t>Delta Dental of Missouri</t>
  </si>
  <si>
    <t>8003358266</t>
  </si>
  <si>
    <t>Delta Dental of Washington</t>
  </si>
  <si>
    <t>8005541907</t>
  </si>
  <si>
    <t xml:space="preserve">Delta Dental Of Wisconsin </t>
  </si>
  <si>
    <t>8002363712</t>
  </si>
  <si>
    <t>Delta Dental Wisconsin Individual plan</t>
  </si>
  <si>
    <t>8888993734</t>
  </si>
  <si>
    <t>Denta Trust</t>
  </si>
  <si>
    <t>8004365294</t>
  </si>
  <si>
    <t>Dental Health and Wellness WI</t>
  </si>
  <si>
    <t>8444645635</t>
  </si>
  <si>
    <t>Dentaquest</t>
  </si>
  <si>
    <t>8004177140</t>
  </si>
  <si>
    <t>DPOW-CCHP</t>
  </si>
  <si>
    <t>4143899880</t>
  </si>
  <si>
    <t>Forward Health</t>
  </si>
  <si>
    <t>8009479627</t>
  </si>
  <si>
    <t>Guardian Dental Group</t>
  </si>
  <si>
    <t>Humana Dental Claims Office</t>
  </si>
  <si>
    <t>8664277478</t>
  </si>
  <si>
    <t>ICARE-MEDICARE</t>
  </si>
  <si>
    <t>8554535287</t>
  </si>
  <si>
    <t>Metlife Dental Claims</t>
  </si>
  <si>
    <t>8776383379</t>
  </si>
  <si>
    <t>Molina Healthcare of WI</t>
  </si>
  <si>
    <t>8889992404</t>
  </si>
  <si>
    <t>No Insurance</t>
  </si>
  <si>
    <t>Reliance Standard Insurance Co</t>
  </si>
  <si>
    <t>8004977044</t>
  </si>
  <si>
    <t xml:space="preserve">UHC PPO </t>
  </si>
  <si>
    <t>8008225353</t>
  </si>
  <si>
    <t>UNITED HEALTH CARE DENTAL</t>
  </si>
  <si>
    <t>8004459090</t>
  </si>
  <si>
    <t>United Health Care Dental</t>
  </si>
  <si>
    <t>8882498833</t>
  </si>
  <si>
    <t>Sweet Smiles</t>
  </si>
  <si>
    <t>B222T</t>
  </si>
  <si>
    <t>Bridget</t>
  </si>
  <si>
    <t>Clm #20210303102574. Prim Paid Max</t>
  </si>
  <si>
    <t>NV pending</t>
  </si>
  <si>
    <t>SN</t>
  </si>
  <si>
    <t>BULK</t>
  </si>
  <si>
    <t>Processed on 03/31/2021  Clm #20210402101932, Pd Amt : $ 63.38, Bulk Payment : $5220; D0220, D230 &amp; D0274 are bundled to D0210 and paid.</t>
  </si>
  <si>
    <t>Ginas1212022</t>
  </si>
  <si>
    <t>Ginas</t>
  </si>
  <si>
    <t xml:space="preserve">Pd $161.60 Pt res $'0'  Clm #20210402104332. Net yet cashed </t>
  </si>
  <si>
    <t>GP133</t>
  </si>
  <si>
    <t>Mailing Address: Po. Box. 583, Nilwaukee, WI-Zip code: 53201</t>
  </si>
  <si>
    <t>90 days from DOS</t>
  </si>
  <si>
    <t>Need to resubmit the claim along with Narrative (Mentioning the reason for delay in submission) as we have exceeded TFL.</t>
  </si>
  <si>
    <t>DK</t>
  </si>
  <si>
    <t>Pd $119.24 Pt responsibility '0'  Clm #20210519101483</t>
  </si>
  <si>
    <t>" missing x-rays</t>
  </si>
  <si>
    <t>S01212022</t>
  </si>
  <si>
    <t>Gaberiela</t>
  </si>
  <si>
    <t>Processed on 06/04/2021 Clm #20210604179095. Rep states that there is no Eob. Need to resubmit the claim with Xrays, Narrative (as we have exceeded the TFL) along with the supportive documents if any for processing.</t>
  </si>
  <si>
    <t>1-3 years</t>
  </si>
  <si>
    <t>Processed on 05/28/2021  Clm #20210519102154, D0230 &amp;D0274 are bundled in D0210 which is denied due to freq</t>
  </si>
  <si>
    <t>Paid to different Provider</t>
  </si>
  <si>
    <t>Jordan</t>
  </si>
  <si>
    <t>Claim denied as duplicate. Earlier paid to different provider.</t>
  </si>
  <si>
    <t>once in 3 years</t>
  </si>
  <si>
    <t>NormaB02/22/2022</t>
  </si>
  <si>
    <t>Norma</t>
  </si>
  <si>
    <t>D0220,D0230 &amp; D0274 are bundled with D0210 which is denied due to freq.</t>
  </si>
  <si>
    <t>" D2740 is not covered benefits under the plan</t>
  </si>
  <si>
    <t>Processed on 09/28/2021  Clm #20210924152828</t>
  </si>
  <si>
    <t>90 cal days</t>
  </si>
  <si>
    <t>Peggy1212022</t>
  </si>
  <si>
    <t>Peggy</t>
  </si>
  <si>
    <t xml:space="preserve">Pd $189 Pt responsibility '0'  Clm #20210824130523. </t>
  </si>
  <si>
    <t>Erica1212022</t>
  </si>
  <si>
    <t>Erica</t>
  </si>
  <si>
    <t>Pd $245. 60  Clm #20210825141062. Not yet cashed. D2941 denied for not covered benefits in plan</t>
  </si>
  <si>
    <t>Pd $2246  Clm #20210927166283</t>
  </si>
  <si>
    <t xml:space="preserve">Pd $2173 Pt res $'0'  Clm #20210924153507. Net yet cashed </t>
  </si>
  <si>
    <t>Pd $194.40 Pt responsibility $ '0' Clm #20210908175789. Net yet cashed and  D1351  T3, 14, 19, 30  denied for frequency-1 in every 3 years  and history: 01/07/2019</t>
  </si>
  <si>
    <t>Pd $874 Pt responsibility '0' Clm #20210222123328. no cash date</t>
  </si>
  <si>
    <t>Benp02/21/2022</t>
  </si>
  <si>
    <t>Ben</t>
  </si>
  <si>
    <t>Pd $90.00  Pt responsibility '0'  Clm #20210927167773. D0140 and D0270  is denied for frequency; 1 time for year and history: 06/24/2021 &amp; 09/21/2021</t>
  </si>
  <si>
    <t>7o82974</t>
  </si>
  <si>
    <t>Pd $52.00 Pt responsibility '0'  Clm #20210811M85612. Net yet cashed</t>
  </si>
  <si>
    <t>Single check</t>
  </si>
  <si>
    <t>Lisa01/21/2022</t>
  </si>
  <si>
    <t>Lisa</t>
  </si>
  <si>
    <t>Pd $46.87 Pt reponsibility $'0'  Clm #20211004138684  and D0220 is denied for the service is replace by full mouth x-rays</t>
  </si>
  <si>
    <t>BilianaD02212022</t>
  </si>
  <si>
    <t>Biliana</t>
  </si>
  <si>
    <t>Pd $0.00 Clm #2022011189509. Primary Paid Max</t>
  </si>
  <si>
    <t>Benp1212022</t>
  </si>
  <si>
    <t>Benp</t>
  </si>
  <si>
    <t>Pd $2173 Pt responsibility $'0'  Clm #20211011122591</t>
  </si>
  <si>
    <t>Processed on 10/12/2021  Clm # 20211004139328 Pd Amt : $64.44. Bulk payment : $ 5362.71</t>
  </si>
  <si>
    <t>Pd $47.72  Pt responsibility $ '0'  Clm #20211005156209. Net yet cashed  and  D9110  denied for service not submitted on same DOS the procedure bill</t>
  </si>
  <si>
    <t>1242022Lblaca</t>
  </si>
  <si>
    <t>Louanna</t>
  </si>
  <si>
    <t xml:space="preserve">Pd $702; Pt responsibility none  Clm #20211011122868. Net yet cashed </t>
  </si>
  <si>
    <t>1242022Lb</t>
  </si>
  <si>
    <t>Pd $44.00 Pt responsibility is none Clm #20211227156326. Net yet cashed  and D9110 is denied for service not submitted the same DOS of other procedure bill and  Rep states that we don't send the fax</t>
  </si>
  <si>
    <t>Pd $4706.55  Pt res is none Clm #20211011122821. Net yet cashed  and D1110 denied due to frquency (Once in 3 years) and D0220, D230 &amp; D0274 are bundled with D0210</t>
  </si>
  <si>
    <t>Prim EOB required</t>
  </si>
  <si>
    <t>NA</t>
  </si>
  <si>
    <t>Rep State that Claim Denied as they need us to resubmit claim with Prim Ins EOB. If UHC is Prim, patient needs to call Ins and update the info. Claim No:20211011124390,   Processed &amp; Denied Date: 10/19/2021,   Patient Resp: Nil, TFL:90 Calender Day</t>
  </si>
  <si>
    <t>TASK CREATED</t>
  </si>
  <si>
    <t>1 every 3 year</t>
  </si>
  <si>
    <t>DollieH01262022</t>
  </si>
  <si>
    <t>Dollie</t>
  </si>
  <si>
    <t>Rep State that Claim Denied due to Freq,Claim No:20211022161139,   Processed &amp; Denied Date: 10/26/2021,   Patient Resp: Nil</t>
  </si>
  <si>
    <t>Only Mailing Address:P.O.BOX 583,Miwaukee,WI 53201</t>
  </si>
  <si>
    <t>SadeC01262022</t>
  </si>
  <si>
    <t>Sade</t>
  </si>
  <si>
    <t>AA</t>
  </si>
  <si>
    <t>Brinana</t>
  </si>
  <si>
    <t>Rep State that Paid,Claim No:20211015182418,Paid Amt:$52.95,  Bulk Amt:$4706.55. D0220, D0230 &amp;D0274 are bundled with D0210 which was denied due to frequency.</t>
  </si>
  <si>
    <t>Rep State that Claim Paid,  Claim No: 20211029137512, Paid Amt: $52.95,   Bulk Amount: $3931.95,  Processed and Denied Date: 11/02/2021 (D0230,D0220,D0274 is Replace by full month x-RAY and has not been Paid</t>
  </si>
  <si>
    <t>Require Prim EOB</t>
  </si>
  <si>
    <t>Rep states that they haven't recieve the claim for the reprocessing, Rep says that new claim has to be submitted with the empty boxes nothing to mark with the other insurance to process the claim. Payor id #GP133, mailing addres: P.O box 583 noouwaki 53201 //Rep State that Claim Denied,Claim No:20211102167296,  Processed &amp; Denied Date:11/09/2021,   Patiient Resp:NIL. As there is only one Ins details updated in Eagle Soft, informed the same and claim sent for reprocessing and need to allow 30 business days from DOS</t>
  </si>
  <si>
    <t>MU</t>
  </si>
  <si>
    <t>Rep states that they haven't recieve the claim for the reprocessing, Rep says that new claim has to be submitted with the empty boxes nothing to mark with the other insurance to process the claim. Payor id #GP133, mailing addres: P.O box 583 noouwaki 53201.//Rep State that Claim Denied,Claim No:20211102167297,  Processed &amp; Denied Date:11/09/2021,   Patiient Resp:NIL. As there is only one Ins details updated in Eagle Soft, informed the same and claim sent for reprocessing and need to allow 30 business days from DOS</t>
  </si>
  <si>
    <t>Need to Submit Prio-Dental Charting for Pre Auth to approve</t>
  </si>
  <si>
    <t>Only Mailing Address:P.O.BOX 383,Milwaukee,WI 53201</t>
  </si>
  <si>
    <t>Dawng01312022</t>
  </si>
  <si>
    <t>Dawn</t>
  </si>
  <si>
    <t>Rep State that Claim Denied,Claim No:20211110171312, Patiient Resp:43.41. Code D0210 is denied due to Frequency,Limit:once in  every 3 year, History Date:11/20/2018,  ,   D4342 - Claim denied as Pre Auth needs to be approved.Per Ins, Pre Auth is pending and require Perio Charting to get approved. Once te Pre Auth is approve, we can resubmit the claim for claim reprocessing.</t>
  </si>
  <si>
    <t>David</t>
  </si>
  <si>
    <t>Need to send a clinical description (narrative) reagrdng code D7210 because as per INS totth # 14 was already been extracted in 2018..  Call Ref # 143974  Rep : Jessie.   //     Claim sent for reprocessing and need to allow 10 business days for status on D7210.  Call Ref # : MatreshkaM02/18/2022  Rep : Matreshka.  //  D0150 &amp; D0330 were paid. D7210 was denied stating as per Ins records, tooth # 14 was already extracted on July, 2018 by another provider Dr. Tae Kang (Familiar Dental). In order to get this code paid, rep suggested to inform patient to check with the other provider about the incorrect claim. Once they correct the claim, Ins will process our claim.</t>
  </si>
  <si>
    <t>Denied requesting Primary EOB. Need to resubmit the claim along with the Prim EOB. Payer ID: GP133, Mailling Address : PO Box 583, Milwaukee, WI - 53201</t>
  </si>
  <si>
    <t>Priscilla02/17/2022</t>
  </si>
  <si>
    <t>Priscilla</t>
  </si>
  <si>
    <t>CLM # 20211110173030, TFL : 90 days from DOS. D0210 &amp; D0150 are paid. D4342 (4 same codes) aren't paid due to preauthorization denial. Preauth denied requesting for Perio Charting. We need to get preauth approved before in order to get the claim approved. Also, need to submit narrative (mentioning the reason for delay) as we exceeded TFL.</t>
  </si>
  <si>
    <t>D0220 was denied - bundled with other procedure D0220, D0272 was denied due to frequency (Once in 6 months). History Date : 11/02/2021 (Claim sent by other provider on the same date).</t>
  </si>
  <si>
    <t>Priscillas02172022</t>
  </si>
  <si>
    <t>Rec Date : 11/12/2021. Need to appeal with Narrative (mentioning the reason for delay in reponding), Prim EOB &amp; other supportive docs if any. Payer ID: GP133, Mailling Address : PO Box 481, Milwaukee, WI - 53201</t>
  </si>
  <si>
    <t xml:space="preserve">CLM # 20211015181678; Pd Amt : $216; </t>
  </si>
  <si>
    <t xml:space="preserve">CLM # 20211004138685; Pd Amt : $108; </t>
  </si>
  <si>
    <t>7133676 &amp; 7140963</t>
  </si>
  <si>
    <t>CLM # : 20210921101272 - Pd amt : $108, Bulk : $3643, Issue Date : 09/27/2021, D7140 was paid, D0140 was denied due to freq (Once in a cal year) History Date : 09/14/2021 (Sent multiple claims on same day, this code paid in different claim). CLM # 20210921M01272; D0140 - Pd Amt : $52, Bulk : $211.30, Issue Date : 09/20/2021..</t>
  </si>
  <si>
    <t>CLM # 20211116133789; Pd Amt : $55.20; Bulk Amt : $1634.28.</t>
  </si>
  <si>
    <t>Portal</t>
  </si>
  <si>
    <t>Need to resubmit the claim along with the PANO. - Task Response</t>
  </si>
  <si>
    <t>MA</t>
  </si>
  <si>
    <t>Bulk</t>
  </si>
  <si>
    <t>Maganr02172022</t>
  </si>
  <si>
    <t>Magan</t>
  </si>
  <si>
    <t>CLM # 20211202103411. D0220, D0230 &amp; D0274 are bundled to D0210 which is denied due to freq, Once in 3 years - History Date : 02/25/2020</t>
  </si>
  <si>
    <t>SadeC02222022</t>
  </si>
  <si>
    <t>CLM # 20211202102664; D0140 - Denied for Freq, Once a cal year - History Date : 08/17/2021</t>
  </si>
  <si>
    <t>CLM # 20211213119732</t>
  </si>
  <si>
    <t>CLM # 2021121515180; Need to submit Primary EOB</t>
  </si>
  <si>
    <t xml:space="preserve">Single </t>
  </si>
  <si>
    <t>TeresaR02/22/2022</t>
  </si>
  <si>
    <t>Teresa</t>
  </si>
  <si>
    <t>CLM # 20211215150948; D0140 - Denied for Freq - Once per Cal year; History Date : 07/07/2021; D7210 - Paid Amt : $100 (Pt maxed out) Pt Resp : $108.</t>
  </si>
  <si>
    <t>GP133 &amp; P O Box 583; Milwaukee; WI - 53201</t>
  </si>
  <si>
    <t>Need to resubmit the claim &amp; Procedure code looks incorrect.</t>
  </si>
  <si>
    <t>CLM # 20220114133162, Required Primary EOB for processing.</t>
  </si>
  <si>
    <t>Clm # 20220114133121; Pd Amt : $338.39, Bulk Amt : $3842.38</t>
  </si>
  <si>
    <t>CLAIM CLOSED</t>
  </si>
  <si>
    <t>D5441</t>
  </si>
  <si>
    <t>Nicole</t>
  </si>
  <si>
    <t>Claim closed as the Tax ID mentioned on the claim is incorrect. We need to resubmit the claim along with the Prim EOB for processing. CLM # 210493954900; TFL : NIL</t>
  </si>
  <si>
    <t>Claim denied requesting for Prim EOB. CLM # 210935452600; TFL : NIL</t>
  </si>
  <si>
    <t>Claim denied requesting for Prim EOB. CLM # 210938988700; TFL : NIL</t>
  </si>
  <si>
    <t>D20531802049163</t>
  </si>
  <si>
    <t>Xavier</t>
  </si>
  <si>
    <t>CLM # 213612019000; Pd Amt : $34.50; Pt Resp : $34.50; Bulk Amt : $298.50</t>
  </si>
  <si>
    <t>D20531745278146</t>
  </si>
  <si>
    <t>SINGLE</t>
  </si>
  <si>
    <t>ClM # 213552244900; Pd Amt : $134; Pt Resp : $0.</t>
  </si>
  <si>
    <t>D20531758197400</t>
  </si>
  <si>
    <t>ClM # 213611883100; Pd Amt : $2064; Pt Resp : $109; Bulk Amt : $2098.50</t>
  </si>
  <si>
    <t>CLM # 220112315800; Pd Amt : $190; Pt Resp : $190; Bulk Amt : $539</t>
  </si>
  <si>
    <t>CLM # 220113065500; Pd Amt : $349; Pt Resp : $190; Bulk Amt : $539.</t>
  </si>
  <si>
    <t>D20531741236689</t>
  </si>
  <si>
    <t>CLM # 220103477300; Pd Amt : $310; Bulk Amt : $437</t>
  </si>
  <si>
    <t>D8934</t>
  </si>
  <si>
    <t>CLM # : 220183243900; Pd Amt : $366; Pt Resp : 0; Bulk Payment : $420.</t>
  </si>
  <si>
    <t>TERESA</t>
  </si>
  <si>
    <t>Narrative &amp; Amount</t>
  </si>
  <si>
    <t>Rebecca02/22/2022</t>
  </si>
  <si>
    <t>CLM # : 2111115624300 - D2740 for Tooth #29 &amp; 31 - Denied as incorrect procedure performed. D6245 - Denied as it is considered as Sec treatment and Prim treatment was not approved. Also, there is 0 submitted amount for this code. Hence, we need to resubmit the claim mentioning the amount and also the narrative for performing D2740. TFL : None.</t>
  </si>
  <si>
    <t>REBECA</t>
  </si>
  <si>
    <t>D8878</t>
  </si>
  <si>
    <t>Rebecca</t>
  </si>
  <si>
    <t>XAVIER</t>
  </si>
  <si>
    <t>CLM # 220183704700; Pd Amt : $54; Pt Resp : $54; Bulk Amt $420</t>
  </si>
  <si>
    <t>CLM # 220103067000; Pd Amt : $127; Pt Resp : $54; Bulk Amt : $437</t>
  </si>
  <si>
    <t>SKYGN</t>
  </si>
  <si>
    <t>90days from dos</t>
  </si>
  <si>
    <t>Cheryo</t>
  </si>
  <si>
    <t>Rep states that clm is not on file for the dos, the patient is active, we can send send the clm to P.O. Box 2136. Milwaukee, WI 53201.</t>
  </si>
  <si>
    <t>Rep states that CNOF patient is active,rep requested us to send the claim trough payorid SKYGN, P.O box 2136 novaki wi 53201</t>
  </si>
  <si>
    <t>Clm #M1415573300608, paid amt $17.36 Rcd on 05/19/2021, Bulk amt $3,252.49, there is a one code on the claim which is paid.</t>
  </si>
  <si>
    <t>PORTAL</t>
  </si>
  <si>
    <t>Clm #M1409375301305, Rcd on 05/12/2021, paid amt$89.65, there are 3 codes on the claim which is paid.</t>
  </si>
  <si>
    <t>Clm #X1044388053, Rcd on 03/27/2019, paid amt $354.40, Bulk amt$7,454.41, there are six codes on the claim 3 codes are paid and 3denied.</t>
  </si>
  <si>
    <t>Clm #M1448873802029, paid amt $101, there are two codes on the claim which is paid.</t>
  </si>
  <si>
    <t>180 days from DOS</t>
  </si>
  <si>
    <t xml:space="preserve">Rep states that CNOF patient is active,rep requested us to send the claim trough payorid SKYGN, P.O box 2136 novaki wi 53201. </t>
  </si>
  <si>
    <t>Clm #M1470891204822, paid amt $19.71, Rcd on 7/27/2021, There are four codes on the claim one is paid and the rest are denied.</t>
  </si>
  <si>
    <t>Clm #M1472116003044, Rcd on 7/28/2021, amt paid $79.43.</t>
  </si>
  <si>
    <t>Clm #M1470891202466, Rcd dt M1470891202466, paid amt$79.43, D1110, D1208 has been paid on the claim and others are denied.</t>
  </si>
  <si>
    <t>Service is not billiable after dentrist</t>
  </si>
  <si>
    <t>Rep states that clm #20210811187518 the claim is denied due to service is not billable after full dentures.///RECHECK WITH THE INS -  SN    //       Clm #M1484216202647, Rcd dt 08/11/2021, code D7210 has been denied on the claim.Service not billable after full dentures</t>
  </si>
  <si>
    <t>Clm #M1481620201459, clm rcd on 08/09/2021, paid amt $98.63, bulk amt $2,071.36. there are two codes on the claim one is paid and one denied D0330 due to this service is replaced by the full mouth x-ray.</t>
  </si>
  <si>
    <t>Clm #M1523626800980, clm rcd on 9/27/2021, paid amt $1,000.80, Bulk amt $7,058.11, there are 7 codes on the claim which has been paid.</t>
  </si>
  <si>
    <t>Rep states that clm #20210825101736 paid amt $145.36 paid through EFT. Only one code D0150 is denied due to frequency, freq limit 1 in every 3 year, his dates 8/5/2019, 3/9/2020.</t>
  </si>
  <si>
    <t>Claim rcd on 8/27/2021, paid amt $253.44,  there are two lines on the claim has been paid.</t>
  </si>
  <si>
    <t>Clm #M1499060900889, clm rcd on 8/27/2021, paid amt $480.55, There are 12 codes on the claim 1 code D1120 is denied due to the member age or tooth is not within plan guidelines for this procedure.</t>
  </si>
  <si>
    <t>D9110 was not bundled with D9230. D9110 was denied as it not permitted by Ins to perform the procedure on the same day when D9230 was performed. - 02/28/2022 - SN.   //     Need to call and check if D9110 is inclusive when billed with D9230. Per Online Clm# 20211108101698, Partially Paid $44.00. D9110 denied as Service not permitted on same date of service when billed with D9230</t>
  </si>
  <si>
    <t>Claim # 20211019173880, Paid $35.66.</t>
  </si>
  <si>
    <t>Claim# 20211108101811, Paid $107.83</t>
  </si>
  <si>
    <t>Claim # 20211109104004, Paid $121.04</t>
  </si>
  <si>
    <t>90 days from dos</t>
  </si>
  <si>
    <t>Rep states that CNOF patient is active,rep requested us to send the claim trough payorid SKYGN, P.O box 2136 novaki wi 53201.////CHECK THE STATUS</t>
  </si>
  <si>
    <t>Claim# 20211202135315, Paid $7.59</t>
  </si>
  <si>
    <t>Claim # 20211230167597, Paid $153.84</t>
  </si>
  <si>
    <t>As per the ID card in Smart docs, patient has Forward Health ins not Molina. Need to update the Ins info in PMS and resubmit the claim to Forward Health.</t>
  </si>
  <si>
    <t>Service Not a Covered Benefit</t>
  </si>
  <si>
    <t>Claim # 20220111179085, Its not a covered benefit.</t>
  </si>
  <si>
    <t>Bulk $318</t>
  </si>
  <si>
    <t>Jess</t>
  </si>
  <si>
    <t>Rep states that clm# 1021246564, rep confirmed that this not a duplicate, payment made to the provideer Dr sumitt chanana. ///RECHECK WITH INS, EOB SAYS IT IS A DUPLICATE CLAIM. PROBABLY THE CLAIM WAS PAID TO ANOTHER PROVIDER.    //   Pd $159 pt res $ 0  Clm #1021246564 was cashed on 03/02/2021. Eob requested</t>
  </si>
  <si>
    <t>Pd $173.60 Clm # 1051944090 Cashed Date 07/12/2021. D0220, D0230, D0274, D0330 are bundled into code D0210 and paid.</t>
  </si>
  <si>
    <t>SEPRATE</t>
  </si>
  <si>
    <t>Razel</t>
  </si>
  <si>
    <t>Pd Amt : $103.60 CLM # 1072042768. Rep states that the payment has been made and it has cashed out on 8/11/2021, payment was send to the insured so we have to contact insure for the eob.</t>
  </si>
  <si>
    <t>No filing limits</t>
  </si>
  <si>
    <t>Charm</t>
  </si>
  <si>
    <t>Rep states that this policy is no longer active , The termination date is 2/28/2022, since the policy is active for the Dos, we can submitt the claim for the re processing, Rep suggested us to send the claim trough fax #18593896505, P.O box 981282. El Paso, TX 79998.</t>
  </si>
  <si>
    <t>Jely</t>
  </si>
  <si>
    <t>Rep states that clm #1120801171 paid amt $175.50, only one code D0330 is denied due to frequency and the freq limit is once in 5 years, his dates are 10/8/2018.///GET EOB &amp; RECHECK THE STATUS - SN    //    Rep Say's that Claim is pending as they need the complete details of the treating dentist (Need Clear copy of the Dentist Information,Lincence No,Date on which he started service at office,Office Address,Telephone No and Name of the treating Dentist),  Claim No:1111037616,  Processed &amp; Denied Date:11/18/2021, Mailing Address:P.O.BOX 981282 Elpaso,TX 79998</t>
  </si>
  <si>
    <t>Primary EOB required</t>
  </si>
  <si>
    <t>Rep states that clm #1120934148003, clm has been denied due to need the priamry eob.</t>
  </si>
  <si>
    <t>Amore</t>
  </si>
  <si>
    <t>Rep States that clm #211230404700, Paid amt $123.20, Cashed date 01/19/2022, Pt Resp $369.80, D7210 &amp; D1208 are denied not covered under patient plan.</t>
  </si>
  <si>
    <t>Rep states that the check was cashed on 1/19/2022. Rep AD id #121583284. //Rep states that the claim is still outstanding need to contact after 7-10 buisness days. Rep Jely id #121084878. ///NEED CASHED DATE - SN   //    CLM # 1122737546; Pd Amt $64</t>
  </si>
  <si>
    <t>Rep states that the check was cashed on 1/19/2022. Rep AD id #121583284 ///Rep states that the claim is still outstanding need to contact after 7-10 buisness days. Rep Jely id #121084878. ///NEED CASHED DATE - SN.    //    CLM # 1122744903; Pd Amt $41</t>
  </si>
  <si>
    <t>As per the ID card in Smart docs, patient has UHC ins not MetLife. Need to update the Ins info in PMS and resubmit the claim to UHC.</t>
  </si>
  <si>
    <t>as per PMS DOS was ( 12/15/2021) Rep states that the check was cashed on 1/19/2022. Rep AD id #121583284.//Rep states that the claim is still outstanding need to contact after 7-10 buisness days. Rep Jely id #121084878. //NEED CASHED DATE - SN   //    CLM # 1122744904; Pd Amt $371.20; Deductible $50</t>
  </si>
  <si>
    <t>2000232347937</t>
  </si>
  <si>
    <t>Miki</t>
  </si>
  <si>
    <t>Once in 6 Consecutive months</t>
  </si>
  <si>
    <t>GET THE HISTORY DATES.  ///Clm #20721C13900</t>
  </si>
  <si>
    <t>220127030315</t>
  </si>
  <si>
    <t>MATT</t>
  </si>
  <si>
    <t>Rep State that Claim Denied as patient used yearly max,Claim No:62398553C00,  Processed &amp; Denied Date:06/03/2021, Patient Resp: Nil</t>
  </si>
  <si>
    <t>CLM ICN # 2021139021228; Pd Amt $282.40. D9230 - Prior Authorization required for this service.As pre auth is not found, code denied.</t>
  </si>
  <si>
    <t>12/17/2021 &amp; 07/09/2021</t>
  </si>
  <si>
    <t>CLM ICN # 5921315018403 &amp; 2021159038649. Pd Amt $20.25 twice. D9230 - Prior Authorization required for this service.As pre auth is not found, code denied.</t>
  </si>
  <si>
    <t>CLM ICN # 2021159038670; Pd Amt $96.34; D9230 - Prior Authorization required for this service. As preauh is not found, code denied.</t>
  </si>
  <si>
    <t>CLM ICN # 2021169003437; Pd Amt $112.88; D9230 - Prior Authorization required to process the claim. S no pre auth found by Ins code denied.</t>
  </si>
  <si>
    <t>CLM ICN # 2021169003438; Pd Amt $84.73; D9230 was denied, Prior Authorization required for processing.</t>
  </si>
  <si>
    <t>CLM ICN # 2021176002469; Pd Amt 166.97</t>
  </si>
  <si>
    <t>CLM ICN # 2021208019592; Pd amt $82.51</t>
  </si>
  <si>
    <t>CLM CIN # 2021208019610; Pd Amt $56.44</t>
  </si>
  <si>
    <t>CLM ICN # 2021236018208; Pd Amt $126.16</t>
  </si>
  <si>
    <t>CX014</t>
  </si>
  <si>
    <t>120 days from dos</t>
  </si>
  <si>
    <t>Sranjie</t>
  </si>
  <si>
    <t>Rep states that this pat is assosiated with Anthem blue cross not with Forward health, as per rep the clm is not on file payor id Cx014 TFL is 120days from dos. P.O box 2906 novaki WI 53201.///Claim denied stating the member is enrolled in a State-contracted managed care program for the Date. CHECK WITH THE REP HOW TO PROCEED FURTHER. - SN</t>
  </si>
  <si>
    <t>Cliam denied as the patient's last name mismatch. Need to resubmit the correct info.</t>
  </si>
  <si>
    <t>WISC_TXIX</t>
  </si>
  <si>
    <t>mailing Addres: 313 BLETTNER BLVD , MADISON, WI 53784</t>
  </si>
  <si>
    <t>1 year from DOS</t>
  </si>
  <si>
    <t>Brandon</t>
  </si>
  <si>
    <t>Rep states that CNOF Patient Active,Effective Date:10/01/2021</t>
  </si>
  <si>
    <t>Need Primary Insurer EOB present</t>
  </si>
  <si>
    <t>Only Mailing: 313 Blettner Blvd Madison WI 53784</t>
  </si>
  <si>
    <t>Roger M</t>
  </si>
  <si>
    <t>Rep State that Clm Denied as patient has primary insurance and need to submit claim first to primary and after that they need to forward Primary eob to them get the claim paid,Clm No: 2021306015435,Payor ID: WISC_TXIX,TFL: 1 year From DOS,Rep Name: Roger Call Ref: 19239486//Claim denied due to patient has commercial dental plan. CHECK WITH REP HOW TO PROCEED FURTHER - SN,</t>
  </si>
  <si>
    <t>Clm #201320019319, paid amt $101.62, there are six codes on the claim which has been paid.</t>
  </si>
  <si>
    <t>WIFC_TXIX</t>
  </si>
  <si>
    <t>Donna</t>
  </si>
  <si>
    <t>Rep states that the clm is not on file, the patient is active for dos, we can send the clm for p.o box  313 Blettner Blvd. Madison WI 53784.</t>
  </si>
  <si>
    <t>Area of the oral cavity is required for the procedure code.</t>
  </si>
  <si>
    <t>Clm #201320019255, claim has been denied due to the area of the oral cavity is required for the procedure code.</t>
  </si>
  <si>
    <t>Clm #201320019293, amt paid $54.20, there is only one code on the claim has been paid.</t>
  </si>
  <si>
    <t>Clm#201320019245, amt paid $101.62, there are total 6codes on the claim which has paid.</t>
  </si>
  <si>
    <t>Clm #201320019329, amt paid $127.40, there are 3codes on the claim which is paid.</t>
  </si>
  <si>
    <t>Clm #201320019296, amt paid $97.19, there are four codes on the claim which is paid.</t>
  </si>
  <si>
    <t>Clm #201320019295, amt paid $147.84, there are two codes on the claim which is paid.</t>
  </si>
  <si>
    <t>Clm #201320019231, amt paid $481.60,  there are total 8 codes on the claim which is paid.</t>
  </si>
  <si>
    <t>Clm #2021320019260, amt paid $617.60, there are total 17codes on the claim which is paid.</t>
  </si>
  <si>
    <t>Clm #201320019308, amt paid $870.40, there are two codes on the claim which is paid.</t>
  </si>
  <si>
    <t>Clm #2021320019317, amt paid $82.80, there is only one code on the claim which is paid.</t>
  </si>
  <si>
    <t>Clm #2021320019298, paid amt$180.80, there are 6codes on the claim which is paid.</t>
  </si>
  <si>
    <t>Clm #2021320019257, paid amt $110.40, there are 3 codes on the claim which is paid.</t>
  </si>
  <si>
    <t>Got the details from the portal and EOB downloaded in the path  - 02/28/2022 SN. //  Request EOB</t>
  </si>
  <si>
    <t>Clm # 2021336004590, amt paid $578, there are five codes on the claim which is paid.</t>
  </si>
  <si>
    <t>Amma01142022</t>
  </si>
  <si>
    <t>Roger</t>
  </si>
  <si>
    <t>Rep states that the clm is not on file, we can submitt trough electronically or the mailing address  313 Blettner Blvd , Madison, WI 53714.</t>
  </si>
  <si>
    <t>Single</t>
  </si>
  <si>
    <t>Poni</t>
  </si>
  <si>
    <t>Rep states that clm #043444672190, paid amt $702.40, Its is a V.C.C payment and the draft number #237237308, patient responsibility is 303.60. cashed dt 10/26/2021.</t>
  </si>
  <si>
    <t>single</t>
  </si>
  <si>
    <t>MJ</t>
  </si>
  <si>
    <t>L2 Pending</t>
  </si>
  <si>
    <t>sara</t>
  </si>
  <si>
    <t>Rep States that Claim Paid,Claim No:D212856143800, paid amt$113 Patient Resp: NIL, All the lines paid on the claim.</t>
  </si>
  <si>
    <t>Nel</t>
  </si>
  <si>
    <t>Pd $4.00 Pt  res $76.00 Clm #D212856144410  was cashed on 10/18/2021</t>
  </si>
  <si>
    <t>SEP</t>
  </si>
  <si>
    <t>Erick</t>
  </si>
  <si>
    <t>Rep States that Claim Paid,Claim No:R212816304340,Pd Amt $53; Patient Resp: Nil,</t>
  </si>
  <si>
    <t>Prep Date,Seat Date &amp; Initial or Replacement Prior Placement Date</t>
  </si>
  <si>
    <t>Michal</t>
  </si>
  <si>
    <t>Rep State Clm Denied,Claim No: S211306181710,Mailing Address: PO Box 188037. Chattanooga, TN 37422,TFL: 365 Days for Out of Nework Patient,Processed &amp; Denied Date: 07/19/2021</t>
  </si>
  <si>
    <t>No Limit</t>
  </si>
  <si>
    <t>Irvin</t>
  </si>
  <si>
    <t>Mabby</t>
  </si>
  <si>
    <t>Rep States that Claim Paid,Claim No:S220186079630,Patient Resp: NIL  All the lines paid on the claim.</t>
  </si>
  <si>
    <t>bulk</t>
  </si>
  <si>
    <t>Joei</t>
  </si>
  <si>
    <t>Rep States that Claim Paid,Paid Amt: 123.20,Claim No:E220146565650,Patient Resp:$62.80  All the lines paid on the claim.</t>
  </si>
  <si>
    <t>Sep</t>
  </si>
  <si>
    <t>natalie</t>
  </si>
  <si>
    <t>Ey</t>
  </si>
  <si>
    <t>Pd $105 Pt responsibility $'0'  Clm #D212856143770. All codes are got paid. Eob requested</t>
  </si>
  <si>
    <t>Rep States that Claim Paid,Claim No:E212426363940, paid amt$124 Patient Resp: NIL, All the lines paid on the claim.</t>
  </si>
  <si>
    <t>karissa</t>
  </si>
  <si>
    <t>Pd $105 Pt responsibility $47.00 Clm #E2124726363920. All codes are got paid. Eob requested</t>
  </si>
  <si>
    <t>021720211010</t>
  </si>
  <si>
    <t>jane</t>
  </si>
  <si>
    <t>Rep states that the clm#202110611427-1 total amt$181 Pt resp paid on the Nil.</t>
  </si>
  <si>
    <t>Musheerah</t>
  </si>
  <si>
    <t>Clm # 2112152962231, This claim could not be processed since the submitted combination of member ID, first name and/or date of birth could not be located in our records. Please confirm the claim was submitted to the correct carrier and if so, resubmit the claim with the correct member ID (which may not be the Social Security Number), first name and date of birth.</t>
  </si>
  <si>
    <t>Siera</t>
  </si>
  <si>
    <t>Rep states that clm #2112142789895, paid amt $196,Rcd on 12/14/2021 processed on the same day D0272 and D1208 is denied due to frequency and the freq for both is 1 per calender year, his dates for both the codes are 4/12/2021. ///Get the status - SN</t>
  </si>
  <si>
    <t>Rep states that the policy has been terminated for the patient, term date 10/20/2021.</t>
  </si>
  <si>
    <t>Morgan</t>
  </si>
  <si>
    <t>Rep states that clm #202113031228400, paid amt $153.40, It is a direct deposit cased dt 5/13/2021, Pt res 153.40.</t>
  </si>
  <si>
    <t>Not eligible at DOS</t>
  </si>
  <si>
    <t>202200054335</t>
  </si>
  <si>
    <t>Kathleen</t>
  </si>
  <si>
    <t>Rep State that Claim Denied as patient is Inactive at the time of service,Termination Date:04/30/2021,Last Active Date:03/23/2020,  Effective Date: 03/23/2020,  Claim No:202113031229700,  Processed &amp; Denied Date: 05/28/2021,  Patient Resp:$610.80</t>
  </si>
  <si>
    <t>202200054382</t>
  </si>
  <si>
    <t>Rep State that Claim Paid,Claim No: 202110631644400,  Paid Amt:$239.40,Paid by Bulk(Bulk Amt: $855.90)  ,  Patient Resp:$76.60</t>
  </si>
  <si>
    <t>Rep states that clm #202110631649100, paid amt $411.30, It is a bulk amt $855.90, PR aamt $195.70, It’s a direct deposit, cashed dt 4/22/2021, There are 3 codes on the claim which has been paid.</t>
  </si>
  <si>
    <t>Rep states that clm #202108332109200, paid amt $178, Patient res NIL, It’s a direct deposit cashed dt 4/1/2021, there are 6 codes on the claim which is paid.</t>
  </si>
  <si>
    <t>Rep states that clm #202108332129600, paid amt $178, patient res NIL, it’s a bulk payment $366, there are 6lines on the claim which has been paid.</t>
  </si>
  <si>
    <t>Not covered under pt plan</t>
  </si>
  <si>
    <t>Can</t>
  </si>
  <si>
    <t>can 3/18/2022</t>
  </si>
  <si>
    <t>Rep states that clm #2129240113, clm has been denied due to not covered under patient plan &amp; COB.</t>
  </si>
  <si>
    <t>15 month from dos</t>
  </si>
  <si>
    <t>Lisa 3/8/2022</t>
  </si>
  <si>
    <t>Rep states that clm #2-1336-398-73, paid amt $145.20, It’s a direct deposit, 2codes on the claim has been paid, Bulk amt $1,883.50.</t>
  </si>
  <si>
    <t>Rep states that clm #2-1336-399-64, paid amt $86.40, It’s a direct deposit, Patient res $21.60, There is one code on the claim which is paid.</t>
  </si>
  <si>
    <t>Cat 3/9/2022</t>
  </si>
  <si>
    <t>Cat</t>
  </si>
  <si>
    <t>Coordination of Benefits</t>
  </si>
  <si>
    <t>Rep states confirm that the doctor is not an in-network so the payment made to subscriber, we need to call to the subscriber for the cashed date. Rep Crista, id #crista 4/5/2022.///CHECK WHY IT WAS SENT TO SUBSCRIBER AND CASHED DATE ?    //     CLM # 2206930006; Pd Amt $227; Paid to Subscriber.</t>
  </si>
  <si>
    <t>Rep states that clm #2126547242, paid amt $80, it’s a direct deposit, D1208 -  Denied due to Age Limitataion.</t>
  </si>
  <si>
    <t>Ami01272022</t>
  </si>
  <si>
    <t>Ami</t>
  </si>
  <si>
    <t>Rep State that Claim Paid,Paid Amt:$23,  Claim No: 2-1229-385-28, Paid by Bulk(Bulk Amt:$2446.60),  Patient Resp:$25</t>
  </si>
  <si>
    <t>Amalia01272022</t>
  </si>
  <si>
    <t>Amalia</t>
  </si>
  <si>
    <t>Rep State that CNOF Patient Inactive,  Effective Date:03/01/2018,  Last Active Date:04/30/2021</t>
  </si>
  <si>
    <t>LISA</t>
  </si>
  <si>
    <t>Rep states that clm #2-1090-396-68, paid amt $479.80, PR amt $232.20, cashed dt 4/7/2021, it’s a bulk amt $1,640.80, there are 13 codes on the claim in which 2 codes D1208 and the reason for the age limitation. D9230 is denied for not covered benefits for the dental plan.</t>
  </si>
  <si>
    <t>Rep State that Claim Paid,Paid Amt:$1147,  Claim No: 2030139640,   Patient Resp:$25($25 Deductable). DOS:12/14/2020 - D3310 &amp; D2954 are denied Maxed out. DOS: 12/19/2020 - D4341 - LR - Paid AMT $23 &amp; D4341 - UR - Maxed out. DOS: 12/22/2022 - D2750, D4341 (UL &amp; LL) - Denied Maxed out.</t>
  </si>
  <si>
    <t>Jerrone 3/8/2022</t>
  </si>
  <si>
    <t>Jerrone</t>
  </si>
  <si>
    <t>Patient not active for DOS. Patient has Molina Ins as Sec Ins, need to submit claim to Molina for processing.</t>
  </si>
  <si>
    <t>Williams</t>
  </si>
  <si>
    <t xml:space="preserve"> Rep states that they unable to pull the pat information with the mem id need to call to the subscriber or the patient to get the correct id.// Unable to get the details form the portal. Need to call and get the status. -  SN</t>
  </si>
  <si>
    <t>Casey</t>
  </si>
  <si>
    <t xml:space="preserve">D7210 - Dnd for waiting period (1 yr) and waiting period was going to be end on 12/31/2021. Now patient is Inactive and $420 is patient's resp for this claim. Code D0220 was bundled with D0274. - 02/28/2022 - SN.      //     Need Waiting Period for D7210 and bundled Code for D0220 as this procedure is dnd stating bundled as FMX but there is no FMX code paid clm# 202132338791800, Paid $ 80.73. D0220 dnd as Service has been bundled with other procedure lines to a more cost effective full mouth series - Need to check for which is this code bundled with and D7210 is dnd due to waiting period for this benefit has not been met - Need to check what is the waiting period for this procedure.    </t>
  </si>
  <si>
    <t>202200318022</t>
  </si>
  <si>
    <t>Ander</t>
  </si>
  <si>
    <t>Rep States that Claim Paid,Claim NO: 202124238888600, Paid AMT:$80.73,Patient Resp: $135.27</t>
  </si>
  <si>
    <t>202200318169</t>
  </si>
  <si>
    <t>Rep States that Claim Paid,Claim NO: 202125839780100, Paid AMT:$53.65.</t>
  </si>
  <si>
    <t>202200318449</t>
  </si>
  <si>
    <t>Emily</t>
  </si>
  <si>
    <t>Rep States that Claim Paid,Claim NO: 202124238867800, Paid AMT:$105.04</t>
  </si>
  <si>
    <t>202200318509</t>
  </si>
  <si>
    <t>D2393 - Denied waiting period Issue &amp; D1208 - Denied benefit not covered under pt plan. Payment posting already done. Need to close the claim.</t>
  </si>
  <si>
    <t>2022007475004</t>
  </si>
  <si>
    <t>Kez</t>
  </si>
  <si>
    <t xml:space="preserve">Rep State that Claim Paid,Claim No:202120038700000,Paid Amt: $552.56,  paid by Bulk(Bulk Amt:$1097.31),  Patient Resp: Nil </t>
  </si>
  <si>
    <t>Primary EOB Required</t>
  </si>
  <si>
    <t>202200476218</t>
  </si>
  <si>
    <t>Jesse</t>
  </si>
  <si>
    <t>Rep State that Claim Denied,Claim No: 202122239266800,  Processed and Denied Date: 08/13/2021,  TFL: 120 Day's from Deniel of Primary carrer</t>
  </si>
  <si>
    <t xml:space="preserve">Rep State that Claim Paid,Claim No:202121039755800,Paid Amt: $117.61,  paid by Single,  Patient Resp: Nil </t>
  </si>
  <si>
    <t xml:space="preserve">Rep State that Claim Paid,Claim No:202121838328800,Paid Amt: $146.16,  paid by bulk(Bulk Amt: $9716.98),  Patient Resp: Nil </t>
  </si>
  <si>
    <t>Not a Covered Benefit</t>
  </si>
  <si>
    <t>Rep State that Claim Denied,Claim No:202123639279800,  Processed and Denied Date: 08/27/2021,  Patient Resp: Nil</t>
  </si>
  <si>
    <t xml:space="preserve">Rep State that Claim Paid,Claim No:202125037849000,Paid Amt: $106.34,  paid by bulk(Bulk Amt:$629.24),  Patient Resp: Nil </t>
  </si>
  <si>
    <t>202200474726</t>
  </si>
  <si>
    <t>Shannon</t>
  </si>
  <si>
    <t>Rep State that Claim Paid,Claim No:202131451939400,Paid Amt: $170.78,  paid by bulk(Bulk Amt:$2051.62),  Patient Resp: Nil and Code D2394 Not Covered</t>
  </si>
  <si>
    <t>202200474538</t>
  </si>
  <si>
    <t>Rep State that Claim Paid,Claim No:202128438523000,Paid Amt: $525.60,  paid by bulk(Bulk Amt:$8277.45),  Patient Resp: Nil and Code D0140 Service exceed benefit Allowance is not allowed</t>
  </si>
  <si>
    <t>Information Received do not indicat that Nitrooxside is medically nessersity</t>
  </si>
  <si>
    <t>202200473834</t>
  </si>
  <si>
    <t>Rep State that Claim Denied,Claim No:202128438466300,  Processed and Denied Date: 10/26/2021,  Patient Resp: Nil</t>
  </si>
  <si>
    <t>202200472574</t>
  </si>
  <si>
    <t>Shanta</t>
  </si>
  <si>
    <t>Rep State that Claim Paid,Claim No:202128739852600,Paid Amt: $39.81,  paid by bulk(Bulk Amt:$4501.62),  Patient Resp: Nil</t>
  </si>
  <si>
    <t>Rep State that Claim Paid,Claim No:202128739625400,Paid Amt: $20.80,  paid by bulk(Bulk Amt:$4501.62),  Patient Resp: Nil</t>
  </si>
  <si>
    <t>20220472574</t>
  </si>
  <si>
    <t>Rep State that Claim Paid,Claim No:202128138444400,Paid Amt: $755.76,  paid by bulk(Bulk Amt:$1603.60),  Patient Resp: Nil</t>
  </si>
  <si>
    <t>Not Enough Bown loss to Qualify</t>
  </si>
  <si>
    <t>202200427109</t>
  </si>
  <si>
    <t>TAM</t>
  </si>
  <si>
    <t>Rep State that Claim Denied due to not Covered.  Claim No:30330938888700,  Processed &amp; Denied Date:11/19/2021,  Patient Resp: Nil.</t>
  </si>
  <si>
    <t>Clm #202201038196800 Need to submit the Prim EOB which is placed in the path.</t>
  </si>
  <si>
    <t>120 Days from DOS</t>
  </si>
  <si>
    <t>Rep confrimed that they haven't recieved any claim for the dos10/1/2020, need to submitt the claim.////Payment already posted by client, CHECK THE CORRECT STATUS WITH INS   //  Rep states that Patient is Effective From 09/01/2021 &amp; Before to that member was with different Vendor we have to re-submitt the claim to get paid because the for the dos 10/1/2020 the CNOF, payor id #CX014, fax #2628343589, TFL 120days Rep Andre id #202201315472. //Rep State that Patient is Effective From 09/01/2021 &amp; Before to that member was with different Vendor</t>
  </si>
  <si>
    <t>Tam</t>
  </si>
  <si>
    <t>Rep State that Claim Paid, Paid Amt:$636.80,Bulk Amt:$3808.46,Patient Resp: Nil</t>
  </si>
  <si>
    <t>202200503217</t>
  </si>
  <si>
    <t>Rep State that claim Paid,Claim No:202130938664300,Paid Amt:$98.62,  Payment:Bulk(Bulk Amt:$350.84),  Patient Resp: Nil. Code:D4341 is denied  as  member did not have Enough Bone Loss.</t>
  </si>
  <si>
    <t>Rep State that claim Paid,Claim No:202130640783200,Paid Amt:$105.26,  Payment:Bulk(Bulk Amt:$3808.46),  Patient Resp: Nil. Code:D0140 is denied  as it can be submitted with X-ray,EOB to be taken from Portal</t>
  </si>
  <si>
    <t>portal</t>
  </si>
  <si>
    <t>Rep states that clm #202130938806200, paid amt$120.00, Clm rcd dt 11/05/2021, there four codes on the claim which is paid.</t>
  </si>
  <si>
    <t>Rep states that clm #202131238989100, paid amt $372.00, Rcd dt 11/08/2021,  There are five codes on the claim on which 2 codes D0140, D9230 is denied due to Fee not allowed.</t>
  </si>
  <si>
    <t>Narrative</t>
  </si>
  <si>
    <t>Clm #202131340802500, claim denied as the information received by Ins does not indicate that nitrous oxide is medically necessary. Need to send Narrative mentioning the medical necessity.</t>
  </si>
  <si>
    <t>Rep states that clm #202131340745700, paid amt $73.97, clm rcd dt 11/09/2021, There are two codes on the claim which is paid.</t>
  </si>
  <si>
    <t>Rep states that clm #202131540484400, paid amt $234.40, Clm rcd dt 11/11/2021, There is one code on the claim which is paid.</t>
  </si>
  <si>
    <t>Rep states that clm #202131638440800, paid amt$206.40, Rcd dt11/12/2021, there are three code on the claim one is paid and the D0140,D9230 is denied for fee not allowable.</t>
  </si>
  <si>
    <t>Rep states that clm #202131638257100, , Rcd dt 11/12/2021,  paid amt $285.60,  there are 1codes are on the claim D2394which is paid.</t>
  </si>
  <si>
    <t>Rep states that clm #202131638270200, , Rcd dt 11/12/2021, paid amt $108.31, there are 6codes are on the claim which is paid.</t>
  </si>
  <si>
    <t xml:space="preserve">Claim is not on file with member ID 7448066978, Need to resubmit the claim. Patient has another policy with DentaQuest member ID : C2220011741 under which claim was processed with Clm #202133438415300, Rcd dt 11/30/2021. Denied to COB. </t>
  </si>
  <si>
    <t>Patient is not eligible for services; coverage is not active. </t>
  </si>
  <si>
    <t>Rep states that clm #202133438649500, , Rcd dt 11/30/2021
there are three codes billed on the claim is denied for patinet is not eligible for services, coverage is not active.</t>
  </si>
  <si>
    <t>Rep states that clm #202130640783200, paid amt $105.26, Rcd dt 11/02/2021, there are two codes on the claim one is paid and D0140 is denied.</t>
  </si>
  <si>
    <t>Sabrina</t>
  </si>
  <si>
    <t>Rep states that the clm is not on file, the patient is active for the dos, Active from 08/1/2020, we can fax the claim on fax#2628343589.</t>
  </si>
  <si>
    <t>Clm #202134339974100, amt paid $55.36, Code D0150 is denied due to FREQ, once per 36 months.</t>
  </si>
  <si>
    <t>Stephne</t>
  </si>
  <si>
    <t>Rep states that CNOF Patient Active,Effective Date:12/18/2021, payor id #CX014, we can submitt trough fax #2628343452.</t>
  </si>
  <si>
    <t>Rep State that Cashed on 03/23/2022 Rep Name: Jahni, Call Ref: 541267,CLM # 20220114130481; Pd Amt $157.86; Pt Resp $0; Bulk Amt $1566.24</t>
  </si>
  <si>
    <t>Rep State that Cashed on 03/23/2022 Rep Name: Jahni, Call Ref: 541267//CLM # 20220114128537; Pd Amt $ 286.28; Bulk Amt $1566.24.</t>
  </si>
  <si>
    <t>Rep State that Cashed on 03/23/2022 Rep Name: Jahni, Call Ref: 541267//CLM # 20220113115966; Pd Amt $269.60; Bulk Amt $1566.24; D0220 is bundled with same code</t>
  </si>
  <si>
    <t>Rep State that Cashed on 03/23/2022 Rep Name: Jahni, Call Ref: 541267//CLM # 20220114130798; Pd Amt: $510.40; Bulk Amt $1566.24</t>
  </si>
  <si>
    <t>Rep State that Cashed on 03/23/2022 Rep Name: Jahni, Call Ref: 541267//CLM #20220114130980; Pd Amt : $204; Bulk Amt $1566.24</t>
  </si>
  <si>
    <t>CLM # 20220113115389 - Need to submit Primary EOB for processing this claim.</t>
  </si>
  <si>
    <t>CLM # 20220113115575; Pd Amt $55.20; Bulk Amt : $7366.66; Cashed Date : 01/31/2022</t>
  </si>
  <si>
    <t>CLM # 20220114130250; Pd Amt : 386.40; Bulk Payment : $7366.66; Cashed Date : 01/31/2022</t>
  </si>
  <si>
    <t>CLM # 20220114130868; Pd Amt : $153.84; Bulk Amt : $7366.66; Cashed Date : 01/31/2022</t>
  </si>
  <si>
    <t>CLM # 20220110174832; Pd Amt $116.55; Bulk Amt $7366.66; Cashed Date : 01/31/2022; D0220, D0230 &amp; D0274 are bundled into D0210 and got paid.</t>
  </si>
  <si>
    <t>CLM # 20220104126903; Pd Amt $131.20; Bulk Amt $508.34; Cashed Date : 01/19/2022</t>
  </si>
  <si>
    <t>CLM # 20220104126622; Pd Amt $41.31; Bulk Amt $ 508.34; Cashed Date : 01/19/2022</t>
  </si>
  <si>
    <t>CLM # 20220111188748; Pd Amt $783.20; Bulk Amt $7366.66; Cashed Date: 01/30/2022</t>
  </si>
  <si>
    <t>CLM # 20220111189395; Pd Amt : $524; Bulk Amt : $7366.66; Cashed Date : 01/31/2022</t>
  </si>
  <si>
    <t>CLM # 20220104125228; Pd Amt : $232.64; Bulk Amt : $508.34; Cashed Date : 01/19/2022</t>
  </si>
  <si>
    <t>CLM # 20220104126808; Pd Amt : $103.19; Bulk Amt $508.34; Cashed Date : 01/19/2022</t>
  </si>
  <si>
    <t>CLM # 20220111186915; Pd Amt $455.20; Bulk Amt $7366.66; Cashed Date : 01/31/2022; D9230 - Service Authorization Denied, Didn't meet the clinical criteria. Need to submit a clinical Narrative to process this claim.</t>
  </si>
  <si>
    <t>CLM # 20220111188870; Pd Amt $399.20; Bulk Amt $7366.66; Cashed Date : 01/31/2022</t>
  </si>
  <si>
    <t>CLM # 20211221137766; Claim denied due to Freq - One per life time, History Date: 12/08/2021</t>
  </si>
  <si>
    <t>CLM # 20211230104876; Pd Amt $344.80; Cashed Date : 01/19/2022</t>
  </si>
  <si>
    <t>CLM # 20211230102492; Pd Amt $541.60; D9230 - Service Authorization Denied. Didn't meet the clinical criteria. Need to submit a clinical Narrative to process this claim.</t>
  </si>
  <si>
    <t>CLM # 20211202143880; Need to submit Primary EOB for processing.</t>
  </si>
  <si>
    <t>Cassia</t>
  </si>
  <si>
    <t>Pd Amt : $55.20, Clm # : 20211115176018, cashed Date : 12/29/2021</t>
  </si>
  <si>
    <t>Payment already posted but claim still open. Pd Amt : 229.20; CLM # 20211108106037; D1351 - Denied for freq - Once in 36 Months - History Date: 12/06/2019</t>
  </si>
  <si>
    <t>Only Mailing Adress:P.O.BOX 22122 Tampa,FL 36622-2122</t>
  </si>
  <si>
    <t>Danielle</t>
  </si>
  <si>
    <t xml:space="preserve">Claim Denied requesting Prim EOB. Need to submit Narrative (as we have exceeded TFL), Prim EOB along with the Supportive Docs.  Claim No: 20210525108370,   Processed &amp; Denied Date:06/03/2021,  Patient Resp: Nil,  TFL ; 90 Calender Day's, </t>
  </si>
  <si>
    <t xml:space="preserve">Claim Denied requesting Prim EOB. Need to submit Narrative (as we have exceeded TFL), Prim EOB along with the Supportive Docs.  Claim No: 20210223106608,   Processed &amp; Denied Date:06/03/2021,  Patient Resp: Nil,  TFL ; 90 Calender Day's, </t>
  </si>
  <si>
    <t>90 Calender Day's</t>
  </si>
  <si>
    <t>SF</t>
  </si>
  <si>
    <t>Rep states that, Claim Status - Claim not on File. Patient is Active.  Payor ID CX014, Fax#2628343589. Timely File Limit: 120 days. Rep Name: Cayler, Ref#202202057910.</t>
  </si>
  <si>
    <t>Cayler</t>
  </si>
  <si>
    <t>12 Months from DOS</t>
  </si>
  <si>
    <t>PAT</t>
  </si>
  <si>
    <t>REIGN</t>
  </si>
  <si>
    <t>D2981</t>
  </si>
  <si>
    <t>Rep States that CNOF - Patient Active.</t>
  </si>
  <si>
    <t>Claim Status- Claim not on File. Patient is Active Payor ID# WISC_TXIX.  No Fax Number. Mailing Address: Forward Health, 313 Bkettner Blvd, Madison, WI - 56784.  TFL : 12 Months from the Dos. Insurance Name: Forward Health, QPS-SF.</t>
  </si>
  <si>
    <t>STEPHEN</t>
  </si>
  <si>
    <t xml:space="preserve">No FAX </t>
  </si>
  <si>
    <t>FKYGN</t>
  </si>
  <si>
    <t>VELEKA</t>
  </si>
  <si>
    <t>Rep States that CNOF - Patient Active. Rep states that, There is no claim found on the DOS.</t>
  </si>
  <si>
    <t>Rep States that Claim Paid,Claim No:E220186079630,Patient Resp: NIL.</t>
  </si>
  <si>
    <t>Rep State that Code D0120, D0220, D0230 &amp; (Partially) D0274 are applied towards the deductable. D1208 - denied due to Age limit (Age limit under 19) Rep Name: Moises, Call Ref: 4641//Rep States that the Claim Paid,Claim No:D220146565680, paid amt$130 Patient Resp: $136.</t>
  </si>
  <si>
    <t>Rep State Clm No:2111102306400,Paid Amt: 190.50,Patient Resp 292.50 Code D9230 is denied as it is not covered //Rep states that claim has been sent for reprosessing and the EOB has sent to the provideers mailing address. Rep Santo id #2001261703.       ///REWORK &amp; UPDATE - SN    //   Rep states that the clm #2112142747268, the claim is on hold because the ins is wondering that the member has the sec policy with him, there is a DPOW-CCHP is the sec policy for the patient, Rep says that we have to submitt with only the primay insurance policy which is Delta dental to allow the benifits of the claim.</t>
  </si>
  <si>
    <t>JAZZ</t>
  </si>
  <si>
    <t>D3522</t>
  </si>
  <si>
    <t>LIAA</t>
  </si>
  <si>
    <t>Reps states that, Claim Status - Claim not on file. Patient Active.</t>
  </si>
  <si>
    <t>Calim Status - Claim was paid by EFT  Model.for total amount. Amount $122.54</t>
  </si>
  <si>
    <t>D6459</t>
  </si>
  <si>
    <t>Arlene</t>
  </si>
  <si>
    <t>D8405</t>
  </si>
  <si>
    <t>Kathy</t>
  </si>
  <si>
    <t>Rep States that, Claim Status - Claim Paid by EFT Mode. EFT#214954071 for Amount Paid $520. Claim#220271835900</t>
  </si>
  <si>
    <t>12/312021</t>
  </si>
  <si>
    <t>Rep States that, Claim Paid. EFT Mode. Amount $109.60 Claim#230272099100</t>
  </si>
  <si>
    <t>Rep states that, Claim paid EFT Mode. Cashed out 01/05/2022  for $320.40.   Rep name: NICs. Ref# 8666.  Claim# E213656187000.//EOB Requested 24 Hr as per Rep Rep Name: Michal  Call Ref: 1569//GET EOB  -SN   //    Rep States that the Claim Paid,Claim No:E21365618700, paid amt$320.40 Patient Resp: $52.40</t>
  </si>
  <si>
    <t>SF//SN</t>
  </si>
  <si>
    <t>Cashed date 01/31/2022 //GET CASED DATE -MU     ( Instead of 1/14/2022 for the DOS 1/06/2022 get the cashed date. )            ////CLM # 20220117142317; Pd Amt : $103.19; Pt Resp $0; Bulk Amt : $1566.24</t>
  </si>
  <si>
    <t>202202185942</t>
  </si>
  <si>
    <t>Latandra</t>
  </si>
  <si>
    <t>SF//AA</t>
  </si>
  <si>
    <t>4/28/2022 &amp; 04/29/2022</t>
  </si>
  <si>
    <t>EOB Requested//Get EOB -  SN   //   Rep States that the Claim Paid,Claim No:D212426363980, paid amt$114 , All the lines paid on the claim.</t>
  </si>
  <si>
    <t>2/28/2022 &amp; 04/29/2022</t>
  </si>
  <si>
    <t>SN/MA</t>
  </si>
  <si>
    <t>Payment Posted on 05.01.2022</t>
  </si>
  <si>
    <t>MU/MA</t>
  </si>
  <si>
    <t>"1088874</t>
  </si>
  <si>
    <t>Char05062022</t>
  </si>
  <si>
    <t>Char</t>
  </si>
  <si>
    <t>Rep State that Claim Paid,Paid Amt: $232,Patient Resp: $106,Paid by Direct Deposit,Rep Also State that Elisha from Dental office Called on 04/25/2022 and said to Changed the Date to 01/25/2022 for Tretment and Insurance Denied for 01/26/2022 as Duplicate and Paid for 01/25/2022</t>
  </si>
  <si>
    <t>202202318913</t>
  </si>
  <si>
    <t>Tranay</t>
  </si>
  <si>
    <t>D2823</t>
  </si>
  <si>
    <t>A</t>
  </si>
  <si>
    <t>Rep State that Claim Paid,Clm No: 220322219300,Paid Amt: $54,Patient Resp: $54</t>
  </si>
  <si>
    <t>SN/NE</t>
  </si>
  <si>
    <t>Claim Resubmitted electronically on 05/06/2022</t>
  </si>
  <si>
    <t>Claim Resubmitted through fax on 05/06/2022</t>
  </si>
  <si>
    <t>Claim resolved on 05/06/2022</t>
  </si>
  <si>
    <t>Claim Resolved on 05/06/2022</t>
  </si>
  <si>
    <t>D9220</t>
  </si>
  <si>
    <t>MARY</t>
  </si>
  <si>
    <t>CLM#220404203100  Procedure code</t>
  </si>
  <si>
    <t>CB950</t>
  </si>
  <si>
    <t>12Months from Dos</t>
  </si>
  <si>
    <t>LEANDRO</t>
  </si>
  <si>
    <t xml:space="preserve">CNOF - Active </t>
  </si>
  <si>
    <t>RHEA</t>
  </si>
  <si>
    <t>12 Months from Dos</t>
  </si>
  <si>
    <t>CELLE</t>
  </si>
  <si>
    <t>CNOF - Active.</t>
  </si>
  <si>
    <t xml:space="preserve">Claim was denied due to No primary Insure EOB. Patient has primary Insurance . The Provider need to include EOB with the claim or term letter indicating the primary Insurance was terminated. </t>
  </si>
  <si>
    <t>GLADYS</t>
  </si>
  <si>
    <t>ANGIE</t>
  </si>
  <si>
    <t>CNOF - patient Active. Address: PO Box# 9120, Farmington Hill MI -48333</t>
  </si>
  <si>
    <t>Claim Resubmitted electronically on 05/06/2022  - SN  //       Rep State that CNOF,Effective Date:01/01/2021,  Mailing Adrss: P.O.BOX 188037,Chattanooga,TN 37422 Rep Name: Michal Call Ref: 1569</t>
  </si>
  <si>
    <t>Claim Resubmitted through fax on 05/06/2022 - SN   //   Rep states that clm is not on file for the dos, the patient is active, we can send send the clm through fax #8595502662,  NO TFL.</t>
  </si>
  <si>
    <t>Claim Resubmitted electronically on 05/06/2022 - SN   //   Rep states that the clm is not on file for the Dos, pat is active from 8/1/2021, we can submitt claim trough electronically or by mailing add P.O box 828, Stevens Point, WI 54481.</t>
  </si>
  <si>
    <t>Cashed date 01/31/2022 CLM # 20220117144845; Pd Amt : $56.57; Pt Resp: 0; Bulk Amt : $1566.24; Check is outstanding. D0220, D0230 &amp; D0274 are bundled to D0210 and paid</t>
  </si>
  <si>
    <t>Incorrectly denied as duplicate, Check with Stanley for clarification - SN.</t>
  </si>
  <si>
    <t>Cashed date 01/31/2022; CLM # 20220117144846; Pd Amt : $103.19; Pt Resp : $0; Bulk Amt $1566.24. Check is outstanding</t>
  </si>
  <si>
    <t>Rep State that Cashed on 01/31/2022 Rep Name: Jahni, Call Ref: 541267//CLM # 20220114131005; Pd Amt $665.60; Bulk Amt $1566.24</t>
  </si>
  <si>
    <t>Cashed on 01/31/2022 Rep Name: Jahni, Call Ref: 541267//CLM # 20220113115582; Pd Amt $223.95; Bulk Amt $1566.24</t>
  </si>
  <si>
    <t>Rep State that Cashed on 01/31/2022 Rep Name: Alexis, Call Ref: 538266//CLM # 20220114130796; Pd Amt $360.80</t>
  </si>
  <si>
    <t>Rep State that Cashed on 01/31/2022 Rep Name: Alexis, Call Ref: 538266//CLM # 20220113115894; Pd Amt $7.08; D0140 - Denied for Freq</t>
  </si>
  <si>
    <t>Rep State that Cashed on 01/31/2022 Rep Name: Alexis, Call Ref: 538266//CLM # 20220113112789; Pd Amt $82.62</t>
  </si>
  <si>
    <t>Rep State that Cashed on 01/31/2022 Rep Name: Venecia, Call Ref: 538308//CLM # 20220114127465; Pd Amt $360.80</t>
  </si>
  <si>
    <t>Rep State that Cashed on 01/31/2022 Rep Name: Alexis, Call Ref: 538266//CLM # 20220113115829; Pd Amt $76</t>
  </si>
  <si>
    <t>Code D0120 Is Paid and Code D0230,D0220,D0274 are bundled into D0210 &amp; is denied due to freq; CLM # 20220113115828; Pd Amt : $13.14; Bulk Amt $1566.24</t>
  </si>
  <si>
    <t>Clm No: 202201735883600, Need to submit narrative for processing the claim.</t>
  </si>
  <si>
    <t>Clm No: 202202539835300, The information received does not indicate that nitrous oxide is medically necessary. Need to submit Narrative</t>
  </si>
  <si>
    <t>Clm#: 202201735615200; Per Dental Director review, the information received does not indicate that nitrous oxide is medically necessary. Need to resubmit the claim along with the Narrative.</t>
  </si>
  <si>
    <t>Need to resubmit the claim with DOS 02/28/2022 - SN</t>
  </si>
  <si>
    <t xml:space="preserve">Clm No: 202202639669600, The tooth/quad/arch submitted for this ADA code is not a covered benefit. </t>
  </si>
  <si>
    <t>CLM# 202135437362400. The information received does not indicate that nitrous oxide is medically necessary. </t>
  </si>
  <si>
    <t>Claim denied due to COB. Recheck with the ins - SN</t>
  </si>
  <si>
    <t>Prior Authorization</t>
  </si>
  <si>
    <t>Clm#: 2021365003104; Claim denied as Prior-Authorization needed for Code D4341 with Quadrant.</t>
  </si>
  <si>
    <t>CLM# 2022017002073; Claim denied - Prior Authorization (PA) is required for this service. An approved PA was not found.</t>
  </si>
  <si>
    <t>Amma</t>
  </si>
  <si>
    <t>CLM# 2021348009810; Member is enrolled in a State-contracted managed care program for the Date(s)</t>
  </si>
  <si>
    <t>Create Manual EOB - SN   //   Rep State that EOB Shared to provider Office clm denied due to patient max out Rep Name: Angelie,  Call Ref: 2000238893887(INS Contact NO: 8004574708)//REQUEST EOB- SN   //      Rep states that clm #202108256381030, thaere are total 6codes on the claim has been denied due to dental annual maximum benefits has been met for the patient. Rcd dt 8/25/2021, processed dt 8/27/2021.</t>
  </si>
  <si>
    <t>Rep state that claim was reviewed and it was denied as the Code D9230 Cannot be processed seprately and it should be done with other services Rep Name: Marieoena Call Ref: 40269//Rep states that the claim is in process need to contact after 7-10 buisness days//RECHECK THE REASON WITH THE REP - SN</t>
  </si>
  <si>
    <t>Rep states that CNOF - Policy terminated on12/31/2021. Need to close this claim and submit the claim to Molina.</t>
  </si>
  <si>
    <t>Get the current status - SN   //    Rep State that Clm No:2021110172419 Denied due to Duplicate and it is paid to Different provider.,Received Date: 11/10/2021,  Processed Date: 11/10/2021 Rep Name: Sade  Call Ref: 192200//Rep states that clm#20211108151724, this clm has been denied due to not covered because D0140 is allowable once in per 6 months period, D0220 is allowable once per day. Rep Tianna id #182291.   ///    PRIORITIZE THE CLAIM - SN   //     Rep states that clm #20211108151724, the clm is still under the process, need to allow more 30buisnes days. Rep Brook Id # brook 3/15/2022//Claim denied as duplicate. Earlier paid to different provider, informed this to rep and asked to send it for reprocessing and need to allow 30 days. Call back 02/21/2022</t>
  </si>
  <si>
    <t xml:space="preserve"> CLM#D22042654574,Processed Date: 02/11/2022,Your plan does not provide benefits for this service,Patient Resp: $253.20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</si>
</sst>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m/dd/yyyy"/>
  </numFmts>
  <fonts count="35" x14ac:knownFonts="1">
    <font>
      <sz val="11"/>
      <color theme="1"/>
      <name val="Calibri"/>
      <family val="2"/>
      <scheme val="minor"/>
    </font>
    <font>
      <sz val="18"/>
      <color theme="3"/>
      <name val="Calibri Light"/>
      <family val="2"/>
      <scheme val="major"/>
    </font>
    <font>
      <sz val="11"/>
      <color theme="0"/>
      <name val="Calibri"/>
      <family val="2"/>
      <scheme val="minor"/>
    </font>
    <font>
      <sz val="14"/>
      <color theme="0"/>
      <name val="Calibri Light"/>
      <family val="2"/>
      <scheme val="major"/>
    </font>
    <font>
      <b/>
      <sz val="22"/>
      <color theme="1"/>
      <name val="Calibri"/>
      <family val="2"/>
      <scheme val="minor"/>
    </font>
    <font>
      <sz val="11"/>
      <color theme="1"/>
      <name val="Century Gothic"/>
      <family val="2"/>
    </font>
    <font>
      <sz val="11"/>
      <color theme="1"/>
      <name val="Calibri"/>
      <family val="2"/>
      <scheme val="minor"/>
    </font>
    <font>
      <b/>
      <sz val="11"/>
      <color theme="1"/>
      <name val="Calibri"/>
      <family val="2"/>
      <scheme val="minor"/>
    </font>
    <font>
      <sz val="11"/>
      <name val="Dubai"/>
      <family val="2"/>
    </font>
    <font>
      <sz val="11"/>
      <color theme="1"/>
      <name val="Dubai"/>
      <family val="2"/>
    </font>
    <font>
      <sz val="20"/>
      <color theme="1"/>
      <name val="Calibri"/>
      <family val="2"/>
      <scheme val="minor"/>
    </font>
    <font>
      <b/>
      <sz val="11"/>
      <color rgb="FF0070C0"/>
      <name val="Dubai"/>
      <family val="2"/>
    </font>
    <font>
      <sz val="8"/>
      <name val="Calibri"/>
      <family val="2"/>
      <scheme val="minor"/>
    </font>
    <font>
      <b/>
      <sz val="11"/>
      <color theme="0"/>
      <name val="Calibri"/>
      <family val="2"/>
      <scheme val="minor"/>
    </font>
    <font>
      <b/>
      <sz val="14"/>
      <color theme="0"/>
      <name val="Calibri Light"/>
      <family val="2"/>
      <scheme val="major"/>
    </font>
    <font>
      <b/>
      <sz val="18"/>
      <color theme="1"/>
      <name val="Calibri"/>
      <family val="2"/>
      <scheme val="minor"/>
    </font>
    <font>
      <b/>
      <sz val="26"/>
      <color theme="1"/>
      <name val="Calibri"/>
      <family val="2"/>
      <scheme val="minor"/>
    </font>
    <font>
      <b/>
      <sz val="14"/>
      <name val="Calibri Light"/>
      <family val="2"/>
      <scheme val="major"/>
    </font>
    <font>
      <b/>
      <sz val="20"/>
      <color theme="1"/>
      <name val="Calibri"/>
      <family val="2"/>
      <scheme val="minor"/>
    </font>
    <font>
      <b/>
      <sz val="12"/>
      <color theme="1"/>
      <name val="Calibri"/>
      <family val="2"/>
      <scheme val="minor"/>
    </font>
    <font>
      <sz val="11"/>
      <color rgb="FFFF0000"/>
      <name val="Calibri"/>
      <family val="2"/>
      <scheme val="minor"/>
    </font>
    <font>
      <sz val="14"/>
      <color theme="1"/>
      <name val="Arial Black"/>
      <family val="2"/>
    </font>
    <font>
      <b/>
      <sz val="11"/>
      <color rgb="FFC00000"/>
      <name val="Calibri"/>
      <family val="2"/>
      <scheme val="minor"/>
    </font>
    <font>
      <b/>
      <i/>
      <sz val="11"/>
      <color theme="1"/>
      <name val="Calibri"/>
      <family val="2"/>
      <scheme val="minor"/>
    </font>
    <font>
      <sz val="18"/>
      <color theme="0"/>
      <name val="Calibri"/>
      <family val="2"/>
      <scheme val="minor"/>
    </font>
    <font>
      <b/>
      <sz val="26"/>
      <color theme="0"/>
      <name val="Calibri"/>
      <family val="2"/>
      <scheme val="minor"/>
    </font>
    <font>
      <b/>
      <sz val="14"/>
      <color theme="1"/>
      <name val="Calibri"/>
      <family val="2"/>
      <scheme val="minor"/>
    </font>
    <font>
      <sz val="14"/>
      <color theme="1"/>
      <name val="Calibri"/>
      <family val="2"/>
      <scheme val="minor"/>
    </font>
    <font>
      <sz val="26"/>
      <color theme="0"/>
      <name val="Calibri"/>
      <family val="2"/>
      <scheme val="minor"/>
    </font>
    <font>
      <sz val="16"/>
      <color theme="1"/>
      <name val="Calibri"/>
      <family val="2"/>
      <scheme val="minor"/>
    </font>
    <font>
      <sz val="18"/>
      <color theme="1"/>
      <name val="Calibri"/>
      <family val="2"/>
      <scheme val="minor"/>
    </font>
    <font>
      <b/>
      <sz val="18"/>
      <color theme="0"/>
      <name val="Calibri"/>
      <family val="2"/>
      <scheme val="minor"/>
    </font>
    <font>
      <b/>
      <sz val="14"/>
      <color theme="0"/>
      <name val="Calibri"/>
      <family val="2"/>
      <scheme val="minor"/>
    </font>
    <font>
      <sz val="11"/>
      <color rgb="FF000000"/>
      <name val="Arial"/>
      <family val="2"/>
    </font>
    <font>
      <sz val="10"/>
      <color rgb="FF666666"/>
      <name val="Arial"/>
      <family val="2"/>
    </font>
  </fonts>
  <fills count="25">
    <fill>
      <patternFill patternType="none"/>
    </fill>
    <fill>
      <patternFill patternType="gray125"/>
    </fill>
    <fill>
      <patternFill patternType="solid">
        <fgColor theme="4"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7030A0"/>
        <bgColor indexed="64"/>
      </patternFill>
    </fill>
    <fill>
      <patternFill patternType="solid">
        <fgColor rgb="FFC198E0"/>
        <bgColor indexed="64"/>
      </patternFill>
    </fill>
    <fill>
      <patternFill patternType="solid">
        <fgColor rgb="FFA66BD3"/>
        <bgColor indexed="64"/>
      </patternFill>
    </fill>
    <fill>
      <patternFill patternType="solid">
        <fgColor theme="4" tint="0.59999389629810485"/>
        <bgColor indexed="64"/>
      </patternFill>
    </fill>
    <fill>
      <patternFill patternType="solid">
        <fgColor rgb="FFD5B8EA"/>
        <bgColor indexed="64"/>
      </patternFill>
    </fill>
    <fill>
      <patternFill patternType="solid">
        <fgColor rgb="FF92D050"/>
        <bgColor indexed="64"/>
      </patternFill>
    </fill>
    <fill>
      <patternFill patternType="solid">
        <fgColor rgb="FFFF7C80"/>
        <bgColor indexed="64"/>
      </patternFill>
    </fill>
    <fill>
      <patternFill patternType="solid">
        <fgColor rgb="FF0070C0"/>
        <bgColor indexed="64"/>
      </patternFill>
    </fill>
    <fill>
      <patternFill patternType="solid">
        <fgColor rgb="FFABE9FF"/>
        <bgColor indexed="64"/>
      </patternFill>
    </fill>
    <fill>
      <patternFill patternType="solid">
        <fgColor theme="5" tint="0.39997558519241921"/>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rgb="FFE6D5F3"/>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FF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44" fontId="6" fillId="0" borderId="0" applyFont="0" applyFill="0" applyBorder="0" applyAlignment="0" applyProtection="0"/>
  </cellStyleXfs>
  <cellXfs count="146">
    <xf numFmtId="0" fontId="0" fillId="0" borderId="0" xfId="0"/>
    <xf numFmtId="0" fontId="0" fillId="0" borderId="0" xfId="0" applyAlignment="1"/>
    <xf numFmtId="0" fontId="2" fillId="0" borderId="0" xfId="0" applyFont="1"/>
    <xf numFmtId="0" fontId="4" fillId="3" borderId="0" xfId="0" applyFont="1" applyFill="1"/>
    <xf numFmtId="0" fontId="0" fillId="0" borderId="0" xfId="0" applyAlignment="1">
      <alignment horizontal="center"/>
    </xf>
    <xf numFmtId="49" fontId="0" fillId="0" borderId="0" xfId="0" applyNumberFormat="1"/>
    <xf numFmtId="0" fontId="9" fillId="0" borderId="0" xfId="0" applyFont="1"/>
    <xf numFmtId="0" fontId="9" fillId="0" borderId="0" xfId="0" applyFont="1" applyAlignment="1">
      <alignment horizontal="center"/>
    </xf>
    <xf numFmtId="0" fontId="7" fillId="0" borderId="0" xfId="0" applyFont="1"/>
    <xf numFmtId="0" fontId="0" fillId="0" borderId="0" xfId="0" applyNumberFormat="1"/>
    <xf numFmtId="0" fontId="0" fillId="8" borderId="4" xfId="0" applyFont="1" applyFill="1" applyBorder="1"/>
    <xf numFmtId="0" fontId="0" fillId="0" borderId="4" xfId="0" applyFont="1" applyBorder="1"/>
    <xf numFmtId="0" fontId="7" fillId="0" borderId="4" xfId="0" applyFont="1" applyBorder="1"/>
    <xf numFmtId="0" fontId="7" fillId="8" borderId="4" xfId="0" applyFont="1" applyFill="1" applyBorder="1"/>
    <xf numFmtId="0" fontId="13" fillId="7" borderId="5" xfId="0" applyFont="1" applyFill="1" applyBorder="1"/>
    <xf numFmtId="0" fontId="0" fillId="0" borderId="6" xfId="0" applyFont="1" applyBorder="1"/>
    <xf numFmtId="0" fontId="4" fillId="3" borderId="1" xfId="0" applyFont="1" applyFill="1" applyBorder="1"/>
    <xf numFmtId="0" fontId="0" fillId="0" borderId="1" xfId="0" applyBorder="1"/>
    <xf numFmtId="0" fontId="10" fillId="6" borderId="2" xfId="0" applyFont="1" applyFill="1" applyBorder="1" applyAlignment="1"/>
    <xf numFmtId="0" fontId="0" fillId="0" borderId="0" xfId="0" applyProtection="1">
      <protection hidden="1"/>
    </xf>
    <xf numFmtId="0" fontId="14" fillId="9" borderId="3" xfId="1" applyFont="1" applyFill="1" applyBorder="1" applyAlignment="1" applyProtection="1">
      <alignment horizontal="center"/>
      <protection hidden="1"/>
    </xf>
    <xf numFmtId="0" fontId="14" fillId="9" borderId="1" xfId="1" applyFont="1" applyFill="1" applyBorder="1" applyAlignment="1" applyProtection="1">
      <alignment horizontal="center"/>
      <protection hidden="1"/>
    </xf>
    <xf numFmtId="0" fontId="0" fillId="0" borderId="0" xfId="0" applyAlignment="1" applyProtection="1">
      <protection hidden="1"/>
    </xf>
    <xf numFmtId="0" fontId="0" fillId="0" borderId="0" xfId="0" applyAlignment="1" applyProtection="1">
      <alignment wrapText="1"/>
      <protection hidden="1"/>
    </xf>
    <xf numFmtId="0" fontId="2" fillId="0" borderId="0" xfId="0" applyFont="1" applyProtection="1">
      <protection hidden="1"/>
    </xf>
    <xf numFmtId="0" fontId="5" fillId="0" borderId="0" xfId="0" applyFont="1" applyAlignment="1" applyProtection="1">
      <alignment horizontal="left" vertical="top"/>
      <protection hidden="1"/>
    </xf>
    <xf numFmtId="0" fontId="15" fillId="0" borderId="0" xfId="0" applyFont="1" applyFill="1" applyAlignment="1" applyProtection="1">
      <protection hidden="1"/>
    </xf>
    <xf numFmtId="0" fontId="16" fillId="0" borderId="0" xfId="0" applyFont="1" applyFill="1" applyAlignment="1" applyProtection="1">
      <protection hidden="1"/>
    </xf>
    <xf numFmtId="0" fontId="0" fillId="0" borderId="0" xfId="0" applyFill="1" applyAlignment="1" applyProtection="1">
      <alignment horizontal="center"/>
      <protection hidden="1"/>
    </xf>
    <xf numFmtId="0" fontId="19" fillId="13" borderId="1" xfId="0" applyFont="1" applyFill="1" applyBorder="1" applyAlignment="1" applyProtection="1">
      <alignment wrapText="1"/>
      <protection hidden="1"/>
    </xf>
    <xf numFmtId="0" fontId="0" fillId="0" borderId="0" xfId="0" applyAlignment="1" applyProtection="1">
      <alignment wrapText="1"/>
      <protection locked="0" hidden="1"/>
    </xf>
    <xf numFmtId="0" fontId="0" fillId="0" borderId="0" xfId="0" applyAlignment="1" applyProtection="1">
      <alignment horizontal="center"/>
      <protection locked="0" hidden="1"/>
    </xf>
    <xf numFmtId="0" fontId="19" fillId="14" borderId="1" xfId="0" applyFont="1" applyFill="1" applyBorder="1" applyAlignment="1" applyProtection="1">
      <alignment wrapText="1"/>
      <protection hidden="1"/>
    </xf>
    <xf numFmtId="0" fontId="0" fillId="0" borderId="0" xfId="0" applyProtection="1">
      <protection locked="0" hidden="1"/>
    </xf>
    <xf numFmtId="0" fontId="19" fillId="15" borderId="1" xfId="0" applyFont="1" applyFill="1" applyBorder="1" applyAlignment="1" applyProtection="1">
      <alignment wrapText="1"/>
      <protection hidden="1"/>
    </xf>
    <xf numFmtId="0" fontId="3" fillId="2" borderId="1" xfId="1" applyFont="1" applyFill="1" applyBorder="1" applyAlignment="1" applyProtection="1">
      <alignment horizontal="center"/>
      <protection hidden="1"/>
    </xf>
    <xf numFmtId="0" fontId="3" fillId="2" borderId="3" xfId="1" applyFont="1" applyFill="1" applyBorder="1" applyAlignment="1" applyProtection="1">
      <alignment horizontal="center"/>
      <protection hidden="1"/>
    </xf>
    <xf numFmtId="0" fontId="8" fillId="5" borderId="1" xfId="0" applyFont="1" applyFill="1" applyBorder="1" applyAlignment="1" applyProtection="1">
      <alignment horizontal="left" vertical="top"/>
      <protection locked="0" hidden="1"/>
    </xf>
    <xf numFmtId="14" fontId="9" fillId="4" borderId="1" xfId="0" applyNumberFormat="1" applyFont="1" applyFill="1" applyBorder="1" applyAlignment="1" applyProtection="1">
      <alignment horizontal="left" vertical="top" wrapText="1"/>
      <protection locked="0" hidden="1"/>
    </xf>
    <xf numFmtId="0" fontId="9" fillId="4" borderId="1" xfId="0" applyFont="1" applyFill="1" applyBorder="1" applyAlignment="1" applyProtection="1">
      <alignment horizontal="left" vertical="top" wrapText="1"/>
      <protection locked="0" hidden="1"/>
    </xf>
    <xf numFmtId="0" fontId="11" fillId="0" borderId="1" xfId="0" applyFont="1" applyFill="1" applyBorder="1" applyAlignment="1" applyProtection="1">
      <alignment horizontal="left" vertical="top" wrapText="1"/>
      <protection hidden="1"/>
    </xf>
    <xf numFmtId="0" fontId="9" fillId="4" borderId="1" xfId="0" applyFont="1" applyFill="1" applyBorder="1" applyAlignment="1" applyProtection="1">
      <alignment horizontal="center" vertical="top"/>
      <protection locked="0" hidden="1"/>
    </xf>
    <xf numFmtId="0" fontId="5" fillId="0" borderId="0" xfId="0" applyFont="1" applyProtection="1">
      <protection hidden="1"/>
    </xf>
    <xf numFmtId="0" fontId="9" fillId="0" borderId="1" xfId="0" applyFont="1" applyFill="1" applyBorder="1" applyAlignment="1" applyProtection="1">
      <alignment horizontal="left" vertical="top" wrapText="1"/>
      <protection hidden="1"/>
    </xf>
    <xf numFmtId="0" fontId="9" fillId="0" borderId="1" xfId="0" applyFont="1" applyFill="1" applyBorder="1" applyAlignment="1" applyProtection="1">
      <alignment horizontal="left" vertical="top"/>
      <protection hidden="1"/>
    </xf>
    <xf numFmtId="0" fontId="13" fillId="11" borderId="1" xfId="0" applyFont="1" applyFill="1" applyBorder="1" applyAlignment="1" applyProtection="1">
      <alignment horizontal="center"/>
      <protection hidden="1"/>
    </xf>
    <xf numFmtId="44" fontId="13" fillId="11" borderId="1" xfId="2" applyFont="1" applyFill="1" applyBorder="1" applyAlignment="1" applyProtection="1">
      <alignment horizontal="center"/>
      <protection hidden="1"/>
    </xf>
    <xf numFmtId="0" fontId="0" fillId="0" borderId="1" xfId="0" applyBorder="1" applyProtection="1">
      <protection hidden="1"/>
    </xf>
    <xf numFmtId="44" fontId="0" fillId="0" borderId="1" xfId="2" applyFont="1" applyBorder="1" applyProtection="1">
      <protection hidden="1"/>
    </xf>
    <xf numFmtId="0" fontId="0" fillId="0" borderId="1" xfId="0" applyBorder="1" applyAlignment="1" applyProtection="1">
      <alignment horizontal="center"/>
      <protection hidden="1"/>
    </xf>
    <xf numFmtId="0" fontId="2" fillId="16" borderId="1" xfId="0" applyFont="1" applyFill="1" applyBorder="1" applyProtection="1">
      <protection hidden="1"/>
    </xf>
    <xf numFmtId="44" fontId="2" fillId="16" borderId="1" xfId="2" applyFont="1" applyFill="1" applyBorder="1" applyProtection="1">
      <protection hidden="1"/>
    </xf>
    <xf numFmtId="37" fontId="2" fillId="16" borderId="1" xfId="2" applyNumberFormat="1" applyFont="1" applyFill="1" applyBorder="1" applyAlignment="1" applyProtection="1">
      <alignment horizontal="center"/>
      <protection hidden="1"/>
    </xf>
    <xf numFmtId="44" fontId="0" fillId="0" borderId="0" xfId="2" applyFont="1" applyProtection="1">
      <protection hidden="1"/>
    </xf>
    <xf numFmtId="0" fontId="17" fillId="10" borderId="2" xfId="1" applyFont="1" applyFill="1" applyBorder="1" applyAlignment="1" applyProtection="1">
      <alignment horizontal="center"/>
      <protection locked="0" hidden="1"/>
    </xf>
    <xf numFmtId="14" fontId="9" fillId="0" borderId="1" xfId="0" applyNumberFormat="1" applyFont="1" applyFill="1" applyBorder="1" applyAlignment="1" applyProtection="1">
      <alignment horizontal="left"/>
      <protection hidden="1"/>
    </xf>
    <xf numFmtId="14" fontId="9" fillId="0" borderId="1" xfId="0" applyNumberFormat="1" applyFont="1" applyFill="1" applyBorder="1" applyAlignment="1" applyProtection="1">
      <alignment horizontal="left" vertical="top"/>
      <protection hidden="1"/>
    </xf>
    <xf numFmtId="44" fontId="9" fillId="0" borderId="1" xfId="2" applyFont="1" applyFill="1" applyBorder="1" applyProtection="1">
      <protection hidden="1"/>
    </xf>
    <xf numFmtId="1" fontId="9" fillId="0" borderId="1" xfId="2" applyNumberFormat="1" applyFont="1" applyFill="1" applyBorder="1" applyProtection="1">
      <protection hidden="1"/>
    </xf>
    <xf numFmtId="0" fontId="11" fillId="0" borderId="1" xfId="0" applyFont="1" applyFill="1" applyBorder="1" applyAlignment="1" applyProtection="1">
      <alignment horizontal="left" vertical="top"/>
      <protection hidden="1"/>
    </xf>
    <xf numFmtId="0" fontId="9" fillId="0" borderId="1" xfId="0" applyFont="1" applyFill="1" applyBorder="1" applyAlignment="1" applyProtection="1">
      <alignment horizontal="center" vertical="top"/>
      <protection hidden="1"/>
    </xf>
    <xf numFmtId="0" fontId="0" fillId="0" borderId="0" xfId="0" applyAlignment="1" applyProtection="1">
      <alignment horizontal="center"/>
      <protection hidden="1"/>
    </xf>
    <xf numFmtId="0" fontId="21" fillId="3" borderId="0" xfId="0" applyFont="1" applyFill="1" applyAlignment="1" applyProtection="1">
      <alignment horizontal="center"/>
      <protection hidden="1"/>
    </xf>
    <xf numFmtId="0" fontId="7" fillId="17" borderId="0" xfId="0" applyFont="1" applyFill="1" applyProtection="1"/>
    <xf numFmtId="0" fontId="0" fillId="0" borderId="0" xfId="0" applyFill="1" applyProtection="1">
      <protection hidden="1"/>
    </xf>
    <xf numFmtId="0" fontId="27" fillId="13" borderId="1" xfId="0" applyFont="1" applyFill="1" applyBorder="1" applyAlignment="1" applyProtection="1">
      <alignment wrapText="1"/>
      <protection hidden="1"/>
    </xf>
    <xf numFmtId="0" fontId="27" fillId="14" borderId="1" xfId="0" applyFont="1" applyFill="1" applyBorder="1" applyAlignment="1" applyProtection="1">
      <alignment wrapText="1"/>
      <protection hidden="1"/>
    </xf>
    <xf numFmtId="0" fontId="27" fillId="15" borderId="1" xfId="0" applyFont="1" applyFill="1" applyBorder="1" applyAlignment="1" applyProtection="1">
      <alignment wrapText="1"/>
      <protection hidden="1"/>
    </xf>
    <xf numFmtId="0" fontId="0" fillId="0" borderId="0" xfId="0" applyProtection="1">
      <protection locked="0"/>
    </xf>
    <xf numFmtId="44" fontId="26" fillId="13" borderId="1" xfId="0" applyNumberFormat="1" applyFont="1" applyFill="1" applyBorder="1" applyAlignment="1" applyProtection="1">
      <alignment wrapText="1"/>
      <protection hidden="1"/>
    </xf>
    <xf numFmtId="44" fontId="27" fillId="14" borderId="1" xfId="0" applyNumberFormat="1" applyFont="1" applyFill="1" applyBorder="1" applyAlignment="1" applyProtection="1">
      <alignment wrapText="1"/>
      <protection hidden="1"/>
    </xf>
    <xf numFmtId="44" fontId="27" fillId="15" borderId="1" xfId="0" applyNumberFormat="1" applyFont="1" applyFill="1" applyBorder="1" applyAlignment="1" applyProtection="1">
      <alignment wrapText="1"/>
      <protection hidden="1"/>
    </xf>
    <xf numFmtId="0" fontId="28" fillId="16" borderId="0" xfId="0" applyFont="1" applyFill="1" applyAlignment="1" applyProtection="1">
      <alignment horizontal="left" wrapText="1"/>
      <protection hidden="1"/>
    </xf>
    <xf numFmtId="0" fontId="24" fillId="0" borderId="0" xfId="0" applyFont="1" applyFill="1" applyBorder="1" applyAlignment="1" applyProtection="1">
      <alignment horizontal="center"/>
    </xf>
    <xf numFmtId="0" fontId="0" fillId="0" borderId="0" xfId="0" applyFill="1" applyBorder="1" applyProtection="1"/>
    <xf numFmtId="0" fontId="0" fillId="21" borderId="1" xfId="0" applyFill="1" applyBorder="1" applyAlignment="1" applyProtection="1">
      <alignment horizontal="center"/>
      <protection locked="0" hidden="1"/>
    </xf>
    <xf numFmtId="0" fontId="9" fillId="4" borderId="1" xfId="0" applyFont="1" applyFill="1" applyBorder="1" applyAlignment="1" applyProtection="1">
      <alignment horizontal="left" vertical="top"/>
      <protection locked="0"/>
    </xf>
    <xf numFmtId="0" fontId="9" fillId="0" borderId="1" xfId="0" applyFont="1" applyFill="1" applyBorder="1" applyAlignment="1" applyProtection="1">
      <alignment horizontal="center" vertical="top"/>
      <protection locked="0"/>
    </xf>
    <xf numFmtId="0" fontId="9" fillId="4" borderId="1" xfId="0" applyFont="1" applyFill="1" applyBorder="1" applyAlignment="1" applyProtection="1">
      <alignment horizontal="left" vertical="top" wrapText="1"/>
      <protection locked="0"/>
    </xf>
    <xf numFmtId="0" fontId="5" fillId="4" borderId="1" xfId="0" applyFont="1" applyFill="1" applyBorder="1" applyAlignment="1" applyProtection="1">
      <alignment horizontal="left" vertical="top" wrapText="1"/>
      <protection locked="0"/>
    </xf>
    <xf numFmtId="14" fontId="0" fillId="0" borderId="0" xfId="0" applyNumberFormat="1"/>
    <xf numFmtId="0" fontId="20" fillId="3" borderId="0" xfId="0" applyFont="1" applyFill="1"/>
    <xf numFmtId="12" fontId="9" fillId="0" borderId="1" xfId="0" applyNumberFormat="1" applyFont="1" applyFill="1" applyBorder="1" applyAlignment="1" applyProtection="1">
      <alignment horizontal="left" vertical="top"/>
      <protection hidden="1"/>
    </xf>
    <xf numFmtId="0" fontId="18" fillId="22" borderId="1" xfId="0" applyFont="1" applyFill="1" applyBorder="1"/>
    <xf numFmtId="0" fontId="0" fillId="0" borderId="1" xfId="0" applyFill="1" applyBorder="1"/>
    <xf numFmtId="14" fontId="15" fillId="5" borderId="11" xfId="0" applyNumberFormat="1" applyFont="1" applyFill="1" applyBorder="1" applyAlignment="1" applyProtection="1">
      <protection locked="0"/>
    </xf>
    <xf numFmtId="0" fontId="24" fillId="0" borderId="0" xfId="0" applyFont="1" applyFill="1" applyBorder="1" applyAlignment="1" applyProtection="1"/>
    <xf numFmtId="14" fontId="15" fillId="0" borderId="7" xfId="0" applyNumberFormat="1" applyFont="1" applyFill="1" applyBorder="1" applyAlignment="1" applyProtection="1">
      <protection locked="0"/>
    </xf>
    <xf numFmtId="0" fontId="18" fillId="22" borderId="1" xfId="0" applyFont="1" applyFill="1" applyBorder="1" applyAlignment="1"/>
    <xf numFmtId="0" fontId="18" fillId="0" borderId="0" xfId="0" applyFont="1" applyFill="1" applyBorder="1" applyAlignment="1"/>
    <xf numFmtId="0" fontId="9" fillId="23" borderId="1" xfId="0" applyFont="1" applyFill="1" applyBorder="1" applyAlignment="1" applyProtection="1">
      <alignment horizontal="left" vertical="top"/>
      <protection locked="0"/>
    </xf>
    <xf numFmtId="0" fontId="14" fillId="9" borderId="3" xfId="1" applyFont="1" applyFill="1" applyBorder="1" applyAlignment="1" applyProtection="1">
      <alignment horizontal="center" wrapText="1"/>
      <protection hidden="1"/>
    </xf>
    <xf numFmtId="0" fontId="14" fillId="9" borderId="12" xfId="1" applyFont="1" applyFill="1" applyBorder="1" applyAlignment="1" applyProtection="1">
      <alignment horizontal="center"/>
      <protection hidden="1"/>
    </xf>
    <xf numFmtId="0" fontId="24" fillId="15" borderId="1" xfId="0" applyFont="1" applyFill="1" applyBorder="1" applyProtection="1">
      <protection locked="0" hidden="1"/>
    </xf>
    <xf numFmtId="37" fontId="30" fillId="22" borderId="1" xfId="0" applyNumberFormat="1" applyFont="1" applyFill="1" applyBorder="1" applyAlignment="1" applyProtection="1">
      <alignment wrapText="1"/>
      <protection locked="0" hidden="1"/>
    </xf>
    <xf numFmtId="0" fontId="0" fillId="0" borderId="8" xfId="0" applyBorder="1" applyAlignment="1" applyProtection="1">
      <protection locked="0" hidden="1"/>
    </xf>
    <xf numFmtId="0" fontId="0" fillId="0" borderId="8" xfId="0" applyBorder="1" applyProtection="1">
      <protection locked="0" hidden="1"/>
    </xf>
    <xf numFmtId="0" fontId="0" fillId="0" borderId="1" xfId="0" applyBorder="1" applyProtection="1">
      <protection locked="0"/>
    </xf>
    <xf numFmtId="0" fontId="2" fillId="0" borderId="1" xfId="0" applyFont="1" applyBorder="1" applyProtection="1">
      <protection locked="0"/>
    </xf>
    <xf numFmtId="0" fontId="24" fillId="19" borderId="2" xfId="0" applyFont="1" applyFill="1" applyBorder="1" applyAlignment="1" applyProtection="1">
      <protection locked="0"/>
    </xf>
    <xf numFmtId="0" fontId="15" fillId="22" borderId="1" xfId="0" applyFont="1" applyFill="1" applyBorder="1" applyAlignment="1" applyProtection="1">
      <alignment horizontal="right" wrapText="1"/>
      <protection hidden="1"/>
    </xf>
    <xf numFmtId="0" fontId="31" fillId="15" borderId="1" xfId="0" applyFont="1" applyFill="1" applyBorder="1" applyAlignment="1" applyProtection="1">
      <alignment horizontal="right"/>
      <protection hidden="1"/>
    </xf>
    <xf numFmtId="0" fontId="15" fillId="14" borderId="1" xfId="0" applyFont="1" applyFill="1" applyBorder="1" applyAlignment="1" applyProtection="1">
      <alignment horizontal="right"/>
      <protection hidden="1"/>
    </xf>
    <xf numFmtId="0" fontId="32" fillId="11" borderId="12" xfId="0" applyFont="1" applyFill="1" applyBorder="1" applyAlignment="1">
      <alignment horizontal="center"/>
    </xf>
    <xf numFmtId="0" fontId="21" fillId="0" borderId="1" xfId="0" applyFont="1" applyFill="1" applyBorder="1" applyAlignment="1" applyProtection="1">
      <alignment horizontal="center"/>
      <protection hidden="1"/>
    </xf>
    <xf numFmtId="0" fontId="15" fillId="18" borderId="1" xfId="0" applyFont="1" applyFill="1" applyBorder="1"/>
    <xf numFmtId="0" fontId="15" fillId="21" borderId="1" xfId="0" applyFont="1" applyFill="1" applyBorder="1"/>
    <xf numFmtId="0" fontId="30" fillId="18" borderId="1" xfId="0" applyFont="1" applyFill="1" applyBorder="1" applyProtection="1">
      <protection locked="0" hidden="1"/>
    </xf>
    <xf numFmtId="0" fontId="30" fillId="21" borderId="1" xfId="0" applyFont="1" applyFill="1" applyBorder="1" applyProtection="1">
      <protection locked="0" hidden="1"/>
    </xf>
    <xf numFmtId="0" fontId="24" fillId="14" borderId="1" xfId="0" applyFont="1" applyFill="1" applyBorder="1" applyProtection="1">
      <protection locked="0" hidden="1"/>
    </xf>
    <xf numFmtId="14" fontId="9" fillId="0" borderId="1" xfId="0" applyNumberFormat="1" applyFont="1" applyFill="1" applyBorder="1" applyAlignment="1" applyProtection="1">
      <alignment horizontal="center" vertical="top"/>
      <protection locked="0"/>
    </xf>
    <xf numFmtId="14" fontId="9" fillId="4" borderId="1" xfId="0" quotePrefix="1" applyNumberFormat="1" applyFont="1" applyFill="1" applyBorder="1" applyAlignment="1" applyProtection="1">
      <alignment horizontal="left" vertical="top" wrapText="1"/>
      <protection locked="0" hidden="1"/>
    </xf>
    <xf numFmtId="14" fontId="5" fillId="4" borderId="1" xfId="0" applyNumberFormat="1" applyFont="1" applyFill="1" applyBorder="1" applyAlignment="1" applyProtection="1">
      <alignment horizontal="left" vertical="top" wrapText="1"/>
      <protection locked="0"/>
    </xf>
    <xf numFmtId="6" fontId="9" fillId="4" borderId="1" xfId="0" applyNumberFormat="1" applyFont="1" applyFill="1" applyBorder="1" applyAlignment="1" applyProtection="1">
      <alignment horizontal="left" vertical="top" wrapText="1"/>
      <protection locked="0" hidden="1"/>
    </xf>
    <xf numFmtId="14" fontId="0" fillId="0" borderId="8" xfId="0" applyNumberFormat="1" applyBorder="1" applyAlignment="1" applyProtection="1">
      <protection locked="0" hidden="1"/>
    </xf>
    <xf numFmtId="14" fontId="9" fillId="4" borderId="1" xfId="0" applyNumberFormat="1" applyFont="1" applyFill="1" applyBorder="1" applyAlignment="1" applyProtection="1">
      <alignment horizontal="left" vertical="top" wrapText="1"/>
      <protection locked="0"/>
    </xf>
    <xf numFmtId="14" fontId="0" fillId="0" borderId="8" xfId="0" applyNumberFormat="1" applyBorder="1" applyProtection="1">
      <protection locked="0" hidden="1"/>
    </xf>
    <xf numFmtId="14" fontId="9" fillId="4" borderId="1" xfId="0" applyNumberFormat="1" applyFont="1" applyFill="1" applyBorder="1" applyAlignment="1" applyProtection="1">
      <alignment horizontal="left" vertical="top"/>
      <protection locked="0"/>
    </xf>
    <xf numFmtId="14" fontId="33" fillId="0" borderId="0" xfId="0" applyNumberFormat="1" applyFont="1" applyProtection="1">
      <protection locked="0"/>
    </xf>
    <xf numFmtId="14" fontId="33" fillId="24" borderId="0" xfId="0" applyNumberFormat="1" applyFont="1" applyFill="1" applyAlignment="1" applyProtection="1">
      <alignment horizontal="left" vertical="center"/>
      <protection locked="0"/>
    </xf>
    <xf numFmtId="0" fontId="34" fillId="0" borderId="0" xfId="0" applyFont="1" applyAlignment="1" applyProtection="1">
      <alignment horizontal="left" vertical="center" wrapText="1"/>
      <protection locked="0"/>
    </xf>
    <xf numFmtId="0" fontId="5" fillId="4" borderId="1" xfId="0" quotePrefix="1" applyFont="1" applyFill="1" applyBorder="1" applyAlignment="1" applyProtection="1">
      <alignment horizontal="left" vertical="top" wrapText="1"/>
      <protection locked="0"/>
    </xf>
    <xf numFmtId="164" fontId="0" fillId="0" borderId="0" xfId="0" applyNumberFormat="1" applyProtection="1">
      <protection locked="0"/>
    </xf>
    <xf numFmtId="14" fontId="9" fillId="0" borderId="1" xfId="0" applyNumberFormat="1" applyFont="1" applyBorder="1" applyAlignment="1" applyProtection="1">
      <alignment horizontal="center" vertical="top"/>
      <protection locked="0"/>
    </xf>
    <xf numFmtId="6" fontId="5" fillId="4" borderId="1" xfId="0" applyNumberFormat="1" applyFont="1" applyFill="1" applyBorder="1" applyAlignment="1" applyProtection="1">
      <alignment horizontal="left" vertical="top" wrapText="1"/>
      <protection locked="0"/>
    </xf>
    <xf numFmtId="8" fontId="5" fillId="4" borderId="1" xfId="0" applyNumberFormat="1" applyFont="1" applyFill="1" applyBorder="1" applyAlignment="1" applyProtection="1">
      <alignment horizontal="left" vertical="top" wrapText="1"/>
      <protection locked="0"/>
    </xf>
    <xf numFmtId="14" fontId="34" fillId="0" borderId="0" xfId="0" applyNumberFormat="1" applyFont="1" applyAlignment="1" applyProtection="1">
      <alignment vertical="center" wrapText="1"/>
      <protection locked="0"/>
    </xf>
    <xf numFmtId="14" fontId="34" fillId="0" borderId="0" xfId="0" applyNumberFormat="1" applyFont="1" applyAlignment="1" applyProtection="1">
      <alignment horizontal="left" vertical="center" wrapText="1"/>
      <protection locked="0"/>
    </xf>
    <xf numFmtId="0" fontId="9" fillId="0" borderId="1" xfId="0" applyFont="1" applyFill="1" applyBorder="1" applyAlignment="1" applyProtection="1">
      <alignment horizontal="left" vertical="top"/>
      <protection locked="0" hidden="1"/>
    </xf>
    <xf numFmtId="0" fontId="18" fillId="12" borderId="7" xfId="0" applyFont="1" applyFill="1" applyBorder="1" applyAlignment="1" applyProtection="1">
      <alignment horizontal="center"/>
      <protection hidden="1"/>
    </xf>
    <xf numFmtId="0" fontId="25" fillId="2" borderId="0" xfId="0" applyFont="1" applyFill="1" applyAlignment="1" applyProtection="1">
      <alignment horizontal="center"/>
    </xf>
    <xf numFmtId="0" fontId="18" fillId="20" borderId="8" xfId="0" applyFont="1" applyFill="1" applyBorder="1" applyAlignment="1" applyProtection="1">
      <alignment horizontal="center"/>
    </xf>
    <xf numFmtId="0" fontId="18" fillId="20" borderId="9" xfId="0" applyFont="1" applyFill="1" applyBorder="1" applyAlignment="1" applyProtection="1">
      <alignment horizontal="center"/>
    </xf>
    <xf numFmtId="0" fontId="15" fillId="18" borderId="8" xfId="0" applyFont="1" applyFill="1" applyBorder="1" applyAlignment="1" applyProtection="1">
      <alignment horizontal="center"/>
    </xf>
    <xf numFmtId="0" fontId="15" fillId="18" borderId="9" xfId="0" applyFont="1" applyFill="1" applyBorder="1" applyAlignment="1" applyProtection="1">
      <alignment horizontal="center"/>
    </xf>
    <xf numFmtId="0" fontId="29" fillId="0" borderId="1" xfId="0" applyFont="1" applyBorder="1" applyAlignment="1">
      <alignment horizontal="left"/>
    </xf>
    <xf numFmtId="0" fontId="28" fillId="16" borderId="7" xfId="0" applyFont="1" applyFill="1" applyBorder="1" applyAlignment="1" applyProtection="1">
      <alignment horizontal="center" wrapText="1"/>
      <protection hidden="1"/>
    </xf>
    <xf numFmtId="0" fontId="29" fillId="0" borderId="8" xfId="0" applyFont="1" applyBorder="1" applyAlignment="1">
      <alignment horizontal="left"/>
    </xf>
    <xf numFmtId="0" fontId="29" fillId="0" borderId="10" xfId="0" applyFont="1" applyBorder="1" applyAlignment="1">
      <alignment horizontal="left"/>
    </xf>
    <xf numFmtId="0" fontId="29" fillId="0" borderId="9" xfId="0" applyFont="1" applyBorder="1" applyAlignment="1">
      <alignment horizontal="left"/>
    </xf>
    <xf numFmtId="0" fontId="30" fillId="21" borderId="8" xfId="0" applyFont="1" applyFill="1" applyBorder="1" applyAlignment="1">
      <alignment horizontal="center"/>
    </xf>
    <xf numFmtId="0" fontId="30" fillId="21" borderId="10" xfId="0" applyFont="1" applyFill="1" applyBorder="1" applyAlignment="1">
      <alignment horizontal="center"/>
    </xf>
    <xf numFmtId="0" fontId="30" fillId="21" borderId="9" xfId="0" applyFont="1" applyFill="1" applyBorder="1" applyAlignment="1">
      <alignment horizontal="center"/>
    </xf>
    <xf numFmtId="0" fontId="10" fillId="6" borderId="2" xfId="0" applyFont="1" applyFill="1" applyBorder="1" applyAlignment="1">
      <alignment horizontal="center"/>
    </xf>
    <xf numFmtId="0" fontId="10" fillId="6" borderId="0" xfId="0" applyFont="1" applyFill="1" applyBorder="1" applyAlignment="1">
      <alignment horizontal="center"/>
    </xf>
    <xf numFmtId="0" fontId="4" fillId="3" borderId="0" xfId="0" applyFont="1" applyFill="1" applyAlignment="1">
      <alignment horizontal="center"/>
    </xf>
  </cellXfs>
  <cellStyles count="3">
    <cellStyle name="Currency" xfId="2" builtinId="4"/>
    <cellStyle name="Normal" xfId="0" builtinId="0"/>
    <cellStyle name="Title" xfId="1" builtinId="15"/>
  </cellStyles>
  <dxfs count="5968">
    <dxf>
      <font>
        <b val="0"/>
        <i val="0"/>
        <strike val="0"/>
        <condense val="0"/>
        <extend val="0"/>
        <outline val="0"/>
        <shadow val="0"/>
        <u val="none"/>
        <vertAlign val="baseline"/>
        <sz val="20"/>
        <color theme="1"/>
        <name val="Calibri"/>
        <scheme val="minor"/>
      </font>
      <fill>
        <patternFill patternType="solid">
          <fgColor indexed="64"/>
          <bgColor theme="5" tint="0.5999938962981048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minor"/>
      </font>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92D050"/>
        </patternFill>
      </fill>
    </dxf>
    <dxf>
      <fill>
        <patternFill>
          <bgColor rgb="FFF39D3F"/>
        </patternFill>
      </fill>
    </dxf>
    <dxf>
      <fill>
        <patternFill>
          <bgColor rgb="FF92D050"/>
        </patternFill>
      </fill>
    </dxf>
    <dxf>
      <fill>
        <patternFill>
          <bgColor rgb="FFF39D3F"/>
        </patternFill>
      </fill>
    </dxf>
    <dxf>
      <fill>
        <patternFill>
          <bgColor rgb="FF92D050"/>
        </patternFill>
      </fill>
    </dxf>
    <dxf>
      <fill>
        <patternFill>
          <bgColor rgb="FFF39D3F"/>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39D3F"/>
        </patternFill>
      </fill>
    </dxf>
    <dxf>
      <fill>
        <patternFill>
          <bgColor rgb="FFF39D3F"/>
        </patternFill>
      </fill>
    </dxf>
    <dxf>
      <fill>
        <patternFill>
          <bgColor rgb="FF92D050"/>
        </patternFill>
      </fill>
    </dxf>
    <dxf>
      <fill>
        <patternFill>
          <bgColor rgb="FF92D050"/>
        </patternFill>
      </fill>
    </dxf>
    <dxf>
      <fill>
        <patternFill>
          <bgColor rgb="FFF39D3F"/>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
      <fill>
        <patternFill>
          <bgColor rgb="FFD5B8EA"/>
        </patternFill>
      </fill>
    </dxf>
    <dxf>
      <fill>
        <patternFill>
          <bgColor rgb="FFFF9999"/>
        </patternFill>
      </fill>
    </dxf>
    <dxf>
      <fill>
        <patternFill>
          <bgColor rgb="FF97E4FF"/>
        </patternFill>
      </fill>
    </dxf>
    <dxf>
      <fill>
        <patternFill>
          <bgColor rgb="FFF39D3F"/>
        </patternFill>
      </fill>
    </dxf>
    <dxf>
      <fill>
        <patternFill>
          <bgColor rgb="FFFFE697"/>
        </patternFill>
      </fill>
    </dxf>
  </dxfs>
  <tableStyles count="0" defaultTableStyle="TableStyleMedium2" defaultPivotStyle="PivotStyleLight16"/>
  <colors>
    <mruColors>
      <color rgb="FFE6D5F3"/>
      <color rgb="FFA66BD3"/>
      <color rgb="FFFF7C80"/>
      <color rgb="FFD5B8EA"/>
      <color rgb="FFF39D3F"/>
      <color rgb="FFF4B084"/>
      <color rgb="FFABE9FF"/>
      <color rgb="FF5DD5FF"/>
      <color rgb="FFC198E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 STATUS REPORT IN DOLLARS</a:t>
            </a:r>
          </a:p>
        </c:rich>
      </c:tx>
      <c:overlay val="0"/>
      <c:spPr>
        <a:noFill/>
        <a:ln>
          <a:noFill/>
        </a:ln>
        <a:effectLst/>
      </c:spPr>
    </c:title>
    <c:autoTitleDeleted val="0"/>
    <c:plotArea>
      <c:layout/>
      <c:barChart>
        <c:barDir val="bar"/>
        <c:grouping val="clustered"/>
        <c:varyColors val="0"/>
        <c:ser>
          <c:idx val="0"/>
          <c:order val="0"/>
          <c:tx>
            <c:strRef>
              <c:f>'Summary '!$B$2</c:f>
              <c:strCache>
                <c:ptCount val="1"/>
                <c:pt idx="0">
                  <c:v> AMOUNT </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 '!$A$3:$A$26</c:f>
              <c:strCache>
                <c:ptCount val="24"/>
                <c:pt idx="0">
                  <c:v>Claim Paid - EFT</c:v>
                </c:pt>
                <c:pt idx="1">
                  <c:v>Claim Paid - CHK</c:v>
                </c:pt>
                <c:pt idx="2">
                  <c:v>Claim in Process</c:v>
                </c:pt>
                <c:pt idx="3">
                  <c:v>Frequency Denial </c:v>
                </c:pt>
                <c:pt idx="4">
                  <c:v>Maxed out Denial </c:v>
                </c:pt>
                <c:pt idx="5">
                  <c:v>Not Covered </c:v>
                </c:pt>
                <c:pt idx="6">
                  <c:v>Miss Tth Clause Denial</c:v>
                </c:pt>
                <c:pt idx="7">
                  <c:v>Dup Submission</c:v>
                </c:pt>
                <c:pt idx="8">
                  <c:v>Waiting Pd Denial</c:v>
                </c:pt>
                <c:pt idx="9">
                  <c:v>Pr Paid Max</c:v>
                </c:pt>
                <c:pt idx="10">
                  <c:v>Invd Proc Code</c:v>
                </c:pt>
                <c:pt idx="11">
                  <c:v>SRP Hist Dts Denial</c:v>
                </c:pt>
                <c:pt idx="12">
                  <c:v>Init Placement Dt Denial</c:v>
                </c:pt>
                <c:pt idx="13">
                  <c:v>TFL Denial</c:v>
                </c:pt>
                <c:pt idx="14">
                  <c:v>Age Limit Denial </c:v>
                </c:pt>
                <c:pt idx="15">
                  <c:v>Miss Attach Denial</c:v>
                </c:pt>
                <c:pt idx="16">
                  <c:v>Nd More Info</c:v>
                </c:pt>
                <c:pt idx="17">
                  <c:v>Claim not on File</c:v>
                </c:pt>
                <c:pt idx="18">
                  <c:v>No Active Policy</c:v>
                </c:pt>
                <c:pt idx="19">
                  <c:v>Claim Partially Paid - EFT</c:v>
                </c:pt>
                <c:pt idx="20">
                  <c:v>Claim Partially Paid - CHK</c:v>
                </c:pt>
                <c:pt idx="21">
                  <c:v>Patient Not Found</c:v>
                </c:pt>
                <c:pt idx="22">
                  <c:v>Other</c:v>
                </c:pt>
                <c:pt idx="23">
                  <c:v>To be Followed up</c:v>
                </c:pt>
              </c:strCache>
            </c:strRef>
          </c:cat>
          <c:val>
            <c:numRef>
              <c:f>'Summary '!$B$3:$B$26</c:f>
              <c:numCache>
                <c:formatCode>_("$"* #,##0.00_);_("$"* \(#,##0.00\);_("$"* "-"??_);_(@_)</c:formatCode>
                <c:ptCount val="24"/>
                <c:pt idx="0">
                  <c:v>62214.800000000039</c:v>
                </c:pt>
                <c:pt idx="1">
                  <c:v>19769.599999999999</c:v>
                </c:pt>
                <c:pt idx="2">
                  <c:v>88.8</c:v>
                </c:pt>
                <c:pt idx="3">
                  <c:v>670.4</c:v>
                </c:pt>
                <c:pt idx="4">
                  <c:v>288.8</c:v>
                </c:pt>
                <c:pt idx="5">
                  <c:v>5719.5999999999995</c:v>
                </c:pt>
                <c:pt idx="6">
                  <c:v>0</c:v>
                </c:pt>
                <c:pt idx="7">
                  <c:v>81.2</c:v>
                </c:pt>
                <c:pt idx="8">
                  <c:v>0</c:v>
                </c:pt>
                <c:pt idx="9">
                  <c:v>1114</c:v>
                </c:pt>
                <c:pt idx="10">
                  <c:v>0</c:v>
                </c:pt>
                <c:pt idx="11">
                  <c:v>0</c:v>
                </c:pt>
                <c:pt idx="12">
                  <c:v>0</c:v>
                </c:pt>
                <c:pt idx="13">
                  <c:v>1515.6</c:v>
                </c:pt>
                <c:pt idx="14">
                  <c:v>0</c:v>
                </c:pt>
                <c:pt idx="15">
                  <c:v>2794.8</c:v>
                </c:pt>
                <c:pt idx="16">
                  <c:v>13999.200000000003</c:v>
                </c:pt>
                <c:pt idx="17">
                  <c:v>16996.400000000001</c:v>
                </c:pt>
                <c:pt idx="18">
                  <c:v>4389.6000000000004</c:v>
                </c:pt>
                <c:pt idx="19">
                  <c:v>991.2</c:v>
                </c:pt>
                <c:pt idx="20">
                  <c:v>332.4</c:v>
                </c:pt>
                <c:pt idx="21">
                  <c:v>0</c:v>
                </c:pt>
                <c:pt idx="22">
                  <c:v>4026.7999999999997</c:v>
                </c:pt>
                <c:pt idx="23">
                  <c:v>311311.80000000045</c:v>
                </c:pt>
              </c:numCache>
            </c:numRef>
          </c:val>
          <c:extLst>
            <c:ext xmlns:c16="http://schemas.microsoft.com/office/drawing/2014/chart" uri="{C3380CC4-5D6E-409C-BE32-E72D297353CC}">
              <c16:uniqueId val="{00000000-5C7B-4352-A7E9-877DA314B69B}"/>
            </c:ext>
          </c:extLst>
        </c:ser>
        <c:dLbls>
          <c:showLegendKey val="0"/>
          <c:showVal val="0"/>
          <c:showCatName val="0"/>
          <c:showSerName val="0"/>
          <c:showPercent val="0"/>
          <c:showBubbleSize val="0"/>
        </c:dLbls>
        <c:gapWidth val="115"/>
        <c:overlap val="-20"/>
        <c:axId val="-1034913472"/>
        <c:axId val="-1034921632"/>
      </c:barChart>
      <c:catAx>
        <c:axId val="-10349134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921632"/>
        <c:crossesAt val="0"/>
        <c:auto val="1"/>
        <c:lblAlgn val="ctr"/>
        <c:lblOffset val="100"/>
        <c:noMultiLvlLbl val="0"/>
      </c:catAx>
      <c:valAx>
        <c:axId val="-1034921632"/>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91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 STATUS REPORT IN # OF CLAIMS</a:t>
            </a:r>
          </a:p>
        </c:rich>
      </c:tx>
      <c:overlay val="0"/>
      <c:spPr>
        <a:noFill/>
        <a:ln>
          <a:noFill/>
        </a:ln>
        <a:effectLst/>
      </c:sp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howLeaderLines val="0"/>
              </c:ext>
            </c:extLst>
          </c:dLbls>
          <c:cat>
            <c:strRef>
              <c:f>'Summary '!$A$3:$A$26</c:f>
              <c:strCache>
                <c:ptCount val="24"/>
                <c:pt idx="0">
                  <c:v>Claim Paid - EFT</c:v>
                </c:pt>
                <c:pt idx="1">
                  <c:v>Claim Paid - CHK</c:v>
                </c:pt>
                <c:pt idx="2">
                  <c:v>Claim in Process</c:v>
                </c:pt>
                <c:pt idx="3">
                  <c:v>Frequency Denial </c:v>
                </c:pt>
                <c:pt idx="4">
                  <c:v>Maxed out Denial </c:v>
                </c:pt>
                <c:pt idx="5">
                  <c:v>Not Covered </c:v>
                </c:pt>
                <c:pt idx="6">
                  <c:v>Miss Tth Clause Denial</c:v>
                </c:pt>
                <c:pt idx="7">
                  <c:v>Dup Submission</c:v>
                </c:pt>
                <c:pt idx="8">
                  <c:v>Waiting Pd Denial</c:v>
                </c:pt>
                <c:pt idx="9">
                  <c:v>Pr Paid Max</c:v>
                </c:pt>
                <c:pt idx="10">
                  <c:v>Invd Proc Code</c:v>
                </c:pt>
                <c:pt idx="11">
                  <c:v>SRP Hist Dts Denial</c:v>
                </c:pt>
                <c:pt idx="12">
                  <c:v>Init Placement Dt Denial</c:v>
                </c:pt>
                <c:pt idx="13">
                  <c:v>TFL Denial</c:v>
                </c:pt>
                <c:pt idx="14">
                  <c:v>Age Limit Denial </c:v>
                </c:pt>
                <c:pt idx="15">
                  <c:v>Miss Attach Denial</c:v>
                </c:pt>
                <c:pt idx="16">
                  <c:v>Nd More Info</c:v>
                </c:pt>
                <c:pt idx="17">
                  <c:v>Claim not on File</c:v>
                </c:pt>
                <c:pt idx="18">
                  <c:v>No Active Policy</c:v>
                </c:pt>
                <c:pt idx="19">
                  <c:v>Claim Partially Paid - EFT</c:v>
                </c:pt>
                <c:pt idx="20">
                  <c:v>Claim Partially Paid - CHK</c:v>
                </c:pt>
                <c:pt idx="21">
                  <c:v>Patient Not Found</c:v>
                </c:pt>
                <c:pt idx="22">
                  <c:v>Other</c:v>
                </c:pt>
                <c:pt idx="23">
                  <c:v>To be Followed up</c:v>
                </c:pt>
              </c:strCache>
            </c:strRef>
          </c:cat>
          <c:val>
            <c:numRef>
              <c:f>'Summary '!$C$3:$C$26</c:f>
              <c:numCache>
                <c:formatCode>General</c:formatCode>
                <c:ptCount val="24"/>
                <c:pt idx="0">
                  <c:v>133</c:v>
                </c:pt>
                <c:pt idx="1">
                  <c:v>43</c:v>
                </c:pt>
                <c:pt idx="2">
                  <c:v>1</c:v>
                </c:pt>
                <c:pt idx="3">
                  <c:v>5</c:v>
                </c:pt>
                <c:pt idx="4">
                  <c:v>2</c:v>
                </c:pt>
                <c:pt idx="5">
                  <c:v>15</c:v>
                </c:pt>
                <c:pt idx="6">
                  <c:v>0</c:v>
                </c:pt>
                <c:pt idx="7">
                  <c:v>2</c:v>
                </c:pt>
                <c:pt idx="8">
                  <c:v>0</c:v>
                </c:pt>
                <c:pt idx="9">
                  <c:v>4</c:v>
                </c:pt>
                <c:pt idx="10">
                  <c:v>0</c:v>
                </c:pt>
                <c:pt idx="11">
                  <c:v>0</c:v>
                </c:pt>
                <c:pt idx="12">
                  <c:v>0</c:v>
                </c:pt>
                <c:pt idx="13">
                  <c:v>1</c:v>
                </c:pt>
                <c:pt idx="14">
                  <c:v>0</c:v>
                </c:pt>
                <c:pt idx="15">
                  <c:v>1</c:v>
                </c:pt>
                <c:pt idx="16">
                  <c:v>32</c:v>
                </c:pt>
                <c:pt idx="17">
                  <c:v>39</c:v>
                </c:pt>
                <c:pt idx="18">
                  <c:v>4</c:v>
                </c:pt>
                <c:pt idx="19">
                  <c:v>3</c:v>
                </c:pt>
                <c:pt idx="20">
                  <c:v>2</c:v>
                </c:pt>
                <c:pt idx="21">
                  <c:v>0</c:v>
                </c:pt>
                <c:pt idx="22">
                  <c:v>10</c:v>
                </c:pt>
                <c:pt idx="23">
                  <c:v>768</c:v>
                </c:pt>
              </c:numCache>
            </c:numRef>
          </c:val>
          <c:extLst>
            <c:ext xmlns:c16="http://schemas.microsoft.com/office/drawing/2014/chart" uri="{C3380CC4-5D6E-409C-BE32-E72D297353CC}">
              <c16:uniqueId val="{00000000-CAB8-47CC-882F-84106BA9C8A7}"/>
            </c:ext>
          </c:extLst>
        </c:ser>
        <c:dLbls>
          <c:showLegendKey val="0"/>
          <c:showVal val="0"/>
          <c:showCatName val="1"/>
          <c:showSerName val="0"/>
          <c:showPercent val="1"/>
          <c:showBubbleSize val="0"/>
        </c:dLbls>
        <c:gapWidth val="115"/>
        <c:overlap val="-20"/>
        <c:axId val="-1034920000"/>
        <c:axId val="-1034922176"/>
      </c:barChart>
      <c:catAx>
        <c:axId val="-1034920000"/>
        <c:scaling>
          <c:orientation val="minMax"/>
        </c:scaling>
        <c:delete val="0"/>
        <c:axPos val="r"/>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922176"/>
        <c:crosses val="autoZero"/>
        <c:auto val="1"/>
        <c:lblAlgn val="ctr"/>
        <c:lblOffset val="100"/>
        <c:noMultiLvlLbl val="0"/>
      </c:catAx>
      <c:valAx>
        <c:axId val="-1034922176"/>
        <c:scaling>
          <c:orientation val="maxMin"/>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one"/>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920000"/>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7620</xdr:colOff>
      <xdr:row>1</xdr:row>
      <xdr:rowOff>15240</xdr:rowOff>
    </xdr:from>
    <xdr:to>
      <xdr:col>11</xdr:col>
      <xdr:colOff>205740</xdr:colOff>
      <xdr:row>26</xdr:row>
      <xdr:rowOff>38100</xdr:rowOff>
    </xdr:to>
    <xdr:graphicFrame macro="">
      <xdr:nvGraphicFramePr>
        <xdr:cNvPr id="3" name="Chart 2">
          <a:extLst>
            <a:ext uri="{FF2B5EF4-FFF2-40B4-BE49-F238E27FC236}">
              <a16:creationId xmlns:a16="http://schemas.microsoft.com/office/drawing/2014/main" id="{89BF4665-92F6-4A9E-9920-FABF9E23E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434340</xdr:colOff>
      <xdr:row>1</xdr:row>
      <xdr:rowOff>30480</xdr:rowOff>
    </xdr:from>
    <xdr:to>
      <xdr:col>19</xdr:col>
      <xdr:colOff>15240</xdr:colOff>
      <xdr:row>26</xdr:row>
      <xdr:rowOff>22860</xdr:rowOff>
    </xdr:to>
    <xdr:graphicFrame macro="">
      <xdr:nvGraphicFramePr>
        <xdr:cNvPr id="4" name="Chart 3">
          <a:extLst>
            <a:ext uri="{FF2B5EF4-FFF2-40B4-BE49-F238E27FC236}">
              <a16:creationId xmlns:a16="http://schemas.microsoft.com/office/drawing/2014/main" id="{A8FB324F-F4F8-4CF5-905D-80C2C7EBD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3:C23" totalsRowShown="0" headerRowDxfId="8" dataDxfId="6" headerRowBorderDxfId="7" tableBorderDxfId="5" totalsRowBorderDxfId="4">
  <autoFilter ref="A3:C23" xr:uid="{00000000-0009-0000-0100-000002000000}"/>
  <tableColumns count="3">
    <tableColumn id="1" xr3:uid="{00000000-0010-0000-0000-000001000000}" name="Action" dataDxfId="3"/>
    <tableColumn id="2" xr3:uid="{00000000-0010-0000-0000-000002000000}" name="Note" dataDxfId="2"/>
    <tableColumn id="3" xr3:uid="{00000000-0010-0000-0000-000003000000}" name="What we need from you/Reason"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E1:E8" totalsRowShown="0" headerRowDxfId="0">
  <autoFilter ref="E1:E8" xr:uid="{00000000-0009-0000-0100-000003000000}"/>
  <tableColumns count="1">
    <tableColumn id="1" xr3:uid="{00000000-0010-0000-0100-000001000000}" name="CLAIM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2:I26" totalsRowShown="0">
  <autoFilter ref="A2:I26" xr:uid="{00000000-0009-0000-0100-000001000000}"/>
  <tableColumns count="9">
    <tableColumn id="1" xr3:uid="{00000000-0010-0000-0200-000001000000}" name="Select Status"/>
    <tableColumn id="2" xr3:uid="{00000000-0010-0000-0200-000002000000}" name="Action"/>
    <tableColumn id="8" xr3:uid="{00000000-0010-0000-0200-000008000000}" name="Note"/>
    <tableColumn id="3" xr3:uid="{00000000-0010-0000-0200-000003000000}" name="Q1"/>
    <tableColumn id="4" xr3:uid="{00000000-0010-0000-0200-000004000000}" name="Q2"/>
    <tableColumn id="5" xr3:uid="{00000000-0010-0000-0200-000005000000}" name="Q3"/>
    <tableColumn id="6" xr3:uid="{00000000-0010-0000-0200-000006000000}" name="Q4"/>
    <tableColumn id="7" xr3:uid="{00000000-0010-0000-0200-000007000000}" name="Q5"/>
    <tableColumn id="9" xr3:uid="{00000000-0010-0000-0200-000009000000}" name="Additional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27"/>
  <sheetViews>
    <sheetView topLeftCell="A2" zoomScale="70" zoomScaleNormal="70" workbookViewId="0">
      <selection activeCell="E32" sqref="E32"/>
    </sheetView>
  </sheetViews>
  <sheetFormatPr defaultColWidth="9.140625" defaultRowHeight="15" x14ac:dyDescent="0.25"/>
  <cols>
    <col min="1" max="1" width="27" style="19" customWidth="1"/>
    <col min="2" max="2" width="14.85546875" style="53" customWidth="1"/>
    <col min="3" max="3" width="14.7109375" style="19" customWidth="1"/>
    <col min="4" max="4" width="12.28515625" style="19" customWidth="1"/>
    <col min="5" max="16384" width="9.140625" style="19"/>
  </cols>
  <sheetData>
    <row r="1" spans="1:3" ht="26.25" x14ac:dyDescent="0.4">
      <c r="A1" s="129" t="s">
        <v>123</v>
      </c>
      <c r="B1" s="129"/>
      <c r="C1" s="129"/>
    </row>
    <row r="2" spans="1:3" x14ac:dyDescent="0.25">
      <c r="A2" s="45" t="s">
        <v>3</v>
      </c>
      <c r="B2" s="46" t="s">
        <v>132</v>
      </c>
      <c r="C2" s="45" t="s">
        <v>133</v>
      </c>
    </row>
    <row r="3" spans="1:3" x14ac:dyDescent="0.25">
      <c r="A3" s="47" t="s">
        <v>124</v>
      </c>
      <c r="B3" s="48">
        <f>SUMIFS('Level 1'!J5:J1200, 'Level 1'!M5:M1200,Table1[[#This Row],[Select Status]])</f>
        <v>62214.800000000039</v>
      </c>
      <c r="C3" s="49">
        <f>COUNTIFS('Level 1'!M5:M1200,Table1[[#This Row],[Select Status]])</f>
        <v>133</v>
      </c>
    </row>
    <row r="4" spans="1:3" x14ac:dyDescent="0.25">
      <c r="A4" s="47" t="s">
        <v>125</v>
      </c>
      <c r="B4" s="48">
        <f>SUMIFS('Level 1'!J5:J1200, 'Level 1'!M5:M1200,Table1[[#This Row],[Select Status]])</f>
        <v>19769.599999999999</v>
      </c>
      <c r="C4" s="49">
        <f>COUNTIFS('Level 1'!M5:M1200,Table1[[#This Row],[Select Status]])</f>
        <v>43</v>
      </c>
    </row>
    <row r="5" spans="1:3" x14ac:dyDescent="0.25">
      <c r="A5" s="47" t="s">
        <v>126</v>
      </c>
      <c r="B5" s="48">
        <f>SUMIFS('Level 1'!J5:J1200, 'Level 1'!M5:M1200,Table1[[#This Row],[Select Status]])</f>
        <v>88.8</v>
      </c>
      <c r="C5" s="49">
        <f>COUNTIFS('Level 1'!M5:M1200,Table1[[#This Row],[Select Status]])</f>
        <v>1</v>
      </c>
    </row>
    <row r="6" spans="1:3" x14ac:dyDescent="0.25">
      <c r="A6" s="47" t="s">
        <v>127</v>
      </c>
      <c r="B6" s="48">
        <f>SUMIFS('Level 1'!J5:J1200, 'Level 1'!M5:M1200,Table1[[#This Row],[Select Status]])</f>
        <v>670.4</v>
      </c>
      <c r="C6" s="49">
        <f>COUNTIFS('Level 1'!M5:M1200,Table1[[#This Row],[Select Status]])</f>
        <v>5</v>
      </c>
    </row>
    <row r="7" spans="1:3" x14ac:dyDescent="0.25">
      <c r="A7" s="47" t="s">
        <v>128</v>
      </c>
      <c r="B7" s="48">
        <f>SUMIFS('Level 1'!J5:J1200, 'Level 1'!M5:M1200,Table1[[#This Row],[Select Status]])</f>
        <v>288.8</v>
      </c>
      <c r="C7" s="49">
        <f>COUNTIFS('Level 1'!M5:M1200,Table1[[#This Row],[Select Status]])</f>
        <v>2</v>
      </c>
    </row>
    <row r="8" spans="1:3" x14ac:dyDescent="0.25">
      <c r="A8" s="47" t="s">
        <v>129</v>
      </c>
      <c r="B8" s="48">
        <f>SUMIFS('Level 1'!J5:J1200, 'Level 1'!M5:M1200,Table1[[#This Row],[Select Status]])</f>
        <v>5719.5999999999995</v>
      </c>
      <c r="C8" s="49">
        <f>COUNTIFS('Level 1'!M5:M1200,Table1[[#This Row],[Select Status]])</f>
        <v>15</v>
      </c>
    </row>
    <row r="9" spans="1:3" x14ac:dyDescent="0.25">
      <c r="A9" s="47" t="s">
        <v>130</v>
      </c>
      <c r="B9" s="48">
        <f>SUMIFS('Level 1'!J5:J1200, 'Level 1'!M5:M1200,Table1[[#This Row],[Select Status]])</f>
        <v>0</v>
      </c>
      <c r="C9" s="49">
        <f>COUNTIFS('Level 1'!M5:M1200,Table1[[#This Row],[Select Status]])</f>
        <v>0</v>
      </c>
    </row>
    <row r="10" spans="1:3" x14ac:dyDescent="0.25">
      <c r="A10" s="47" t="s">
        <v>131</v>
      </c>
      <c r="B10" s="48">
        <f>SUMIFS('Level 1'!J5:J1200, 'Level 1'!M5:M1200,Table1[[#This Row],[Select Status]])</f>
        <v>81.2</v>
      </c>
      <c r="C10" s="49">
        <f>COUNTIFS('Level 1'!M5:M1200,Table1[[#This Row],[Select Status]])</f>
        <v>2</v>
      </c>
    </row>
    <row r="11" spans="1:3" x14ac:dyDescent="0.25">
      <c r="A11" s="47" t="s">
        <v>134</v>
      </c>
      <c r="B11" s="48">
        <f>SUMIFS('Level 1'!J5:J1200, 'Level 1'!M5:M1200,Table1[[#This Row],[Select Status]])</f>
        <v>0</v>
      </c>
      <c r="C11" s="49">
        <f>COUNTIFS('Level 1'!M5:M1200,Table1[[#This Row],[Select Status]])</f>
        <v>0</v>
      </c>
    </row>
    <row r="12" spans="1:3" x14ac:dyDescent="0.25">
      <c r="A12" s="47" t="s">
        <v>135</v>
      </c>
      <c r="B12" s="48">
        <f>SUMIFS('Level 1'!J5:J1200, 'Level 1'!M5:M1200,Table1[[#This Row],[Select Status]])</f>
        <v>1114</v>
      </c>
      <c r="C12" s="49">
        <f>COUNTIFS('Level 1'!M5:M1200,Table1[[#This Row],[Select Status]])</f>
        <v>4</v>
      </c>
    </row>
    <row r="13" spans="1:3" x14ac:dyDescent="0.25">
      <c r="A13" s="47" t="s">
        <v>136</v>
      </c>
      <c r="B13" s="48">
        <f>SUMIFS('Level 1'!J5:J1200, 'Level 1'!M5:M1200,Table1[[#This Row],[Select Status]])</f>
        <v>0</v>
      </c>
      <c r="C13" s="49">
        <f>COUNTIFS('Level 1'!M5:M1200,Table1[[#This Row],[Select Status]])</f>
        <v>0</v>
      </c>
    </row>
    <row r="14" spans="1:3" x14ac:dyDescent="0.25">
      <c r="A14" s="47" t="s">
        <v>137</v>
      </c>
      <c r="B14" s="48">
        <f>SUMIFS('Level 1'!J5:J1200, 'Level 1'!M5:M1200,Table1[[#This Row],[Select Status]])</f>
        <v>0</v>
      </c>
      <c r="C14" s="49">
        <f>COUNTIFS('Level 1'!M5:M1200,Table1[[#This Row],[Select Status]])</f>
        <v>0</v>
      </c>
    </row>
    <row r="15" spans="1:3" x14ac:dyDescent="0.25">
      <c r="A15" s="47" t="s">
        <v>138</v>
      </c>
      <c r="B15" s="48">
        <f>SUMIFS('Level 1'!J5:J1200, 'Level 1'!M5:M1200,Table1[[#This Row],[Select Status]])</f>
        <v>0</v>
      </c>
      <c r="C15" s="49">
        <f>COUNTIFS('Level 1'!M5:M1200,Table1[[#This Row],[Select Status]])</f>
        <v>0</v>
      </c>
    </row>
    <row r="16" spans="1:3" x14ac:dyDescent="0.25">
      <c r="A16" s="47" t="s">
        <v>139</v>
      </c>
      <c r="B16" s="48">
        <f>SUMIFS('Level 1'!J5:J1200, 'Level 1'!M5:M1200,Table1[[#This Row],[Select Status]])</f>
        <v>1515.6</v>
      </c>
      <c r="C16" s="49">
        <f>COUNTIFS('Level 1'!M5:M1200,Table1[[#This Row],[Select Status]])</f>
        <v>1</v>
      </c>
    </row>
    <row r="17" spans="1:3" x14ac:dyDescent="0.25">
      <c r="A17" s="47" t="s">
        <v>140</v>
      </c>
      <c r="B17" s="48">
        <f>SUMIFS('Level 1'!J5:J1200, 'Level 1'!M5:M1200,Table1[[#This Row],[Select Status]])</f>
        <v>0</v>
      </c>
      <c r="C17" s="49">
        <f>COUNTIFS('Level 1'!M5:M1200,Table1[[#This Row],[Select Status]])</f>
        <v>0</v>
      </c>
    </row>
    <row r="18" spans="1:3" x14ac:dyDescent="0.25">
      <c r="A18" s="47" t="s">
        <v>141</v>
      </c>
      <c r="B18" s="48">
        <f>SUMIFS('Level 1'!J5:J1200, 'Level 1'!M5:M1200,Table1[[#This Row],[Select Status]])</f>
        <v>2794.8</v>
      </c>
      <c r="C18" s="49">
        <f>COUNTIFS('Level 1'!M5:M1200,Table1[[#This Row],[Select Status]])</f>
        <v>1</v>
      </c>
    </row>
    <row r="19" spans="1:3" x14ac:dyDescent="0.25">
      <c r="A19" s="47" t="s">
        <v>142</v>
      </c>
      <c r="B19" s="48">
        <f>SUMIFS('Level 1'!J5:J1200, 'Level 1'!M5:M1200,Table1[[#This Row],[Select Status]])</f>
        <v>13999.200000000003</v>
      </c>
      <c r="C19" s="49">
        <f>COUNTIFS('Level 1'!M5:M1200,Table1[[#This Row],[Select Status]])</f>
        <v>32</v>
      </c>
    </row>
    <row r="20" spans="1:3" x14ac:dyDescent="0.25">
      <c r="A20" s="47" t="s">
        <v>143</v>
      </c>
      <c r="B20" s="48">
        <f>SUMIFS('Level 1'!J5:J1200, 'Level 1'!M5:M1200,Table1[[#This Row],[Select Status]])</f>
        <v>16996.400000000001</v>
      </c>
      <c r="C20" s="49">
        <f>COUNTIFS('Level 1'!M5:M1200,Table1[[#This Row],[Select Status]])</f>
        <v>39</v>
      </c>
    </row>
    <row r="21" spans="1:3" x14ac:dyDescent="0.25">
      <c r="A21" s="47" t="s">
        <v>122</v>
      </c>
      <c r="B21" s="48">
        <f>SUMIFS('Level 1'!J5:J1200, 'Level 1'!M5:M1200,Table1[[#This Row],[Select Status]])</f>
        <v>4389.6000000000004</v>
      </c>
      <c r="C21" s="49">
        <f>COUNTIFS('Level 1'!M5:M1200,Table1[[#This Row],[Select Status]])</f>
        <v>4</v>
      </c>
    </row>
    <row r="22" spans="1:3" x14ac:dyDescent="0.25">
      <c r="A22" s="47" t="s">
        <v>196</v>
      </c>
      <c r="B22" s="48">
        <f>SUMIFS('Level 1'!J5:J1200, 'Level 1'!M5:M1200,Table1[[#This Row],[Select Status]])</f>
        <v>991.2</v>
      </c>
      <c r="C22" s="49">
        <f>COUNTIFS('Level 1'!M5:M1200,Table1[[#This Row],[Select Status]])</f>
        <v>3</v>
      </c>
    </row>
    <row r="23" spans="1:3" x14ac:dyDescent="0.25">
      <c r="A23" s="47" t="s">
        <v>197</v>
      </c>
      <c r="B23" s="48">
        <f>SUMIFS('Level 1'!J5:J1200, 'Level 1'!M5:M1200,Table1[[#This Row],[Select Status]])</f>
        <v>332.4</v>
      </c>
      <c r="C23" s="49">
        <f>COUNTIFS('Level 1'!M5:M1200,Table1[[#This Row],[Select Status]])</f>
        <v>2</v>
      </c>
    </row>
    <row r="24" spans="1:3" x14ac:dyDescent="0.25">
      <c r="A24" s="47" t="s">
        <v>198</v>
      </c>
      <c r="B24" s="48">
        <f>SUMIFS('Level 1'!J5:J1200, 'Level 1'!M5:M1200,Table1[[#This Row],[Select Status]])</f>
        <v>0</v>
      </c>
      <c r="C24" s="49">
        <f>COUNTIFS('Level 1'!M5:M1200,Table1[[#This Row],[Select Status]])</f>
        <v>0</v>
      </c>
    </row>
    <row r="25" spans="1:3" x14ac:dyDescent="0.25">
      <c r="A25" s="47" t="s">
        <v>203</v>
      </c>
      <c r="B25" s="48">
        <f>SUMIFS('Level 1'!J5:J1200, 'Level 1'!M5:M1200,Table1[[#This Row],[Select Status]])</f>
        <v>4026.7999999999997</v>
      </c>
      <c r="C25" s="49">
        <f>COUNTIFS('Level 1'!M6:M1201,Table1[[#This Row],[Select Status]])</f>
        <v>10</v>
      </c>
    </row>
    <row r="26" spans="1:3" x14ac:dyDescent="0.25">
      <c r="A26" s="47" t="s">
        <v>121</v>
      </c>
      <c r="B26" s="48">
        <f>'Level 1'!G3</f>
        <v>311311.80000000045</v>
      </c>
      <c r="C26" s="49">
        <f>'Level 1'!H3</f>
        <v>768</v>
      </c>
    </row>
    <row r="27" spans="1:3" x14ac:dyDescent="0.25">
      <c r="A27" s="50" t="s">
        <v>111</v>
      </c>
      <c r="B27" s="51">
        <f>SUM(B3:B26)</f>
        <v>446305.00000000047</v>
      </c>
      <c r="C27" s="52">
        <f>SUM(C3:C26)</f>
        <v>1065</v>
      </c>
    </row>
  </sheetData>
  <sheetProtection algorithmName="SHA-512" hashValue="0BPNo8uT3y+oew9GLoCeMWnz0muXmu/1PLcGv0jDnlyJ96jZGBAD+XOLN7pg74BFdgsLAdmiHpaiDpD+RLjaBg==" saltValue="f+R1sJQkHNtjccxo0vA4Pg==" spinCount="100000" sheet="1" objects="1" scenarios="1"/>
  <mergeCells count="1">
    <mergeCell ref="A1:C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filterMode="1">
    <pageSetUpPr fitToPage="1"/>
  </sheetPr>
  <dimension ref="A1:AP1217"/>
  <sheetViews>
    <sheetView tabSelected="1" zoomScale="70" zoomScaleNormal="70" workbookViewId="0">
      <pane xSplit="8" ySplit="4" topLeftCell="I5" activePane="bottomRight" state="frozen"/>
      <selection pane="topRight" activeCell="H1" sqref="H1"/>
      <selection pane="bottomLeft" activeCell="A5" sqref="A5"/>
      <selection pane="bottomRight" activeCell="F31" sqref="F31"/>
    </sheetView>
  </sheetViews>
  <sheetFormatPr defaultColWidth="0" defaultRowHeight="15" x14ac:dyDescent="0.25"/>
  <cols>
    <col min="1" max="1" width="18.140625" style="19" customWidth="1"/>
    <col min="2" max="2" width="14.85546875" style="19" customWidth="1"/>
    <col min="3" max="3" width="21.5703125" style="19" customWidth="1"/>
    <col min="4" max="4" width="18.7109375" style="19" bestFit="1" customWidth="1"/>
    <col min="5" max="5" width="18.7109375" style="19" customWidth="1"/>
    <col min="6" max="6" width="20.85546875" style="19" customWidth="1"/>
    <col min="7" max="7" width="20.7109375" style="19" customWidth="1"/>
    <col min="8" max="9" width="17.5703125" style="19" customWidth="1"/>
    <col min="10" max="10" width="14.5703125" style="19" bestFit="1" customWidth="1"/>
    <col min="11" max="11" width="8.7109375" style="19" customWidth="1"/>
    <col min="12" max="12" width="14" style="19" customWidth="1"/>
    <col min="13" max="13" width="23.85546875" style="33" customWidth="1"/>
    <col min="14" max="14" width="39.7109375" style="19" customWidth="1"/>
    <col min="15" max="15" width="17.28515625" style="23" customWidth="1"/>
    <col min="16" max="16" width="16.28515625" style="30" customWidth="1"/>
    <col min="17" max="17" width="16.28515625" style="23" customWidth="1"/>
    <col min="18" max="18" width="14.28515625" style="30" customWidth="1"/>
    <col min="19" max="19" width="13" style="23" customWidth="1"/>
    <col min="20" max="20" width="10.85546875" style="30" customWidth="1"/>
    <col min="21" max="21" width="10.85546875" style="23" customWidth="1"/>
    <col min="22" max="22" width="13.140625" style="30" customWidth="1"/>
    <col min="23" max="23" width="10.85546875" style="23" customWidth="1"/>
    <col min="24" max="24" width="10.85546875" style="30" customWidth="1"/>
    <col min="25" max="25" width="30.28515625" style="19" customWidth="1"/>
    <col min="26" max="26" width="23.140625" style="19" bestFit="1" customWidth="1"/>
    <col min="27" max="27" width="30.28515625" style="33" customWidth="1"/>
    <col min="28" max="28" width="20.140625" style="33" customWidth="1"/>
    <col min="29" max="30" width="18.5703125" style="33" customWidth="1"/>
    <col min="31" max="31" width="15.85546875" style="31" customWidth="1"/>
    <col min="32" max="32" width="17.85546875" style="31" bestFit="1" customWidth="1"/>
    <col min="33" max="33" width="25.42578125" style="31" customWidth="1"/>
    <col min="34" max="34" width="9.140625" style="19" hidden="1" customWidth="1"/>
    <col min="35" max="42" width="0" style="19" hidden="1" customWidth="1"/>
    <col min="43" max="16384" width="9.140625" style="19" hidden="1"/>
  </cols>
  <sheetData>
    <row r="1" spans="1:37" ht="25.9" customHeight="1" x14ac:dyDescent="0.5">
      <c r="A1" s="130" t="s">
        <v>147</v>
      </c>
      <c r="B1" s="130"/>
      <c r="C1" s="27"/>
      <c r="D1" s="26"/>
      <c r="E1" s="26"/>
      <c r="F1" s="29" t="s">
        <v>120</v>
      </c>
      <c r="G1" s="69">
        <f>SUM(J5:J1200)</f>
        <v>440954.6000000005</v>
      </c>
      <c r="H1" s="65">
        <f>COUNTIF(A5:A1200,"*")</f>
        <v>1048</v>
      </c>
      <c r="I1" s="65" t="s">
        <v>119</v>
      </c>
      <c r="J1" s="73"/>
      <c r="N1" s="28"/>
      <c r="T1" s="23"/>
      <c r="V1" s="23"/>
      <c r="X1" s="23"/>
      <c r="Y1" s="22"/>
      <c r="Z1" s="22"/>
      <c r="AA1" s="22"/>
      <c r="AB1" s="22"/>
      <c r="AC1" s="22"/>
      <c r="AD1" s="22"/>
      <c r="AE1" s="61"/>
      <c r="AF1" s="61"/>
      <c r="AG1" s="61"/>
    </row>
    <row r="2" spans="1:37" ht="31.5" customHeight="1" x14ac:dyDescent="0.35">
      <c r="A2" s="133" t="s">
        <v>146</v>
      </c>
      <c r="B2" s="134"/>
      <c r="C2" s="99" t="s">
        <v>3693</v>
      </c>
      <c r="D2" s="86"/>
      <c r="E2" s="86"/>
      <c r="F2" s="32" t="s">
        <v>116</v>
      </c>
      <c r="G2" s="70">
        <f>SUM('Summary '!B3:B21)</f>
        <v>129642.80000000005</v>
      </c>
      <c r="H2" s="66">
        <f>COUNTIF(AG5:AG1200,"Follow-Up Complete")</f>
        <v>280</v>
      </c>
      <c r="I2" s="66" t="s">
        <v>119</v>
      </c>
      <c r="J2" s="74"/>
      <c r="N2" s="28"/>
      <c r="T2" s="23"/>
      <c r="V2" s="23"/>
      <c r="X2" s="23"/>
      <c r="Y2" s="22"/>
      <c r="Z2" s="22"/>
      <c r="AA2" s="22"/>
      <c r="AB2" s="22"/>
      <c r="AC2" s="22"/>
      <c r="AD2" s="22"/>
      <c r="AE2" s="61"/>
      <c r="AF2" s="61"/>
      <c r="AG2" s="61"/>
    </row>
    <row r="3" spans="1:37" ht="28.9" customHeight="1" x14ac:dyDescent="0.45">
      <c r="A3" s="131" t="s">
        <v>183</v>
      </c>
      <c r="B3" s="132"/>
      <c r="C3" s="85">
        <v>44670</v>
      </c>
      <c r="D3" s="87"/>
      <c r="E3" s="87"/>
      <c r="F3" s="34" t="s">
        <v>117</v>
      </c>
      <c r="G3" s="71">
        <f>SUM(G1-G2)</f>
        <v>311311.80000000045</v>
      </c>
      <c r="H3" s="67">
        <f>SUM(H1-H2)</f>
        <v>768</v>
      </c>
      <c r="I3" s="67" t="s">
        <v>119</v>
      </c>
      <c r="J3" s="64"/>
      <c r="K3" s="64"/>
      <c r="L3" s="64"/>
      <c r="M3" s="64"/>
      <c r="T3" s="23"/>
      <c r="V3" s="23"/>
      <c r="X3" s="23"/>
      <c r="AA3" s="19"/>
      <c r="AB3" s="19"/>
      <c r="AC3" s="19"/>
      <c r="AD3" s="19"/>
      <c r="AE3" s="62" t="s">
        <v>144</v>
      </c>
      <c r="AF3" s="61"/>
      <c r="AG3" s="61"/>
    </row>
    <row r="4" spans="1:37" s="24" customFormat="1" ht="21" customHeight="1" x14ac:dyDescent="0.3">
      <c r="A4" s="35" t="s">
        <v>64</v>
      </c>
      <c r="B4" s="35" t="s">
        <v>67</v>
      </c>
      <c r="C4" s="35" t="s">
        <v>65</v>
      </c>
      <c r="D4" s="35" t="s">
        <v>66</v>
      </c>
      <c r="E4" s="35" t="s">
        <v>208</v>
      </c>
      <c r="F4" s="35" t="s">
        <v>22</v>
      </c>
      <c r="G4" s="35" t="s">
        <v>68</v>
      </c>
      <c r="H4" s="35" t="s">
        <v>63</v>
      </c>
      <c r="I4" s="35" t="s">
        <v>21</v>
      </c>
      <c r="J4" s="35" t="s">
        <v>23</v>
      </c>
      <c r="K4" s="36" t="s">
        <v>118</v>
      </c>
      <c r="L4" s="36" t="s">
        <v>209</v>
      </c>
      <c r="M4" s="20" t="s">
        <v>0</v>
      </c>
      <c r="N4" s="20" t="s">
        <v>51</v>
      </c>
      <c r="O4" s="20" t="s">
        <v>38</v>
      </c>
      <c r="P4" s="21"/>
      <c r="Q4" s="20" t="s">
        <v>33</v>
      </c>
      <c r="R4" s="20"/>
      <c r="S4" s="20" t="s">
        <v>34</v>
      </c>
      <c r="T4" s="21"/>
      <c r="U4" s="20" t="s">
        <v>35</v>
      </c>
      <c r="V4" s="20"/>
      <c r="W4" s="20" t="s">
        <v>36</v>
      </c>
      <c r="X4" s="21"/>
      <c r="Y4" s="20" t="s">
        <v>1</v>
      </c>
      <c r="Z4" s="20" t="s">
        <v>94</v>
      </c>
      <c r="AA4" s="20"/>
      <c r="AB4" s="20" t="s">
        <v>189</v>
      </c>
      <c r="AC4" s="20" t="s">
        <v>184</v>
      </c>
      <c r="AD4" s="20" t="s">
        <v>188</v>
      </c>
      <c r="AE4" s="21" t="s">
        <v>2</v>
      </c>
      <c r="AF4" s="20" t="s">
        <v>190</v>
      </c>
      <c r="AG4" s="20" t="s">
        <v>93</v>
      </c>
    </row>
    <row r="5" spans="1:37" ht="21" hidden="1" x14ac:dyDescent="0.55000000000000004">
      <c r="A5" s="44" t="str">
        <f>Data!K4</f>
        <v>Aetna</v>
      </c>
      <c r="B5" s="44" t="str">
        <f>Data!L4</f>
        <v>8004517715</v>
      </c>
      <c r="C5" s="44" t="str">
        <f>Data!D4</f>
        <v>Passehl , Kayla</v>
      </c>
      <c r="D5" s="82" t="str">
        <f>Data!F4</f>
        <v>W237205096</v>
      </c>
      <c r="E5" s="82" t="str">
        <f>Data!B4</f>
        <v>9200</v>
      </c>
      <c r="F5" s="44" t="str">
        <f>Data!A4</f>
        <v>Passehl , Kayla</v>
      </c>
      <c r="G5" s="55" t="str">
        <f>Data!C4</f>
        <v>7/30/1991</v>
      </c>
      <c r="H5" s="56">
        <f>Data!H4</f>
        <v>44635</v>
      </c>
      <c r="I5" s="56" t="str">
        <f>Data!I4</f>
        <v>3/24/2022</v>
      </c>
      <c r="J5" s="57">
        <f>Data!J4</f>
        <v>292.39999999999998</v>
      </c>
      <c r="K5" s="58">
        <f ca="1">TODAY()-I5</f>
        <v>56</v>
      </c>
      <c r="L5" s="58">
        <f>Data!M4</f>
        <v>0</v>
      </c>
      <c r="M5" s="37" t="s">
        <v>26</v>
      </c>
      <c r="N5" s="43" t="str">
        <f>VLOOKUP(M5,Table1[#All],3,FALSE)</f>
        <v>Note</v>
      </c>
      <c r="O5" s="40" t="str">
        <f>VLOOKUP(M5,Table1[#All],4,FALSE)</f>
        <v>Q1</v>
      </c>
      <c r="P5" s="38"/>
      <c r="Q5" s="40" t="str">
        <f>VLOOKUP(M5,Table1[#All],5,FALSE)</f>
        <v>Q2</v>
      </c>
      <c r="R5" s="78"/>
      <c r="S5" s="40" t="str">
        <f>VLOOKUP(M5,Table1[#All],6,FALSE)</f>
        <v>Q3</v>
      </c>
      <c r="T5" s="78"/>
      <c r="U5" s="40" t="str">
        <f>VLOOKUP(M5,Table1[#All],7,FALSE)</f>
        <v>Q4</v>
      </c>
      <c r="V5" s="78"/>
      <c r="W5" s="40" t="str">
        <f>VLOOKUP(M5,Table1[#All],8,FALSE)</f>
        <v>Q5</v>
      </c>
      <c r="X5" s="78"/>
      <c r="Y5" s="44" t="str">
        <f>VLOOKUP(M5,Table1[#All],2,FALSE)</f>
        <v>Action</v>
      </c>
      <c r="Z5" s="59" t="str">
        <f>VLOOKUP(M5,Table1[#All],9,FALSE)</f>
        <v>Additional Notes:</v>
      </c>
      <c r="AA5" s="76"/>
      <c r="AB5" s="76"/>
      <c r="AC5" s="90" t="s">
        <v>91</v>
      </c>
      <c r="AD5" s="76" t="s">
        <v>91</v>
      </c>
      <c r="AE5" s="77"/>
      <c r="AF5" s="110"/>
      <c r="AG5" s="41" t="s">
        <v>91</v>
      </c>
      <c r="AH5" s="25"/>
      <c r="AI5" s="25"/>
      <c r="AJ5" s="42"/>
    </row>
    <row r="6" spans="1:37" ht="21" hidden="1" x14ac:dyDescent="0.55000000000000004">
      <c r="A6" s="44" t="str">
        <f>Data!K5</f>
        <v>Ameritas</v>
      </c>
      <c r="B6" s="44" t="str">
        <f>Data!L5</f>
        <v>8006592223</v>
      </c>
      <c r="C6" s="44" t="str">
        <f>Data!D5</f>
        <v xml:space="preserve">Brown, Isabella </v>
      </c>
      <c r="D6" s="82" t="str">
        <f>Data!F5</f>
        <v>016776290</v>
      </c>
      <c r="E6" s="82" t="str">
        <f>Data!B5</f>
        <v>7412</v>
      </c>
      <c r="F6" s="44" t="str">
        <f>Data!A5</f>
        <v xml:space="preserve">Brown, Isabella </v>
      </c>
      <c r="G6" s="55" t="str">
        <f>Data!C5</f>
        <v>3/15/1962</v>
      </c>
      <c r="H6" s="56">
        <f>Data!H5</f>
        <v>44470</v>
      </c>
      <c r="I6" s="56" t="str">
        <f>Data!I5</f>
        <v>10/7/2021</v>
      </c>
      <c r="J6" s="57">
        <f>Data!J5</f>
        <v>1036.8</v>
      </c>
      <c r="K6" s="58">
        <f t="shared" ref="K6:K69" ca="1" si="0">TODAY()-I6</f>
        <v>224</v>
      </c>
      <c r="L6" s="58">
        <f>Data!M5</f>
        <v>0</v>
      </c>
      <c r="M6" s="37" t="s">
        <v>7</v>
      </c>
      <c r="N6" s="43" t="str">
        <f>VLOOKUP(M6,Table1[#All],3,FALSE)</f>
        <v>Claim Paid by Check;</v>
      </c>
      <c r="O6" s="40" t="str">
        <f>VLOOKUP(M6,Table1[#All],4,FALSE)</f>
        <v>Issue Date:</v>
      </c>
      <c r="P6" s="111">
        <v>44484</v>
      </c>
      <c r="Q6" s="40" t="str">
        <f>VLOOKUP(M6,Table1[#All],5,FALSE)</f>
        <v>CHK#</v>
      </c>
      <c r="R6" s="78">
        <v>237237308</v>
      </c>
      <c r="S6" s="40" t="str">
        <f>VLOOKUP(M6,Table1[#All],6,FALSE)</f>
        <v>Bulk/Sep:</v>
      </c>
      <c r="T6" s="78" t="s">
        <v>3952</v>
      </c>
      <c r="U6" s="40" t="str">
        <f>VLOOKUP(M6,Table1[#All],7,FALSE)</f>
        <v>Call Ref#:</v>
      </c>
      <c r="V6" s="78">
        <v>2070</v>
      </c>
      <c r="W6" s="40" t="str">
        <f>VLOOKUP(M6,Table1[#All],8,FALSE)</f>
        <v>Cust Rep:</v>
      </c>
      <c r="X6" s="78" t="s">
        <v>3953</v>
      </c>
      <c r="Y6" s="44" t="str">
        <f>VLOOKUP(M6,Table1[#All],2,FALSE)</f>
        <v xml:space="preserve">Task Cashed Chk Queue </v>
      </c>
      <c r="Z6" s="59" t="str">
        <f>VLOOKUP(M6,Table1[#All],9,FALSE)</f>
        <v>Additional Notes:</v>
      </c>
      <c r="AA6" s="76" t="s">
        <v>3954</v>
      </c>
      <c r="AB6" s="76" t="s">
        <v>3762</v>
      </c>
      <c r="AC6" s="90" t="s">
        <v>115</v>
      </c>
      <c r="AD6" s="76" t="s">
        <v>177</v>
      </c>
      <c r="AE6" s="77" t="s">
        <v>3776</v>
      </c>
      <c r="AF6" s="110">
        <v>44627</v>
      </c>
      <c r="AG6" s="41" t="s">
        <v>101</v>
      </c>
      <c r="AH6" s="25"/>
      <c r="AI6" s="25"/>
      <c r="AJ6" s="25"/>
      <c r="AK6" s="42"/>
    </row>
    <row r="7" spans="1:37" ht="24.75" hidden="1" customHeight="1" x14ac:dyDescent="0.55000000000000004">
      <c r="A7" s="44" t="str">
        <f>Data!K6</f>
        <v>Anthem</v>
      </c>
      <c r="B7" s="44" t="str">
        <f>Data!L6</f>
        <v>8447291565</v>
      </c>
      <c r="C7" s="44" t="str">
        <f>Data!D6</f>
        <v>Thom, Keri</v>
      </c>
      <c r="D7" s="82" t="str">
        <f>Data!F6</f>
        <v>GQP130W03886</v>
      </c>
      <c r="E7" s="82" t="str">
        <f>Data!B6</f>
        <v>9330</v>
      </c>
      <c r="F7" s="44" t="str">
        <f>Data!A6</f>
        <v>Thom, Keri</v>
      </c>
      <c r="G7" s="55" t="str">
        <f>Data!C6</f>
        <v>8/14/2006</v>
      </c>
      <c r="H7" s="56">
        <f>Data!H6</f>
        <v>44642</v>
      </c>
      <c r="I7" s="56" t="str">
        <f>Data!I6</f>
        <v>3/25/2022</v>
      </c>
      <c r="J7" s="57">
        <f>Data!J6</f>
        <v>294.8</v>
      </c>
      <c r="K7" s="58">
        <f t="shared" ca="1" si="0"/>
        <v>55</v>
      </c>
      <c r="L7" s="58">
        <f>Data!M6</f>
        <v>0</v>
      </c>
      <c r="M7" s="37" t="s">
        <v>26</v>
      </c>
      <c r="N7" s="43" t="str">
        <f>VLOOKUP(M7,Table1[#All],3,FALSE)</f>
        <v>Note</v>
      </c>
      <c r="O7" s="40" t="str">
        <f>VLOOKUP(M7,Table1[#All],4,FALSE)</f>
        <v>Q1</v>
      </c>
      <c r="P7" s="39"/>
      <c r="Q7" s="40" t="str">
        <f>VLOOKUP(M7,Table1[#All],5,FALSE)</f>
        <v>Q2</v>
      </c>
      <c r="R7" s="78"/>
      <c r="S7" s="40" t="str">
        <f>VLOOKUP(M7,Table1[#All],6,FALSE)</f>
        <v>Q3</v>
      </c>
      <c r="T7" s="78"/>
      <c r="U7" s="40" t="str">
        <f>VLOOKUP(M7,Table1[#All],7,FALSE)</f>
        <v>Q4</v>
      </c>
      <c r="V7" s="78"/>
      <c r="W7" s="40" t="str">
        <f>VLOOKUP(M7,Table1[#All],8,FALSE)</f>
        <v>Q5</v>
      </c>
      <c r="X7" s="78"/>
      <c r="Y7" s="44" t="str">
        <f>VLOOKUP(M7,Table1[#All],2,FALSE)</f>
        <v>Action</v>
      </c>
      <c r="Z7" s="59" t="str">
        <f>VLOOKUP(M7,Table1[#All],9,FALSE)</f>
        <v>Additional Notes:</v>
      </c>
      <c r="AA7" s="76"/>
      <c r="AB7" s="76"/>
      <c r="AC7" s="90" t="s">
        <v>91</v>
      </c>
      <c r="AD7" s="76" t="s">
        <v>91</v>
      </c>
      <c r="AE7" s="77"/>
      <c r="AF7" s="110"/>
      <c r="AG7" s="41" t="s">
        <v>91</v>
      </c>
      <c r="AH7" s="25"/>
      <c r="AI7" s="25"/>
      <c r="AJ7" s="42"/>
    </row>
    <row r="8" spans="1:37" ht="42" hidden="1" x14ac:dyDescent="0.55000000000000004">
      <c r="A8" s="44" t="str">
        <f>Data!K7</f>
        <v>Anthem</v>
      </c>
      <c r="B8" s="44" t="str">
        <f>Data!L7</f>
        <v>8447291565</v>
      </c>
      <c r="C8" s="44" t="str">
        <f>Data!D7</f>
        <v>Wricks, Derrishia</v>
      </c>
      <c r="D8" s="82" t="str">
        <f>Data!F7</f>
        <v>201W03443</v>
      </c>
      <c r="E8" s="82" t="str">
        <f>Data!B7</f>
        <v>4527</v>
      </c>
      <c r="F8" s="44" t="str">
        <f>Data!A7</f>
        <v>Wricks, Derrishia</v>
      </c>
      <c r="G8" s="55" t="str">
        <f>Data!C7</f>
        <v>9/28/1993</v>
      </c>
      <c r="H8" s="56">
        <f>Data!H7</f>
        <v>44545</v>
      </c>
      <c r="I8" s="56" t="str">
        <f>Data!I7</f>
        <v>2/10/2022</v>
      </c>
      <c r="J8" s="57">
        <f>Data!J7</f>
        <v>266</v>
      </c>
      <c r="K8" s="58">
        <f t="shared" ca="1" si="0"/>
        <v>98</v>
      </c>
      <c r="L8" s="58">
        <f>Data!M7</f>
        <v>0</v>
      </c>
      <c r="M8" s="37" t="s">
        <v>30</v>
      </c>
      <c r="N8" s="43" t="str">
        <f>VLOOKUP(M8,Table1[#All],3,FALSE)</f>
        <v>Claim not on file. Patient is active ;</v>
      </c>
      <c r="O8" s="40" t="str">
        <f>VLOOKUP(M8,Table1[#All],4,FALSE)</f>
        <v>Payor ID &amp; Address:</v>
      </c>
      <c r="P8" s="39" t="s">
        <v>4185</v>
      </c>
      <c r="Q8" s="40" t="str">
        <f>VLOOKUP(M8,Table1[#All],5,FALSE)</f>
        <v>Fax # (If Fax Yes):</v>
      </c>
      <c r="R8" s="78"/>
      <c r="S8" s="40" t="str">
        <f>VLOOKUP(M8,Table1[#All],6,FALSE)</f>
        <v>TFL in Mnths:</v>
      </c>
      <c r="T8" s="78" t="s">
        <v>4186</v>
      </c>
      <c r="U8" s="40" t="str">
        <f>VLOOKUP(M8,Table1[#All],7,FALSE)</f>
        <v>Call Ref#:</v>
      </c>
      <c r="V8" s="78" t="s">
        <v>4187</v>
      </c>
      <c r="W8" s="40" t="str">
        <f>VLOOKUP(M8,Table1[#All],8,FALSE)</f>
        <v>Cust Rep:</v>
      </c>
      <c r="X8" s="78">
        <v>8719609</v>
      </c>
      <c r="Y8" s="44" t="str">
        <f>VLOOKUP(M8,Table1[#All],2,FALSE)</f>
        <v>Task Sub Pending Claims Queue</v>
      </c>
      <c r="Z8" s="59" t="str">
        <f>VLOOKUP(M8,Table1[#All],9,FALSE)</f>
        <v>Additional Notes:</v>
      </c>
      <c r="AA8" s="76" t="s">
        <v>4188</v>
      </c>
      <c r="AB8" s="76" t="s">
        <v>3697</v>
      </c>
      <c r="AC8" s="90" t="s">
        <v>185</v>
      </c>
      <c r="AD8" s="76" t="s">
        <v>177</v>
      </c>
      <c r="AE8" s="77" t="s">
        <v>4127</v>
      </c>
      <c r="AF8" s="110">
        <v>44692</v>
      </c>
      <c r="AG8" s="41" t="s">
        <v>101</v>
      </c>
      <c r="AH8" s="25"/>
      <c r="AI8" s="25"/>
      <c r="AJ8" s="42"/>
    </row>
    <row r="9" spans="1:37" ht="42" hidden="1" x14ac:dyDescent="0.55000000000000004">
      <c r="A9" s="44" t="str">
        <f>Data!K8</f>
        <v>Anthem</v>
      </c>
      <c r="B9" s="44" t="str">
        <f>Data!L8</f>
        <v>8447291565</v>
      </c>
      <c r="C9" s="44" t="str">
        <f>Data!D8</f>
        <v>Allen, Janiyah</v>
      </c>
      <c r="D9" s="82" t="str">
        <f>Data!F8</f>
        <v>201W03443</v>
      </c>
      <c r="E9" s="82" t="str">
        <f>Data!B8</f>
        <v>8543</v>
      </c>
      <c r="F9" s="44" t="str">
        <f>Data!A8</f>
        <v>Allen, Janiyah</v>
      </c>
      <c r="G9" s="55" t="str">
        <f>Data!C8</f>
        <v>9/28/1993</v>
      </c>
      <c r="H9" s="56">
        <f>Data!H8</f>
        <v>44545</v>
      </c>
      <c r="I9" s="56" t="str">
        <f>Data!I8</f>
        <v>2/11/2022</v>
      </c>
      <c r="J9" s="57">
        <f>Data!J8</f>
        <v>307.2</v>
      </c>
      <c r="K9" s="58">
        <f t="shared" ca="1" si="0"/>
        <v>97</v>
      </c>
      <c r="L9" s="58">
        <f>Data!M8</f>
        <v>0</v>
      </c>
      <c r="M9" s="37" t="s">
        <v>30</v>
      </c>
      <c r="N9" s="43" t="str">
        <f>VLOOKUP(M9,Table1[#All],3,FALSE)</f>
        <v>Claim not on file. Patient is active ;</v>
      </c>
      <c r="O9" s="40" t="str">
        <f>VLOOKUP(M9,Table1[#All],4,FALSE)</f>
        <v>Payor ID &amp; Address:</v>
      </c>
      <c r="P9" s="39" t="s">
        <v>4185</v>
      </c>
      <c r="Q9" s="40" t="str">
        <f>VLOOKUP(M9,Table1[#All],5,FALSE)</f>
        <v>Fax # (If Fax Yes):</v>
      </c>
      <c r="R9" s="78"/>
      <c r="S9" s="40" t="str">
        <f>VLOOKUP(M9,Table1[#All],6,FALSE)</f>
        <v>TFL in Mnths:</v>
      </c>
      <c r="T9" s="78" t="s">
        <v>4190</v>
      </c>
      <c r="U9" s="40" t="str">
        <f>VLOOKUP(M9,Table1[#All],7,FALSE)</f>
        <v>Call Ref#:</v>
      </c>
      <c r="V9" s="78">
        <v>87214304</v>
      </c>
      <c r="W9" s="40" t="str">
        <f>VLOOKUP(M9,Table1[#All],8,FALSE)</f>
        <v>Cust Rep:</v>
      </c>
      <c r="X9" s="78" t="s">
        <v>4191</v>
      </c>
      <c r="Y9" s="44" t="str">
        <f>VLOOKUP(M9,Table1[#All],2,FALSE)</f>
        <v>Task Sub Pending Claims Queue</v>
      </c>
      <c r="Z9" s="59" t="str">
        <f>VLOOKUP(M9,Table1[#All],9,FALSE)</f>
        <v>Additional Notes:</v>
      </c>
      <c r="AA9" s="76" t="s">
        <v>4192</v>
      </c>
      <c r="AB9" s="76" t="s">
        <v>3697</v>
      </c>
      <c r="AC9" s="90" t="s">
        <v>185</v>
      </c>
      <c r="AD9" s="76" t="s">
        <v>177</v>
      </c>
      <c r="AE9" s="77" t="s">
        <v>4127</v>
      </c>
      <c r="AF9" s="110">
        <v>44693</v>
      </c>
      <c r="AG9" s="41" t="s">
        <v>101</v>
      </c>
      <c r="AH9" s="25"/>
      <c r="AI9" s="25"/>
      <c r="AJ9" s="42"/>
    </row>
    <row r="10" spans="1:37" ht="21" hidden="1" x14ac:dyDescent="0.55000000000000004">
      <c r="A10" s="44" t="str">
        <f>Data!K9</f>
        <v xml:space="preserve">Cigna </v>
      </c>
      <c r="B10" s="44" t="str">
        <f>Data!L9</f>
        <v>8002446224</v>
      </c>
      <c r="C10" s="44" t="str">
        <f>Data!D9</f>
        <v xml:space="preserve">Sullivan, Jessica </v>
      </c>
      <c r="D10" s="82" t="str">
        <f>Data!F9</f>
        <v>U47262786</v>
      </c>
      <c r="E10" s="82" t="str">
        <f>Data!B9</f>
        <v>9345</v>
      </c>
      <c r="F10" s="44" t="str">
        <f>Data!A9</f>
        <v xml:space="preserve">Sullivan, Jessica </v>
      </c>
      <c r="G10" s="55" t="str">
        <f>Data!C9</f>
        <v>7/12/1984</v>
      </c>
      <c r="H10" s="56">
        <f>Data!H9</f>
        <v>44644</v>
      </c>
      <c r="I10" s="56" t="str">
        <f>Data!I9</f>
        <v>3/25/2022</v>
      </c>
      <c r="J10" s="57">
        <f>Data!J9</f>
        <v>302.39999999999998</v>
      </c>
      <c r="K10" s="58">
        <f t="shared" ca="1" si="0"/>
        <v>55</v>
      </c>
      <c r="L10" s="58">
        <f>Data!M9</f>
        <v>0</v>
      </c>
      <c r="M10" s="37" t="s">
        <v>26</v>
      </c>
      <c r="N10" s="43" t="str">
        <f>VLOOKUP(M10,Table1[#All],3,FALSE)</f>
        <v>Note</v>
      </c>
      <c r="O10" s="40" t="str">
        <f>VLOOKUP(M10,Table1[#All],4,FALSE)</f>
        <v>Q1</v>
      </c>
      <c r="P10" s="39"/>
      <c r="Q10" s="40" t="str">
        <f>VLOOKUP(M10,Table1[#All],5,FALSE)</f>
        <v>Q2</v>
      </c>
      <c r="R10" s="78"/>
      <c r="S10" s="40" t="str">
        <f>VLOOKUP(M10,Table1[#All],6,FALSE)</f>
        <v>Q3</v>
      </c>
      <c r="T10" s="78"/>
      <c r="U10" s="40" t="str">
        <f>VLOOKUP(M10,Table1[#All],7,FALSE)</f>
        <v>Q4</v>
      </c>
      <c r="V10" s="78"/>
      <c r="W10" s="40" t="str">
        <f>VLOOKUP(M10,Table1[#All],8,FALSE)</f>
        <v>Q5</v>
      </c>
      <c r="X10" s="78"/>
      <c r="Y10" s="44" t="str">
        <f>VLOOKUP(M10,Table1[#All],2,FALSE)</f>
        <v>Action</v>
      </c>
      <c r="Z10" s="59" t="str">
        <f>VLOOKUP(M10,Table1[#All],9,FALSE)</f>
        <v>Additional Notes:</v>
      </c>
      <c r="AA10" s="76"/>
      <c r="AB10" s="76"/>
      <c r="AC10" s="90" t="s">
        <v>91</v>
      </c>
      <c r="AD10" s="76" t="s">
        <v>91</v>
      </c>
      <c r="AE10" s="77"/>
      <c r="AF10" s="110"/>
      <c r="AG10" s="41" t="s">
        <v>91</v>
      </c>
      <c r="AH10" s="25"/>
      <c r="AI10" s="25"/>
      <c r="AJ10" s="42"/>
    </row>
    <row r="11" spans="1:37" ht="21" hidden="1" x14ac:dyDescent="0.55000000000000004">
      <c r="A11" s="44" t="str">
        <f>Data!K10</f>
        <v xml:space="preserve">Cigna </v>
      </c>
      <c r="B11" s="44" t="str">
        <f>Data!L10</f>
        <v>8002446224</v>
      </c>
      <c r="C11" s="44" t="str">
        <f>Data!D10</f>
        <v xml:space="preserve">Sullivan, Carter </v>
      </c>
      <c r="D11" s="82" t="str">
        <f>Data!F10</f>
        <v>U47262786</v>
      </c>
      <c r="E11" s="82" t="str">
        <f>Data!B10</f>
        <v>2668</v>
      </c>
      <c r="F11" s="44" t="str">
        <f>Data!A10</f>
        <v xml:space="preserve">Sullivan, Carter </v>
      </c>
      <c r="G11" s="55" t="str">
        <f>Data!C10</f>
        <v>7/12/1984</v>
      </c>
      <c r="H11" s="56">
        <f>Data!H10</f>
        <v>44643</v>
      </c>
      <c r="I11" s="56" t="str">
        <f>Data!I10</f>
        <v>3/24/2022</v>
      </c>
      <c r="J11" s="57">
        <f>Data!J10</f>
        <v>102</v>
      </c>
      <c r="K11" s="58">
        <f t="shared" ca="1" si="0"/>
        <v>56</v>
      </c>
      <c r="L11" s="58">
        <f>Data!M10</f>
        <v>0</v>
      </c>
      <c r="M11" s="37" t="s">
        <v>26</v>
      </c>
      <c r="N11" s="43" t="str">
        <f>VLOOKUP(M11,Table1[#All],3,FALSE)</f>
        <v>Note</v>
      </c>
      <c r="O11" s="40" t="str">
        <f>VLOOKUP(M11,Table1[#All],4,FALSE)</f>
        <v>Q1</v>
      </c>
      <c r="P11" s="39"/>
      <c r="Q11" s="40" t="str">
        <f>VLOOKUP(M11,Table1[#All],5,FALSE)</f>
        <v>Q2</v>
      </c>
      <c r="R11" s="78"/>
      <c r="S11" s="40" t="str">
        <f>VLOOKUP(M11,Table1[#All],6,FALSE)</f>
        <v>Q3</v>
      </c>
      <c r="T11" s="78"/>
      <c r="U11" s="40" t="str">
        <f>VLOOKUP(M11,Table1[#All],7,FALSE)</f>
        <v>Q4</v>
      </c>
      <c r="V11" s="78"/>
      <c r="W11" s="40" t="str">
        <f>VLOOKUP(M11,Table1[#All],8,FALSE)</f>
        <v>Q5</v>
      </c>
      <c r="X11" s="78"/>
      <c r="Y11" s="44" t="str">
        <f>VLOOKUP(M11,Table1[#All],2,FALSE)</f>
        <v>Action</v>
      </c>
      <c r="Z11" s="59" t="str">
        <f>VLOOKUP(M11,Table1[#All],9,FALSE)</f>
        <v>Additional Notes:</v>
      </c>
      <c r="AA11" s="76"/>
      <c r="AB11" s="76"/>
      <c r="AC11" s="90" t="s">
        <v>91</v>
      </c>
      <c r="AD11" s="76" t="s">
        <v>91</v>
      </c>
      <c r="AE11" s="77"/>
      <c r="AF11" s="110"/>
      <c r="AG11" s="41" t="s">
        <v>91</v>
      </c>
      <c r="AH11" s="25"/>
      <c r="AI11" s="25"/>
      <c r="AJ11" s="42"/>
    </row>
    <row r="12" spans="1:37" ht="21" hidden="1" x14ac:dyDescent="0.55000000000000004">
      <c r="A12" s="44" t="str">
        <f>Data!K11</f>
        <v xml:space="preserve">Cigna </v>
      </c>
      <c r="B12" s="44" t="str">
        <f>Data!L11</f>
        <v>8002446224</v>
      </c>
      <c r="C12" s="44" t="str">
        <f>Data!D11</f>
        <v>Arthur, Bernika</v>
      </c>
      <c r="D12" s="82" t="str">
        <f>Data!F11</f>
        <v>U49852743</v>
      </c>
      <c r="E12" s="82" t="str">
        <f>Data!B11</f>
        <v>3727</v>
      </c>
      <c r="F12" s="44" t="str">
        <f>Data!A11</f>
        <v>Arthur, Bernika</v>
      </c>
      <c r="G12" s="55" t="str">
        <f>Data!C11</f>
        <v>8/26/1988</v>
      </c>
      <c r="H12" s="56">
        <f>Data!H11</f>
        <v>44639</v>
      </c>
      <c r="I12" s="56" t="str">
        <f>Data!I11</f>
        <v>3/21/2022</v>
      </c>
      <c r="J12" s="57">
        <f>Data!J11</f>
        <v>123.6</v>
      </c>
      <c r="K12" s="58">
        <f t="shared" ca="1" si="0"/>
        <v>59</v>
      </c>
      <c r="L12" s="58">
        <f>Data!M11</f>
        <v>0</v>
      </c>
      <c r="M12" s="37" t="s">
        <v>26</v>
      </c>
      <c r="N12" s="43" t="str">
        <f>VLOOKUP(M12,Table1[#All],3,FALSE)</f>
        <v>Note</v>
      </c>
      <c r="O12" s="40" t="str">
        <f>VLOOKUP(M12,Table1[#All],4,FALSE)</f>
        <v>Q1</v>
      </c>
      <c r="P12" s="39"/>
      <c r="Q12" s="40" t="str">
        <f>VLOOKUP(M12,Table1[#All],5,FALSE)</f>
        <v>Q2</v>
      </c>
      <c r="R12" s="78"/>
      <c r="S12" s="40" t="str">
        <f>VLOOKUP(M12,Table1[#All],6,FALSE)</f>
        <v>Q3</v>
      </c>
      <c r="T12" s="78"/>
      <c r="U12" s="40" t="str">
        <f>VLOOKUP(M12,Table1[#All],7,FALSE)</f>
        <v>Q4</v>
      </c>
      <c r="V12" s="78"/>
      <c r="W12" s="40" t="str">
        <f>VLOOKUP(M12,Table1[#All],8,FALSE)</f>
        <v>Q5</v>
      </c>
      <c r="X12" s="78"/>
      <c r="Y12" s="44" t="str">
        <f>VLOOKUP(M12,Table1[#All],2,FALSE)</f>
        <v>Action</v>
      </c>
      <c r="Z12" s="59" t="str">
        <f>VLOOKUP(M12,Table1[#All],9,FALSE)</f>
        <v>Additional Notes:</v>
      </c>
      <c r="AA12" s="76"/>
      <c r="AB12" s="76"/>
      <c r="AC12" s="90" t="s">
        <v>91</v>
      </c>
      <c r="AD12" s="76" t="s">
        <v>91</v>
      </c>
      <c r="AE12" s="77"/>
      <c r="AF12" s="110"/>
      <c r="AG12" s="41" t="s">
        <v>91</v>
      </c>
      <c r="AH12" s="25"/>
      <c r="AI12" s="25"/>
      <c r="AJ12" s="42"/>
    </row>
    <row r="13" spans="1:37" ht="21" hidden="1" x14ac:dyDescent="0.55000000000000004">
      <c r="A13" s="44" t="str">
        <f>Data!K12</f>
        <v xml:space="preserve">Cigna </v>
      </c>
      <c r="B13" s="44" t="str">
        <f>Data!L12</f>
        <v>8002446224</v>
      </c>
      <c r="C13" s="44" t="str">
        <f>Data!D12</f>
        <v>Arthur, Lilyana</v>
      </c>
      <c r="D13" s="82" t="str">
        <f>Data!F12</f>
        <v>U49852743</v>
      </c>
      <c r="E13" s="82" t="str">
        <f>Data!B12</f>
        <v>3729</v>
      </c>
      <c r="F13" s="44" t="str">
        <f>Data!A12</f>
        <v>Arthur, Lilyana</v>
      </c>
      <c r="G13" s="55" t="str">
        <f>Data!C12</f>
        <v>8/26/1988</v>
      </c>
      <c r="H13" s="56">
        <f>Data!H12</f>
        <v>44639</v>
      </c>
      <c r="I13" s="56" t="str">
        <f>Data!I12</f>
        <v>3/21/2022</v>
      </c>
      <c r="J13" s="57">
        <f>Data!J12</f>
        <v>58.8</v>
      </c>
      <c r="K13" s="58">
        <f t="shared" ca="1" si="0"/>
        <v>59</v>
      </c>
      <c r="L13" s="58">
        <f>Data!M12</f>
        <v>0</v>
      </c>
      <c r="M13" s="37" t="s">
        <v>26</v>
      </c>
      <c r="N13" s="43" t="str">
        <f>VLOOKUP(M13,Table1[#All],3,FALSE)</f>
        <v>Note</v>
      </c>
      <c r="O13" s="40" t="str">
        <f>VLOOKUP(M13,Table1[#All],4,FALSE)</f>
        <v>Q1</v>
      </c>
      <c r="P13" s="39"/>
      <c r="Q13" s="40" t="str">
        <f>VLOOKUP(M13,Table1[#All],5,FALSE)</f>
        <v>Q2</v>
      </c>
      <c r="R13" s="78"/>
      <c r="S13" s="40" t="str">
        <f>VLOOKUP(M13,Table1[#All],6,FALSE)</f>
        <v>Q3</v>
      </c>
      <c r="T13" s="78"/>
      <c r="U13" s="40" t="str">
        <f>VLOOKUP(M13,Table1[#All],7,FALSE)</f>
        <v>Q4</v>
      </c>
      <c r="V13" s="78"/>
      <c r="W13" s="40" t="str">
        <f>VLOOKUP(M13,Table1[#All],8,FALSE)</f>
        <v>Q5</v>
      </c>
      <c r="X13" s="78"/>
      <c r="Y13" s="44" t="str">
        <f>VLOOKUP(M13,Table1[#All],2,FALSE)</f>
        <v>Action</v>
      </c>
      <c r="Z13" s="59" t="str">
        <f>VLOOKUP(M13,Table1[#All],9,FALSE)</f>
        <v>Additional Notes:</v>
      </c>
      <c r="AA13" s="76"/>
      <c r="AB13" s="76"/>
      <c r="AC13" s="90" t="s">
        <v>91</v>
      </c>
      <c r="AD13" s="76" t="s">
        <v>91</v>
      </c>
      <c r="AE13" s="77"/>
      <c r="AF13" s="110"/>
      <c r="AG13" s="41" t="s">
        <v>91</v>
      </c>
      <c r="AH13" s="25"/>
      <c r="AI13" s="25"/>
      <c r="AJ13" s="42"/>
    </row>
    <row r="14" spans="1:37" ht="21" hidden="1" x14ac:dyDescent="0.55000000000000004">
      <c r="A14" s="44" t="str">
        <f>Data!K13</f>
        <v xml:space="preserve">Cigna </v>
      </c>
      <c r="B14" s="44" t="str">
        <f>Data!L13</f>
        <v>8002446224</v>
      </c>
      <c r="C14" s="44" t="str">
        <f>Data!D13</f>
        <v>Arthur, Lilyana</v>
      </c>
      <c r="D14" s="82" t="str">
        <f>Data!F13</f>
        <v>U49852743</v>
      </c>
      <c r="E14" s="82" t="str">
        <f>Data!B13</f>
        <v>3729</v>
      </c>
      <c r="F14" s="44" t="str">
        <f>Data!A13</f>
        <v>Arthur, Lilyana</v>
      </c>
      <c r="G14" s="55" t="str">
        <f>Data!C13</f>
        <v>8/26/1988</v>
      </c>
      <c r="H14" s="56">
        <f>Data!H13</f>
        <v>44639</v>
      </c>
      <c r="I14" s="56" t="str">
        <f>Data!I13</f>
        <v>3/21/2022</v>
      </c>
      <c r="J14" s="57">
        <f>Data!J13</f>
        <v>79.2</v>
      </c>
      <c r="K14" s="58">
        <f t="shared" ca="1" si="0"/>
        <v>59</v>
      </c>
      <c r="L14" s="58">
        <f>Data!M13</f>
        <v>0</v>
      </c>
      <c r="M14" s="37" t="s">
        <v>26</v>
      </c>
      <c r="N14" s="43" t="str">
        <f>VLOOKUP(M14,Table1[#All],3,FALSE)</f>
        <v>Note</v>
      </c>
      <c r="O14" s="40" t="str">
        <f>VLOOKUP(M14,Table1[#All],4,FALSE)</f>
        <v>Q1</v>
      </c>
      <c r="P14" s="38"/>
      <c r="Q14" s="40" t="str">
        <f>VLOOKUP(M14,Table1[#All],5,FALSE)</f>
        <v>Q2</v>
      </c>
      <c r="R14" s="115"/>
      <c r="S14" s="40" t="str">
        <f>VLOOKUP(M14,Table1[#All],6,FALSE)</f>
        <v>Q3</v>
      </c>
      <c r="T14" s="78"/>
      <c r="U14" s="40" t="str">
        <f>VLOOKUP(M14,Table1[#All],7,FALSE)</f>
        <v>Q4</v>
      </c>
      <c r="V14" s="79"/>
      <c r="W14" s="40" t="str">
        <f>VLOOKUP(M14,Table1[#All],8,FALSE)</f>
        <v>Q5</v>
      </c>
      <c r="X14" s="79"/>
      <c r="Y14" s="44" t="str">
        <f>VLOOKUP(M14,Table1[#All],2,FALSE)</f>
        <v>Action</v>
      </c>
      <c r="Z14" s="59" t="str">
        <f>VLOOKUP(M14,Table1[#All],9,FALSE)</f>
        <v>Additional Notes:</v>
      </c>
      <c r="AA14" s="76"/>
      <c r="AB14" s="76"/>
      <c r="AC14" s="90" t="s">
        <v>91</v>
      </c>
      <c r="AD14" s="76" t="s">
        <v>91</v>
      </c>
      <c r="AE14" s="77"/>
      <c r="AF14" s="110"/>
      <c r="AG14" s="41" t="s">
        <v>91</v>
      </c>
      <c r="AH14" s="25"/>
      <c r="AI14" s="25"/>
      <c r="AJ14" s="42"/>
    </row>
    <row r="15" spans="1:37" ht="21" hidden="1" x14ac:dyDescent="0.55000000000000004">
      <c r="A15" s="44" t="str">
        <f>Data!K14</f>
        <v xml:space="preserve">Cigna </v>
      </c>
      <c r="B15" s="44" t="str">
        <f>Data!L14</f>
        <v>8002446224</v>
      </c>
      <c r="C15" s="44" t="str">
        <f>Data!D14</f>
        <v xml:space="preserve">Belle , Byron </v>
      </c>
      <c r="D15" s="82" t="str">
        <f>Data!F14</f>
        <v>U72051724</v>
      </c>
      <c r="E15" s="82" t="str">
        <f>Data!B14</f>
        <v>4246</v>
      </c>
      <c r="F15" s="44" t="str">
        <f>Data!A14</f>
        <v xml:space="preserve">Belle , Byron </v>
      </c>
      <c r="G15" s="55" t="str">
        <f>Data!C14</f>
        <v>6/10/1992</v>
      </c>
      <c r="H15" s="56">
        <f>Data!H14</f>
        <v>44573</v>
      </c>
      <c r="I15" s="56" t="str">
        <f>Data!I14</f>
        <v>1/13/2022</v>
      </c>
      <c r="J15" s="57">
        <f>Data!J14</f>
        <v>266</v>
      </c>
      <c r="K15" s="58">
        <f t="shared" ca="1" si="0"/>
        <v>126</v>
      </c>
      <c r="L15" s="58">
        <f>Data!M14</f>
        <v>0</v>
      </c>
      <c r="M15" s="37" t="s">
        <v>5</v>
      </c>
      <c r="N15" s="43" t="str">
        <f>VLOOKUP(M15,Table1[#All],3,FALSE)</f>
        <v>Claim Paid by EFT;</v>
      </c>
      <c r="O15" s="40" t="str">
        <f>VLOOKUP(M15,Table1[#All],4,FALSE)</f>
        <v>Issue Date:</v>
      </c>
      <c r="P15" s="38">
        <v>44580</v>
      </c>
      <c r="Q15" s="40" t="str">
        <f>VLOOKUP(M15,Table1[#All],5,FALSE)</f>
        <v>EFT#</v>
      </c>
      <c r="R15" s="78">
        <v>9999761864</v>
      </c>
      <c r="S15" s="40" t="str">
        <f>VLOOKUP(M15,Table1[#All],6,FALSE)</f>
        <v>Bulk/Sep:</v>
      </c>
      <c r="T15" s="78" t="s">
        <v>3955</v>
      </c>
      <c r="U15" s="40" t="str">
        <f>VLOOKUP(M15,Table1[#All],7,FALSE)</f>
        <v>Call Ref#:</v>
      </c>
      <c r="V15" s="78">
        <v>2763</v>
      </c>
      <c r="W15" s="40" t="str">
        <f>VLOOKUP(M15,Table1[#All],8,FALSE)</f>
        <v>Cust Rep:</v>
      </c>
      <c r="X15" s="78" t="s">
        <v>3956</v>
      </c>
      <c r="Y15" s="44" t="str">
        <f>VLOOKUP(M15,Table1[#All],2,FALSE)</f>
        <v xml:space="preserve">Task Post Pmt Queue </v>
      </c>
      <c r="Z15" s="59" t="str">
        <f>VLOOKUP(M15,Table1[#All],9,FALSE)</f>
        <v>Additional Notes:</v>
      </c>
      <c r="AA15" s="76" t="s">
        <v>4142</v>
      </c>
      <c r="AB15" s="76" t="s">
        <v>3816</v>
      </c>
      <c r="AC15" s="90" t="s">
        <v>115</v>
      </c>
      <c r="AD15" s="76" t="s">
        <v>177</v>
      </c>
      <c r="AE15" s="77" t="s">
        <v>3770</v>
      </c>
      <c r="AF15" s="110">
        <v>44664</v>
      </c>
      <c r="AG15" s="41" t="s">
        <v>101</v>
      </c>
      <c r="AH15" s="25"/>
      <c r="AI15" s="25"/>
      <c r="AJ15" s="42"/>
    </row>
    <row r="16" spans="1:37" ht="21" hidden="1" x14ac:dyDescent="0.55000000000000004">
      <c r="A16" s="44" t="str">
        <f>Data!K15</f>
        <v xml:space="preserve">Cigna </v>
      </c>
      <c r="B16" s="44" t="str">
        <f>Data!L15</f>
        <v>8002446224</v>
      </c>
      <c r="C16" s="44" t="str">
        <f>Data!D15</f>
        <v>Arthur, Devin</v>
      </c>
      <c r="D16" s="82" t="str">
        <f>Data!F15</f>
        <v>U49852743</v>
      </c>
      <c r="E16" s="82" t="str">
        <f>Data!B15</f>
        <v>3728</v>
      </c>
      <c r="F16" s="44" t="str">
        <f>Data!A15</f>
        <v>Arthur, Devin</v>
      </c>
      <c r="G16" s="55" t="str">
        <f>Data!C15</f>
        <v>8/26/1988</v>
      </c>
      <c r="H16" s="56">
        <f>Data!H15</f>
        <v>44478</v>
      </c>
      <c r="I16" s="56" t="str">
        <f>Data!I15</f>
        <v>10/11/2021</v>
      </c>
      <c r="J16" s="57">
        <f>Data!J15</f>
        <v>230</v>
      </c>
      <c r="K16" s="58">
        <f t="shared" ca="1" si="0"/>
        <v>220</v>
      </c>
      <c r="L16" s="58">
        <f>Data!M15</f>
        <v>0</v>
      </c>
      <c r="M16" s="37" t="s">
        <v>5</v>
      </c>
      <c r="N16" s="43" t="str">
        <f>VLOOKUP(M16,Table1[#All],3,FALSE)</f>
        <v>Claim Paid by EFT;</v>
      </c>
      <c r="O16" s="40" t="str">
        <f>VLOOKUP(M16,Table1[#All],4,FALSE)</f>
        <v>Issue Date:</v>
      </c>
      <c r="P16" s="38">
        <v>44481</v>
      </c>
      <c r="Q16" s="40" t="str">
        <f>VLOOKUP(M16,Table1[#All],5,FALSE)</f>
        <v>EFT#</v>
      </c>
      <c r="R16" s="78">
        <v>9997740967</v>
      </c>
      <c r="S16" s="40" t="str">
        <f>VLOOKUP(M16,Table1[#All],6,FALSE)</f>
        <v>Bulk/Sep:</v>
      </c>
      <c r="T16" s="78" t="s">
        <v>3800</v>
      </c>
      <c r="U16" s="40" t="str">
        <f>VLOOKUP(M16,Table1[#All],7,FALSE)</f>
        <v>Call Ref#:</v>
      </c>
      <c r="V16" s="78">
        <v>9764</v>
      </c>
      <c r="W16" s="40" t="str">
        <f>VLOOKUP(M16,Table1[#All],8,FALSE)</f>
        <v>Cust Rep:</v>
      </c>
      <c r="X16" s="78" t="s">
        <v>3958</v>
      </c>
      <c r="Y16" s="44" t="str">
        <f>VLOOKUP(M16,Table1[#All],2,FALSE)</f>
        <v xml:space="preserve">Task Post Pmt Queue </v>
      </c>
      <c r="Z16" s="59" t="str">
        <f>VLOOKUP(M16,Table1[#All],9,FALSE)</f>
        <v>Additional Notes:</v>
      </c>
      <c r="AA16" s="76" t="s">
        <v>3959</v>
      </c>
      <c r="AB16" s="76" t="s">
        <v>3697</v>
      </c>
      <c r="AC16" s="90" t="s">
        <v>115</v>
      </c>
      <c r="AD16" s="76" t="s">
        <v>177</v>
      </c>
      <c r="AE16" s="77" t="s">
        <v>3776</v>
      </c>
      <c r="AF16" s="110">
        <v>44607</v>
      </c>
      <c r="AG16" s="41" t="s">
        <v>101</v>
      </c>
      <c r="AH16" s="25"/>
      <c r="AI16" s="25"/>
      <c r="AJ16" s="42"/>
    </row>
    <row r="17" spans="1:36" ht="21" hidden="1" x14ac:dyDescent="0.55000000000000004">
      <c r="A17" s="44" t="str">
        <f>Data!K16</f>
        <v xml:space="preserve">Cigna </v>
      </c>
      <c r="B17" s="44" t="str">
        <f>Data!L16</f>
        <v>8002446224</v>
      </c>
      <c r="C17" s="44" t="str">
        <f>Data!D16</f>
        <v>Arthur, Bernika</v>
      </c>
      <c r="D17" s="82" t="str">
        <f>Data!F16</f>
        <v>U49852743</v>
      </c>
      <c r="E17" s="82" t="str">
        <f>Data!B16</f>
        <v>3727</v>
      </c>
      <c r="F17" s="44" t="str">
        <f>Data!A16</f>
        <v>Arthur, Bernika</v>
      </c>
      <c r="G17" s="55" t="str">
        <f>Data!C16</f>
        <v>8/26/1988</v>
      </c>
      <c r="H17" s="56">
        <f>Data!H16</f>
        <v>44478</v>
      </c>
      <c r="I17" s="56" t="str">
        <f>Data!I16</f>
        <v>10/11/2021</v>
      </c>
      <c r="J17" s="57">
        <f>Data!J16</f>
        <v>216</v>
      </c>
      <c r="K17" s="58">
        <f t="shared" ca="1" si="0"/>
        <v>220</v>
      </c>
      <c r="L17" s="58">
        <f>Data!M16</f>
        <v>0</v>
      </c>
      <c r="M17" s="37" t="s">
        <v>5</v>
      </c>
      <c r="N17" s="43" t="str">
        <f>VLOOKUP(M17,Table1[#All],3,FALSE)</f>
        <v>Claim Paid by EFT;</v>
      </c>
      <c r="O17" s="40" t="str">
        <f>VLOOKUP(M17,Table1[#All],4,FALSE)</f>
        <v>Issue Date:</v>
      </c>
      <c r="P17" s="38">
        <v>44482</v>
      </c>
      <c r="Q17" s="40" t="str">
        <f>VLOOKUP(M17,Table1[#All],5,FALSE)</f>
        <v>EFT#</v>
      </c>
      <c r="R17" s="115">
        <v>9997740967</v>
      </c>
      <c r="S17" s="40" t="str">
        <f>VLOOKUP(M17,Table1[#All],6,FALSE)</f>
        <v>Bulk/Sep:</v>
      </c>
      <c r="T17" s="78" t="s">
        <v>3808</v>
      </c>
      <c r="U17" s="40" t="str">
        <f>VLOOKUP(M17,Table1[#All],7,FALSE)</f>
        <v>Call Ref#:</v>
      </c>
      <c r="V17" s="78">
        <v>5334</v>
      </c>
      <c r="W17" s="40" t="str">
        <f>VLOOKUP(M17,Table1[#All],8,FALSE)</f>
        <v>Cust Rep:</v>
      </c>
      <c r="X17" s="78" t="s">
        <v>3960</v>
      </c>
      <c r="Y17" s="44" t="str">
        <f>VLOOKUP(M17,Table1[#All],2,FALSE)</f>
        <v xml:space="preserve">Task Post Pmt Queue </v>
      </c>
      <c r="Z17" s="59" t="str">
        <f>VLOOKUP(M17,Table1[#All],9,FALSE)</f>
        <v>Additional Notes:</v>
      </c>
      <c r="AA17" s="76" t="s">
        <v>3961</v>
      </c>
      <c r="AB17" s="76" t="s">
        <v>3697</v>
      </c>
      <c r="AC17" s="90" t="s">
        <v>115</v>
      </c>
      <c r="AD17" s="76" t="s">
        <v>177</v>
      </c>
      <c r="AE17" s="77" t="s">
        <v>3708</v>
      </c>
      <c r="AF17" s="110">
        <v>44579</v>
      </c>
      <c r="AG17" s="41" t="s">
        <v>101</v>
      </c>
      <c r="AH17" s="25"/>
      <c r="AI17" s="25"/>
      <c r="AJ17" s="42"/>
    </row>
    <row r="18" spans="1:36" ht="21" hidden="1" x14ac:dyDescent="0.55000000000000004">
      <c r="A18" s="44" t="str">
        <f>Data!K17</f>
        <v xml:space="preserve">Cigna </v>
      </c>
      <c r="B18" s="44" t="str">
        <f>Data!L17</f>
        <v>8002446224</v>
      </c>
      <c r="C18" s="44" t="str">
        <f>Data!D17</f>
        <v xml:space="preserve">Rasmussen , John </v>
      </c>
      <c r="D18" s="82" t="str">
        <f>Data!F17</f>
        <v>U153667756</v>
      </c>
      <c r="E18" s="82" t="str">
        <f>Data!B17</f>
        <v>6734</v>
      </c>
      <c r="F18" s="44" t="str">
        <f>Data!A17</f>
        <v xml:space="preserve">Rasmussen , John </v>
      </c>
      <c r="G18" s="55" t="str">
        <f>Data!C17</f>
        <v>9/25/1954</v>
      </c>
      <c r="H18" s="56">
        <f>Data!H17</f>
        <v>44474</v>
      </c>
      <c r="I18" s="56" t="str">
        <f>Data!I17</f>
        <v>10/7/2021</v>
      </c>
      <c r="J18" s="57">
        <f>Data!J17</f>
        <v>88.8</v>
      </c>
      <c r="K18" s="58">
        <f t="shared" ca="1" si="0"/>
        <v>224</v>
      </c>
      <c r="L18" s="58">
        <f>Data!M17</f>
        <v>0</v>
      </c>
      <c r="M18" s="37" t="s">
        <v>5</v>
      </c>
      <c r="N18" s="43" t="str">
        <f>VLOOKUP(M18,Table1[#All],3,FALSE)</f>
        <v>Claim Paid by EFT;</v>
      </c>
      <c r="O18" s="40" t="str">
        <f>VLOOKUP(M18,Table1[#All],4,FALSE)</f>
        <v>Issue Date:</v>
      </c>
      <c r="P18" s="38">
        <v>44477</v>
      </c>
      <c r="Q18" s="40" t="str">
        <f>VLOOKUP(M18,Table1[#All],5,FALSE)</f>
        <v>EFT#</v>
      </c>
      <c r="R18" s="78">
        <v>9997740965</v>
      </c>
      <c r="S18" s="40" t="str">
        <f>VLOOKUP(M18,Table1[#All],6,FALSE)</f>
        <v>Bulk/Sep:</v>
      </c>
      <c r="T18" s="78" t="s">
        <v>3962</v>
      </c>
      <c r="U18" s="40" t="str">
        <f>VLOOKUP(M18,Table1[#All],7,FALSE)</f>
        <v>Call Ref#:</v>
      </c>
      <c r="V18" s="79">
        <v>7209</v>
      </c>
      <c r="W18" s="40" t="str">
        <f>VLOOKUP(M18,Table1[#All],8,FALSE)</f>
        <v>Cust Rep:</v>
      </c>
      <c r="X18" s="79" t="s">
        <v>3963</v>
      </c>
      <c r="Y18" s="44" t="str">
        <f>VLOOKUP(M18,Table1[#All],2,FALSE)</f>
        <v xml:space="preserve">Task Post Pmt Queue </v>
      </c>
      <c r="Z18" s="59" t="str">
        <f>VLOOKUP(M18,Table1[#All],9,FALSE)</f>
        <v>Additional Notes:</v>
      </c>
      <c r="AA18" s="76" t="s">
        <v>3964</v>
      </c>
      <c r="AB18" s="76" t="s">
        <v>3697</v>
      </c>
      <c r="AC18" s="90" t="s">
        <v>115</v>
      </c>
      <c r="AD18" s="76" t="s">
        <v>177</v>
      </c>
      <c r="AE18" s="77" t="s">
        <v>3770</v>
      </c>
      <c r="AF18" s="123">
        <v>44585</v>
      </c>
      <c r="AG18" s="41" t="s">
        <v>101</v>
      </c>
      <c r="AH18" s="25"/>
      <c r="AI18" s="25"/>
      <c r="AJ18" s="42"/>
    </row>
    <row r="19" spans="1:36" ht="105" hidden="1" x14ac:dyDescent="0.55000000000000004">
      <c r="A19" s="44" t="str">
        <f>Data!K18</f>
        <v xml:space="preserve">Cigna </v>
      </c>
      <c r="B19" s="44" t="str">
        <f>Data!L18</f>
        <v>8002446224</v>
      </c>
      <c r="C19" s="44" t="str">
        <f>Data!D18</f>
        <v xml:space="preserve">Knight, Richard </v>
      </c>
      <c r="D19" s="82" t="str">
        <f>Data!F18</f>
        <v>U72076261</v>
      </c>
      <c r="E19" s="82" t="str">
        <f>Data!B18</f>
        <v>5453</v>
      </c>
      <c r="F19" s="44" t="str">
        <f>Data!A18</f>
        <v xml:space="preserve">Knight, Richard </v>
      </c>
      <c r="G19" s="55" t="str">
        <f>Data!C18</f>
        <v>5/5/1970</v>
      </c>
      <c r="H19" s="56">
        <f>Data!H18</f>
        <v>44322</v>
      </c>
      <c r="I19" s="56" t="str">
        <f>Data!I18</f>
        <v>5/6/2021</v>
      </c>
      <c r="J19" s="57">
        <f>Data!J18</f>
        <v>890</v>
      </c>
      <c r="K19" s="58">
        <f t="shared" ca="1" si="0"/>
        <v>378</v>
      </c>
      <c r="L19" s="58">
        <f>Data!M18</f>
        <v>0</v>
      </c>
      <c r="M19" s="37" t="s">
        <v>20</v>
      </c>
      <c r="N19" s="43" t="str">
        <f>VLOOKUP(M19,Table1[#All],3,FALSE)</f>
        <v>Ins needs more info, need to submit;</v>
      </c>
      <c r="O19" s="40" t="str">
        <f>VLOOKUP(M19,Table1[#All],4,FALSE)</f>
        <v>Attachments/Info needed?</v>
      </c>
      <c r="P19" s="38" t="s">
        <v>3965</v>
      </c>
      <c r="Q19" s="40" t="str">
        <f>VLOOKUP(M19,Table1[#All],5,FALSE)</f>
        <v>Fax # (If Fax Yes):</v>
      </c>
      <c r="R19" s="79">
        <v>8595502662</v>
      </c>
      <c r="S19" s="40" t="str">
        <f>VLOOKUP(M19,Table1[#All],6,FALSE)</f>
        <v>Call Ref#:</v>
      </c>
      <c r="T19" s="79">
        <v>7991</v>
      </c>
      <c r="U19" s="40" t="str">
        <f>VLOOKUP(M19,Table1[#All],7,FALSE)</f>
        <v>Cust Rep:</v>
      </c>
      <c r="V19" s="79" t="s">
        <v>3966</v>
      </c>
      <c r="W19" s="40">
        <f>VLOOKUP(M19,Table1[#All],8,FALSE)</f>
        <v>0</v>
      </c>
      <c r="X19" s="79"/>
      <c r="Y19" s="44" t="str">
        <f>VLOOKUP(M19,Table1[#All],2,FALSE)</f>
        <v xml:space="preserve">Task Sub Pending Claims Queue </v>
      </c>
      <c r="Z19" s="59" t="str">
        <f>VLOOKUP(M19,Table1[#All],9,FALSE)</f>
        <v>Additional Notes:</v>
      </c>
      <c r="AA19" s="76" t="s">
        <v>3967</v>
      </c>
      <c r="AB19" s="76" t="s">
        <v>3697</v>
      </c>
      <c r="AC19" s="90" t="s">
        <v>185</v>
      </c>
      <c r="AD19" s="76" t="s">
        <v>177</v>
      </c>
      <c r="AE19" s="77" t="s">
        <v>3770</v>
      </c>
      <c r="AF19" s="110">
        <v>44655</v>
      </c>
      <c r="AG19" s="41" t="s">
        <v>101</v>
      </c>
      <c r="AH19" s="25"/>
      <c r="AI19" s="25"/>
      <c r="AJ19" s="42"/>
    </row>
    <row r="20" spans="1:36" ht="42" x14ac:dyDescent="0.55000000000000004">
      <c r="A20" s="44" t="str">
        <f>Data!K19</f>
        <v xml:space="preserve">Cigna Out Of Network </v>
      </c>
      <c r="B20" s="44" t="str">
        <f>Data!L19</f>
        <v>8004486262</v>
      </c>
      <c r="C20" s="44" t="str">
        <f>Data!D19</f>
        <v>Mokry, Lila</v>
      </c>
      <c r="D20" s="82" t="str">
        <f>Data!F19</f>
        <v>u34464213</v>
      </c>
      <c r="E20" s="82" t="str">
        <f>Data!B19</f>
        <v>7171</v>
      </c>
      <c r="F20" s="44" t="str">
        <f>Data!A19</f>
        <v>Mokry, Lila</v>
      </c>
      <c r="G20" s="55" t="str">
        <f>Data!C19</f>
        <v>8/15/2016</v>
      </c>
      <c r="H20" s="56">
        <f>Data!H19</f>
        <v>44343</v>
      </c>
      <c r="I20" s="56" t="str">
        <f>Data!I19</f>
        <v>6/2/2021</v>
      </c>
      <c r="J20" s="57">
        <f>Data!J19</f>
        <v>256.39999999999998</v>
      </c>
      <c r="K20" s="58">
        <f t="shared" ca="1" si="0"/>
        <v>351</v>
      </c>
      <c r="L20" s="58">
        <f>Data!M19</f>
        <v>0</v>
      </c>
      <c r="M20" s="37" t="s">
        <v>30</v>
      </c>
      <c r="N20" s="43" t="str">
        <f>VLOOKUP(M20,Table1[#All],3,FALSE)</f>
        <v>Claim not on file. Patient is active ;</v>
      </c>
      <c r="O20" s="40" t="str">
        <f>VLOOKUP(M20,Table1[#All],4,FALSE)</f>
        <v>Payor ID &amp; Address:</v>
      </c>
      <c r="P20" s="39">
        <v>62308</v>
      </c>
      <c r="Q20" s="40" t="str">
        <f>VLOOKUP(M20,Table1[#All],5,FALSE)</f>
        <v>Fax # (If Fax Yes):</v>
      </c>
      <c r="R20" s="79">
        <v>8595502662</v>
      </c>
      <c r="S20" s="40" t="str">
        <f>VLOOKUP(M20,Table1[#All],6,FALSE)</f>
        <v>TFL in Mnths:</v>
      </c>
      <c r="T20" s="79" t="s">
        <v>3968</v>
      </c>
      <c r="U20" s="40" t="str">
        <f>VLOOKUP(M20,Table1[#All],7,FALSE)</f>
        <v>Call Ref#:</v>
      </c>
      <c r="V20" s="79">
        <v>1606</v>
      </c>
      <c r="W20" s="40" t="str">
        <f>VLOOKUP(M20,Table1[#All],8,FALSE)</f>
        <v>Cust Rep:</v>
      </c>
      <c r="X20" s="79" t="s">
        <v>3969</v>
      </c>
      <c r="Y20" s="44" t="str">
        <f>VLOOKUP(M20,Table1[#All],2,FALSE)</f>
        <v>Task Sub Pending Claims Queue</v>
      </c>
      <c r="Z20" s="59" t="str">
        <f>VLOOKUP(M20,Table1[#All],9,FALSE)</f>
        <v>Additional Notes:</v>
      </c>
      <c r="AA20" s="76" t="s">
        <v>4197</v>
      </c>
      <c r="AB20" s="117">
        <v>44701</v>
      </c>
      <c r="AC20" s="90" t="s">
        <v>185</v>
      </c>
      <c r="AD20" s="76" t="s">
        <v>177</v>
      </c>
      <c r="AE20" s="110" t="s">
        <v>3770</v>
      </c>
      <c r="AF20" s="110">
        <v>44655</v>
      </c>
      <c r="AG20" s="41" t="s">
        <v>100</v>
      </c>
      <c r="AH20" s="25"/>
      <c r="AI20" s="25"/>
      <c r="AJ20" s="42"/>
    </row>
    <row r="21" spans="1:36" ht="21" hidden="1" x14ac:dyDescent="0.55000000000000004">
      <c r="A21" s="44" t="str">
        <f>Data!K20</f>
        <v>Cigna</v>
      </c>
      <c r="B21" s="44" t="str">
        <f>Data!L20</f>
        <v>8002446224</v>
      </c>
      <c r="C21" s="44" t="str">
        <f>Data!D20</f>
        <v xml:space="preserve">Johnson , Alina </v>
      </c>
      <c r="D21" s="82" t="str">
        <f>Data!F20</f>
        <v xml:space="preserve">U26438292 </v>
      </c>
      <c r="E21" s="82" t="str">
        <f>Data!B20</f>
        <v>5823</v>
      </c>
      <c r="F21" s="44" t="str">
        <f>Data!A20</f>
        <v xml:space="preserve">Johnson , Alina </v>
      </c>
      <c r="G21" s="55" t="str">
        <f>Data!C20</f>
        <v>11/19/1975</v>
      </c>
      <c r="H21" s="56">
        <f>Data!H20</f>
        <v>44643</v>
      </c>
      <c r="I21" s="56" t="str">
        <f>Data!I20</f>
        <v>3/24/2022</v>
      </c>
      <c r="J21" s="57">
        <f>Data!J20</f>
        <v>496</v>
      </c>
      <c r="K21" s="58">
        <f t="shared" ca="1" si="0"/>
        <v>56</v>
      </c>
      <c r="L21" s="58">
        <f>Data!M20</f>
        <v>0</v>
      </c>
      <c r="M21" s="37" t="s">
        <v>26</v>
      </c>
      <c r="N21" s="43" t="str">
        <f>VLOOKUP(M21,Table1[#All],3,FALSE)</f>
        <v>Note</v>
      </c>
      <c r="O21" s="40" t="str">
        <f>VLOOKUP(M21,Table1[#All],4,FALSE)</f>
        <v>Q1</v>
      </c>
      <c r="P21" s="38"/>
      <c r="Q21" s="40" t="str">
        <f>VLOOKUP(M21,Table1[#All],5,FALSE)</f>
        <v>Q2</v>
      </c>
      <c r="R21" s="79"/>
      <c r="S21" s="40" t="str">
        <f>VLOOKUP(M21,Table1[#All],6,FALSE)</f>
        <v>Q3</v>
      </c>
      <c r="T21" s="79"/>
      <c r="U21" s="40" t="str">
        <f>VLOOKUP(M21,Table1[#All],7,FALSE)</f>
        <v>Q4</v>
      </c>
      <c r="V21" s="79"/>
      <c r="W21" s="40" t="str">
        <f>VLOOKUP(M21,Table1[#All],8,FALSE)</f>
        <v>Q5</v>
      </c>
      <c r="X21" s="79"/>
      <c r="Y21" s="44" t="str">
        <f>VLOOKUP(M21,Table1[#All],2,FALSE)</f>
        <v>Action</v>
      </c>
      <c r="Z21" s="59" t="str">
        <f>VLOOKUP(M21,Table1[#All],9,FALSE)</f>
        <v>Additional Notes:</v>
      </c>
      <c r="AA21" s="76"/>
      <c r="AB21" s="76"/>
      <c r="AC21" s="90" t="s">
        <v>91</v>
      </c>
      <c r="AD21" s="76" t="s">
        <v>91</v>
      </c>
      <c r="AE21" s="110"/>
      <c r="AF21" s="110"/>
      <c r="AG21" s="41" t="s">
        <v>91</v>
      </c>
      <c r="AH21" s="25"/>
      <c r="AI21" s="25"/>
      <c r="AJ21" s="42"/>
    </row>
    <row r="22" spans="1:36" ht="21" hidden="1" x14ac:dyDescent="0.55000000000000004">
      <c r="A22" s="44" t="str">
        <f>Data!K21</f>
        <v>Cigna</v>
      </c>
      <c r="B22" s="44" t="str">
        <f>Data!L21</f>
        <v>8002446224</v>
      </c>
      <c r="C22" s="44" t="str">
        <f>Data!D21</f>
        <v>Johnson, Aila</v>
      </c>
      <c r="D22" s="82" t="str">
        <f>Data!F21</f>
        <v xml:space="preserve">U26438292 </v>
      </c>
      <c r="E22" s="82" t="str">
        <f>Data!B21</f>
        <v>9036</v>
      </c>
      <c r="F22" s="44" t="str">
        <f>Data!A21</f>
        <v>Johnson, Aila</v>
      </c>
      <c r="G22" s="55" t="str">
        <f>Data!C21</f>
        <v>11/19/1975</v>
      </c>
      <c r="H22" s="56">
        <f>Data!H21</f>
        <v>44643</v>
      </c>
      <c r="I22" s="56" t="str">
        <f>Data!I21</f>
        <v>3/24/2022</v>
      </c>
      <c r="J22" s="57">
        <f>Data!J21</f>
        <v>396</v>
      </c>
      <c r="K22" s="58">
        <f t="shared" ca="1" si="0"/>
        <v>56</v>
      </c>
      <c r="L22" s="58">
        <f>Data!M21</f>
        <v>0</v>
      </c>
      <c r="M22" s="37" t="s">
        <v>26</v>
      </c>
      <c r="N22" s="43" t="str">
        <f>VLOOKUP(M22,Table1[#All],3,FALSE)</f>
        <v>Note</v>
      </c>
      <c r="O22" s="40" t="str">
        <f>VLOOKUP(M22,Table1[#All],4,FALSE)</f>
        <v>Q1</v>
      </c>
      <c r="P22" s="39"/>
      <c r="Q22" s="40" t="str">
        <f>VLOOKUP(M22,Table1[#All],5,FALSE)</f>
        <v>Q2</v>
      </c>
      <c r="R22" s="79"/>
      <c r="S22" s="40" t="str">
        <f>VLOOKUP(M22,Table1[#All],6,FALSE)</f>
        <v>Q3</v>
      </c>
      <c r="T22" s="79"/>
      <c r="U22" s="40" t="str">
        <f>VLOOKUP(M22,Table1[#All],7,FALSE)</f>
        <v>Q4</v>
      </c>
      <c r="V22" s="79"/>
      <c r="W22" s="40" t="str">
        <f>VLOOKUP(M22,Table1[#All],8,FALSE)</f>
        <v>Q5</v>
      </c>
      <c r="X22" s="79"/>
      <c r="Y22" s="44" t="str">
        <f>VLOOKUP(M22,Table1[#All],2,FALSE)</f>
        <v>Action</v>
      </c>
      <c r="Z22" s="59" t="str">
        <f>VLOOKUP(M22,Table1[#All],9,FALSE)</f>
        <v>Additional Notes:</v>
      </c>
      <c r="AA22" s="76"/>
      <c r="AB22" s="76"/>
      <c r="AC22" s="90" t="s">
        <v>91</v>
      </c>
      <c r="AD22" s="76" t="s">
        <v>91</v>
      </c>
      <c r="AE22" s="77"/>
      <c r="AF22" s="110"/>
      <c r="AG22" s="41" t="s">
        <v>91</v>
      </c>
      <c r="AH22" s="25"/>
      <c r="AI22" s="25"/>
      <c r="AJ22" s="42"/>
    </row>
    <row r="23" spans="1:36" ht="21" hidden="1" x14ac:dyDescent="0.55000000000000004">
      <c r="A23" s="44" t="str">
        <f>Data!K22</f>
        <v>Cigna</v>
      </c>
      <c r="B23" s="44" t="str">
        <f>Data!L22</f>
        <v>8002446224</v>
      </c>
      <c r="C23" s="44" t="str">
        <f>Data!D22</f>
        <v>Kienia, Jaxon</v>
      </c>
      <c r="D23" s="82" t="str">
        <f>Data!F22</f>
        <v>U53657370</v>
      </c>
      <c r="E23" s="82" t="str">
        <f>Data!B22</f>
        <v>7711</v>
      </c>
      <c r="F23" s="44" t="str">
        <f>Data!A22</f>
        <v>Kienia, Jaxon</v>
      </c>
      <c r="G23" s="55" t="str">
        <f>Data!C22</f>
        <v>12/2/1990</v>
      </c>
      <c r="H23" s="56">
        <f>Data!H22</f>
        <v>44636</v>
      </c>
      <c r="I23" s="56" t="str">
        <f>Data!I22</f>
        <v>3/17/2022</v>
      </c>
      <c r="J23" s="57">
        <f>Data!J22</f>
        <v>940</v>
      </c>
      <c r="K23" s="58">
        <f t="shared" ca="1" si="0"/>
        <v>63</v>
      </c>
      <c r="L23" s="58">
        <f>Data!M22</f>
        <v>0</v>
      </c>
      <c r="M23" s="37" t="s">
        <v>26</v>
      </c>
      <c r="N23" s="43" t="str">
        <f>VLOOKUP(M23,Table1[#All],3,FALSE)</f>
        <v>Note</v>
      </c>
      <c r="O23" s="40" t="str">
        <f>VLOOKUP(M23,Table1[#All],4,FALSE)</f>
        <v>Q1</v>
      </c>
      <c r="P23" s="39"/>
      <c r="Q23" s="40" t="str">
        <f>VLOOKUP(M23,Table1[#All],5,FALSE)</f>
        <v>Q2</v>
      </c>
      <c r="R23" s="79"/>
      <c r="S23" s="40" t="str">
        <f>VLOOKUP(M23,Table1[#All],6,FALSE)</f>
        <v>Q3</v>
      </c>
      <c r="T23" s="79"/>
      <c r="U23" s="40" t="str">
        <f>VLOOKUP(M23,Table1[#All],7,FALSE)</f>
        <v>Q4</v>
      </c>
      <c r="V23" s="79"/>
      <c r="W23" s="40" t="str">
        <f>VLOOKUP(M23,Table1[#All],8,FALSE)</f>
        <v>Q5</v>
      </c>
      <c r="X23" s="79"/>
      <c r="Y23" s="44" t="str">
        <f>VLOOKUP(M23,Table1[#All],2,FALSE)</f>
        <v>Action</v>
      </c>
      <c r="Z23" s="59" t="str">
        <f>VLOOKUP(M23,Table1[#All],9,FALSE)</f>
        <v>Additional Notes:</v>
      </c>
      <c r="AA23" s="76"/>
      <c r="AB23" s="76"/>
      <c r="AC23" s="90" t="s">
        <v>91</v>
      </c>
      <c r="AD23" s="76" t="s">
        <v>91</v>
      </c>
      <c r="AE23" s="77"/>
      <c r="AF23" s="110"/>
      <c r="AG23" s="41" t="s">
        <v>91</v>
      </c>
      <c r="AH23" s="25"/>
      <c r="AI23" s="25"/>
      <c r="AJ23" s="42"/>
    </row>
    <row r="24" spans="1:36" ht="21" hidden="1" x14ac:dyDescent="0.55000000000000004">
      <c r="A24" s="44" t="str">
        <f>Data!K23</f>
        <v>Cigna</v>
      </c>
      <c r="B24" s="44" t="str">
        <f>Data!L23</f>
        <v>8002446224</v>
      </c>
      <c r="C24" s="44" t="str">
        <f>Data!D23</f>
        <v>Michaelis, Benjamin</v>
      </c>
      <c r="D24" s="82" t="str">
        <f>Data!F23</f>
        <v>U50621274</v>
      </c>
      <c r="E24" s="82" t="str">
        <f>Data!B23</f>
        <v>8777</v>
      </c>
      <c r="F24" s="44" t="str">
        <f>Data!A23</f>
        <v>Michaelis, Benjamin</v>
      </c>
      <c r="G24" s="55" t="str">
        <f>Data!C23</f>
        <v>12/13/1986</v>
      </c>
      <c r="H24" s="56">
        <f>Data!H23</f>
        <v>44630</v>
      </c>
      <c r="I24" s="56" t="str">
        <f>Data!I23</f>
        <v>3/11/2022</v>
      </c>
      <c r="J24" s="57">
        <f>Data!J23</f>
        <v>1062</v>
      </c>
      <c r="K24" s="58">
        <f t="shared" ca="1" si="0"/>
        <v>69</v>
      </c>
      <c r="L24" s="58">
        <f>Data!M23</f>
        <v>0</v>
      </c>
      <c r="M24" s="37" t="s">
        <v>26</v>
      </c>
      <c r="N24" s="43" t="str">
        <f>VLOOKUP(M24,Table1[#All],3,FALSE)</f>
        <v>Note</v>
      </c>
      <c r="O24" s="40" t="str">
        <f>VLOOKUP(M24,Table1[#All],4,FALSE)</f>
        <v>Q1</v>
      </c>
      <c r="P24" s="39"/>
      <c r="Q24" s="40" t="str">
        <f>VLOOKUP(M24,Table1[#All],5,FALSE)</f>
        <v>Q2</v>
      </c>
      <c r="R24" s="79"/>
      <c r="S24" s="40" t="str">
        <f>VLOOKUP(M24,Table1[#All],6,FALSE)</f>
        <v>Q3</v>
      </c>
      <c r="T24" s="79"/>
      <c r="U24" s="40" t="str">
        <f>VLOOKUP(M24,Table1[#All],7,FALSE)</f>
        <v>Q4</v>
      </c>
      <c r="V24" s="79"/>
      <c r="W24" s="40" t="str">
        <f>VLOOKUP(M24,Table1[#All],8,FALSE)</f>
        <v>Q5</v>
      </c>
      <c r="X24" s="79"/>
      <c r="Y24" s="44" t="str">
        <f>VLOOKUP(M24,Table1[#All],2,FALSE)</f>
        <v>Action</v>
      </c>
      <c r="Z24" s="59" t="str">
        <f>VLOOKUP(M24,Table1[#All],9,FALSE)</f>
        <v>Additional Notes:</v>
      </c>
      <c r="AA24" s="76"/>
      <c r="AB24" s="76"/>
      <c r="AC24" s="90" t="s">
        <v>91</v>
      </c>
      <c r="AD24" s="76" t="s">
        <v>91</v>
      </c>
      <c r="AE24" s="77"/>
      <c r="AF24" s="110"/>
      <c r="AG24" s="41" t="s">
        <v>91</v>
      </c>
      <c r="AH24" s="25"/>
      <c r="AI24" s="25"/>
      <c r="AJ24" s="42"/>
    </row>
    <row r="25" spans="1:36" ht="21" hidden="1" x14ac:dyDescent="0.55000000000000004">
      <c r="A25" s="44" t="str">
        <f>Data!K24</f>
        <v>Cigna</v>
      </c>
      <c r="B25" s="44" t="str">
        <f>Data!L24</f>
        <v>8002446224</v>
      </c>
      <c r="C25" s="44" t="str">
        <f>Data!D24</f>
        <v>Salgado, Manuel</v>
      </c>
      <c r="D25" s="82" t="str">
        <f>Data!F24</f>
        <v>U52668717</v>
      </c>
      <c r="E25" s="82" t="str">
        <f>Data!B24</f>
        <v>9237</v>
      </c>
      <c r="F25" s="44" t="str">
        <f>Data!A24</f>
        <v>Salgado, Manuel</v>
      </c>
      <c r="G25" s="55" t="str">
        <f>Data!C24</f>
        <v>10/30/1993</v>
      </c>
      <c r="H25" s="56">
        <f>Data!H24</f>
        <v>44630</v>
      </c>
      <c r="I25" s="56" t="str">
        <f>Data!I24</f>
        <v>3/11/2022</v>
      </c>
      <c r="J25" s="57">
        <f>Data!J24</f>
        <v>256.39999999999998</v>
      </c>
      <c r="K25" s="58">
        <f t="shared" ca="1" si="0"/>
        <v>69</v>
      </c>
      <c r="L25" s="58">
        <f>Data!M24</f>
        <v>0</v>
      </c>
      <c r="M25" s="37" t="s">
        <v>26</v>
      </c>
      <c r="N25" s="43" t="str">
        <f>VLOOKUP(M25,Table1[#All],3,FALSE)</f>
        <v>Note</v>
      </c>
      <c r="O25" s="40" t="str">
        <f>VLOOKUP(M25,Table1[#All],4,FALSE)</f>
        <v>Q1</v>
      </c>
      <c r="P25" s="39"/>
      <c r="Q25" s="40" t="str">
        <f>VLOOKUP(M25,Table1[#All],5,FALSE)</f>
        <v>Q2</v>
      </c>
      <c r="R25" s="79"/>
      <c r="S25" s="40" t="str">
        <f>VLOOKUP(M25,Table1[#All],6,FALSE)</f>
        <v>Q3</v>
      </c>
      <c r="T25" s="79"/>
      <c r="U25" s="40" t="str">
        <f>VLOOKUP(M25,Table1[#All],7,FALSE)</f>
        <v>Q4</v>
      </c>
      <c r="V25" s="79"/>
      <c r="W25" s="40" t="str">
        <f>VLOOKUP(M25,Table1[#All],8,FALSE)</f>
        <v>Q5</v>
      </c>
      <c r="X25" s="79"/>
      <c r="Y25" s="44" t="str">
        <f>VLOOKUP(M25,Table1[#All],2,FALSE)</f>
        <v>Action</v>
      </c>
      <c r="Z25" s="59" t="str">
        <f>VLOOKUP(M25,Table1[#All],9,FALSE)</f>
        <v>Additional Notes:</v>
      </c>
      <c r="AA25" s="76"/>
      <c r="AB25" s="76"/>
      <c r="AC25" s="90" t="s">
        <v>91</v>
      </c>
      <c r="AD25" s="76" t="s">
        <v>91</v>
      </c>
      <c r="AE25" s="77"/>
      <c r="AF25" s="110"/>
      <c r="AG25" s="41" t="s">
        <v>91</v>
      </c>
      <c r="AH25" s="25"/>
      <c r="AI25" s="25"/>
      <c r="AJ25" s="42"/>
    </row>
    <row r="26" spans="1:36" ht="21" hidden="1" x14ac:dyDescent="0.55000000000000004">
      <c r="A26" s="44" t="str">
        <f>Data!K25</f>
        <v>Cigna</v>
      </c>
      <c r="B26" s="44" t="str">
        <f>Data!L25</f>
        <v>8002446224</v>
      </c>
      <c r="C26" s="44" t="str">
        <f>Data!D25</f>
        <v xml:space="preserve">Cox, Racheal </v>
      </c>
      <c r="D26" s="82" t="str">
        <f>Data!F25</f>
        <v>U7550053602</v>
      </c>
      <c r="E26" s="82" t="str">
        <f>Data!B25</f>
        <v>7471</v>
      </c>
      <c r="F26" s="44" t="str">
        <f>Data!A25</f>
        <v xml:space="preserve">Cox, Racheal </v>
      </c>
      <c r="G26" s="55" t="str">
        <f>Data!C25</f>
        <v>11/27/1996</v>
      </c>
      <c r="H26" s="56">
        <f>Data!H25</f>
        <v>44384</v>
      </c>
      <c r="I26" s="56" t="str">
        <f>Data!I25</f>
        <v>3/7/2022</v>
      </c>
      <c r="J26" s="57">
        <f>Data!J25</f>
        <v>820.8</v>
      </c>
      <c r="K26" s="58">
        <f t="shared" ca="1" si="0"/>
        <v>73</v>
      </c>
      <c r="L26" s="58">
        <f>Data!M25</f>
        <v>0</v>
      </c>
      <c r="M26" s="37" t="s">
        <v>26</v>
      </c>
      <c r="N26" s="43" t="str">
        <f>VLOOKUP(M26,Table1[#All],3,FALSE)</f>
        <v>Note</v>
      </c>
      <c r="O26" s="40" t="str">
        <f>VLOOKUP(M26,Table1[#All],4,FALSE)</f>
        <v>Q1</v>
      </c>
      <c r="P26" s="38"/>
      <c r="Q26" s="40" t="str">
        <f>VLOOKUP(M26,Table1[#All],5,FALSE)</f>
        <v>Q2</v>
      </c>
      <c r="R26" s="79"/>
      <c r="S26" s="40" t="str">
        <f>VLOOKUP(M26,Table1[#All],6,FALSE)</f>
        <v>Q3</v>
      </c>
      <c r="T26" s="79"/>
      <c r="U26" s="40" t="str">
        <f>VLOOKUP(M26,Table1[#All],7,FALSE)</f>
        <v>Q4</v>
      </c>
      <c r="V26" s="79"/>
      <c r="W26" s="40" t="str">
        <f>VLOOKUP(M26,Table1[#All],8,FALSE)</f>
        <v>Q5</v>
      </c>
      <c r="X26" s="79"/>
      <c r="Y26" s="44" t="str">
        <f>VLOOKUP(M26,Table1[#All],2,FALSE)</f>
        <v>Action</v>
      </c>
      <c r="Z26" s="59" t="str">
        <f>VLOOKUP(M26,Table1[#All],9,FALSE)</f>
        <v>Additional Notes:</v>
      </c>
      <c r="AA26" s="76"/>
      <c r="AB26" s="76"/>
      <c r="AC26" s="90" t="s">
        <v>91</v>
      </c>
      <c r="AD26" s="76" t="s">
        <v>91</v>
      </c>
      <c r="AE26" s="77"/>
      <c r="AF26" s="110"/>
      <c r="AG26" s="41" t="s">
        <v>91</v>
      </c>
      <c r="AH26" s="25"/>
      <c r="AI26" s="25"/>
      <c r="AJ26" s="42"/>
    </row>
    <row r="27" spans="1:36" ht="21" hidden="1" x14ac:dyDescent="0.55000000000000004">
      <c r="A27" s="44" t="str">
        <f>Data!K26</f>
        <v>Cigna</v>
      </c>
      <c r="B27" s="44" t="str">
        <f>Data!L26</f>
        <v>8002446224</v>
      </c>
      <c r="C27" s="44" t="str">
        <f>Data!D26</f>
        <v>Sexton Free , Brittney</v>
      </c>
      <c r="D27" s="82" t="str">
        <f>Data!F26</f>
        <v>u65208005</v>
      </c>
      <c r="E27" s="82" t="str">
        <f>Data!B26</f>
        <v>5759</v>
      </c>
      <c r="F27" s="44" t="str">
        <f>Data!A26</f>
        <v>Sexton Free , Brittney</v>
      </c>
      <c r="G27" s="55" t="str">
        <f>Data!C26</f>
        <v>11/9/1994</v>
      </c>
      <c r="H27" s="56">
        <f>Data!H26</f>
        <v>44624</v>
      </c>
      <c r="I27" s="56" t="str">
        <f>Data!I26</f>
        <v>3/7/2022</v>
      </c>
      <c r="J27" s="57">
        <f>Data!J26</f>
        <v>1315.2</v>
      </c>
      <c r="K27" s="58">
        <f t="shared" ca="1" si="0"/>
        <v>73</v>
      </c>
      <c r="L27" s="58">
        <f>Data!M26</f>
        <v>0</v>
      </c>
      <c r="M27" s="37" t="s">
        <v>26</v>
      </c>
      <c r="N27" s="43" t="str">
        <f>VLOOKUP(M27,Table1[#All],3,FALSE)</f>
        <v>Note</v>
      </c>
      <c r="O27" s="40" t="str">
        <f>VLOOKUP(M27,Table1[#All],4,FALSE)</f>
        <v>Q1</v>
      </c>
      <c r="P27" s="38"/>
      <c r="Q27" s="40" t="str">
        <f>VLOOKUP(M27,Table1[#All],5,FALSE)</f>
        <v>Q2</v>
      </c>
      <c r="R27" s="79"/>
      <c r="S27" s="40" t="str">
        <f>VLOOKUP(M27,Table1[#All],6,FALSE)</f>
        <v>Q3</v>
      </c>
      <c r="T27" s="79"/>
      <c r="U27" s="40" t="str">
        <f>VLOOKUP(M27,Table1[#All],7,FALSE)</f>
        <v>Q4</v>
      </c>
      <c r="V27" s="79"/>
      <c r="W27" s="40" t="str">
        <f>VLOOKUP(M27,Table1[#All],8,FALSE)</f>
        <v>Q5</v>
      </c>
      <c r="X27" s="79"/>
      <c r="Y27" s="44" t="str">
        <f>VLOOKUP(M27,Table1[#All],2,FALSE)</f>
        <v>Action</v>
      </c>
      <c r="Z27" s="59" t="str">
        <f>VLOOKUP(M27,Table1[#All],9,FALSE)</f>
        <v>Additional Notes:</v>
      </c>
      <c r="AA27" s="76"/>
      <c r="AB27" s="76"/>
      <c r="AC27" s="90" t="s">
        <v>91</v>
      </c>
      <c r="AD27" s="76" t="s">
        <v>91</v>
      </c>
      <c r="AE27" s="77"/>
      <c r="AF27" s="110"/>
      <c r="AG27" s="41" t="s">
        <v>91</v>
      </c>
      <c r="AH27" s="25"/>
      <c r="AI27" s="25"/>
      <c r="AJ27" s="42"/>
    </row>
    <row r="28" spans="1:36" ht="42" hidden="1" x14ac:dyDescent="0.55000000000000004">
      <c r="A28" s="44" t="str">
        <f>Data!K27</f>
        <v>Cigna</v>
      </c>
      <c r="B28" s="44" t="str">
        <f>Data!L27</f>
        <v>8002446224</v>
      </c>
      <c r="C28" s="44" t="str">
        <f>Data!D27</f>
        <v>Sexton Free , Brittney</v>
      </c>
      <c r="D28" s="82" t="str">
        <f>Data!F27</f>
        <v>u65208005</v>
      </c>
      <c r="E28" s="82" t="str">
        <f>Data!B27</f>
        <v>5759</v>
      </c>
      <c r="F28" s="44" t="str">
        <f>Data!A27</f>
        <v>Sexton Free , Brittney</v>
      </c>
      <c r="G28" s="55" t="str">
        <f>Data!C27</f>
        <v>11/9/1994</v>
      </c>
      <c r="H28" s="56">
        <f>Data!H27</f>
        <v>44601</v>
      </c>
      <c r="I28" s="56" t="str">
        <f>Data!I27</f>
        <v>2/10/2022</v>
      </c>
      <c r="J28" s="57">
        <f>Data!J27</f>
        <v>253.2</v>
      </c>
      <c r="K28" s="58">
        <f t="shared" ca="1" si="0"/>
        <v>98</v>
      </c>
      <c r="L28" s="58">
        <f>Data!M27</f>
        <v>0</v>
      </c>
      <c r="M28" s="37" t="s">
        <v>45</v>
      </c>
      <c r="N28" s="43" t="str">
        <f>VLOOKUP(M28,Table1[#All],3,FALSE)</f>
        <v>Procedure is not a covered benefit;</v>
      </c>
      <c r="O28" s="40" t="str">
        <f>VLOOKUP(M28,Table1[#All],4,FALSE)</f>
        <v xml:space="preserve">Why? </v>
      </c>
      <c r="P28" s="39" t="s">
        <v>4001</v>
      </c>
      <c r="Q28" s="40" t="str">
        <f>VLOOKUP(M28,Table1[#All],5,FALSE)</f>
        <v>Call Ref#:</v>
      </c>
      <c r="R28" s="79">
        <v>1142</v>
      </c>
      <c r="S28" s="40" t="str">
        <f>VLOOKUP(M28,Table1[#All],6,FALSE)</f>
        <v>Cust Rep:</v>
      </c>
      <c r="T28" s="79" t="s">
        <v>4189</v>
      </c>
      <c r="U28" s="40">
        <f>VLOOKUP(M28,Table1[#All],7,FALSE)</f>
        <v>0</v>
      </c>
      <c r="V28" s="79"/>
      <c r="W28" s="40">
        <f>VLOOKUP(M28,Table1[#All],8,FALSE)</f>
        <v>0</v>
      </c>
      <c r="X28" s="79"/>
      <c r="Y28" s="44" t="str">
        <f>VLOOKUP(M28,Table1[#All],2,FALSE)</f>
        <v xml:space="preserve">Task Client - Denied Claim Queue </v>
      </c>
      <c r="Z28" s="59" t="str">
        <f>VLOOKUP(M28,Table1[#All],9,FALSE)</f>
        <v>Additional Notes:</v>
      </c>
      <c r="AA28" s="76" t="s">
        <v>4227</v>
      </c>
      <c r="AB28" s="117" t="s">
        <v>3957</v>
      </c>
      <c r="AC28" s="90" t="s">
        <v>115</v>
      </c>
      <c r="AD28" s="76" t="s">
        <v>177</v>
      </c>
      <c r="AE28" s="77" t="s">
        <v>3770</v>
      </c>
      <c r="AF28" s="110">
        <v>44698</v>
      </c>
      <c r="AG28" s="41" t="s">
        <v>97</v>
      </c>
      <c r="AH28" s="25"/>
      <c r="AI28" s="25"/>
      <c r="AJ28" s="42"/>
    </row>
    <row r="29" spans="1:36" ht="21" hidden="1" x14ac:dyDescent="0.55000000000000004">
      <c r="A29" s="44" t="str">
        <f>Data!K28</f>
        <v>Cigna</v>
      </c>
      <c r="B29" s="44" t="str">
        <f>Data!L28</f>
        <v>8002446224</v>
      </c>
      <c r="C29" s="44" t="str">
        <f>Data!D28</f>
        <v>Sexton Free , Brittney</v>
      </c>
      <c r="D29" s="82" t="str">
        <f>Data!F28</f>
        <v>u65208005</v>
      </c>
      <c r="E29" s="82" t="str">
        <f>Data!B28</f>
        <v>5759</v>
      </c>
      <c r="F29" s="44" t="str">
        <f>Data!A28</f>
        <v>Sexton Free , Brittney</v>
      </c>
      <c r="G29" s="55" t="str">
        <f>Data!C28</f>
        <v>11/9/1994</v>
      </c>
      <c r="H29" s="56">
        <f>Data!H28</f>
        <v>44573</v>
      </c>
      <c r="I29" s="56" t="str">
        <f>Data!I28</f>
        <v>1/17/2022</v>
      </c>
      <c r="J29" s="57">
        <f>Data!J28</f>
        <v>210</v>
      </c>
      <c r="K29" s="58">
        <f t="shared" ca="1" si="0"/>
        <v>122</v>
      </c>
      <c r="L29" s="58">
        <f>Data!M28</f>
        <v>0</v>
      </c>
      <c r="M29" s="37" t="s">
        <v>5</v>
      </c>
      <c r="N29" s="43" t="str">
        <f>VLOOKUP(M29,Table1[#All],3,FALSE)</f>
        <v>Claim Paid by EFT;</v>
      </c>
      <c r="O29" s="40" t="str">
        <f>VLOOKUP(M29,Table1[#All],4,FALSE)</f>
        <v>Issue Date:</v>
      </c>
      <c r="P29" s="38">
        <v>44580</v>
      </c>
      <c r="Q29" s="40" t="str">
        <f>VLOOKUP(M29,Table1[#All],5,FALSE)</f>
        <v>EFT#</v>
      </c>
      <c r="R29" s="79">
        <v>9999730907</v>
      </c>
      <c r="S29" s="40" t="str">
        <f>VLOOKUP(M29,Table1[#All],6,FALSE)</f>
        <v>Bulk/Sep:</v>
      </c>
      <c r="T29" s="79" t="s">
        <v>3800</v>
      </c>
      <c r="U29" s="40" t="str">
        <f>VLOOKUP(M29,Table1[#All],7,FALSE)</f>
        <v>Call Ref#:</v>
      </c>
      <c r="V29" s="79">
        <v>83827</v>
      </c>
      <c r="W29" s="40" t="str">
        <f>VLOOKUP(M29,Table1[#All],8,FALSE)</f>
        <v>Cust Rep:</v>
      </c>
      <c r="X29" s="79" t="s">
        <v>3970</v>
      </c>
      <c r="Y29" s="44" t="str">
        <f>VLOOKUP(M29,Table1[#All],2,FALSE)</f>
        <v xml:space="preserve">Task Post Pmt Queue </v>
      </c>
      <c r="Z29" s="59" t="str">
        <f>VLOOKUP(M29,Table1[#All],9,FALSE)</f>
        <v>Additional Notes:</v>
      </c>
      <c r="AA29" s="76" t="s">
        <v>4141</v>
      </c>
      <c r="AB29" s="76" t="s">
        <v>3816</v>
      </c>
      <c r="AC29" s="90" t="s">
        <v>115</v>
      </c>
      <c r="AD29" s="76" t="s">
        <v>177</v>
      </c>
      <c r="AE29" s="77" t="s">
        <v>3799</v>
      </c>
      <c r="AF29" s="110">
        <v>44606</v>
      </c>
      <c r="AG29" s="41" t="s">
        <v>101</v>
      </c>
      <c r="AH29" s="25"/>
      <c r="AI29" s="25"/>
      <c r="AJ29" s="42"/>
    </row>
    <row r="30" spans="1:36" ht="21" hidden="1" x14ac:dyDescent="0.55000000000000004">
      <c r="A30" s="44" t="str">
        <f>Data!K29</f>
        <v>Cigna</v>
      </c>
      <c r="B30" s="44" t="str">
        <f>Data!L29</f>
        <v>8002446224</v>
      </c>
      <c r="C30" s="44" t="str">
        <f>Data!D29</f>
        <v xml:space="preserve">Gibson, Karl </v>
      </c>
      <c r="D30" s="82" t="str">
        <f>Data!F29</f>
        <v>U39194271</v>
      </c>
      <c r="E30" s="82" t="str">
        <f>Data!B29</f>
        <v>8803</v>
      </c>
      <c r="F30" s="44" t="str">
        <f>Data!A29</f>
        <v xml:space="preserve">Gibson, Karl </v>
      </c>
      <c r="G30" s="55" t="str">
        <f>Data!C29</f>
        <v>4/7/1988</v>
      </c>
      <c r="H30" s="56">
        <f>Data!H29</f>
        <v>44575</v>
      </c>
      <c r="I30" s="56" t="str">
        <f>Data!I29</f>
        <v>1/17/2022</v>
      </c>
      <c r="J30" s="57">
        <f>Data!J29</f>
        <v>294.8</v>
      </c>
      <c r="K30" s="58">
        <f t="shared" ca="1" si="0"/>
        <v>122</v>
      </c>
      <c r="L30" s="58">
        <f>Data!M29</f>
        <v>0</v>
      </c>
      <c r="M30" s="37" t="s">
        <v>5</v>
      </c>
      <c r="N30" s="43" t="str">
        <f>VLOOKUP(M30,Table1[#All],3,FALSE)</f>
        <v>Claim Paid by EFT;</v>
      </c>
      <c r="O30" s="40" t="str">
        <f>VLOOKUP(M30,Table1[#All],4,FALSE)</f>
        <v>Issue Date:</v>
      </c>
      <c r="P30" s="38">
        <v>44580</v>
      </c>
      <c r="Q30" s="40" t="str">
        <f>VLOOKUP(M30,Table1[#All],5,FALSE)</f>
        <v>EFT#</v>
      </c>
      <c r="R30" s="79">
        <v>9999761865</v>
      </c>
      <c r="S30" s="40" t="str">
        <f>VLOOKUP(M30,Table1[#All],6,FALSE)</f>
        <v>Bulk/Sep:</v>
      </c>
      <c r="T30" s="79" t="s">
        <v>3800</v>
      </c>
      <c r="U30" s="40" t="str">
        <f>VLOOKUP(M30,Table1[#All],7,FALSE)</f>
        <v>Call Ref#:</v>
      </c>
      <c r="V30" s="79">
        <v>7994</v>
      </c>
      <c r="W30" s="40" t="str">
        <f>VLOOKUP(M30,Table1[#All],8,FALSE)</f>
        <v>Cust Rep:</v>
      </c>
      <c r="X30" s="79" t="s">
        <v>3970</v>
      </c>
      <c r="Y30" s="44" t="str">
        <f>VLOOKUP(M30,Table1[#All],2,FALSE)</f>
        <v xml:space="preserve">Task Post Pmt Queue </v>
      </c>
      <c r="Z30" s="59" t="str">
        <f>VLOOKUP(M30,Table1[#All],9,FALSE)</f>
        <v>Additional Notes:</v>
      </c>
      <c r="AA30" s="76" t="s">
        <v>3971</v>
      </c>
      <c r="AB30" s="76" t="s">
        <v>3816</v>
      </c>
      <c r="AC30" s="90" t="s">
        <v>115</v>
      </c>
      <c r="AD30" s="76" t="s">
        <v>177</v>
      </c>
      <c r="AE30" s="77" t="s">
        <v>3799</v>
      </c>
      <c r="AF30" s="110">
        <v>44606</v>
      </c>
      <c r="AG30" s="41" t="s">
        <v>101</v>
      </c>
      <c r="AH30" s="25"/>
      <c r="AI30" s="25"/>
      <c r="AJ30" s="42"/>
    </row>
    <row r="31" spans="1:36" ht="42" x14ac:dyDescent="0.55000000000000004">
      <c r="A31" s="44" t="str">
        <f>Data!K30</f>
        <v>Cigna</v>
      </c>
      <c r="B31" s="44" t="str">
        <f>Data!L30</f>
        <v>8002446224</v>
      </c>
      <c r="C31" s="44" t="str">
        <f>Data!D30</f>
        <v>Huston, Olivia</v>
      </c>
      <c r="D31" s="82" t="str">
        <f>Data!F30</f>
        <v>U39194271</v>
      </c>
      <c r="E31" s="82" t="str">
        <f>Data!B30</f>
        <v>8802</v>
      </c>
      <c r="F31" s="44" t="str">
        <f>Data!A30</f>
        <v>Huston, Olivia</v>
      </c>
      <c r="G31" s="55" t="str">
        <f>Data!C30</f>
        <v>4/7/1988</v>
      </c>
      <c r="H31" s="56">
        <f>Data!H30</f>
        <v>44575</v>
      </c>
      <c r="I31" s="56" t="str">
        <f>Data!I30</f>
        <v>1/17/2022</v>
      </c>
      <c r="J31" s="57">
        <f>Data!J30</f>
        <v>256.39999999999998</v>
      </c>
      <c r="K31" s="58">
        <f t="shared" ca="1" si="0"/>
        <v>122</v>
      </c>
      <c r="L31" s="58">
        <f>Data!M30</f>
        <v>0</v>
      </c>
      <c r="M31" s="37" t="s">
        <v>30</v>
      </c>
      <c r="N31" s="43" t="str">
        <f>VLOOKUP(M31,Table1[#All],3,FALSE)</f>
        <v>Claim not on file. Patient is active ;</v>
      </c>
      <c r="O31" s="40" t="str">
        <f>VLOOKUP(M31,Table1[#All],4,FALSE)</f>
        <v>Payor ID &amp; Address:</v>
      </c>
      <c r="P31" s="38">
        <v>62308</v>
      </c>
      <c r="Q31" s="40" t="str">
        <f>VLOOKUP(M31,Table1[#All],5,FALSE)</f>
        <v>Fax # (If Fax Yes):</v>
      </c>
      <c r="R31" s="79">
        <v>8595502662</v>
      </c>
      <c r="S31" s="40" t="str">
        <f>VLOOKUP(M31,Table1[#All],6,FALSE)</f>
        <v>TFL in Mnths:</v>
      </c>
      <c r="T31" s="79" t="s">
        <v>3968</v>
      </c>
      <c r="U31" s="40" t="str">
        <f>VLOOKUP(M31,Table1[#All],7,FALSE)</f>
        <v>Call Ref#:</v>
      </c>
      <c r="V31" s="79">
        <v>6550</v>
      </c>
      <c r="W31" s="40" t="str">
        <f>VLOOKUP(M31,Table1[#All],8,FALSE)</f>
        <v>Cust Rep:</v>
      </c>
      <c r="X31" s="79" t="s">
        <v>3970</v>
      </c>
      <c r="Y31" s="44" t="str">
        <f>VLOOKUP(M31,Table1[#All],2,FALSE)</f>
        <v>Task Sub Pending Claims Queue</v>
      </c>
      <c r="Z31" s="59" t="str">
        <f>VLOOKUP(M31,Table1[#All],9,FALSE)</f>
        <v>Additional Notes:</v>
      </c>
      <c r="AA31" s="76" t="s">
        <v>4198</v>
      </c>
      <c r="AB31" s="117">
        <v>44701</v>
      </c>
      <c r="AC31" s="90" t="s">
        <v>185</v>
      </c>
      <c r="AD31" s="76" t="s">
        <v>177</v>
      </c>
      <c r="AE31" s="77" t="s">
        <v>3708</v>
      </c>
      <c r="AF31" s="110">
        <v>44606</v>
      </c>
      <c r="AG31" s="41" t="s">
        <v>100</v>
      </c>
      <c r="AH31" s="25"/>
      <c r="AI31" s="25"/>
      <c r="AJ31" s="42"/>
    </row>
    <row r="32" spans="1:36" ht="21" hidden="1" x14ac:dyDescent="0.55000000000000004">
      <c r="A32" s="44" t="str">
        <f>Data!K31</f>
        <v>Cigna</v>
      </c>
      <c r="B32" s="44" t="str">
        <f>Data!L31</f>
        <v>8002446224</v>
      </c>
      <c r="C32" s="44" t="str">
        <f>Data!D31</f>
        <v>Michaelis, Benjamin</v>
      </c>
      <c r="D32" s="82" t="str">
        <f>Data!F31</f>
        <v>U50621274</v>
      </c>
      <c r="E32" s="82" t="str">
        <f>Data!B31</f>
        <v>8777</v>
      </c>
      <c r="F32" s="44" t="str">
        <f>Data!A31</f>
        <v>Michaelis, Benjamin</v>
      </c>
      <c r="G32" s="55" t="str">
        <f>Data!C31</f>
        <v>12/13/1986</v>
      </c>
      <c r="H32" s="56">
        <f>Data!H31</f>
        <v>44566</v>
      </c>
      <c r="I32" s="56" t="str">
        <f>Data!I31</f>
        <v>1/12/2022</v>
      </c>
      <c r="J32" s="57">
        <f>Data!J31</f>
        <v>186</v>
      </c>
      <c r="K32" s="58">
        <f t="shared" ca="1" si="0"/>
        <v>127</v>
      </c>
      <c r="L32" s="58">
        <f>Data!M31</f>
        <v>0</v>
      </c>
      <c r="M32" s="37" t="s">
        <v>5</v>
      </c>
      <c r="N32" s="43" t="str">
        <f>VLOOKUP(M32,Table1[#All],3,FALSE)</f>
        <v>Claim Paid by EFT;</v>
      </c>
      <c r="O32" s="40" t="str">
        <f>VLOOKUP(M32,Table1[#All],4,FALSE)</f>
        <v>Issue Date:</v>
      </c>
      <c r="P32" s="38">
        <v>44575</v>
      </c>
      <c r="Q32" s="40" t="str">
        <f>VLOOKUP(M32,Table1[#All],5,FALSE)</f>
        <v>EFT#</v>
      </c>
      <c r="R32" s="79">
        <v>9999761866</v>
      </c>
      <c r="S32" s="40" t="str">
        <f>VLOOKUP(M32,Table1[#All],6,FALSE)</f>
        <v>Bulk/Sep:</v>
      </c>
      <c r="T32" s="79" t="s">
        <v>3972</v>
      </c>
      <c r="U32" s="40" t="str">
        <f>VLOOKUP(M32,Table1[#All],7,FALSE)</f>
        <v>Call Ref#:</v>
      </c>
      <c r="V32" s="79">
        <v>5749</v>
      </c>
      <c r="W32" s="40" t="str">
        <f>VLOOKUP(M32,Table1[#All],8,FALSE)</f>
        <v>Cust Rep:</v>
      </c>
      <c r="X32" s="79" t="s">
        <v>3973</v>
      </c>
      <c r="Y32" s="44" t="str">
        <f>VLOOKUP(M32,Table1[#All],2,FALSE)</f>
        <v xml:space="preserve">Task Post Pmt Queue </v>
      </c>
      <c r="Z32" s="59" t="str">
        <f>VLOOKUP(M32,Table1[#All],9,FALSE)</f>
        <v>Additional Notes:</v>
      </c>
      <c r="AA32" s="76" t="s">
        <v>3974</v>
      </c>
      <c r="AB32" s="76" t="s">
        <v>3697</v>
      </c>
      <c r="AC32" s="90" t="s">
        <v>115</v>
      </c>
      <c r="AD32" s="76" t="s">
        <v>177</v>
      </c>
      <c r="AE32" s="77" t="s">
        <v>3770</v>
      </c>
      <c r="AF32" s="110">
        <v>44663</v>
      </c>
      <c r="AG32" s="41" t="s">
        <v>101</v>
      </c>
      <c r="AH32" s="25"/>
      <c r="AI32" s="25"/>
      <c r="AJ32" s="42"/>
    </row>
    <row r="33" spans="1:36" ht="21" hidden="1" x14ac:dyDescent="0.55000000000000004">
      <c r="A33" s="44" t="str">
        <f>Data!K32</f>
        <v>Cigna</v>
      </c>
      <c r="B33" s="44" t="str">
        <f>Data!L32</f>
        <v>8002446224</v>
      </c>
      <c r="C33" s="44" t="str">
        <f>Data!D32</f>
        <v>Delk, Mark</v>
      </c>
      <c r="D33" s="82" t="str">
        <f>Data!F32</f>
        <v>U62450847</v>
      </c>
      <c r="E33" s="82" t="str">
        <f>Data!B32</f>
        <v>8713</v>
      </c>
      <c r="F33" s="44" t="str">
        <f>Data!A32</f>
        <v>Delk, Mark</v>
      </c>
      <c r="G33" s="55" t="str">
        <f>Data!C32</f>
        <v>7/1/1961</v>
      </c>
      <c r="H33" s="56">
        <f>Data!H32</f>
        <v>44557</v>
      </c>
      <c r="I33" s="56" t="str">
        <f>Data!I32</f>
        <v>12/30/2021</v>
      </c>
      <c r="J33" s="57">
        <f>Data!J32</f>
        <v>372.8</v>
      </c>
      <c r="K33" s="58">
        <f t="shared" ca="1" si="0"/>
        <v>140</v>
      </c>
      <c r="L33" s="58">
        <f>Data!M32</f>
        <v>0</v>
      </c>
      <c r="M33" s="37" t="s">
        <v>5</v>
      </c>
      <c r="N33" s="43" t="str">
        <f>VLOOKUP(M33,Table1[#All],3,FALSE)</f>
        <v>Claim Paid by EFT;</v>
      </c>
      <c r="O33" s="40" t="str">
        <f>VLOOKUP(M33,Table1[#All],4,FALSE)</f>
        <v>Issue Date:</v>
      </c>
      <c r="P33" s="38">
        <v>44561</v>
      </c>
      <c r="Q33" s="40" t="str">
        <f>VLOOKUP(M33,Table1[#All],5,FALSE)</f>
        <v>EFT#</v>
      </c>
      <c r="R33" s="79">
        <v>9999367367</v>
      </c>
      <c r="S33" s="40" t="str">
        <f>VLOOKUP(M33,Table1[#All],6,FALSE)</f>
        <v>Bulk/Sep:</v>
      </c>
      <c r="T33" s="79" t="s">
        <v>3975</v>
      </c>
      <c r="U33" s="40" t="str">
        <f>VLOOKUP(M33,Table1[#All],7,FALSE)</f>
        <v>Call Ref#:</v>
      </c>
      <c r="V33" s="79">
        <v>4651</v>
      </c>
      <c r="W33" s="40" t="str">
        <f>VLOOKUP(M33,Table1[#All],8,FALSE)</f>
        <v>Cust Rep:</v>
      </c>
      <c r="X33" s="79" t="s">
        <v>3976</v>
      </c>
      <c r="Y33" s="44" t="str">
        <f>VLOOKUP(M33,Table1[#All],2,FALSE)</f>
        <v xml:space="preserve">Task Post Pmt Queue </v>
      </c>
      <c r="Z33" s="59" t="str">
        <f>VLOOKUP(M33,Table1[#All],9,FALSE)</f>
        <v>Additional Notes:</v>
      </c>
      <c r="AA33" s="76" t="s">
        <v>4156</v>
      </c>
      <c r="AB33" s="76" t="s">
        <v>3697</v>
      </c>
      <c r="AC33" s="90" t="s">
        <v>115</v>
      </c>
      <c r="AD33" s="76" t="s">
        <v>177</v>
      </c>
      <c r="AE33" s="77" t="s">
        <v>4157</v>
      </c>
      <c r="AF33" s="110">
        <v>44655</v>
      </c>
      <c r="AG33" s="41" t="s">
        <v>101</v>
      </c>
      <c r="AH33" s="25"/>
      <c r="AI33" s="25"/>
      <c r="AJ33" s="42"/>
    </row>
    <row r="34" spans="1:36" ht="21" hidden="1" x14ac:dyDescent="0.55000000000000004">
      <c r="A34" s="44" t="str">
        <f>Data!K33</f>
        <v>Cigna</v>
      </c>
      <c r="B34" s="44" t="str">
        <f>Data!L33</f>
        <v>8002446224</v>
      </c>
      <c r="C34" s="44" t="str">
        <f>Data!D33</f>
        <v xml:space="preserve">Ramsey, Jerod </v>
      </c>
      <c r="D34" s="82" t="str">
        <f>Data!F33</f>
        <v>U69059849</v>
      </c>
      <c r="E34" s="82" t="str">
        <f>Data!B33</f>
        <v>8165</v>
      </c>
      <c r="F34" s="44" t="str">
        <f>Data!A33</f>
        <v xml:space="preserve">Ramsey, Jerod </v>
      </c>
      <c r="G34" s="55" t="str">
        <f>Data!C33</f>
        <v>4/11/1992</v>
      </c>
      <c r="H34" s="56">
        <f>Data!H33</f>
        <v>44477</v>
      </c>
      <c r="I34" s="56" t="str">
        <f>Data!I33</f>
        <v>10/11/2021</v>
      </c>
      <c r="J34" s="57">
        <f>Data!J33</f>
        <v>244.8</v>
      </c>
      <c r="K34" s="58">
        <f t="shared" ca="1" si="0"/>
        <v>220</v>
      </c>
      <c r="L34" s="58">
        <f>Data!M33</f>
        <v>0</v>
      </c>
      <c r="M34" s="37" t="s">
        <v>5</v>
      </c>
      <c r="N34" s="43" t="str">
        <f>VLOOKUP(M34,Table1[#All],3,FALSE)</f>
        <v>Claim Paid by EFT;</v>
      </c>
      <c r="O34" s="40" t="str">
        <f>VLOOKUP(M34,Table1[#All],4,FALSE)</f>
        <v>Issue Date:</v>
      </c>
      <c r="P34" s="38">
        <v>44482</v>
      </c>
      <c r="Q34" s="40" t="str">
        <f>VLOOKUP(M34,Table1[#All],5,FALSE)</f>
        <v>EFT#</v>
      </c>
      <c r="R34" s="79">
        <v>9997740966</v>
      </c>
      <c r="S34" s="40" t="str">
        <f>VLOOKUP(M34,Table1[#All],6,FALSE)</f>
        <v>Bulk/Sep:</v>
      </c>
      <c r="T34" s="79" t="s">
        <v>3952</v>
      </c>
      <c r="U34" s="40" t="str">
        <f>VLOOKUP(M34,Table1[#All],7,FALSE)</f>
        <v>Call Ref#:</v>
      </c>
      <c r="V34" s="79">
        <v>5422</v>
      </c>
      <c r="W34" s="40" t="str">
        <f>VLOOKUP(M34,Table1[#All],8,FALSE)</f>
        <v>Cust Rep:</v>
      </c>
      <c r="X34" s="79" t="s">
        <v>3977</v>
      </c>
      <c r="Y34" s="44" t="str">
        <f>VLOOKUP(M34,Table1[#All],2,FALSE)</f>
        <v xml:space="preserve">Task Post Pmt Queue </v>
      </c>
      <c r="Z34" s="59" t="str">
        <f>VLOOKUP(M34,Table1[#All],9,FALSE)</f>
        <v>Additional Notes:</v>
      </c>
      <c r="AA34" s="76" t="s">
        <v>3978</v>
      </c>
      <c r="AB34" s="76" t="s">
        <v>3816</v>
      </c>
      <c r="AC34" s="90" t="s">
        <v>115</v>
      </c>
      <c r="AD34" s="76" t="s">
        <v>177</v>
      </c>
      <c r="AE34" s="77" t="s">
        <v>3708</v>
      </c>
      <c r="AF34" s="110">
        <v>44579</v>
      </c>
      <c r="AG34" s="41" t="s">
        <v>101</v>
      </c>
      <c r="AH34" s="25"/>
      <c r="AI34" s="25"/>
      <c r="AJ34" s="42"/>
    </row>
    <row r="35" spans="1:36" ht="21" hidden="1" x14ac:dyDescent="0.55000000000000004">
      <c r="A35" s="44" t="str">
        <f>Data!K34</f>
        <v>Cigna</v>
      </c>
      <c r="B35" s="44" t="str">
        <f>Data!L34</f>
        <v>8002446224</v>
      </c>
      <c r="C35" s="44" t="str">
        <f>Data!D34</f>
        <v>Kienia, Brooke</v>
      </c>
      <c r="D35" s="82" t="str">
        <f>Data!F34</f>
        <v>U53657370</v>
      </c>
      <c r="E35" s="82" t="str">
        <f>Data!B34</f>
        <v>7712</v>
      </c>
      <c r="F35" s="44" t="str">
        <f>Data!A34</f>
        <v>Kienia, Brooke</v>
      </c>
      <c r="G35" s="55" t="str">
        <f>Data!C34</f>
        <v>12/2/1990</v>
      </c>
      <c r="H35" s="56">
        <f>Data!H34</f>
        <v>44426</v>
      </c>
      <c r="I35" s="56" t="str">
        <f>Data!I34</f>
        <v>8/27/2021</v>
      </c>
      <c r="J35" s="57">
        <f>Data!J34</f>
        <v>273.2</v>
      </c>
      <c r="K35" s="58">
        <f t="shared" ca="1" si="0"/>
        <v>265</v>
      </c>
      <c r="L35" s="58">
        <f>Data!M34</f>
        <v>0</v>
      </c>
      <c r="M35" s="37" t="s">
        <v>5</v>
      </c>
      <c r="N35" s="43" t="str">
        <f>VLOOKUP(M35,Table1[#All],3,FALSE)</f>
        <v>Claim Paid by EFT;</v>
      </c>
      <c r="O35" s="40" t="str">
        <f>VLOOKUP(M35,Table1[#All],4,FALSE)</f>
        <v>Issue Date:</v>
      </c>
      <c r="P35" s="118">
        <v>44438</v>
      </c>
      <c r="Q35" s="40" t="str">
        <f>VLOOKUP(M35,Table1[#All],5,FALSE)</f>
        <v>EFT#</v>
      </c>
      <c r="R35" s="79">
        <v>128408296</v>
      </c>
      <c r="S35" s="40" t="str">
        <f>VLOOKUP(M35,Table1[#All],6,FALSE)</f>
        <v>Bulk/Sep:</v>
      </c>
      <c r="T35" s="79" t="s">
        <v>3800</v>
      </c>
      <c r="U35" s="40" t="str">
        <f>VLOOKUP(M35,Table1[#All],7,FALSE)</f>
        <v>Call Ref#:</v>
      </c>
      <c r="V35" s="79">
        <v>7115</v>
      </c>
      <c r="W35" s="40" t="str">
        <f>VLOOKUP(M35,Table1[#All],8,FALSE)</f>
        <v>Cust Rep:</v>
      </c>
      <c r="X35" s="79" t="s">
        <v>3950</v>
      </c>
      <c r="Y35" s="44" t="str">
        <f>VLOOKUP(M35,Table1[#All],2,FALSE)</f>
        <v xml:space="preserve">Task Post Pmt Queue </v>
      </c>
      <c r="Z35" s="59" t="str">
        <f>VLOOKUP(M35,Table1[#All],9,FALSE)</f>
        <v>Additional Notes:</v>
      </c>
      <c r="AA35" s="76" t="s">
        <v>3979</v>
      </c>
      <c r="AB35" s="76" t="s">
        <v>3816</v>
      </c>
      <c r="AC35" s="90" t="s">
        <v>115</v>
      </c>
      <c r="AD35" s="76" t="s">
        <v>177</v>
      </c>
      <c r="AE35" s="77" t="s">
        <v>3799</v>
      </c>
      <c r="AF35" s="110">
        <v>44614</v>
      </c>
      <c r="AG35" s="41" t="s">
        <v>101</v>
      </c>
      <c r="AH35" s="25"/>
      <c r="AI35" s="25"/>
      <c r="AJ35" s="42"/>
    </row>
    <row r="36" spans="1:36" ht="21" hidden="1" x14ac:dyDescent="0.55000000000000004">
      <c r="A36" s="44" t="str">
        <f>Data!K35</f>
        <v>Cigna</v>
      </c>
      <c r="B36" s="44" t="str">
        <f>Data!L35</f>
        <v>8002446224</v>
      </c>
      <c r="C36" s="44" t="str">
        <f>Data!D35</f>
        <v>Kienia, Jaxon</v>
      </c>
      <c r="D36" s="82" t="str">
        <f>Data!F35</f>
        <v>U53657370</v>
      </c>
      <c r="E36" s="82" t="str">
        <f>Data!B35</f>
        <v>7711</v>
      </c>
      <c r="F36" s="44" t="str">
        <f>Data!A35</f>
        <v>Kienia, Jaxon</v>
      </c>
      <c r="G36" s="55" t="str">
        <f>Data!C35</f>
        <v>12/2/1990</v>
      </c>
      <c r="H36" s="56">
        <f>Data!H35</f>
        <v>44426</v>
      </c>
      <c r="I36" s="56" t="str">
        <f>Data!I35</f>
        <v>8/27/2021</v>
      </c>
      <c r="J36" s="57">
        <f>Data!J35</f>
        <v>256.39999999999998</v>
      </c>
      <c r="K36" s="58">
        <f t="shared" ca="1" si="0"/>
        <v>265</v>
      </c>
      <c r="L36" s="58">
        <f>Data!M35</f>
        <v>0</v>
      </c>
      <c r="M36" s="37" t="s">
        <v>5</v>
      </c>
      <c r="N36" s="43" t="str">
        <f>VLOOKUP(M36,Table1[#All],3,FALSE)</f>
        <v>Claim Paid by EFT;</v>
      </c>
      <c r="O36" s="40" t="str">
        <f>VLOOKUP(M36,Table1[#All],4,FALSE)</f>
        <v>Issue Date:</v>
      </c>
      <c r="P36" s="38">
        <v>44438</v>
      </c>
      <c r="Q36" s="40" t="str">
        <f>VLOOKUP(M36,Table1[#All],5,FALSE)</f>
        <v>EFT#</v>
      </c>
      <c r="R36" s="79">
        <v>9996836027</v>
      </c>
      <c r="S36" s="40" t="str">
        <f>VLOOKUP(M36,Table1[#All],6,FALSE)</f>
        <v>Bulk/Sep:</v>
      </c>
      <c r="T36" s="79" t="s">
        <v>3800</v>
      </c>
      <c r="U36" s="40" t="str">
        <f>VLOOKUP(M36,Table1[#All],7,FALSE)</f>
        <v>Call Ref#:</v>
      </c>
      <c r="V36" s="79">
        <v>9985</v>
      </c>
      <c r="W36" s="40" t="str">
        <f>VLOOKUP(M36,Table1[#All],8,FALSE)</f>
        <v>Cust Rep:</v>
      </c>
      <c r="X36" s="79" t="s">
        <v>3958</v>
      </c>
      <c r="Y36" s="44" t="str">
        <f>VLOOKUP(M36,Table1[#All],2,FALSE)</f>
        <v xml:space="preserve">Task Post Pmt Queue </v>
      </c>
      <c r="Z36" s="59" t="str">
        <f>VLOOKUP(M36,Table1[#All],9,FALSE)</f>
        <v>Additional Notes:</v>
      </c>
      <c r="AA36" s="76" t="s">
        <v>4163</v>
      </c>
      <c r="AB36" s="117" t="s">
        <v>3816</v>
      </c>
      <c r="AC36" s="90" t="s">
        <v>185</v>
      </c>
      <c r="AD36" s="76" t="s">
        <v>177</v>
      </c>
      <c r="AE36" s="77" t="s">
        <v>3770</v>
      </c>
      <c r="AF36" s="110" t="s">
        <v>4164</v>
      </c>
      <c r="AG36" s="41" t="s">
        <v>101</v>
      </c>
      <c r="AH36" s="25"/>
      <c r="AI36" s="25"/>
      <c r="AJ36" s="42"/>
    </row>
    <row r="37" spans="1:36" ht="21" hidden="1" x14ac:dyDescent="0.55000000000000004">
      <c r="A37" s="44" t="str">
        <f>Data!K36</f>
        <v>Cigna</v>
      </c>
      <c r="B37" s="44" t="str">
        <f>Data!L36</f>
        <v>8002446224</v>
      </c>
      <c r="C37" s="44" t="str">
        <f>Data!D36</f>
        <v>Al-Jehani, Afton</v>
      </c>
      <c r="D37" s="82" t="str">
        <f>Data!F36</f>
        <v>U50782273</v>
      </c>
      <c r="E37" s="82" t="str">
        <f>Data!B36</f>
        <v>7755</v>
      </c>
      <c r="F37" s="44" t="str">
        <f>Data!A36</f>
        <v>Al-Jehani, Afton</v>
      </c>
      <c r="G37" s="55" t="str">
        <f>Data!C36</f>
        <v>5/10/1992</v>
      </c>
      <c r="H37" s="56">
        <f>Data!H36</f>
        <v>44425</v>
      </c>
      <c r="I37" s="56" t="str">
        <f>Data!I36</f>
        <v>8/27/2021</v>
      </c>
      <c r="J37" s="57">
        <f>Data!J36</f>
        <v>325.2</v>
      </c>
      <c r="K37" s="58">
        <f t="shared" ca="1" si="0"/>
        <v>265</v>
      </c>
      <c r="L37" s="58">
        <f>Data!M36</f>
        <v>0</v>
      </c>
      <c r="M37" s="37" t="s">
        <v>5</v>
      </c>
      <c r="N37" s="43" t="str">
        <f>VLOOKUP(M37,Table1[#All],3,FALSE)</f>
        <v>Claim Paid by EFT;</v>
      </c>
      <c r="O37" s="40" t="str">
        <f>VLOOKUP(M37,Table1[#All],4,FALSE)</f>
        <v>Issue Date:</v>
      </c>
      <c r="P37" s="38">
        <v>44439</v>
      </c>
      <c r="Q37" s="40" t="str">
        <f>VLOOKUP(M37,Table1[#All],5,FALSE)</f>
        <v>EFT#</v>
      </c>
      <c r="R37" s="79">
        <v>6836028</v>
      </c>
      <c r="S37" s="40" t="str">
        <f>VLOOKUP(M37,Table1[#All],6,FALSE)</f>
        <v>Bulk/Sep:</v>
      </c>
      <c r="T37" s="79" t="s">
        <v>3952</v>
      </c>
      <c r="U37" s="40" t="str">
        <f>VLOOKUP(M37,Table1[#All],7,FALSE)</f>
        <v>Call Ref#:</v>
      </c>
      <c r="V37" s="79">
        <v>3545</v>
      </c>
      <c r="W37" s="40" t="str">
        <f>VLOOKUP(M37,Table1[#All],8,FALSE)</f>
        <v>Cust Rep:</v>
      </c>
      <c r="X37" s="79" t="s">
        <v>3980</v>
      </c>
      <c r="Y37" s="44" t="str">
        <f>VLOOKUP(M37,Table1[#All],2,FALSE)</f>
        <v xml:space="preserve">Task Post Pmt Queue </v>
      </c>
      <c r="Z37" s="59" t="str">
        <f>VLOOKUP(M37,Table1[#All],9,FALSE)</f>
        <v>Additional Notes:</v>
      </c>
      <c r="AA37" s="76" t="s">
        <v>3981</v>
      </c>
      <c r="AB37" s="76" t="s">
        <v>3816</v>
      </c>
      <c r="AC37" s="90" t="s">
        <v>115</v>
      </c>
      <c r="AD37" s="76" t="s">
        <v>177</v>
      </c>
      <c r="AE37" s="77" t="s">
        <v>3708</v>
      </c>
      <c r="AF37" s="110">
        <v>44569</v>
      </c>
      <c r="AG37" s="41" t="s">
        <v>101</v>
      </c>
      <c r="AH37" s="25"/>
      <c r="AI37" s="25"/>
      <c r="AJ37" s="42"/>
    </row>
    <row r="38" spans="1:36" ht="33" hidden="1" x14ac:dyDescent="0.55000000000000004">
      <c r="A38" s="44" t="str">
        <f>Data!K37</f>
        <v>DELTA DENTAL OF IOWA</v>
      </c>
      <c r="B38" s="44" t="str">
        <f>Data!L37</f>
        <v>8005440718</v>
      </c>
      <c r="C38" s="44" t="str">
        <f>Data!D37</f>
        <v>SHERMAN, STEPHANIE</v>
      </c>
      <c r="D38" s="82" t="str">
        <f>Data!F37</f>
        <v>3199644</v>
      </c>
      <c r="E38" s="82" t="str">
        <f>Data!B37</f>
        <v>3523</v>
      </c>
      <c r="F38" s="44" t="str">
        <f>Data!A37</f>
        <v>SHERMAN, STEPHANIE</v>
      </c>
      <c r="G38" s="55" t="str">
        <f>Data!C37</f>
        <v>5/20/1977</v>
      </c>
      <c r="H38" s="56">
        <f>Data!H37</f>
        <v>44265</v>
      </c>
      <c r="I38" s="56" t="str">
        <f>Data!I37</f>
        <v>4/15/2021</v>
      </c>
      <c r="J38" s="57">
        <f>Data!J37</f>
        <v>230</v>
      </c>
      <c r="K38" s="58">
        <f t="shared" ca="1" si="0"/>
        <v>399</v>
      </c>
      <c r="L38" s="58">
        <f>Data!M37</f>
        <v>0</v>
      </c>
      <c r="M38" s="37" t="s">
        <v>5</v>
      </c>
      <c r="N38" s="43" t="str">
        <f>VLOOKUP(M38,Table1[#All],3,FALSE)</f>
        <v>Claim Paid by EFT;</v>
      </c>
      <c r="O38" s="40" t="str">
        <f>VLOOKUP(M38,Table1[#All],4,FALSE)</f>
        <v>Issue Date:</v>
      </c>
      <c r="P38" s="126">
        <v>44321</v>
      </c>
      <c r="Q38" s="40" t="str">
        <f>VLOOKUP(M38,Table1[#All],5,FALSE)</f>
        <v>EFT#</v>
      </c>
      <c r="R38" s="79">
        <v>921050501590</v>
      </c>
      <c r="S38" s="40" t="str">
        <f>VLOOKUP(M38,Table1[#All],6,FALSE)</f>
        <v>Bulk/Sep:</v>
      </c>
      <c r="T38" s="79" t="s">
        <v>3800</v>
      </c>
      <c r="U38" s="40" t="str">
        <f>VLOOKUP(M38,Table1[#All],7,FALSE)</f>
        <v>Call Ref#:</v>
      </c>
      <c r="V38" s="79" t="s">
        <v>3982</v>
      </c>
      <c r="W38" s="40" t="str">
        <f>VLOOKUP(M38,Table1[#All],8,FALSE)</f>
        <v>Cust Rep:</v>
      </c>
      <c r="X38" s="79" t="s">
        <v>3983</v>
      </c>
      <c r="Y38" s="44" t="str">
        <f>VLOOKUP(M38,Table1[#All],2,FALSE)</f>
        <v xml:space="preserve">Task Post Pmt Queue </v>
      </c>
      <c r="Z38" s="59" t="str">
        <f>VLOOKUP(M38,Table1[#All],9,FALSE)</f>
        <v>Additional Notes:</v>
      </c>
      <c r="AA38" s="76" t="s">
        <v>3984</v>
      </c>
      <c r="AB38" s="76" t="s">
        <v>3697</v>
      </c>
      <c r="AC38" s="90" t="s">
        <v>115</v>
      </c>
      <c r="AD38" s="76" t="s">
        <v>177</v>
      </c>
      <c r="AE38" s="77" t="s">
        <v>3698</v>
      </c>
      <c r="AF38" s="110">
        <v>44609</v>
      </c>
      <c r="AG38" s="41" t="s">
        <v>101</v>
      </c>
      <c r="AH38" s="25"/>
      <c r="AI38" s="25"/>
      <c r="AJ38" s="42"/>
    </row>
    <row r="39" spans="1:36" ht="33" x14ac:dyDescent="0.55000000000000004">
      <c r="A39" s="44" t="str">
        <f>Data!K38</f>
        <v xml:space="preserve">DELTA DENTAL OF MICHIGAN </v>
      </c>
      <c r="B39" s="44" t="str">
        <f>Data!L38</f>
        <v>8005240149</v>
      </c>
      <c r="C39" s="44" t="str">
        <f>Data!D38</f>
        <v xml:space="preserve">Tamsen , Robin </v>
      </c>
      <c r="D39" s="82" t="str">
        <f>Data!F38</f>
        <v xml:space="preserve">394847319 </v>
      </c>
      <c r="E39" s="82" t="str">
        <f>Data!B38</f>
        <v>5758</v>
      </c>
      <c r="F39" s="44" t="str">
        <f>Data!A38</f>
        <v xml:space="preserve">Tamsen , Robin </v>
      </c>
      <c r="G39" s="55">
        <f>Data!C38</f>
        <v>0</v>
      </c>
      <c r="H39" s="56">
        <f>Data!H38</f>
        <v>44498</v>
      </c>
      <c r="I39" s="56" t="str">
        <f>Data!I38</f>
        <v>12/11/2021</v>
      </c>
      <c r="J39" s="57">
        <f>Data!J38</f>
        <v>593.20000000000005</v>
      </c>
      <c r="K39" s="58">
        <f t="shared" ca="1" si="0"/>
        <v>159</v>
      </c>
      <c r="L39" s="58">
        <f>Data!M38</f>
        <v>0</v>
      </c>
      <c r="M39" s="37" t="s">
        <v>171</v>
      </c>
      <c r="N39" s="43" t="str">
        <f>VLOOKUP(M39,Table1[#All],3,FALSE)</f>
        <v>Claim Partially Paid by EFT; Add notes</v>
      </c>
      <c r="O39" s="40" t="str">
        <f>VLOOKUP(M39,Table1[#All],4,FALSE)</f>
        <v>Issue Date:</v>
      </c>
      <c r="P39" s="127">
        <v>44658</v>
      </c>
      <c r="Q39" s="40" t="str">
        <f>VLOOKUP(M39,Table1[#All],5,FALSE)</f>
        <v>EFT#</v>
      </c>
      <c r="R39" s="79">
        <v>9907646801</v>
      </c>
      <c r="S39" s="40" t="str">
        <f>VLOOKUP(M39,Table1[#All],6,FALSE)</f>
        <v>Bulk/Sep:</v>
      </c>
      <c r="T39" s="79" t="s">
        <v>3975</v>
      </c>
      <c r="U39" s="40" t="str">
        <f>VLOOKUP(M39,Table1[#All],7,FALSE)</f>
        <v>Call Ref#:</v>
      </c>
      <c r="V39" s="79">
        <v>2001833603</v>
      </c>
      <c r="W39" s="40" t="str">
        <f>VLOOKUP(M39,Table1[#All],8,FALSE)</f>
        <v>Cust Rep:</v>
      </c>
      <c r="X39" s="79" t="s">
        <v>3985</v>
      </c>
      <c r="Y39" s="44" t="str">
        <f>VLOOKUP(M39,Table1[#All],2,FALSE)</f>
        <v xml:space="preserve">Task Post Pmt Queue </v>
      </c>
      <c r="Z39" s="59" t="str">
        <f>VLOOKUP(M39,Table1[#All],9,FALSE)</f>
        <v>Additional Notes:</v>
      </c>
      <c r="AA39" s="76" t="s">
        <v>4143</v>
      </c>
      <c r="AB39" s="117">
        <v>44698</v>
      </c>
      <c r="AC39" s="90" t="s">
        <v>185</v>
      </c>
      <c r="AD39" s="76" t="s">
        <v>177</v>
      </c>
      <c r="AE39" s="77" t="s">
        <v>3770</v>
      </c>
      <c r="AF39" s="110">
        <v>44665</v>
      </c>
      <c r="AG39" s="41" t="s">
        <v>100</v>
      </c>
      <c r="AH39" s="25"/>
      <c r="AI39" s="25"/>
      <c r="AJ39" s="42"/>
    </row>
    <row r="40" spans="1:36" ht="21" hidden="1" x14ac:dyDescent="0.55000000000000004">
      <c r="A40" s="44" t="str">
        <f>Data!K39</f>
        <v xml:space="preserve">Delta Dental of Minnesota </v>
      </c>
      <c r="B40" s="44" t="str">
        <f>Data!L39</f>
        <v>8004483815</v>
      </c>
      <c r="C40" s="44" t="str">
        <f>Data!D39</f>
        <v xml:space="preserve">Tweedt, David </v>
      </c>
      <c r="D40" s="82" t="str">
        <f>Data!F39</f>
        <v>916435131</v>
      </c>
      <c r="E40" s="82" t="str">
        <f>Data!B39</f>
        <v>8109</v>
      </c>
      <c r="F40" s="44" t="str">
        <f>Data!A39</f>
        <v xml:space="preserve">Tweedt, David </v>
      </c>
      <c r="G40" s="55" t="str">
        <f>Data!C39</f>
        <v>10/8/1961</v>
      </c>
      <c r="H40" s="56">
        <f>Data!H39</f>
        <v>44617</v>
      </c>
      <c r="I40" s="56" t="str">
        <f>Data!I39</f>
        <v>2/25/2022</v>
      </c>
      <c r="J40" s="57">
        <f>Data!J39</f>
        <v>890</v>
      </c>
      <c r="K40" s="58">
        <f t="shared" ca="1" si="0"/>
        <v>83</v>
      </c>
      <c r="L40" s="58">
        <f>Data!M39</f>
        <v>0</v>
      </c>
      <c r="M40" s="37" t="s">
        <v>26</v>
      </c>
      <c r="N40" s="43" t="str">
        <f>VLOOKUP(M40,Table1[#All],3,FALSE)</f>
        <v>Note</v>
      </c>
      <c r="O40" s="40" t="str">
        <f>VLOOKUP(M40,Table1[#All],4,FALSE)</f>
        <v>Q1</v>
      </c>
      <c r="P40" s="39"/>
      <c r="Q40" s="40" t="str">
        <f>VLOOKUP(M40,Table1[#All],5,FALSE)</f>
        <v>Q2</v>
      </c>
      <c r="R40" s="79"/>
      <c r="S40" s="40" t="str">
        <f>VLOOKUP(M40,Table1[#All],6,FALSE)</f>
        <v>Q3</v>
      </c>
      <c r="T40" s="79"/>
      <c r="U40" s="40" t="str">
        <f>VLOOKUP(M40,Table1[#All],7,FALSE)</f>
        <v>Q4</v>
      </c>
      <c r="V40" s="79"/>
      <c r="W40" s="40" t="str">
        <f>VLOOKUP(M40,Table1[#All],8,FALSE)</f>
        <v>Q5</v>
      </c>
      <c r="X40" s="79"/>
      <c r="Y40" s="44" t="str">
        <f>VLOOKUP(M40,Table1[#All],2,FALSE)</f>
        <v>Action</v>
      </c>
      <c r="Z40" s="59" t="str">
        <f>VLOOKUP(M40,Table1[#All],9,FALSE)</f>
        <v>Additional Notes:</v>
      </c>
      <c r="AA40" s="76"/>
      <c r="AB40" s="76"/>
      <c r="AC40" s="90" t="s">
        <v>91</v>
      </c>
      <c r="AD40" s="76" t="s">
        <v>91</v>
      </c>
      <c r="AE40" s="77"/>
      <c r="AF40" s="110"/>
      <c r="AG40" s="41" t="s">
        <v>91</v>
      </c>
      <c r="AH40" s="25"/>
      <c r="AI40" s="25"/>
      <c r="AJ40" s="42"/>
    </row>
    <row r="41" spans="1:36" ht="21" hidden="1" x14ac:dyDescent="0.55000000000000004">
      <c r="A41" s="44" t="str">
        <f>Data!K40</f>
        <v xml:space="preserve">Delta Dental of Minnesota </v>
      </c>
      <c r="B41" s="44" t="str">
        <f>Data!L40</f>
        <v>8004483815</v>
      </c>
      <c r="C41" s="44" t="str">
        <f>Data!D40</f>
        <v>Penland, Teagan</v>
      </c>
      <c r="D41" s="82" t="str">
        <f>Data!F40</f>
        <v>916516138</v>
      </c>
      <c r="E41" s="82" t="str">
        <f>Data!B40</f>
        <v>479</v>
      </c>
      <c r="F41" s="44" t="str">
        <f>Data!A40</f>
        <v>Penland, Teagan</v>
      </c>
      <c r="G41" s="55" t="str">
        <f>Data!C40</f>
        <v>11/16/1989</v>
      </c>
      <c r="H41" s="56">
        <f>Data!H40</f>
        <v>44538</v>
      </c>
      <c r="I41" s="56" t="str">
        <f>Data!I40</f>
        <v>12/14/2021</v>
      </c>
      <c r="J41" s="57">
        <f>Data!J40</f>
        <v>333.2</v>
      </c>
      <c r="K41" s="58">
        <f t="shared" ca="1" si="0"/>
        <v>156</v>
      </c>
      <c r="L41" s="58">
        <f>Data!M40</f>
        <v>0</v>
      </c>
      <c r="M41" s="37" t="s">
        <v>45</v>
      </c>
      <c r="N41" s="43" t="str">
        <f>VLOOKUP(M41,Table1[#All],3,FALSE)</f>
        <v>Procedure is not a covered benefit;</v>
      </c>
      <c r="O41" s="40" t="str">
        <f>VLOOKUP(M41,Table1[#All],4,FALSE)</f>
        <v xml:space="preserve">Why? </v>
      </c>
      <c r="P41" s="119"/>
      <c r="Q41" s="40" t="str">
        <f>VLOOKUP(M41,Table1[#All],5,FALSE)</f>
        <v>Call Ref#:</v>
      </c>
      <c r="R41" s="79"/>
      <c r="S41" s="40" t="str">
        <f>VLOOKUP(M41,Table1[#All],6,FALSE)</f>
        <v>Cust Rep:</v>
      </c>
      <c r="T41" s="79"/>
      <c r="U41" s="40">
        <f>VLOOKUP(M41,Table1[#All],7,FALSE)</f>
        <v>0</v>
      </c>
      <c r="V41" s="79"/>
      <c r="W41" s="40">
        <f>VLOOKUP(M41,Table1[#All],8,FALSE)</f>
        <v>0</v>
      </c>
      <c r="X41" s="79"/>
      <c r="Y41" s="44" t="str">
        <f>VLOOKUP(M41,Table1[#All],2,FALSE)</f>
        <v xml:space="preserve">Task Client - Denied Claim Queue </v>
      </c>
      <c r="Z41" s="59" t="str">
        <f>VLOOKUP(M41,Table1[#All],9,FALSE)</f>
        <v>Additional Notes:</v>
      </c>
      <c r="AA41" s="76" t="s">
        <v>3986</v>
      </c>
      <c r="AB41" s="76" t="s">
        <v>3697</v>
      </c>
      <c r="AC41" s="90" t="s">
        <v>185</v>
      </c>
      <c r="AD41" s="76" t="s">
        <v>177</v>
      </c>
      <c r="AE41" s="77" t="s">
        <v>3776</v>
      </c>
      <c r="AF41" s="110">
        <v>44635</v>
      </c>
      <c r="AG41" s="41" t="s">
        <v>101</v>
      </c>
      <c r="AH41" s="25"/>
      <c r="AI41" s="25"/>
      <c r="AJ41" s="42"/>
    </row>
    <row r="42" spans="1:36" ht="21" hidden="1" customHeight="1" x14ac:dyDescent="0.55000000000000004">
      <c r="A42" s="44" t="str">
        <f>Data!K41</f>
        <v xml:space="preserve">Delta Dental of Minnesota </v>
      </c>
      <c r="B42" s="44" t="str">
        <f>Data!L41</f>
        <v>8004483815</v>
      </c>
      <c r="C42" s="44" t="str">
        <f>Data!D41</f>
        <v>Turner, Lukas</v>
      </c>
      <c r="D42" s="82" t="str">
        <f>Data!F41</f>
        <v>916516138</v>
      </c>
      <c r="E42" s="82" t="str">
        <f>Data!B41</f>
        <v>5310</v>
      </c>
      <c r="F42" s="44" t="str">
        <f>Data!A41</f>
        <v>Turner, Lukas</v>
      </c>
      <c r="G42" s="55" t="str">
        <f>Data!C41</f>
        <v>11/16/1989</v>
      </c>
      <c r="H42" s="56">
        <f>Data!H41</f>
        <v>44482</v>
      </c>
      <c r="I42" s="56" t="str">
        <f>Data!I41</f>
        <v>12/11/2021</v>
      </c>
      <c r="J42" s="57">
        <f>Data!J41</f>
        <v>326</v>
      </c>
      <c r="K42" s="58">
        <f t="shared" ca="1" si="0"/>
        <v>159</v>
      </c>
      <c r="L42" s="58">
        <f>Data!M41</f>
        <v>0</v>
      </c>
      <c r="M42" s="37" t="s">
        <v>171</v>
      </c>
      <c r="N42" s="43" t="str">
        <f>VLOOKUP(M42,Table1[#All],3,FALSE)</f>
        <v>Claim Partially Paid by EFT; Add notes</v>
      </c>
      <c r="O42" s="40" t="str">
        <f>VLOOKUP(M42,Table1[#All],4,FALSE)</f>
        <v>Issue Date:</v>
      </c>
      <c r="P42" s="38">
        <v>44544</v>
      </c>
      <c r="Q42" s="40" t="str">
        <f>VLOOKUP(M42,Table1[#All],5,FALSE)</f>
        <v>EFT#</v>
      </c>
      <c r="R42" s="79">
        <v>9100859245</v>
      </c>
      <c r="S42" s="40" t="str">
        <f>VLOOKUP(M42,Table1[#All],6,FALSE)</f>
        <v>Bulk/Sep:</v>
      </c>
      <c r="T42" s="79" t="s">
        <v>3952</v>
      </c>
      <c r="U42" s="40" t="str">
        <f>VLOOKUP(M42,Table1[#All],7,FALSE)</f>
        <v>Call Ref#:</v>
      </c>
      <c r="V42" s="79">
        <v>1538617207</v>
      </c>
      <c r="W42" s="40" t="str">
        <f>VLOOKUP(M42,Table1[#All],8,FALSE)</f>
        <v>Cust Rep:</v>
      </c>
      <c r="X42" s="79" t="s">
        <v>3987</v>
      </c>
      <c r="Y42" s="44" t="str">
        <f>VLOOKUP(M42,Table1[#All],2,FALSE)</f>
        <v xml:space="preserve">Task Post Pmt Queue </v>
      </c>
      <c r="Z42" s="59" t="str">
        <f>VLOOKUP(M42,Table1[#All],9,FALSE)</f>
        <v>Additional Notes:</v>
      </c>
      <c r="AA42" s="76" t="s">
        <v>3988</v>
      </c>
      <c r="AB42" s="76" t="s">
        <v>3697</v>
      </c>
      <c r="AC42" s="90" t="s">
        <v>186</v>
      </c>
      <c r="AD42" s="76" t="s">
        <v>177</v>
      </c>
      <c r="AE42" s="77" t="s">
        <v>3776</v>
      </c>
      <c r="AF42" s="110">
        <v>44656</v>
      </c>
      <c r="AG42" s="41" t="s">
        <v>101</v>
      </c>
      <c r="AH42" s="25"/>
      <c r="AI42" s="25"/>
      <c r="AJ42" s="42"/>
    </row>
    <row r="43" spans="1:36" ht="21" hidden="1" customHeight="1" x14ac:dyDescent="0.55000000000000004">
      <c r="A43" s="44" t="str">
        <f>Data!K42</f>
        <v xml:space="preserve">Delta Dental of Minnesota </v>
      </c>
      <c r="B43" s="44" t="str">
        <f>Data!L42</f>
        <v>8004483815</v>
      </c>
      <c r="C43" s="44" t="str">
        <f>Data!D42</f>
        <v xml:space="preserve">Mccarter , Markayla </v>
      </c>
      <c r="D43" s="82" t="str">
        <f>Data!F42</f>
        <v>930691605</v>
      </c>
      <c r="E43" s="82" t="str">
        <f>Data!B42</f>
        <v>7084</v>
      </c>
      <c r="F43" s="44" t="str">
        <f>Data!A42</f>
        <v xml:space="preserve">Mccarter , Markayla </v>
      </c>
      <c r="G43" s="55" t="str">
        <f>Data!C42</f>
        <v>6/29/1992</v>
      </c>
      <c r="H43" s="56">
        <f>Data!H42</f>
        <v>44461</v>
      </c>
      <c r="I43" s="56" t="str">
        <f>Data!I42</f>
        <v>9/22/2021</v>
      </c>
      <c r="J43" s="57">
        <f>Data!J42</f>
        <v>0</v>
      </c>
      <c r="K43" s="58">
        <f t="shared" ca="1" si="0"/>
        <v>239</v>
      </c>
      <c r="L43" s="58">
        <f>Data!M42</f>
        <v>0</v>
      </c>
      <c r="M43" s="37" t="s">
        <v>30</v>
      </c>
      <c r="N43" s="43" t="str">
        <f>VLOOKUP(M43,Table1[#All],3,FALSE)</f>
        <v>Claim not on file. Patient is active ;</v>
      </c>
      <c r="O43" s="40" t="str">
        <f>VLOOKUP(M43,Table1[#All],4,FALSE)</f>
        <v>Payor ID &amp; Address:</v>
      </c>
      <c r="P43" s="120">
        <v>7000</v>
      </c>
      <c r="Q43" s="40" t="str">
        <f>VLOOKUP(M43,Table1[#All],5,FALSE)</f>
        <v>Fax # (If Fax Yes):</v>
      </c>
      <c r="R43" s="79"/>
      <c r="S43" s="40" t="str">
        <f>VLOOKUP(M43,Table1[#All],6,FALSE)</f>
        <v>TFL in Mnths:</v>
      </c>
      <c r="T43" s="79" t="s">
        <v>4190</v>
      </c>
      <c r="U43" s="40" t="str">
        <f>VLOOKUP(M43,Table1[#All],7,FALSE)</f>
        <v>Call Ref#:</v>
      </c>
      <c r="V43" s="79">
        <v>1538986657</v>
      </c>
      <c r="W43" s="40" t="str">
        <f>VLOOKUP(M43,Table1[#All],8,FALSE)</f>
        <v>Cust Rep:</v>
      </c>
      <c r="X43" s="79" t="s">
        <v>4195</v>
      </c>
      <c r="Y43" s="44" t="str">
        <f>VLOOKUP(M43,Table1[#All],2,FALSE)</f>
        <v>Task Sub Pending Claims Queue</v>
      </c>
      <c r="Z43" s="59" t="str">
        <f>VLOOKUP(M43,Table1[#All],9,FALSE)</f>
        <v>Additional Notes:</v>
      </c>
      <c r="AA43" s="76" t="s">
        <v>4196</v>
      </c>
      <c r="AB43" s="76" t="s">
        <v>3816</v>
      </c>
      <c r="AC43" s="90" t="s">
        <v>185</v>
      </c>
      <c r="AD43" s="76" t="s">
        <v>177</v>
      </c>
      <c r="AE43" s="77" t="s">
        <v>4127</v>
      </c>
      <c r="AF43" s="110">
        <v>44693</v>
      </c>
      <c r="AG43" s="41" t="s">
        <v>101</v>
      </c>
      <c r="AH43" s="25"/>
      <c r="AI43" s="25"/>
      <c r="AJ43" s="42"/>
    </row>
    <row r="44" spans="1:36" ht="63" hidden="1" customHeight="1" x14ac:dyDescent="0.55000000000000004">
      <c r="A44" s="44" t="str">
        <f>Data!K43</f>
        <v>Delta Dental of Missouri</v>
      </c>
      <c r="B44" s="44" t="str">
        <f>Data!L43</f>
        <v>8003358266</v>
      </c>
      <c r="C44" s="44" t="str">
        <f>Data!D43</f>
        <v xml:space="preserve">Cordero, Ana </v>
      </c>
      <c r="D44" s="82" t="str">
        <f>Data!F43</f>
        <v>598207509</v>
      </c>
      <c r="E44" s="82" t="str">
        <f>Data!B43</f>
        <v>821</v>
      </c>
      <c r="F44" s="44" t="str">
        <f>Data!A43</f>
        <v xml:space="preserve">Cordero, Ana </v>
      </c>
      <c r="G44" s="55" t="str">
        <f>Data!C43</f>
        <v>2/19/1989</v>
      </c>
      <c r="H44" s="56">
        <f>Data!H43</f>
        <v>44537</v>
      </c>
      <c r="I44" s="56" t="str">
        <f>Data!I43</f>
        <v>12/9/2021</v>
      </c>
      <c r="J44" s="57">
        <f>Data!J43</f>
        <v>61.2</v>
      </c>
      <c r="K44" s="58">
        <f t="shared" ca="1" si="0"/>
        <v>161</v>
      </c>
      <c r="L44" s="58">
        <f>Data!M43</f>
        <v>0</v>
      </c>
      <c r="M44" s="37" t="s">
        <v>31</v>
      </c>
      <c r="N44" s="43" t="str">
        <f>VLOOKUP(M44,Table1[#All],3,FALSE)</f>
        <v>Patient not active/no active policy;</v>
      </c>
      <c r="O44" s="40" t="str">
        <f>VLOOKUP(M44,Table1[#All],4,FALSE)</f>
        <v>Policy Term Dt:</v>
      </c>
      <c r="P44" s="38">
        <v>44489</v>
      </c>
      <c r="Q44" s="40" t="str">
        <f>VLOOKUP(M44,Table1[#All],5,FALSE)</f>
        <v>Call Ref#:</v>
      </c>
      <c r="R44" s="79">
        <v>9104701</v>
      </c>
      <c r="S44" s="40" t="str">
        <f>VLOOKUP(M44,Table1[#All],6,FALSE)</f>
        <v>Cust Rep:</v>
      </c>
      <c r="T44" s="79" t="s">
        <v>3987</v>
      </c>
      <c r="U44" s="40">
        <f>VLOOKUP(M44,Table1[#All],7,FALSE)</f>
        <v>0</v>
      </c>
      <c r="V44" s="79"/>
      <c r="W44" s="40">
        <f>VLOOKUP(M44,Table1[#All],8,FALSE)</f>
        <v>0</v>
      </c>
      <c r="X44" s="79"/>
      <c r="Y44" s="44" t="str">
        <f>VLOOKUP(M44,Table1[#All],2,FALSE)</f>
        <v>Task Denied Claims Queue</v>
      </c>
      <c r="Z44" s="59" t="str">
        <f>VLOOKUP(M44,Table1[#All],9,FALSE)</f>
        <v>Additional Notes:</v>
      </c>
      <c r="AA44" s="76" t="s">
        <v>3989</v>
      </c>
      <c r="AB44" s="76" t="s">
        <v>3762</v>
      </c>
      <c r="AC44" s="90" t="s">
        <v>185</v>
      </c>
      <c r="AD44" s="76" t="s">
        <v>177</v>
      </c>
      <c r="AE44" s="77" t="s">
        <v>3776</v>
      </c>
      <c r="AF44" s="110">
        <v>44629</v>
      </c>
      <c r="AG44" s="41" t="s">
        <v>101</v>
      </c>
      <c r="AH44" s="25"/>
      <c r="AI44" s="25"/>
      <c r="AJ44" s="42"/>
    </row>
    <row r="45" spans="1:36" ht="21" hidden="1" x14ac:dyDescent="0.55000000000000004">
      <c r="A45" s="44" t="str">
        <f>Data!K44</f>
        <v>Delta Dental of Washington</v>
      </c>
      <c r="B45" s="44" t="str">
        <f>Data!L44</f>
        <v>8005541907</v>
      </c>
      <c r="C45" s="44" t="str">
        <f>Data!D44</f>
        <v xml:space="preserve">Mejia , Jason </v>
      </c>
      <c r="D45" s="82" t="str">
        <f>Data!F44</f>
        <v>963587927</v>
      </c>
      <c r="E45" s="82" t="str">
        <f>Data!B44</f>
        <v>3001</v>
      </c>
      <c r="F45" s="44" t="str">
        <f>Data!A44</f>
        <v xml:space="preserve">Mejia , Jason </v>
      </c>
      <c r="G45" s="55" t="str">
        <f>Data!C44</f>
        <v>4/4/1993</v>
      </c>
      <c r="H45" s="56">
        <f>Data!H44</f>
        <v>44321</v>
      </c>
      <c r="I45" s="56" t="str">
        <f>Data!I44</f>
        <v>5/6/2021</v>
      </c>
      <c r="J45" s="57">
        <f>Data!J44</f>
        <v>782.8</v>
      </c>
      <c r="K45" s="58">
        <f t="shared" ca="1" si="0"/>
        <v>378</v>
      </c>
      <c r="L45" s="58">
        <f>Data!M44</f>
        <v>0</v>
      </c>
      <c r="M45" s="37" t="s">
        <v>5</v>
      </c>
      <c r="N45" s="43" t="str">
        <f>VLOOKUP(M45,Table1[#All],3,FALSE)</f>
        <v>Claim Paid by EFT;</v>
      </c>
      <c r="O45" s="40" t="str">
        <f>VLOOKUP(M45,Table1[#All],4,FALSE)</f>
        <v>Issue Date:</v>
      </c>
      <c r="P45" s="38">
        <v>44329</v>
      </c>
      <c r="Q45" s="40" t="str">
        <f>VLOOKUP(M45,Table1[#All],5,FALSE)</f>
        <v>EFT#</v>
      </c>
      <c r="R45" s="79">
        <v>11234233</v>
      </c>
      <c r="S45" s="40" t="str">
        <f>VLOOKUP(M45,Table1[#All],6,FALSE)</f>
        <v>Bulk/Sep:</v>
      </c>
      <c r="T45" s="79" t="s">
        <v>3952</v>
      </c>
      <c r="U45" s="40" t="str">
        <f>VLOOKUP(M45,Table1[#All],7,FALSE)</f>
        <v>Call Ref#:</v>
      </c>
      <c r="V45" s="79">
        <v>20220139569</v>
      </c>
      <c r="W45" s="40" t="str">
        <f>VLOOKUP(M45,Table1[#All],8,FALSE)</f>
        <v>Cust Rep:</v>
      </c>
      <c r="X45" s="79" t="s">
        <v>3990</v>
      </c>
      <c r="Y45" s="44" t="str">
        <f>VLOOKUP(M45,Table1[#All],2,FALSE)</f>
        <v xml:space="preserve">Task Post Pmt Queue </v>
      </c>
      <c r="Z45" s="59" t="str">
        <f>VLOOKUP(M45,Table1[#All],9,FALSE)</f>
        <v>Additional Notes:</v>
      </c>
      <c r="AA45" s="76" t="s">
        <v>3991</v>
      </c>
      <c r="AB45" s="76" t="s">
        <v>3697</v>
      </c>
      <c r="AC45" s="90" t="s">
        <v>115</v>
      </c>
      <c r="AD45" s="76" t="s">
        <v>177</v>
      </c>
      <c r="AE45" s="77" t="s">
        <v>3776</v>
      </c>
      <c r="AF45" s="110">
        <v>44621</v>
      </c>
      <c r="AG45" s="41" t="s">
        <v>101</v>
      </c>
      <c r="AH45" s="25"/>
      <c r="AI45" s="25"/>
      <c r="AJ45" s="42"/>
    </row>
    <row r="46" spans="1:36" ht="42" hidden="1" x14ac:dyDescent="0.55000000000000004">
      <c r="A46" s="44" t="str">
        <f>Data!K45</f>
        <v>Delta Dental of Washington</v>
      </c>
      <c r="B46" s="44" t="str">
        <f>Data!L45</f>
        <v>8005541907</v>
      </c>
      <c r="C46" s="44" t="str">
        <f>Data!D45</f>
        <v xml:space="preserve">Clark, Charles </v>
      </c>
      <c r="D46" s="82" t="str">
        <f>Data!F45</f>
        <v>963886263</v>
      </c>
      <c r="E46" s="82" t="str">
        <f>Data!B45</f>
        <v>1865</v>
      </c>
      <c r="F46" s="44" t="str">
        <f>Data!A45</f>
        <v xml:space="preserve">Clark, Charles </v>
      </c>
      <c r="G46" s="55" t="str">
        <f>Data!C45</f>
        <v>8/6/1982</v>
      </c>
      <c r="H46" s="56">
        <f>Data!H45</f>
        <v>44319</v>
      </c>
      <c r="I46" s="56" t="str">
        <f>Data!I45</f>
        <v>5/6/2021</v>
      </c>
      <c r="J46" s="57">
        <f>Data!J45</f>
        <v>610.79999999999995</v>
      </c>
      <c r="K46" s="58">
        <f t="shared" ca="1" si="0"/>
        <v>378</v>
      </c>
      <c r="L46" s="58">
        <f>Data!M45</f>
        <v>0</v>
      </c>
      <c r="M46" s="37" t="s">
        <v>45</v>
      </c>
      <c r="N46" s="43" t="str">
        <f>VLOOKUP(M46,Table1[#All],3,FALSE)</f>
        <v>Procedure is not a covered benefit;</v>
      </c>
      <c r="O46" s="40" t="str">
        <f>VLOOKUP(M46,Table1[#All],4,FALSE)</f>
        <v xml:space="preserve">Why? </v>
      </c>
      <c r="P46" s="38" t="s">
        <v>3992</v>
      </c>
      <c r="Q46" s="40" t="str">
        <f>VLOOKUP(M46,Table1[#All],5,FALSE)</f>
        <v>Call Ref#:</v>
      </c>
      <c r="R46" s="38" t="s">
        <v>3993</v>
      </c>
      <c r="S46" s="40" t="str">
        <f>VLOOKUP(M46,Table1[#All],6,FALSE)</f>
        <v>Cust Rep:</v>
      </c>
      <c r="T46" s="79" t="s">
        <v>3994</v>
      </c>
      <c r="U46" s="40">
        <f>VLOOKUP(M46,Table1[#All],7,FALSE)</f>
        <v>0</v>
      </c>
      <c r="V46" s="79"/>
      <c r="W46" s="40">
        <f>VLOOKUP(M46,Table1[#All],8,FALSE)</f>
        <v>0</v>
      </c>
      <c r="X46" s="79"/>
      <c r="Y46" s="44" t="str">
        <f>VLOOKUP(M46,Table1[#All],2,FALSE)</f>
        <v xml:space="preserve">Task Client - Denied Claim Queue </v>
      </c>
      <c r="Z46" s="59" t="str">
        <f>VLOOKUP(M46,Table1[#All],9,FALSE)</f>
        <v>Additional Notes:</v>
      </c>
      <c r="AA46" s="76" t="s">
        <v>3995</v>
      </c>
      <c r="AB46" s="76" t="s">
        <v>3697</v>
      </c>
      <c r="AC46" s="90" t="s">
        <v>115</v>
      </c>
      <c r="AD46" s="76" t="s">
        <v>177</v>
      </c>
      <c r="AE46" s="77" t="s">
        <v>3770</v>
      </c>
      <c r="AF46" s="123">
        <v>44588</v>
      </c>
      <c r="AG46" s="41" t="s">
        <v>101</v>
      </c>
      <c r="AH46" s="25"/>
      <c r="AI46" s="25"/>
      <c r="AJ46" s="42"/>
    </row>
    <row r="47" spans="1:36" ht="33" hidden="1" x14ac:dyDescent="0.55000000000000004">
      <c r="A47" s="44" t="str">
        <f>Data!K46</f>
        <v>Delta Dental of Washington</v>
      </c>
      <c r="B47" s="44" t="str">
        <f>Data!L46</f>
        <v>8005541907</v>
      </c>
      <c r="C47" s="44" t="str">
        <f>Data!D46</f>
        <v>Syas, Brenae</v>
      </c>
      <c r="D47" s="82" t="str">
        <f>Data!F46</f>
        <v>962760622</v>
      </c>
      <c r="E47" s="82" t="str">
        <f>Data!B46</f>
        <v>5461</v>
      </c>
      <c r="F47" s="44" t="str">
        <f>Data!A46</f>
        <v>Syas, Brenae</v>
      </c>
      <c r="G47" s="55" t="str">
        <f>Data!C46</f>
        <v>2/8/1998</v>
      </c>
      <c r="H47" s="56">
        <f>Data!H46</f>
        <v>44301</v>
      </c>
      <c r="I47" s="56" t="str">
        <f>Data!I46</f>
        <v>4/15/2021</v>
      </c>
      <c r="J47" s="57">
        <f>Data!J46</f>
        <v>396</v>
      </c>
      <c r="K47" s="58">
        <f t="shared" ca="1" si="0"/>
        <v>399</v>
      </c>
      <c r="L47" s="58">
        <f>Data!M46</f>
        <v>0</v>
      </c>
      <c r="M47" s="37" t="s">
        <v>5</v>
      </c>
      <c r="N47" s="43" t="str">
        <f>VLOOKUP(M47,Table1[#All],3,FALSE)</f>
        <v>Claim Paid by EFT;</v>
      </c>
      <c r="O47" s="40" t="str">
        <f>VLOOKUP(M47,Table1[#All],4,FALSE)</f>
        <v>Issue Date:</v>
      </c>
      <c r="P47" s="38">
        <v>44308</v>
      </c>
      <c r="Q47" s="40" t="str">
        <f>VLOOKUP(M47,Table1[#All],5,FALSE)</f>
        <v>EFT#</v>
      </c>
      <c r="R47" s="79">
        <v>11207602</v>
      </c>
      <c r="S47" s="40" t="str">
        <f>VLOOKUP(M47,Table1[#All],6,FALSE)</f>
        <v>Bulk/Sep:</v>
      </c>
      <c r="T47" s="79" t="s">
        <v>3800</v>
      </c>
      <c r="U47" s="40" t="str">
        <f>VLOOKUP(M47,Table1[#All],7,FALSE)</f>
        <v>Call Ref#:</v>
      </c>
      <c r="V47" s="79" t="s">
        <v>3996</v>
      </c>
      <c r="W47" s="40" t="str">
        <f>VLOOKUP(M47,Table1[#All],8,FALSE)</f>
        <v>Cust Rep:</v>
      </c>
      <c r="X47" s="79" t="s">
        <v>3994</v>
      </c>
      <c r="Y47" s="44" t="str">
        <f>VLOOKUP(M47,Table1[#All],2,FALSE)</f>
        <v xml:space="preserve">Task Post Pmt Queue </v>
      </c>
      <c r="Z47" s="59" t="str">
        <f>VLOOKUP(M47,Table1[#All],9,FALSE)</f>
        <v>Additional Notes:</v>
      </c>
      <c r="AA47" s="76" t="s">
        <v>3997</v>
      </c>
      <c r="AB47" s="76" t="s">
        <v>3697</v>
      </c>
      <c r="AC47" s="90" t="s">
        <v>115</v>
      </c>
      <c r="AD47" s="76" t="s">
        <v>177</v>
      </c>
      <c r="AE47" s="77" t="s">
        <v>3770</v>
      </c>
      <c r="AF47" s="110">
        <v>44588</v>
      </c>
      <c r="AG47" s="41" t="s">
        <v>101</v>
      </c>
      <c r="AH47" s="25"/>
      <c r="AI47" s="25"/>
      <c r="AJ47" s="42"/>
    </row>
    <row r="48" spans="1:36" ht="21" hidden="1" x14ac:dyDescent="0.55000000000000004">
      <c r="A48" s="44" t="str">
        <f>Data!K47</f>
        <v>Delta Dental of Washington</v>
      </c>
      <c r="B48" s="44" t="str">
        <f>Data!L47</f>
        <v>8005541907</v>
      </c>
      <c r="C48" s="44" t="str">
        <f>Data!D47</f>
        <v>Mejia, Viannie</v>
      </c>
      <c r="D48" s="82" t="str">
        <f>Data!F47</f>
        <v>963587927</v>
      </c>
      <c r="E48" s="82" t="str">
        <f>Data!B47</f>
        <v>2870</v>
      </c>
      <c r="F48" s="44" t="str">
        <f>Data!A47</f>
        <v>Mejia, Viannie</v>
      </c>
      <c r="G48" s="55" t="str">
        <f>Data!C47</f>
        <v>4/4/1993</v>
      </c>
      <c r="H48" s="56">
        <f>Data!H47</f>
        <v>44301</v>
      </c>
      <c r="I48" s="56" t="str">
        <f>Data!I47</f>
        <v>4/15/2021</v>
      </c>
      <c r="J48" s="57">
        <f>Data!J47</f>
        <v>532</v>
      </c>
      <c r="K48" s="58">
        <f t="shared" ca="1" si="0"/>
        <v>399</v>
      </c>
      <c r="L48" s="58">
        <f>Data!M47</f>
        <v>0</v>
      </c>
      <c r="M48" s="37" t="s">
        <v>95</v>
      </c>
      <c r="N48" s="43" t="str">
        <f>VLOOKUP(M48,Table1[#All],3,FALSE)</f>
        <v>Write information in Addl Notes</v>
      </c>
      <c r="O48" s="40" t="str">
        <f>VLOOKUP(M48,Table1[#All],4,FALSE)</f>
        <v>Call Ref#:</v>
      </c>
      <c r="P48" s="39"/>
      <c r="Q48" s="40" t="str">
        <f>VLOOKUP(M48,Table1[#All],5,FALSE)</f>
        <v>Cust Rep:</v>
      </c>
      <c r="R48" s="79"/>
      <c r="S48" s="40">
        <f>VLOOKUP(M48,Table1[#All],6,FALSE)</f>
        <v>0</v>
      </c>
      <c r="T48" s="79"/>
      <c r="U48" s="40" t="str">
        <f>VLOOKUP(M48,Table1[#All],7,FALSE)</f>
        <v xml:space="preserve"> </v>
      </c>
      <c r="V48" s="79"/>
      <c r="W48" s="40" t="str">
        <f>VLOOKUP(M48,Table1[#All],8,FALSE)</f>
        <v xml:space="preserve"> </v>
      </c>
      <c r="X48" s="79"/>
      <c r="Y48" s="44" t="str">
        <f>VLOOKUP(M48,Table1[#All],2,FALSE)</f>
        <v xml:space="preserve"> Team Lead to review &amp; Follow-Up</v>
      </c>
      <c r="Z48" s="59" t="str">
        <f>VLOOKUP(M48,Table1[#All],9,FALSE)</f>
        <v>Additional Notes:</v>
      </c>
      <c r="AA48" s="76"/>
      <c r="AB48" s="76" t="s">
        <v>3816</v>
      </c>
      <c r="AC48" s="90" t="s">
        <v>185</v>
      </c>
      <c r="AD48" s="76" t="s">
        <v>177</v>
      </c>
      <c r="AE48" s="77" t="s">
        <v>3776</v>
      </c>
      <c r="AF48" s="110">
        <v>44627</v>
      </c>
      <c r="AG48" s="41" t="s">
        <v>101</v>
      </c>
      <c r="AH48" s="25"/>
      <c r="AI48" s="25"/>
      <c r="AJ48" s="42"/>
    </row>
    <row r="49" spans="1:36" ht="21" hidden="1" x14ac:dyDescent="0.55000000000000004">
      <c r="A49" s="44" t="str">
        <f>Data!K48</f>
        <v>Delta Dental of Washington</v>
      </c>
      <c r="B49" s="44" t="str">
        <f>Data!L48</f>
        <v>8005541907</v>
      </c>
      <c r="C49" s="44" t="str">
        <f>Data!D48</f>
        <v xml:space="preserve">Mejia , Jason </v>
      </c>
      <c r="D49" s="82" t="str">
        <f>Data!F48</f>
        <v>963587927</v>
      </c>
      <c r="E49" s="82" t="str">
        <f>Data!B48</f>
        <v>3001</v>
      </c>
      <c r="F49" s="44" t="str">
        <f>Data!A48</f>
        <v xml:space="preserve">Mejia , Jason </v>
      </c>
      <c r="G49" s="55" t="str">
        <f>Data!C48</f>
        <v>4/4/1993</v>
      </c>
      <c r="H49" s="56">
        <f>Data!H48</f>
        <v>44299</v>
      </c>
      <c r="I49" s="56" t="str">
        <f>Data!I48</f>
        <v>4/15/2021</v>
      </c>
      <c r="J49" s="57">
        <f>Data!J48</f>
        <v>748</v>
      </c>
      <c r="K49" s="58">
        <f t="shared" ca="1" si="0"/>
        <v>399</v>
      </c>
      <c r="L49" s="58">
        <f>Data!M48</f>
        <v>0</v>
      </c>
      <c r="M49" s="37" t="s">
        <v>5</v>
      </c>
      <c r="N49" s="43" t="str">
        <f>VLOOKUP(M49,Table1[#All],3,FALSE)</f>
        <v>Claim Paid by EFT;</v>
      </c>
      <c r="O49" s="40" t="str">
        <f>VLOOKUP(M49,Table1[#All],4,FALSE)</f>
        <v>Issue Date:</v>
      </c>
      <c r="P49" s="38">
        <v>44308</v>
      </c>
      <c r="Q49" s="40" t="str">
        <f>VLOOKUP(M49,Table1[#All],5,FALSE)</f>
        <v>EFT#</v>
      </c>
      <c r="R49" s="79">
        <v>11207602</v>
      </c>
      <c r="S49" s="40" t="str">
        <f>VLOOKUP(M49,Table1[#All],6,FALSE)</f>
        <v>Bulk/Sep:</v>
      </c>
      <c r="T49" s="79" t="s">
        <v>3800</v>
      </c>
      <c r="U49" s="40" t="str">
        <f>VLOOKUP(M49,Table1[#All],7,FALSE)</f>
        <v>Call Ref#:</v>
      </c>
      <c r="V49" s="79">
        <v>20220139569</v>
      </c>
      <c r="W49" s="40" t="str">
        <f>VLOOKUP(M49,Table1[#All],8,FALSE)</f>
        <v>Cust Rep:</v>
      </c>
      <c r="X49" s="79" t="s">
        <v>3990</v>
      </c>
      <c r="Y49" s="44" t="str">
        <f>VLOOKUP(M49,Table1[#All],2,FALSE)</f>
        <v xml:space="preserve">Task Post Pmt Queue </v>
      </c>
      <c r="Z49" s="59" t="str">
        <f>VLOOKUP(M49,Table1[#All],9,FALSE)</f>
        <v>Additional Notes:</v>
      </c>
      <c r="AA49" s="76" t="s">
        <v>3998</v>
      </c>
      <c r="AB49" s="76" t="s">
        <v>3697</v>
      </c>
      <c r="AC49" s="90" t="s">
        <v>115</v>
      </c>
      <c r="AD49" s="76" t="s">
        <v>177</v>
      </c>
      <c r="AE49" s="77" t="s">
        <v>3776</v>
      </c>
      <c r="AF49" s="110">
        <v>44627</v>
      </c>
      <c r="AG49" s="41" t="s">
        <v>101</v>
      </c>
      <c r="AH49" s="25"/>
      <c r="AI49" s="25"/>
      <c r="AJ49" s="42"/>
    </row>
    <row r="50" spans="1:36" ht="21" hidden="1" x14ac:dyDescent="0.55000000000000004">
      <c r="A50" s="44" t="str">
        <f>Data!K49</f>
        <v>Delta Dental of Washington</v>
      </c>
      <c r="B50" s="44" t="str">
        <f>Data!L49</f>
        <v>8005541907</v>
      </c>
      <c r="C50" s="44" t="str">
        <f>Data!D49</f>
        <v xml:space="preserve">Mejia , Jason </v>
      </c>
      <c r="D50" s="82" t="str">
        <f>Data!F49</f>
        <v>963587927</v>
      </c>
      <c r="E50" s="82" t="str">
        <f>Data!B49</f>
        <v>3001</v>
      </c>
      <c r="F50" s="44" t="str">
        <f>Data!A49</f>
        <v xml:space="preserve">Mejia , Jason </v>
      </c>
      <c r="G50" s="55" t="str">
        <f>Data!C49</f>
        <v>4/4/1993</v>
      </c>
      <c r="H50" s="56">
        <f>Data!H49</f>
        <v>44273</v>
      </c>
      <c r="I50" s="56" t="str">
        <f>Data!I49</f>
        <v>3/23/2021</v>
      </c>
      <c r="J50" s="57">
        <f>Data!J49</f>
        <v>227.6</v>
      </c>
      <c r="K50" s="58">
        <f t="shared" ca="1" si="0"/>
        <v>422</v>
      </c>
      <c r="L50" s="58">
        <f>Data!M49</f>
        <v>0</v>
      </c>
      <c r="M50" s="37" t="s">
        <v>5</v>
      </c>
      <c r="N50" s="43" t="str">
        <f>VLOOKUP(M50,Table1[#All],3,FALSE)</f>
        <v>Claim Paid by EFT;</v>
      </c>
      <c r="O50" s="40" t="str">
        <f>VLOOKUP(M50,Table1[#All],4,FALSE)</f>
        <v>Issue Date:</v>
      </c>
      <c r="P50" s="38">
        <v>44287</v>
      </c>
      <c r="Q50" s="40" t="str">
        <f>VLOOKUP(M50,Table1[#All],5,FALSE)</f>
        <v>EFT#</v>
      </c>
      <c r="R50" s="79">
        <v>11181248</v>
      </c>
      <c r="S50" s="40" t="str">
        <f>VLOOKUP(M50,Table1[#All],6,FALSE)</f>
        <v>Bulk/Sep:</v>
      </c>
      <c r="T50" s="79" t="s">
        <v>3800</v>
      </c>
      <c r="U50" s="40" t="str">
        <f>VLOOKUP(M50,Table1[#All],7,FALSE)</f>
        <v>Call Ref#:</v>
      </c>
      <c r="V50" s="79">
        <v>20220139569</v>
      </c>
      <c r="W50" s="40" t="str">
        <f>VLOOKUP(M50,Table1[#All],8,FALSE)</f>
        <v>Cust Rep:</v>
      </c>
      <c r="X50" s="79" t="s">
        <v>3990</v>
      </c>
      <c r="Y50" s="44" t="str">
        <f>VLOOKUP(M50,Table1[#All],2,FALSE)</f>
        <v xml:space="preserve">Task Post Pmt Queue </v>
      </c>
      <c r="Z50" s="59" t="str">
        <f>VLOOKUP(M50,Table1[#All],9,FALSE)</f>
        <v>Additional Notes:</v>
      </c>
      <c r="AA50" s="76" t="s">
        <v>3999</v>
      </c>
      <c r="AB50" s="76" t="s">
        <v>3697</v>
      </c>
      <c r="AC50" s="90" t="s">
        <v>115</v>
      </c>
      <c r="AD50" s="76" t="s">
        <v>177</v>
      </c>
      <c r="AE50" s="77" t="s">
        <v>3776</v>
      </c>
      <c r="AF50" s="110">
        <v>44627</v>
      </c>
      <c r="AG50" s="41" t="s">
        <v>101</v>
      </c>
      <c r="AH50" s="25"/>
      <c r="AI50" s="25"/>
      <c r="AJ50" s="42"/>
    </row>
    <row r="51" spans="1:36" ht="21" hidden="1" x14ac:dyDescent="0.55000000000000004">
      <c r="A51" s="44" t="str">
        <f>Data!K50</f>
        <v>Delta Dental of Washington</v>
      </c>
      <c r="B51" s="44" t="str">
        <f>Data!L50</f>
        <v>8005541907</v>
      </c>
      <c r="C51" s="44" t="str">
        <f>Data!D50</f>
        <v>Mejia, Viannie</v>
      </c>
      <c r="D51" s="82" t="str">
        <f>Data!F50</f>
        <v>963587927</v>
      </c>
      <c r="E51" s="82" t="str">
        <f>Data!B50</f>
        <v>2870</v>
      </c>
      <c r="F51" s="44" t="str">
        <f>Data!A50</f>
        <v>Mejia, Viannie</v>
      </c>
      <c r="G51" s="55" t="str">
        <f>Data!C50</f>
        <v>4/4/1993</v>
      </c>
      <c r="H51" s="56">
        <f>Data!H50</f>
        <v>44273</v>
      </c>
      <c r="I51" s="56" t="str">
        <f>Data!I50</f>
        <v>3/23/2021</v>
      </c>
      <c r="J51" s="57">
        <f>Data!J50</f>
        <v>227.6</v>
      </c>
      <c r="K51" s="58">
        <f t="shared" ca="1" si="0"/>
        <v>422</v>
      </c>
      <c r="L51" s="58">
        <f>Data!M50</f>
        <v>0</v>
      </c>
      <c r="M51" s="37" t="s">
        <v>5</v>
      </c>
      <c r="N51" s="43" t="str">
        <f>VLOOKUP(M51,Table1[#All],3,FALSE)</f>
        <v>Claim Paid by EFT;</v>
      </c>
      <c r="O51" s="40" t="str">
        <f>VLOOKUP(M51,Table1[#All],4,FALSE)</f>
        <v>Issue Date:</v>
      </c>
      <c r="P51" s="38">
        <v>44287</v>
      </c>
      <c r="Q51" s="40" t="str">
        <f>VLOOKUP(M51,Table1[#All],5,FALSE)</f>
        <v>EFT#</v>
      </c>
      <c r="R51" s="79">
        <v>11181248</v>
      </c>
      <c r="S51" s="40" t="str">
        <f>VLOOKUP(M51,Table1[#All],6,FALSE)</f>
        <v>Bulk/Sep:</v>
      </c>
      <c r="T51" s="79" t="s">
        <v>3800</v>
      </c>
      <c r="U51" s="40" t="str">
        <f>VLOOKUP(M51,Table1[#All],7,FALSE)</f>
        <v>Call Ref#:</v>
      </c>
      <c r="V51" s="79">
        <v>202200139640</v>
      </c>
      <c r="W51" s="40" t="str">
        <f>VLOOKUP(M51,Table1[#All],8,FALSE)</f>
        <v>Cust Rep:</v>
      </c>
      <c r="X51" s="79" t="s">
        <v>3990</v>
      </c>
      <c r="Y51" s="44" t="str">
        <f>VLOOKUP(M51,Table1[#All],2,FALSE)</f>
        <v xml:space="preserve">Task Post Pmt Queue </v>
      </c>
      <c r="Z51" s="59" t="str">
        <f>VLOOKUP(M51,Table1[#All],9,FALSE)</f>
        <v>Additional Notes:</v>
      </c>
      <c r="AA51" s="76" t="s">
        <v>4000</v>
      </c>
      <c r="AB51" s="76" t="s">
        <v>3697</v>
      </c>
      <c r="AC51" s="90" t="s">
        <v>115</v>
      </c>
      <c r="AD51" s="76" t="s">
        <v>177</v>
      </c>
      <c r="AE51" s="77" t="s">
        <v>3776</v>
      </c>
      <c r="AF51" s="110">
        <v>44627</v>
      </c>
      <c r="AG51" s="41" t="s">
        <v>101</v>
      </c>
      <c r="AH51" s="25"/>
      <c r="AI51" s="25"/>
      <c r="AJ51" s="42"/>
    </row>
    <row r="52" spans="1:36" ht="21" hidden="1" x14ac:dyDescent="0.55000000000000004">
      <c r="A52" s="44" t="str">
        <f>Data!K51</f>
        <v xml:space="preserve">Delta Dental Of Wisconsin </v>
      </c>
      <c r="B52" s="44" t="str">
        <f>Data!L51</f>
        <v>8002363712</v>
      </c>
      <c r="C52" s="44" t="str">
        <f>Data!D51</f>
        <v>Legree, Cristie</v>
      </c>
      <c r="D52" s="82" t="str">
        <f>Data!F51</f>
        <v>08068800996</v>
      </c>
      <c r="E52" s="82" t="str">
        <f>Data!B51</f>
        <v>6277</v>
      </c>
      <c r="F52" s="44" t="str">
        <f>Data!A51</f>
        <v>Legree, Cristie</v>
      </c>
      <c r="G52" s="55" t="str">
        <f>Data!C51</f>
        <v>2/26/1987</v>
      </c>
      <c r="H52" s="56">
        <f>Data!H51</f>
        <v>44651</v>
      </c>
      <c r="I52" s="56" t="str">
        <f>Data!I51</f>
        <v>4/1/2022</v>
      </c>
      <c r="J52" s="57">
        <f>Data!J51</f>
        <v>82.8</v>
      </c>
      <c r="K52" s="58">
        <f t="shared" ca="1" si="0"/>
        <v>48</v>
      </c>
      <c r="L52" s="58">
        <f>Data!M51</f>
        <v>0</v>
      </c>
      <c r="M52" s="37" t="s">
        <v>26</v>
      </c>
      <c r="N52" s="43" t="str">
        <f>VLOOKUP(M52,Table1[#All],3,FALSE)</f>
        <v>Note</v>
      </c>
      <c r="O52" s="40" t="str">
        <f>VLOOKUP(M52,Table1[#All],4,FALSE)</f>
        <v>Q1</v>
      </c>
      <c r="P52" s="39"/>
      <c r="Q52" s="40" t="str">
        <f>VLOOKUP(M52,Table1[#All],5,FALSE)</f>
        <v>Q2</v>
      </c>
      <c r="R52" s="79"/>
      <c r="S52" s="40" t="str">
        <f>VLOOKUP(M52,Table1[#All],6,FALSE)</f>
        <v>Q3</v>
      </c>
      <c r="T52" s="79"/>
      <c r="U52" s="40" t="str">
        <f>VLOOKUP(M52,Table1[#All],7,FALSE)</f>
        <v>Q4</v>
      </c>
      <c r="V52" s="79"/>
      <c r="W52" s="40" t="str">
        <f>VLOOKUP(M52,Table1[#All],8,FALSE)</f>
        <v>Q5</v>
      </c>
      <c r="X52" s="79"/>
      <c r="Y52" s="44" t="str">
        <f>VLOOKUP(M52,Table1[#All],2,FALSE)</f>
        <v>Action</v>
      </c>
      <c r="Z52" s="59" t="str">
        <f>VLOOKUP(M52,Table1[#All],9,FALSE)</f>
        <v>Additional Notes:</v>
      </c>
      <c r="AA52" s="76"/>
      <c r="AB52" s="76"/>
      <c r="AC52" s="90" t="s">
        <v>91</v>
      </c>
      <c r="AD52" s="76" t="s">
        <v>91</v>
      </c>
      <c r="AE52" s="77"/>
      <c r="AF52" s="110"/>
      <c r="AG52" s="41" t="s">
        <v>91</v>
      </c>
      <c r="AH52" s="25"/>
      <c r="AI52" s="25"/>
      <c r="AJ52" s="42"/>
    </row>
    <row r="53" spans="1:36" ht="21" hidden="1" x14ac:dyDescent="0.55000000000000004">
      <c r="A53" s="44" t="str">
        <f>Data!K52</f>
        <v xml:space="preserve">Delta Dental Of Wisconsin </v>
      </c>
      <c r="B53" s="44" t="str">
        <f>Data!L52</f>
        <v>8002363712</v>
      </c>
      <c r="C53" s="44" t="str">
        <f>Data!D52</f>
        <v xml:space="preserve">Barber, Jazaria </v>
      </c>
      <c r="D53" s="82" t="str">
        <f>Data!F52</f>
        <v>08046078168</v>
      </c>
      <c r="E53" s="82" t="str">
        <f>Data!B52</f>
        <v>9286</v>
      </c>
      <c r="F53" s="44" t="str">
        <f>Data!A52</f>
        <v xml:space="preserve">Barber, Jazaria </v>
      </c>
      <c r="G53" s="55" t="str">
        <f>Data!C52</f>
        <v>2/24/2009</v>
      </c>
      <c r="H53" s="56">
        <f>Data!H52</f>
        <v>44643</v>
      </c>
      <c r="I53" s="56" t="str">
        <f>Data!I52</f>
        <v>3/24/2022</v>
      </c>
      <c r="J53" s="57">
        <f>Data!J52</f>
        <v>1480.4</v>
      </c>
      <c r="K53" s="58">
        <f t="shared" ca="1" si="0"/>
        <v>56</v>
      </c>
      <c r="L53" s="58">
        <f>Data!M52</f>
        <v>0</v>
      </c>
      <c r="M53" s="37" t="s">
        <v>26</v>
      </c>
      <c r="N53" s="43" t="str">
        <f>VLOOKUP(M53,Table1[#All],3,FALSE)</f>
        <v>Note</v>
      </c>
      <c r="O53" s="40" t="str">
        <f>VLOOKUP(M53,Table1[#All],4,FALSE)</f>
        <v>Q1</v>
      </c>
      <c r="P53" s="39"/>
      <c r="Q53" s="40" t="str">
        <f>VLOOKUP(M53,Table1[#All],5,FALSE)</f>
        <v>Q2</v>
      </c>
      <c r="R53" s="79"/>
      <c r="S53" s="40" t="str">
        <f>VLOOKUP(M53,Table1[#All],6,FALSE)</f>
        <v>Q3</v>
      </c>
      <c r="T53" s="79"/>
      <c r="U53" s="40" t="str">
        <f>VLOOKUP(M53,Table1[#All],7,FALSE)</f>
        <v>Q4</v>
      </c>
      <c r="V53" s="79"/>
      <c r="W53" s="40" t="str">
        <f>VLOOKUP(M53,Table1[#All],8,FALSE)</f>
        <v>Q5</v>
      </c>
      <c r="X53" s="79"/>
      <c r="Y53" s="44" t="str">
        <f>VLOOKUP(M53,Table1[#All],2,FALSE)</f>
        <v>Action</v>
      </c>
      <c r="Z53" s="59" t="str">
        <f>VLOOKUP(M53,Table1[#All],9,FALSE)</f>
        <v>Additional Notes:</v>
      </c>
      <c r="AA53" s="76"/>
      <c r="AB53" s="76"/>
      <c r="AC53" s="90" t="s">
        <v>91</v>
      </c>
      <c r="AD53" s="76" t="s">
        <v>91</v>
      </c>
      <c r="AE53" s="77"/>
      <c r="AF53" s="110"/>
      <c r="AG53" s="41" t="s">
        <v>91</v>
      </c>
      <c r="AH53" s="25"/>
      <c r="AI53" s="25"/>
      <c r="AJ53" s="42"/>
    </row>
    <row r="54" spans="1:36" ht="21" hidden="1" x14ac:dyDescent="0.55000000000000004">
      <c r="A54" s="44" t="str">
        <f>Data!K53</f>
        <v xml:space="preserve">Delta Dental Of Wisconsin </v>
      </c>
      <c r="B54" s="44" t="str">
        <f>Data!L53</f>
        <v>8002363712</v>
      </c>
      <c r="C54" s="44" t="str">
        <f>Data!D53</f>
        <v>Casarez , Romeo</v>
      </c>
      <c r="D54" s="82" t="str">
        <f>Data!F53</f>
        <v>08037992525</v>
      </c>
      <c r="E54" s="82" t="str">
        <f>Data!B53</f>
        <v>8966</v>
      </c>
      <c r="F54" s="44" t="str">
        <f>Data!A53</f>
        <v>Casarez , Romeo</v>
      </c>
      <c r="G54" s="55" t="str">
        <f>Data!C53</f>
        <v>4/6/1985</v>
      </c>
      <c r="H54" s="56">
        <f>Data!H53</f>
        <v>44622</v>
      </c>
      <c r="I54" s="56" t="str">
        <f>Data!I53</f>
        <v>3/2/2022</v>
      </c>
      <c r="J54" s="57">
        <f>Data!J53</f>
        <v>1183.2</v>
      </c>
      <c r="K54" s="58">
        <f t="shared" ca="1" si="0"/>
        <v>78</v>
      </c>
      <c r="L54" s="58">
        <f>Data!M53</f>
        <v>0</v>
      </c>
      <c r="M54" s="37" t="s">
        <v>26</v>
      </c>
      <c r="N54" s="43" t="str">
        <f>VLOOKUP(M54,Table1[#All],3,FALSE)</f>
        <v>Note</v>
      </c>
      <c r="O54" s="40" t="str">
        <f>VLOOKUP(M54,Table1[#All],4,FALSE)</f>
        <v>Q1</v>
      </c>
      <c r="P54" s="39"/>
      <c r="Q54" s="40" t="str">
        <f>VLOOKUP(M54,Table1[#All],5,FALSE)</f>
        <v>Q2</v>
      </c>
      <c r="R54" s="79"/>
      <c r="S54" s="40" t="str">
        <f>VLOOKUP(M54,Table1[#All],6,FALSE)</f>
        <v>Q3</v>
      </c>
      <c r="T54" s="79"/>
      <c r="U54" s="40" t="str">
        <f>VLOOKUP(M54,Table1[#All],7,FALSE)</f>
        <v>Q4</v>
      </c>
      <c r="V54" s="79"/>
      <c r="W54" s="40" t="str">
        <f>VLOOKUP(M54,Table1[#All],8,FALSE)</f>
        <v>Q5</v>
      </c>
      <c r="X54" s="79"/>
      <c r="Y54" s="44" t="str">
        <f>VLOOKUP(M54,Table1[#All],2,FALSE)</f>
        <v>Action</v>
      </c>
      <c r="Z54" s="59" t="str">
        <f>VLOOKUP(M54,Table1[#All],9,FALSE)</f>
        <v>Additional Notes:</v>
      </c>
      <c r="AA54" s="76"/>
      <c r="AB54" s="76"/>
      <c r="AC54" s="90" t="s">
        <v>91</v>
      </c>
      <c r="AD54" s="76" t="s">
        <v>91</v>
      </c>
      <c r="AE54" s="77"/>
      <c r="AF54" s="110"/>
      <c r="AG54" s="41" t="s">
        <v>91</v>
      </c>
      <c r="AH54" s="25"/>
      <c r="AI54" s="25"/>
      <c r="AJ54" s="42"/>
    </row>
    <row r="55" spans="1:36" ht="21" hidden="1" x14ac:dyDescent="0.55000000000000004">
      <c r="A55" s="44" t="str">
        <f>Data!K54</f>
        <v xml:space="preserve">Delta Dental Of Wisconsin </v>
      </c>
      <c r="B55" s="44" t="str">
        <f>Data!L54</f>
        <v>8002363712</v>
      </c>
      <c r="C55" s="44" t="str">
        <f>Data!D54</f>
        <v xml:space="preserve">Anadell, Carrie </v>
      </c>
      <c r="D55" s="82" t="str">
        <f>Data!F54</f>
        <v>08092951962</v>
      </c>
      <c r="E55" s="82" t="str">
        <f>Data!B54</f>
        <v>9079</v>
      </c>
      <c r="F55" s="44" t="str">
        <f>Data!A54</f>
        <v xml:space="preserve">Anadell, Carrie </v>
      </c>
      <c r="G55" s="55" t="str">
        <f>Data!C54</f>
        <v>6/20/1979</v>
      </c>
      <c r="H55" s="56">
        <f>Data!H54</f>
        <v>44607</v>
      </c>
      <c r="I55" s="56" t="str">
        <f>Data!I54</f>
        <v>2/25/2022</v>
      </c>
      <c r="J55" s="57">
        <f>Data!J54</f>
        <v>220.4</v>
      </c>
      <c r="K55" s="58">
        <f t="shared" ca="1" si="0"/>
        <v>83</v>
      </c>
      <c r="L55" s="58">
        <f>Data!M54</f>
        <v>0</v>
      </c>
      <c r="M55" s="37" t="s">
        <v>26</v>
      </c>
      <c r="N55" s="43" t="str">
        <f>VLOOKUP(M55,Table1[#All],3,FALSE)</f>
        <v>Note</v>
      </c>
      <c r="O55" s="40" t="str">
        <f>VLOOKUP(M55,Table1[#All],4,FALSE)</f>
        <v>Q1</v>
      </c>
      <c r="P55" s="39"/>
      <c r="Q55" s="40" t="str">
        <f>VLOOKUP(M55,Table1[#All],5,FALSE)</f>
        <v>Q2</v>
      </c>
      <c r="R55" s="79"/>
      <c r="S55" s="40" t="str">
        <f>VLOOKUP(M55,Table1[#All],6,FALSE)</f>
        <v>Q3</v>
      </c>
      <c r="T55" s="79"/>
      <c r="U55" s="40" t="str">
        <f>VLOOKUP(M55,Table1[#All],7,FALSE)</f>
        <v>Q4</v>
      </c>
      <c r="V55" s="79"/>
      <c r="W55" s="40" t="str">
        <f>VLOOKUP(M55,Table1[#All],8,FALSE)</f>
        <v>Q5</v>
      </c>
      <c r="X55" s="79"/>
      <c r="Y55" s="44" t="str">
        <f>VLOOKUP(M55,Table1[#All],2,FALSE)</f>
        <v>Action</v>
      </c>
      <c r="Z55" s="59" t="str">
        <f>VLOOKUP(M55,Table1[#All],9,FALSE)</f>
        <v>Additional Notes:</v>
      </c>
      <c r="AA55" s="76"/>
      <c r="AB55" s="76"/>
      <c r="AC55" s="90" t="s">
        <v>91</v>
      </c>
      <c r="AD55" s="76" t="s">
        <v>91</v>
      </c>
      <c r="AE55" s="77"/>
      <c r="AF55" s="110"/>
      <c r="AG55" s="41" t="s">
        <v>91</v>
      </c>
      <c r="AH55" s="25"/>
      <c r="AI55" s="25"/>
      <c r="AJ55" s="42"/>
    </row>
    <row r="56" spans="1:36" ht="33" hidden="1" x14ac:dyDescent="0.55000000000000004">
      <c r="A56" s="44" t="str">
        <f>Data!K55</f>
        <v xml:space="preserve">Delta Dental Of Wisconsin </v>
      </c>
      <c r="B56" s="44" t="str">
        <f>Data!L55</f>
        <v>8002363712</v>
      </c>
      <c r="C56" s="44" t="str">
        <f>Data!D55</f>
        <v xml:space="preserve">Wooden, Jasmine </v>
      </c>
      <c r="D56" s="82" t="str">
        <f>Data!F55</f>
        <v>08081760881</v>
      </c>
      <c r="E56" s="82" t="str">
        <f>Data!B55</f>
        <v>4735</v>
      </c>
      <c r="F56" s="44" t="str">
        <f>Data!A55</f>
        <v xml:space="preserve">Wooden, Jasmine </v>
      </c>
      <c r="G56" s="55" t="str">
        <f>Data!C55</f>
        <v>7/27/1990</v>
      </c>
      <c r="H56" s="56">
        <f>Data!H55</f>
        <v>44587</v>
      </c>
      <c r="I56" s="56" t="str">
        <f>Data!I55</f>
        <v>2/1/2022</v>
      </c>
      <c r="J56" s="57">
        <f>Data!J55</f>
        <v>432</v>
      </c>
      <c r="K56" s="58">
        <f t="shared" ca="1" si="0"/>
        <v>107</v>
      </c>
      <c r="L56" s="58">
        <f>Data!M55</f>
        <v>0</v>
      </c>
      <c r="M56" s="37" t="s">
        <v>5</v>
      </c>
      <c r="N56" s="43" t="str">
        <f>VLOOKUP(M56,Table1[#All],3,FALSE)</f>
        <v>Claim Paid by EFT;</v>
      </c>
      <c r="O56" s="40" t="str">
        <f>VLOOKUP(M56,Table1[#All],4,FALSE)</f>
        <v>Issue Date:</v>
      </c>
      <c r="P56" s="38">
        <v>44685</v>
      </c>
      <c r="Q56" s="40" t="str">
        <f>VLOOKUP(M56,Table1[#All],5,FALSE)</f>
        <v>EFT#</v>
      </c>
      <c r="R56" s="79" t="s">
        <v>4168</v>
      </c>
      <c r="S56" s="40" t="str">
        <f>VLOOKUP(M56,Table1[#All],6,FALSE)</f>
        <v>Bulk/Sep:</v>
      </c>
      <c r="T56" s="79" t="s">
        <v>3800</v>
      </c>
      <c r="U56" s="40" t="str">
        <f>VLOOKUP(M56,Table1[#All],7,FALSE)</f>
        <v>Call Ref#:</v>
      </c>
      <c r="V56" s="79" t="s">
        <v>4169</v>
      </c>
      <c r="W56" s="40" t="str">
        <f>VLOOKUP(M56,Table1[#All],8,FALSE)</f>
        <v>Cust Rep:</v>
      </c>
      <c r="X56" s="79" t="s">
        <v>4170</v>
      </c>
      <c r="Y56" s="44" t="str">
        <f>VLOOKUP(M56,Table1[#All],2,FALSE)</f>
        <v xml:space="preserve">Task Post Pmt Queue </v>
      </c>
      <c r="Z56" s="59" t="str">
        <f>VLOOKUP(M56,Table1[#All],9,FALSE)</f>
        <v>Additional Notes:</v>
      </c>
      <c r="AA56" s="76" t="s">
        <v>4171</v>
      </c>
      <c r="AB56" s="76" t="s">
        <v>3816</v>
      </c>
      <c r="AC56" s="90" t="s">
        <v>115</v>
      </c>
      <c r="AD56" s="76" t="s">
        <v>177</v>
      </c>
      <c r="AE56" s="77" t="s">
        <v>3770</v>
      </c>
      <c r="AF56" s="110">
        <v>44687</v>
      </c>
      <c r="AG56" s="41" t="s">
        <v>101</v>
      </c>
      <c r="AH56" s="25"/>
      <c r="AI56" s="25"/>
      <c r="AJ56" s="42"/>
    </row>
    <row r="57" spans="1:36" ht="49.5" hidden="1" x14ac:dyDescent="0.55000000000000004">
      <c r="A57" s="44" t="str">
        <f>Data!K56</f>
        <v xml:space="preserve">Delta Dental Of Wisconsin </v>
      </c>
      <c r="B57" s="44" t="str">
        <f>Data!L56</f>
        <v>8002363712</v>
      </c>
      <c r="C57" s="44" t="str">
        <f>Data!D56</f>
        <v>Malone , Kalahni</v>
      </c>
      <c r="D57" s="82" t="str">
        <f>Data!F56</f>
        <v>08013357739</v>
      </c>
      <c r="E57" s="82" t="str">
        <f>Data!B56</f>
        <v>6339</v>
      </c>
      <c r="F57" s="44" t="str">
        <f>Data!A56</f>
        <v>Malone , Kalahni</v>
      </c>
      <c r="G57" s="55" t="str">
        <f>Data!C56</f>
        <v>4/11/1991</v>
      </c>
      <c r="H57" s="56">
        <f>Data!H56</f>
        <v>44457</v>
      </c>
      <c r="I57" s="56" t="str">
        <f>Data!I56</f>
        <v>12/11/2021</v>
      </c>
      <c r="J57" s="57">
        <f>Data!J56</f>
        <v>227.6</v>
      </c>
      <c r="K57" s="58">
        <f t="shared" ca="1" si="0"/>
        <v>159</v>
      </c>
      <c r="L57" s="58">
        <f>Data!M56</f>
        <v>0</v>
      </c>
      <c r="M57" s="37" t="s">
        <v>45</v>
      </c>
      <c r="N57" s="43" t="str">
        <f>VLOOKUP(M57,Table1[#All],3,FALSE)</f>
        <v>Procedure is not a covered benefit;</v>
      </c>
      <c r="O57" s="40" t="str">
        <f>VLOOKUP(M57,Table1[#All],4,FALSE)</f>
        <v xml:space="preserve">Why? </v>
      </c>
      <c r="P57" s="39" t="s">
        <v>4001</v>
      </c>
      <c r="Q57" s="40" t="str">
        <f>VLOOKUP(M57,Table1[#All],5,FALSE)</f>
        <v>Call Ref#:</v>
      </c>
      <c r="R57" s="79" t="s">
        <v>4002</v>
      </c>
      <c r="S57" s="40" t="str">
        <f>VLOOKUP(M57,Table1[#All],6,FALSE)</f>
        <v>Cust Rep:</v>
      </c>
      <c r="T57" s="79" t="s">
        <v>4003</v>
      </c>
      <c r="U57" s="40">
        <f>VLOOKUP(M57,Table1[#All],7,FALSE)</f>
        <v>0</v>
      </c>
      <c r="V57" s="121"/>
      <c r="W57" s="40">
        <f>VLOOKUP(M57,Table1[#All],8,FALSE)</f>
        <v>0</v>
      </c>
      <c r="X57" s="79"/>
      <c r="Y57" s="44" t="str">
        <f>VLOOKUP(M57,Table1[#All],2,FALSE)</f>
        <v xml:space="preserve">Task Client - Denied Claim Queue </v>
      </c>
      <c r="Z57" s="59" t="str">
        <f>VLOOKUP(M57,Table1[#All],9,FALSE)</f>
        <v>Additional Notes:</v>
      </c>
      <c r="AA57" s="76" t="s">
        <v>4004</v>
      </c>
      <c r="AB57" s="76" t="s">
        <v>3697</v>
      </c>
      <c r="AC57" s="90" t="s">
        <v>115</v>
      </c>
      <c r="AD57" s="76" t="s">
        <v>177</v>
      </c>
      <c r="AE57" s="77" t="s">
        <v>3776</v>
      </c>
      <c r="AF57" s="110">
        <v>44627</v>
      </c>
      <c r="AG57" s="41" t="s">
        <v>101</v>
      </c>
      <c r="AH57" s="25"/>
      <c r="AI57" s="25"/>
      <c r="AJ57" s="42"/>
    </row>
    <row r="58" spans="1:36" ht="42" x14ac:dyDescent="0.55000000000000004">
      <c r="A58" s="44" t="str">
        <f>Data!K57</f>
        <v xml:space="preserve">Delta Dental Of Wisconsin </v>
      </c>
      <c r="B58" s="44" t="str">
        <f>Data!L57</f>
        <v>8002363712</v>
      </c>
      <c r="C58" s="44" t="str">
        <f>Data!D57</f>
        <v>Sesham Haribabu, Saigopal</v>
      </c>
      <c r="D58" s="82" t="str">
        <f>Data!F57</f>
        <v>08005831007</v>
      </c>
      <c r="E58" s="82" t="str">
        <f>Data!B57</f>
        <v>8250</v>
      </c>
      <c r="F58" s="44" t="str">
        <f>Data!A57</f>
        <v>Sesham Haribabu, Saigopal</v>
      </c>
      <c r="G58" s="55" t="str">
        <f>Data!C57</f>
        <v>6/2/1980</v>
      </c>
      <c r="H58" s="56">
        <f>Data!H57</f>
        <v>44495</v>
      </c>
      <c r="I58" s="56" t="str">
        <f>Data!I57</f>
        <v>12/11/2021</v>
      </c>
      <c r="J58" s="57">
        <f>Data!J57</f>
        <v>332.4</v>
      </c>
      <c r="K58" s="58">
        <f t="shared" ca="1" si="0"/>
        <v>159</v>
      </c>
      <c r="L58" s="58">
        <f>Data!M57</f>
        <v>0</v>
      </c>
      <c r="M58" s="37" t="s">
        <v>30</v>
      </c>
      <c r="N58" s="43" t="str">
        <f>VLOOKUP(M58,Table1[#All],3,FALSE)</f>
        <v>Claim not on file. Patient is active ;</v>
      </c>
      <c r="O58" s="40" t="str">
        <f>VLOOKUP(M58,Table1[#All],4,FALSE)</f>
        <v>Payor ID &amp; Address:</v>
      </c>
      <c r="P58" s="39">
        <v>39069</v>
      </c>
      <c r="Q58" s="40" t="str">
        <f>VLOOKUP(M58,Table1[#All],5,FALSE)</f>
        <v>Fax # (If Fax Yes):</v>
      </c>
      <c r="R58" s="79"/>
      <c r="S58" s="40" t="str">
        <f>VLOOKUP(M58,Table1[#All],6,FALSE)</f>
        <v>TFL in Mnths:</v>
      </c>
      <c r="T58" s="79" t="s">
        <v>4005</v>
      </c>
      <c r="U58" s="40" t="str">
        <f>VLOOKUP(M58,Table1[#All],7,FALSE)</f>
        <v>Call Ref#:</v>
      </c>
      <c r="V58" s="79" t="s">
        <v>4003</v>
      </c>
      <c r="W58" s="40" t="str">
        <f>VLOOKUP(M58,Table1[#All],8,FALSE)</f>
        <v>Cust Rep:</v>
      </c>
      <c r="X58" s="79" t="s">
        <v>4002</v>
      </c>
      <c r="Y58" s="44" t="str">
        <f>VLOOKUP(M58,Table1[#All],2,FALSE)</f>
        <v>Task Sub Pending Claims Queue</v>
      </c>
      <c r="Z58" s="59" t="str">
        <f>VLOOKUP(M58,Table1[#All],9,FALSE)</f>
        <v>Additional Notes:</v>
      </c>
      <c r="AA58" s="76" t="s">
        <v>4199</v>
      </c>
      <c r="AB58" s="117">
        <v>44701</v>
      </c>
      <c r="AC58" s="90" t="s">
        <v>185</v>
      </c>
      <c r="AD58" s="76" t="s">
        <v>177</v>
      </c>
      <c r="AE58" s="77" t="s">
        <v>3776</v>
      </c>
      <c r="AF58" s="110">
        <v>44628</v>
      </c>
      <c r="AG58" s="41" t="s">
        <v>100</v>
      </c>
      <c r="AH58" s="25"/>
      <c r="AI58" s="25"/>
      <c r="AJ58" s="42"/>
    </row>
    <row r="59" spans="1:36" ht="21" hidden="1" x14ac:dyDescent="0.55000000000000004">
      <c r="A59" s="44" t="str">
        <f>Data!K58</f>
        <v xml:space="preserve">Delta Dental Of Wisconsin </v>
      </c>
      <c r="B59" s="44" t="str">
        <f>Data!L58</f>
        <v>8002363712</v>
      </c>
      <c r="C59" s="44" t="str">
        <f>Data!D58</f>
        <v>Malone , Kalahni</v>
      </c>
      <c r="D59" s="82" t="str">
        <f>Data!F58</f>
        <v>08013357739</v>
      </c>
      <c r="E59" s="82" t="str">
        <f>Data!B58</f>
        <v>6339</v>
      </c>
      <c r="F59" s="44" t="str">
        <f>Data!A58</f>
        <v>Malone , Kalahni</v>
      </c>
      <c r="G59" s="55" t="str">
        <f>Data!C58</f>
        <v>4/11/1991</v>
      </c>
      <c r="H59" s="56">
        <f>Data!H58</f>
        <v>44536</v>
      </c>
      <c r="I59" s="56" t="str">
        <f>Data!I58</f>
        <v>2/15/2022</v>
      </c>
      <c r="J59" s="57">
        <f>Data!J58</f>
        <v>712</v>
      </c>
      <c r="K59" s="58">
        <f t="shared" ca="1" si="0"/>
        <v>93</v>
      </c>
      <c r="L59" s="58">
        <f>Data!M58</f>
        <v>0</v>
      </c>
      <c r="M59" s="37" t="s">
        <v>26</v>
      </c>
      <c r="N59" s="43" t="str">
        <f>VLOOKUP(M59,Table1[#All],3,FALSE)</f>
        <v>Note</v>
      </c>
      <c r="O59" s="40" t="str">
        <f>VLOOKUP(M59,Table1[#All],4,FALSE)</f>
        <v>Q1</v>
      </c>
      <c r="P59" s="38"/>
      <c r="Q59" s="40" t="str">
        <f>VLOOKUP(M59,Table1[#All],5,FALSE)</f>
        <v>Q2</v>
      </c>
      <c r="R59" s="79"/>
      <c r="S59" s="40" t="str">
        <f>VLOOKUP(M59,Table1[#All],6,FALSE)</f>
        <v>Q3</v>
      </c>
      <c r="T59" s="79"/>
      <c r="U59" s="40" t="str">
        <f>VLOOKUP(M59,Table1[#All],7,FALSE)</f>
        <v>Q4</v>
      </c>
      <c r="V59" s="79"/>
      <c r="W59" s="40" t="str">
        <f>VLOOKUP(M59,Table1[#All],8,FALSE)</f>
        <v>Q5</v>
      </c>
      <c r="X59" s="79"/>
      <c r="Y59" s="44" t="str">
        <f>VLOOKUP(M59,Table1[#All],2,FALSE)</f>
        <v>Action</v>
      </c>
      <c r="Z59" s="59" t="str">
        <f>VLOOKUP(M59,Table1[#All],9,FALSE)</f>
        <v>Additional Notes:</v>
      </c>
      <c r="AA59" s="76"/>
      <c r="AB59" s="76"/>
      <c r="AC59" s="90" t="s">
        <v>91</v>
      </c>
      <c r="AD59" s="76" t="s">
        <v>91</v>
      </c>
      <c r="AE59" s="77"/>
      <c r="AF59" s="110"/>
      <c r="AG59" s="41" t="s">
        <v>91</v>
      </c>
      <c r="AH59" s="25"/>
      <c r="AI59" s="25"/>
      <c r="AJ59" s="42"/>
    </row>
    <row r="60" spans="1:36" ht="33" hidden="1" x14ac:dyDescent="0.55000000000000004">
      <c r="A60" s="44" t="str">
        <f>Data!K59</f>
        <v xml:space="preserve">Delta Dental Of Wisconsin </v>
      </c>
      <c r="B60" s="44" t="str">
        <f>Data!L59</f>
        <v>8002363712</v>
      </c>
      <c r="C60" s="44" t="str">
        <f>Data!D59</f>
        <v xml:space="preserve">Gordon, Jamie </v>
      </c>
      <c r="D60" s="82" t="str">
        <f>Data!F59</f>
        <v>08007200266</v>
      </c>
      <c r="E60" s="82" t="str">
        <f>Data!B59</f>
        <v>8537</v>
      </c>
      <c r="F60" s="44" t="str">
        <f>Data!A59</f>
        <v xml:space="preserve">Gordon, Jamie </v>
      </c>
      <c r="G60" s="55" t="str">
        <f>Data!C59</f>
        <v>2/15/1972</v>
      </c>
      <c r="H60" s="56">
        <f>Data!H59</f>
        <v>44524</v>
      </c>
      <c r="I60" s="56" t="str">
        <f>Data!I59</f>
        <v>12/1/2021</v>
      </c>
      <c r="J60" s="57">
        <f>Data!J59</f>
        <v>199.2</v>
      </c>
      <c r="K60" s="58">
        <f t="shared" ca="1" si="0"/>
        <v>169</v>
      </c>
      <c r="L60" s="58">
        <f>Data!M59</f>
        <v>0</v>
      </c>
      <c r="M60" s="37" t="s">
        <v>5</v>
      </c>
      <c r="N60" s="43" t="str">
        <f>VLOOKUP(M60,Table1[#All],3,FALSE)</f>
        <v>Claim Paid by EFT;</v>
      </c>
      <c r="O60" s="40" t="str">
        <f>VLOOKUP(M60,Table1[#All],4,FALSE)</f>
        <v>Issue Date:</v>
      </c>
      <c r="P60" s="38">
        <v>44538</v>
      </c>
      <c r="Q60" s="40" t="str">
        <f>VLOOKUP(M60,Table1[#All],5,FALSE)</f>
        <v>EFT#</v>
      </c>
      <c r="R60" s="79">
        <v>1050566</v>
      </c>
      <c r="S60" s="40" t="str">
        <f>VLOOKUP(M60,Table1[#All],6,FALSE)</f>
        <v>Bulk/Sep:</v>
      </c>
      <c r="T60" s="79" t="s">
        <v>3800</v>
      </c>
      <c r="U60" s="40" t="str">
        <f>VLOOKUP(M60,Table1[#All],7,FALSE)</f>
        <v>Call Ref#:</v>
      </c>
      <c r="V60" s="79" t="s">
        <v>4006</v>
      </c>
      <c r="W60" s="40" t="str">
        <f>VLOOKUP(M60,Table1[#All],8,FALSE)</f>
        <v>Cust Rep:</v>
      </c>
      <c r="X60" s="79" t="s">
        <v>3743</v>
      </c>
      <c r="Y60" s="44" t="str">
        <f>VLOOKUP(M60,Table1[#All],2,FALSE)</f>
        <v xml:space="preserve">Task Post Pmt Queue </v>
      </c>
      <c r="Z60" s="59" t="str">
        <f>VLOOKUP(M60,Table1[#All],9,FALSE)</f>
        <v>Additional Notes:</v>
      </c>
      <c r="AA60" s="76" t="s">
        <v>4007</v>
      </c>
      <c r="AB60" s="76" t="s">
        <v>3697</v>
      </c>
      <c r="AC60" s="90" t="s">
        <v>115</v>
      </c>
      <c r="AD60" s="76" t="s">
        <v>177</v>
      </c>
      <c r="AE60" s="110" t="s">
        <v>3776</v>
      </c>
      <c r="AF60" s="110">
        <v>44628</v>
      </c>
      <c r="AG60" s="41" t="s">
        <v>101</v>
      </c>
      <c r="AH60" s="25"/>
      <c r="AI60" s="25"/>
      <c r="AJ60" s="42"/>
    </row>
    <row r="61" spans="1:36" ht="21" hidden="1" x14ac:dyDescent="0.55000000000000004">
      <c r="A61" s="44" t="str">
        <f>Data!K60</f>
        <v xml:space="preserve">Delta Dental Of Wisconsin </v>
      </c>
      <c r="B61" s="44" t="str">
        <f>Data!L60</f>
        <v>8002363712</v>
      </c>
      <c r="C61" s="44" t="str">
        <f>Data!D60</f>
        <v xml:space="preserve">Rubach , Gretchen </v>
      </c>
      <c r="D61" s="82" t="str">
        <f>Data!F60</f>
        <v>08082233537</v>
      </c>
      <c r="E61" s="82" t="str">
        <f>Data!B60</f>
        <v>7397</v>
      </c>
      <c r="F61" s="44" t="str">
        <f>Data!A60</f>
        <v xml:space="preserve">Rubach , Gretchen </v>
      </c>
      <c r="G61" s="55" t="str">
        <f>Data!C60</f>
        <v>3/21/1972</v>
      </c>
      <c r="H61" s="56">
        <f>Data!H60</f>
        <v>44519</v>
      </c>
      <c r="I61" s="56" t="str">
        <f>Data!I60</f>
        <v>12/1/2021</v>
      </c>
      <c r="J61" s="57">
        <f>Data!J60</f>
        <v>133.19999999999999</v>
      </c>
      <c r="K61" s="58">
        <f t="shared" ca="1" si="0"/>
        <v>169</v>
      </c>
      <c r="L61" s="58">
        <f>Data!M60</f>
        <v>0</v>
      </c>
      <c r="M61" s="37" t="s">
        <v>5</v>
      </c>
      <c r="N61" s="43" t="str">
        <f>VLOOKUP(M61,Table1[#All],3,FALSE)</f>
        <v>Claim Paid by EFT;</v>
      </c>
      <c r="O61" s="40" t="str">
        <f>VLOOKUP(M61,Table1[#All],4,FALSE)</f>
        <v>Issue Date:</v>
      </c>
      <c r="P61" s="38">
        <v>44538</v>
      </c>
      <c r="Q61" s="40" t="str">
        <f>VLOOKUP(M61,Table1[#All],5,FALSE)</f>
        <v>EFT#</v>
      </c>
      <c r="R61" s="68">
        <v>1050566</v>
      </c>
      <c r="S61" s="40" t="str">
        <f>VLOOKUP(M61,Table1[#All],6,FALSE)</f>
        <v>Bulk/Sep:</v>
      </c>
      <c r="T61" s="68" t="s">
        <v>3800</v>
      </c>
      <c r="U61" s="40" t="str">
        <f>VLOOKUP(M61,Table1[#All],7,FALSE)</f>
        <v>Call Ref#:</v>
      </c>
      <c r="V61" s="68" t="s">
        <v>4006</v>
      </c>
      <c r="W61" s="40" t="str">
        <f>VLOOKUP(M61,Table1[#All],8,FALSE)</f>
        <v>Cust Rep:</v>
      </c>
      <c r="X61" s="79" t="s">
        <v>3743</v>
      </c>
      <c r="Y61" s="44" t="str">
        <f>VLOOKUP(M61,Table1[#All],2,FALSE)</f>
        <v xml:space="preserve">Task Post Pmt Queue </v>
      </c>
      <c r="Z61" s="59" t="str">
        <f>VLOOKUP(M61,Table1[#All],9,FALSE)</f>
        <v>Additional Notes:</v>
      </c>
      <c r="AA61" s="76" t="s">
        <v>4008</v>
      </c>
      <c r="AB61" s="76" t="s">
        <v>3697</v>
      </c>
      <c r="AC61" s="90" t="s">
        <v>115</v>
      </c>
      <c r="AD61" s="76" t="s">
        <v>177</v>
      </c>
      <c r="AE61" s="77" t="s">
        <v>3776</v>
      </c>
      <c r="AF61" s="110">
        <v>44628</v>
      </c>
      <c r="AG61" s="41" t="s">
        <v>101</v>
      </c>
      <c r="AH61" s="25"/>
      <c r="AI61" s="25"/>
      <c r="AJ61" s="42"/>
    </row>
    <row r="62" spans="1:36" ht="21" hidden="1" x14ac:dyDescent="0.55000000000000004">
      <c r="A62" s="44" t="str">
        <f>Data!K61</f>
        <v xml:space="preserve">Delta Dental Of Wisconsin </v>
      </c>
      <c r="B62" s="44" t="str">
        <f>Data!L61</f>
        <v>8002363712</v>
      </c>
      <c r="C62" s="44" t="str">
        <f>Data!D61</f>
        <v xml:space="preserve">Ramirez , Jazmin </v>
      </c>
      <c r="D62" s="82" t="str">
        <f>Data!F61</f>
        <v>011405227</v>
      </c>
      <c r="E62" s="82" t="str">
        <f>Data!B61</f>
        <v>8419</v>
      </c>
      <c r="F62" s="44" t="str">
        <f>Data!A61</f>
        <v xml:space="preserve">Ramirez , Jazmin </v>
      </c>
      <c r="G62" s="55" t="str">
        <f>Data!C61</f>
        <v>1/9/1992</v>
      </c>
      <c r="H62" s="56">
        <f>Data!H61</f>
        <v>44511</v>
      </c>
      <c r="I62" s="56" t="str">
        <f>Data!I61</f>
        <v>12/9/2021</v>
      </c>
      <c r="J62" s="57">
        <f>Data!J61</f>
        <v>61.2</v>
      </c>
      <c r="K62" s="58">
        <f t="shared" ca="1" si="0"/>
        <v>161</v>
      </c>
      <c r="L62" s="58">
        <f>Data!M61</f>
        <v>0</v>
      </c>
      <c r="M62" s="37" t="s">
        <v>48</v>
      </c>
      <c r="N62" s="43" t="str">
        <f>VLOOKUP(M62,Table1[#All],3,FALSE)</f>
        <v>Primary Ins paid Max allowable;</v>
      </c>
      <c r="O62" s="40" t="str">
        <f>VLOOKUP(M62,Table1[#All],4,FALSE)</f>
        <v>Call Ref#:</v>
      </c>
      <c r="P62" s="39" t="s">
        <v>4009</v>
      </c>
      <c r="Q62" s="40" t="str">
        <f>VLOOKUP(M62,Table1[#All],5,FALSE)</f>
        <v>Cust Rep:</v>
      </c>
      <c r="R62" s="79" t="s">
        <v>4010</v>
      </c>
      <c r="S62" s="40">
        <f>VLOOKUP(M62,Table1[#All],6,FALSE)</f>
        <v>0</v>
      </c>
      <c r="T62" s="79"/>
      <c r="U62" s="40">
        <f>VLOOKUP(M62,Table1[#All],7,FALSE)</f>
        <v>0</v>
      </c>
      <c r="V62" s="79"/>
      <c r="W62" s="40">
        <f>VLOOKUP(M62,Table1[#All],8,FALSE)</f>
        <v>0</v>
      </c>
      <c r="X62" s="79"/>
      <c r="Y62" s="44" t="str">
        <f>VLOOKUP(M62,Table1[#All],2,FALSE)</f>
        <v xml:space="preserve">Task Post Pmt Queue </v>
      </c>
      <c r="Z62" s="59" t="str">
        <f>VLOOKUP(M62,Table1[#All],9,FALSE)</f>
        <v>Additional Notes:</v>
      </c>
      <c r="AA62" s="76" t="s">
        <v>4011</v>
      </c>
      <c r="AB62" s="76" t="s">
        <v>3816</v>
      </c>
      <c r="AC62" s="90" t="s">
        <v>115</v>
      </c>
      <c r="AD62" s="76" t="s">
        <v>177</v>
      </c>
      <c r="AE62" s="77" t="s">
        <v>3776</v>
      </c>
      <c r="AF62" s="110">
        <v>44629</v>
      </c>
      <c r="AG62" s="41" t="s">
        <v>101</v>
      </c>
      <c r="AH62" s="25"/>
      <c r="AI62" s="25"/>
      <c r="AJ62" s="42"/>
    </row>
    <row r="63" spans="1:36" ht="21" hidden="1" x14ac:dyDescent="0.55000000000000004">
      <c r="A63" s="44" t="str">
        <f>Data!K62</f>
        <v xml:space="preserve">Delta Dental Of Wisconsin </v>
      </c>
      <c r="B63" s="44" t="str">
        <f>Data!L62</f>
        <v>8002363712</v>
      </c>
      <c r="C63" s="44" t="str">
        <f>Data!D62</f>
        <v>Pedersen, Arianna</v>
      </c>
      <c r="D63" s="82" t="str">
        <f>Data!F62</f>
        <v>08041397221</v>
      </c>
      <c r="E63" s="82" t="str">
        <f>Data!B62</f>
        <v>7216</v>
      </c>
      <c r="F63" s="44" t="str">
        <f>Data!A62</f>
        <v>Pedersen, Arianna</v>
      </c>
      <c r="G63" s="55" t="str">
        <f>Data!C62</f>
        <v>10/28/1974</v>
      </c>
      <c r="H63" s="56">
        <f>Data!H62</f>
        <v>44455</v>
      </c>
      <c r="I63" s="56" t="str">
        <f>Data!I62</f>
        <v>10/15/2021</v>
      </c>
      <c r="J63" s="57">
        <f>Data!J62</f>
        <v>342</v>
      </c>
      <c r="K63" s="58">
        <f t="shared" ca="1" si="0"/>
        <v>216</v>
      </c>
      <c r="L63" s="58">
        <f>Data!M62</f>
        <v>0</v>
      </c>
      <c r="M63" s="37" t="s">
        <v>7</v>
      </c>
      <c r="N63" s="43" t="str">
        <f>VLOOKUP(M63,Table1[#All],3,FALSE)</f>
        <v>Claim Paid by Check;</v>
      </c>
      <c r="O63" s="40" t="str">
        <f>VLOOKUP(M63,Table1[#All],4,FALSE)</f>
        <v>Issue Date:</v>
      </c>
      <c r="P63" s="111">
        <v>44636</v>
      </c>
      <c r="Q63" s="40" t="str">
        <f>VLOOKUP(M63,Table1[#All],5,FALSE)</f>
        <v>CHK#</v>
      </c>
      <c r="R63" s="79">
        <v>1656809</v>
      </c>
      <c r="S63" s="40" t="str">
        <f>VLOOKUP(M63,Table1[#All],6,FALSE)</f>
        <v>Bulk/Sep:</v>
      </c>
      <c r="T63" s="79" t="s">
        <v>3975</v>
      </c>
      <c r="U63" s="40" t="str">
        <f>VLOOKUP(M63,Table1[#All],7,FALSE)</f>
        <v>Call Ref#:</v>
      </c>
      <c r="V63" s="79"/>
      <c r="W63" s="40" t="str">
        <f>VLOOKUP(M63,Table1[#All],8,FALSE)</f>
        <v>Cust Rep:</v>
      </c>
      <c r="X63" s="79"/>
      <c r="Y63" s="44" t="str">
        <f>VLOOKUP(M63,Table1[#All],2,FALSE)</f>
        <v xml:space="preserve">Task Cashed Chk Queue </v>
      </c>
      <c r="Z63" s="59" t="str">
        <f>VLOOKUP(M63,Table1[#All],9,FALSE)</f>
        <v>Additional Notes:</v>
      </c>
      <c r="AA63" s="76" t="s">
        <v>4012</v>
      </c>
      <c r="AB63" s="76" t="s">
        <v>3762</v>
      </c>
      <c r="AC63" s="90" t="s">
        <v>115</v>
      </c>
      <c r="AD63" s="76" t="s">
        <v>177</v>
      </c>
      <c r="AE63" s="77" t="s">
        <v>3776</v>
      </c>
      <c r="AF63" s="110">
        <v>44656</v>
      </c>
      <c r="AG63" s="41" t="s">
        <v>101</v>
      </c>
      <c r="AH63" s="25"/>
      <c r="AI63" s="25"/>
      <c r="AJ63" s="42"/>
    </row>
    <row r="64" spans="1:36" ht="33" hidden="1" x14ac:dyDescent="0.55000000000000004">
      <c r="A64" s="44" t="str">
        <f>Data!K63</f>
        <v xml:space="preserve">Delta Dental Of Wisconsin </v>
      </c>
      <c r="B64" s="44" t="str">
        <f>Data!L63</f>
        <v>8002363712</v>
      </c>
      <c r="C64" s="44" t="str">
        <f>Data!D63</f>
        <v>Malone , Kaleyah</v>
      </c>
      <c r="D64" s="82" t="str">
        <f>Data!F63</f>
        <v>08094978110</v>
      </c>
      <c r="E64" s="82" t="str">
        <f>Data!B63</f>
        <v>6340</v>
      </c>
      <c r="F64" s="44" t="str">
        <f>Data!A63</f>
        <v>Malone , Kaleyah</v>
      </c>
      <c r="G64" s="55" t="str">
        <f>Data!C63</f>
        <v>4/11/1991</v>
      </c>
      <c r="H64" s="56">
        <f>Data!H63</f>
        <v>44457</v>
      </c>
      <c r="I64" s="56" t="str">
        <f>Data!I63</f>
        <v>9/21/2021</v>
      </c>
      <c r="J64" s="57">
        <f>Data!J63</f>
        <v>138</v>
      </c>
      <c r="K64" s="58">
        <f t="shared" ca="1" si="0"/>
        <v>240</v>
      </c>
      <c r="L64" s="58">
        <f>Data!M63</f>
        <v>0</v>
      </c>
      <c r="M64" s="37" t="s">
        <v>7</v>
      </c>
      <c r="N64" s="43" t="str">
        <f>VLOOKUP(M64,Table1[#All],3,FALSE)</f>
        <v>Claim Paid by Check;</v>
      </c>
      <c r="O64" s="40" t="str">
        <f>VLOOKUP(M64,Table1[#All],4,FALSE)</f>
        <v>Issue Date:</v>
      </c>
      <c r="P64" s="38">
        <v>44468</v>
      </c>
      <c r="Q64" s="40" t="str">
        <f>VLOOKUP(M64,Table1[#All],5,FALSE)</f>
        <v>CHK#</v>
      </c>
      <c r="R64" s="79">
        <v>1008274</v>
      </c>
      <c r="S64" s="40" t="str">
        <f>VLOOKUP(M64,Table1[#All],6,FALSE)</f>
        <v>Bulk/Sep:</v>
      </c>
      <c r="T64" s="79" t="s">
        <v>3952</v>
      </c>
      <c r="U64" s="40" t="str">
        <f>VLOOKUP(M64,Table1[#All],7,FALSE)</f>
        <v>Call Ref#:</v>
      </c>
      <c r="V64" s="79" t="s">
        <v>4006</v>
      </c>
      <c r="W64" s="40" t="str">
        <f>VLOOKUP(M64,Table1[#All],8,FALSE)</f>
        <v>Cust Rep:</v>
      </c>
      <c r="X64" s="79" t="s">
        <v>3743</v>
      </c>
      <c r="Y64" s="44" t="str">
        <f>VLOOKUP(M64,Table1[#All],2,FALSE)</f>
        <v xml:space="preserve">Task Cashed Chk Queue </v>
      </c>
      <c r="Z64" s="59" t="str">
        <f>VLOOKUP(M64,Table1[#All],9,FALSE)</f>
        <v>Additional Notes:</v>
      </c>
      <c r="AA64" s="76" t="s">
        <v>4013</v>
      </c>
      <c r="AB64" s="76" t="s">
        <v>3697</v>
      </c>
      <c r="AC64" s="90" t="s">
        <v>115</v>
      </c>
      <c r="AD64" s="76" t="s">
        <v>177</v>
      </c>
      <c r="AE64" s="77" t="s">
        <v>3776</v>
      </c>
      <c r="AF64" s="110">
        <v>44628</v>
      </c>
      <c r="AG64" s="41" t="s">
        <v>101</v>
      </c>
      <c r="AH64" s="25"/>
      <c r="AI64" s="25"/>
      <c r="AJ64" s="42"/>
    </row>
    <row r="65" spans="1:36" ht="33" hidden="1" x14ac:dyDescent="0.55000000000000004">
      <c r="A65" s="44" t="str">
        <f>Data!K64</f>
        <v xml:space="preserve">Delta Dental Of Wisconsin </v>
      </c>
      <c r="B65" s="44" t="str">
        <f>Data!L64</f>
        <v>8002363712</v>
      </c>
      <c r="C65" s="44" t="str">
        <f>Data!D64</f>
        <v>Vanderwielen, Brenda</v>
      </c>
      <c r="D65" s="82" t="str">
        <f>Data!F64</f>
        <v>08025116974</v>
      </c>
      <c r="E65" s="82" t="str">
        <f>Data!B64</f>
        <v>7729</v>
      </c>
      <c r="F65" s="44" t="str">
        <f>Data!A64</f>
        <v>Vanderwielen, Brenda</v>
      </c>
      <c r="G65" s="55" t="str">
        <f>Data!C64</f>
        <v>9/3/1975</v>
      </c>
      <c r="H65" s="56">
        <f>Data!H64</f>
        <v>44419</v>
      </c>
      <c r="I65" s="56" t="str">
        <f>Data!I64</f>
        <v>8/16/2021</v>
      </c>
      <c r="J65" s="57">
        <f>Data!J64</f>
        <v>61.2</v>
      </c>
      <c r="K65" s="58">
        <f t="shared" ca="1" si="0"/>
        <v>276</v>
      </c>
      <c r="L65" s="58">
        <f>Data!M64</f>
        <v>0</v>
      </c>
      <c r="M65" s="37" t="s">
        <v>5</v>
      </c>
      <c r="N65" s="43" t="str">
        <f>VLOOKUP(M65,Table1[#All],3,FALSE)</f>
        <v>Claim Paid by EFT;</v>
      </c>
      <c r="O65" s="40" t="str">
        <f>VLOOKUP(M65,Table1[#All],4,FALSE)</f>
        <v>Issue Date:</v>
      </c>
      <c r="P65" s="38">
        <v>44433</v>
      </c>
      <c r="Q65" s="40" t="str">
        <f>VLOOKUP(M65,Table1[#All],5,FALSE)</f>
        <v>EFT#</v>
      </c>
      <c r="R65" s="79">
        <v>988435</v>
      </c>
      <c r="S65" s="40" t="str">
        <f>VLOOKUP(M65,Table1[#All],6,FALSE)</f>
        <v>Bulk/Sep:</v>
      </c>
      <c r="T65" s="79" t="s">
        <v>3800</v>
      </c>
      <c r="U65" s="40" t="str">
        <f>VLOOKUP(M65,Table1[#All],7,FALSE)</f>
        <v>Call Ref#:</v>
      </c>
      <c r="V65" s="79" t="s">
        <v>4014</v>
      </c>
      <c r="W65" s="40" t="str">
        <f>VLOOKUP(M65,Table1[#All],8,FALSE)</f>
        <v>Cust Rep:</v>
      </c>
      <c r="X65" s="79" t="s">
        <v>4015</v>
      </c>
      <c r="Y65" s="44" t="str">
        <f>VLOOKUP(M65,Table1[#All],2,FALSE)</f>
        <v xml:space="preserve">Task Post Pmt Queue </v>
      </c>
      <c r="Z65" s="59" t="str">
        <f>VLOOKUP(M65,Table1[#All],9,FALSE)</f>
        <v>Additional Notes:</v>
      </c>
      <c r="AA65" s="76" t="s">
        <v>4016</v>
      </c>
      <c r="AB65" s="76" t="s">
        <v>3697</v>
      </c>
      <c r="AC65" s="90" t="s">
        <v>115</v>
      </c>
      <c r="AD65" s="76" t="s">
        <v>177</v>
      </c>
      <c r="AE65" s="77" t="s">
        <v>3770</v>
      </c>
      <c r="AF65" s="110">
        <v>44588</v>
      </c>
      <c r="AG65" s="41" t="s">
        <v>101</v>
      </c>
      <c r="AH65" s="25"/>
      <c r="AI65" s="25"/>
      <c r="AJ65" s="42"/>
    </row>
    <row r="66" spans="1:36" ht="33" hidden="1" x14ac:dyDescent="0.55000000000000004">
      <c r="A66" s="44" t="str">
        <f>Data!K65</f>
        <v xml:space="preserve">Delta Dental Of Wisconsin </v>
      </c>
      <c r="B66" s="44" t="str">
        <f>Data!L65</f>
        <v>8002363712</v>
      </c>
      <c r="C66" s="44" t="str">
        <f>Data!D65</f>
        <v xml:space="preserve">Sanchez Esquive , Israel </v>
      </c>
      <c r="D66" s="82" t="str">
        <f>Data!F65</f>
        <v>08066254638</v>
      </c>
      <c r="E66" s="82" t="str">
        <f>Data!B65</f>
        <v>4691</v>
      </c>
      <c r="F66" s="44" t="str">
        <f>Data!A65</f>
        <v xml:space="preserve">Sanchez Esquive , Israel </v>
      </c>
      <c r="G66" s="55" t="str">
        <f>Data!C65</f>
        <v>9/29/1984</v>
      </c>
      <c r="H66" s="56">
        <f>Data!H65</f>
        <v>44408</v>
      </c>
      <c r="I66" s="56" t="str">
        <f>Data!I65</f>
        <v>7/31/2021</v>
      </c>
      <c r="J66" s="57">
        <f>Data!J65</f>
        <v>2750.4</v>
      </c>
      <c r="K66" s="58">
        <f t="shared" ca="1" si="0"/>
        <v>292</v>
      </c>
      <c r="L66" s="58">
        <f>Data!M65</f>
        <v>0</v>
      </c>
      <c r="M66" s="37" t="s">
        <v>31</v>
      </c>
      <c r="N66" s="43" t="str">
        <f>VLOOKUP(M66,Table1[#All],3,FALSE)</f>
        <v>Patient not active/no active policy;</v>
      </c>
      <c r="O66" s="40" t="str">
        <f>VLOOKUP(M66,Table1[#All],4,FALSE)</f>
        <v>Policy Term Dt:</v>
      </c>
      <c r="P66" s="38">
        <v>44316</v>
      </c>
      <c r="Q66" s="40" t="str">
        <f>VLOOKUP(M66,Table1[#All],5,FALSE)</f>
        <v>Call Ref#:</v>
      </c>
      <c r="R66" s="79" t="s">
        <v>4017</v>
      </c>
      <c r="S66" s="40" t="str">
        <f>VLOOKUP(M66,Table1[#All],6,FALSE)</f>
        <v>Cust Rep:</v>
      </c>
      <c r="T66" s="79" t="s">
        <v>4018</v>
      </c>
      <c r="U66" s="40">
        <f>VLOOKUP(M66,Table1[#All],7,FALSE)</f>
        <v>0</v>
      </c>
      <c r="V66" s="79"/>
      <c r="W66" s="40">
        <f>VLOOKUP(M66,Table1[#All],8,FALSE)</f>
        <v>0</v>
      </c>
      <c r="X66" s="79"/>
      <c r="Y66" s="44" t="str">
        <f>VLOOKUP(M66,Table1[#All],2,FALSE)</f>
        <v>Task Denied Claims Queue</v>
      </c>
      <c r="Z66" s="59" t="str">
        <f>VLOOKUP(M66,Table1[#All],9,FALSE)</f>
        <v>Additional Notes:</v>
      </c>
      <c r="AA66" s="76" t="s">
        <v>4019</v>
      </c>
      <c r="AB66" s="76" t="s">
        <v>3762</v>
      </c>
      <c r="AC66" s="90" t="s">
        <v>185</v>
      </c>
      <c r="AD66" s="76" t="s">
        <v>177</v>
      </c>
      <c r="AE66" s="77" t="s">
        <v>3770</v>
      </c>
      <c r="AF66" s="110">
        <v>44588</v>
      </c>
      <c r="AG66" s="41" t="s">
        <v>101</v>
      </c>
      <c r="AH66" s="25"/>
      <c r="AI66" s="25"/>
      <c r="AJ66" s="42"/>
    </row>
    <row r="67" spans="1:36" ht="33" hidden="1" x14ac:dyDescent="0.55000000000000004">
      <c r="A67" s="44" t="str">
        <f>Data!K66</f>
        <v xml:space="preserve">Delta Dental Of Wisconsin </v>
      </c>
      <c r="B67" s="44" t="str">
        <f>Data!L66</f>
        <v>8002363712</v>
      </c>
      <c r="C67" s="44" t="str">
        <f>Data!D66</f>
        <v>Kyles , Amari</v>
      </c>
      <c r="D67" s="82" t="str">
        <f>Data!F66</f>
        <v>08058488409</v>
      </c>
      <c r="E67" s="82" t="str">
        <f>Data!B66</f>
        <v>5011</v>
      </c>
      <c r="F67" s="44" t="str">
        <f>Data!A66</f>
        <v>Kyles , Amari</v>
      </c>
      <c r="G67" s="55" t="str">
        <f>Data!C66</f>
        <v>3/11/1995</v>
      </c>
      <c r="H67" s="56">
        <f>Data!H66</f>
        <v>44277</v>
      </c>
      <c r="I67" s="56" t="str">
        <f>Data!I66</f>
        <v>5/11/2021</v>
      </c>
      <c r="J67" s="57">
        <f>Data!J66</f>
        <v>869.2</v>
      </c>
      <c r="K67" s="58">
        <f t="shared" ca="1" si="0"/>
        <v>373</v>
      </c>
      <c r="L67" s="58">
        <f>Data!M66</f>
        <v>0</v>
      </c>
      <c r="M67" s="37" t="s">
        <v>5</v>
      </c>
      <c r="N67" s="43" t="str">
        <f>VLOOKUP(M67,Table1[#All],3,FALSE)</f>
        <v>Claim Paid by EFT;</v>
      </c>
      <c r="O67" s="40" t="str">
        <f>VLOOKUP(M67,Table1[#All],4,FALSE)</f>
        <v>Issue Date:</v>
      </c>
      <c r="P67" s="38">
        <v>44293</v>
      </c>
      <c r="Q67" s="40" t="str">
        <f>VLOOKUP(M67,Table1[#All],5,FALSE)</f>
        <v>EFT#</v>
      </c>
      <c r="R67" s="79">
        <v>907363</v>
      </c>
      <c r="S67" s="40" t="str">
        <f>VLOOKUP(M67,Table1[#All],6,FALSE)</f>
        <v>Bulk/Sep:</v>
      </c>
      <c r="T67" s="79" t="s">
        <v>3800</v>
      </c>
      <c r="U67" s="40" t="str">
        <f>VLOOKUP(M67,Table1[#All],7,FALSE)</f>
        <v>Call Ref#:</v>
      </c>
      <c r="V67" s="79" t="s">
        <v>4006</v>
      </c>
      <c r="W67" s="40" t="str">
        <f>VLOOKUP(M67,Table1[#All],8,FALSE)</f>
        <v>Cust Rep:</v>
      </c>
      <c r="X67" s="79" t="s">
        <v>4020</v>
      </c>
      <c r="Y67" s="44" t="str">
        <f>VLOOKUP(M67,Table1[#All],2,FALSE)</f>
        <v xml:space="preserve">Task Post Pmt Queue </v>
      </c>
      <c r="Z67" s="59" t="str">
        <f>VLOOKUP(M67,Table1[#All],9,FALSE)</f>
        <v>Additional Notes:</v>
      </c>
      <c r="AA67" s="76" t="s">
        <v>4021</v>
      </c>
      <c r="AB67" s="76" t="s">
        <v>3697</v>
      </c>
      <c r="AC67" s="90" t="s">
        <v>115</v>
      </c>
      <c r="AD67" s="76" t="s">
        <v>177</v>
      </c>
      <c r="AE67" s="77" t="s">
        <v>3776</v>
      </c>
      <c r="AF67" s="110">
        <v>44628</v>
      </c>
      <c r="AG67" s="41" t="s">
        <v>101</v>
      </c>
      <c r="AH67" s="25"/>
      <c r="AI67" s="25"/>
      <c r="AJ67" s="42"/>
    </row>
    <row r="68" spans="1:36" ht="33" hidden="1" x14ac:dyDescent="0.55000000000000004">
      <c r="A68" s="44" t="str">
        <f>Data!K67</f>
        <v xml:space="preserve">Delta Dental Of Wisconsin </v>
      </c>
      <c r="B68" s="44" t="str">
        <f>Data!L67</f>
        <v>8002363712</v>
      </c>
      <c r="C68" s="44" t="str">
        <f>Data!D67</f>
        <v>Franke , Ryan</v>
      </c>
      <c r="D68" s="82" t="str">
        <f>Data!F67</f>
        <v>08068258853</v>
      </c>
      <c r="E68" s="82" t="str">
        <f>Data!B67</f>
        <v>5311</v>
      </c>
      <c r="F68" s="44" t="str">
        <f>Data!A67</f>
        <v>Franke , Ryan</v>
      </c>
      <c r="G68" s="55" t="str">
        <f>Data!C67</f>
        <v>6/9/1986</v>
      </c>
      <c r="H68" s="56">
        <f>Data!H67</f>
        <v>44127</v>
      </c>
      <c r="I68" s="56" t="str">
        <f>Data!I67</f>
        <v>2/1/2021</v>
      </c>
      <c r="J68" s="57">
        <f>Data!J67</f>
        <v>4439.6000000000004</v>
      </c>
      <c r="K68" s="58">
        <f t="shared" ca="1" si="0"/>
        <v>472</v>
      </c>
      <c r="L68" s="58">
        <f>Data!M67</f>
        <v>0</v>
      </c>
      <c r="M68" s="37" t="s">
        <v>5</v>
      </c>
      <c r="N68" s="43" t="str">
        <f>VLOOKUP(M68,Table1[#All],3,FALSE)</f>
        <v>Claim Paid by EFT;</v>
      </c>
      <c r="O68" s="40" t="str">
        <f>VLOOKUP(M68,Table1[#All],4,FALSE)</f>
        <v>Issue Date:</v>
      </c>
      <c r="P68" s="38">
        <v>44131</v>
      </c>
      <c r="Q68" s="40" t="str">
        <f>VLOOKUP(M68,Table1[#All],5,FALSE)</f>
        <v>EFT#</v>
      </c>
      <c r="R68" s="79">
        <v>825000</v>
      </c>
      <c r="S68" s="40" t="str">
        <f>VLOOKUP(M68,Table1[#All],6,FALSE)</f>
        <v>Bulk/Sep:</v>
      </c>
      <c r="T68" s="79" t="s">
        <v>3975</v>
      </c>
      <c r="U68" s="40" t="str">
        <f>VLOOKUP(M68,Table1[#All],7,FALSE)</f>
        <v>Call Ref#:</v>
      </c>
      <c r="V68" s="79" t="s">
        <v>4017</v>
      </c>
      <c r="W68" s="40" t="str">
        <f>VLOOKUP(M68,Table1[#All],8,FALSE)</f>
        <v>Cust Rep:</v>
      </c>
      <c r="X68" s="79" t="s">
        <v>4018</v>
      </c>
      <c r="Y68" s="44" t="str">
        <f>VLOOKUP(M68,Table1[#All],2,FALSE)</f>
        <v xml:space="preserve">Task Post Pmt Queue </v>
      </c>
      <c r="Z68" s="59" t="str">
        <f>VLOOKUP(M68,Table1[#All],9,FALSE)</f>
        <v>Additional Notes:</v>
      </c>
      <c r="AA68" s="76" t="s">
        <v>4022</v>
      </c>
      <c r="AB68" s="76" t="s">
        <v>3697</v>
      </c>
      <c r="AC68" s="90" t="s">
        <v>115</v>
      </c>
      <c r="AD68" s="76" t="s">
        <v>177</v>
      </c>
      <c r="AE68" s="77" t="s">
        <v>3698</v>
      </c>
      <c r="AF68" s="110">
        <v>44649</v>
      </c>
      <c r="AG68" s="41" t="s">
        <v>101</v>
      </c>
      <c r="AH68" s="25"/>
      <c r="AI68" s="25"/>
      <c r="AJ68" s="42"/>
    </row>
    <row r="69" spans="1:36" ht="33" hidden="1" x14ac:dyDescent="0.55000000000000004">
      <c r="A69" s="44" t="str">
        <f>Data!K68</f>
        <v>Delta Dental Wisconsin Individual plan</v>
      </c>
      <c r="B69" s="44" t="str">
        <f>Data!L68</f>
        <v>8888993734</v>
      </c>
      <c r="C69" s="44" t="str">
        <f>Data!D68</f>
        <v>BLANTON, LOUISE</v>
      </c>
      <c r="D69" s="82" t="str">
        <f>Data!F68</f>
        <v>07730973539</v>
      </c>
      <c r="E69" s="82" t="str">
        <f>Data!B68</f>
        <v>1695</v>
      </c>
      <c r="F69" s="44" t="str">
        <f>Data!A68</f>
        <v>BLANTON, LOUISE</v>
      </c>
      <c r="G69" s="55" t="str">
        <f>Data!C68</f>
        <v>9/17/1979</v>
      </c>
      <c r="H69" s="56">
        <f>Data!H68</f>
        <v>44274</v>
      </c>
      <c r="I69" s="56" t="str">
        <f>Data!I68</f>
        <v>4/21/2021</v>
      </c>
      <c r="J69" s="57">
        <f>Data!J68</f>
        <v>1495.2</v>
      </c>
      <c r="K69" s="58">
        <f t="shared" ca="1" si="0"/>
        <v>393</v>
      </c>
      <c r="L69" s="58">
        <f>Data!M68</f>
        <v>0</v>
      </c>
      <c r="M69" s="37" t="s">
        <v>31</v>
      </c>
      <c r="N69" s="43" t="str">
        <f>VLOOKUP(M69,Table1[#All],3,FALSE)</f>
        <v>Patient not active/no active policy;</v>
      </c>
      <c r="O69" s="40" t="str">
        <f>VLOOKUP(M69,Table1[#All],4,FALSE)</f>
        <v>Policy Term Dt:</v>
      </c>
      <c r="P69" s="38">
        <v>44620</v>
      </c>
      <c r="Q69" s="40" t="str">
        <f>VLOOKUP(M69,Table1[#All],5,FALSE)</f>
        <v>Call Ref#:</v>
      </c>
      <c r="R69" s="79" t="s">
        <v>4023</v>
      </c>
      <c r="S69" s="40" t="str">
        <f>VLOOKUP(M69,Table1[#All],6,FALSE)</f>
        <v>Cust Rep:</v>
      </c>
      <c r="T69" s="79" t="s">
        <v>4024</v>
      </c>
      <c r="U69" s="40">
        <f>VLOOKUP(M69,Table1[#All],7,FALSE)</f>
        <v>0</v>
      </c>
      <c r="V69" s="79"/>
      <c r="W69" s="40">
        <f>VLOOKUP(M69,Table1[#All],8,FALSE)</f>
        <v>0</v>
      </c>
      <c r="X69" s="79"/>
      <c r="Y69" s="44" t="str">
        <f>VLOOKUP(M69,Table1[#All],2,FALSE)</f>
        <v>Task Denied Claims Queue</v>
      </c>
      <c r="Z69" s="59" t="str">
        <f>VLOOKUP(M69,Table1[#All],9,FALSE)</f>
        <v>Additional Notes:</v>
      </c>
      <c r="AA69" s="76" t="s">
        <v>4025</v>
      </c>
      <c r="AB69" s="76" t="s">
        <v>3697</v>
      </c>
      <c r="AC69" s="90" t="s">
        <v>185</v>
      </c>
      <c r="AD69" s="76" t="s">
        <v>177</v>
      </c>
      <c r="AE69" s="77" t="s">
        <v>3776</v>
      </c>
      <c r="AF69" s="110">
        <v>44628</v>
      </c>
      <c r="AG69" s="41" t="s">
        <v>101</v>
      </c>
      <c r="AH69" s="25"/>
      <c r="AI69" s="25"/>
      <c r="AJ69" s="42"/>
    </row>
    <row r="70" spans="1:36" ht="21" hidden="1" x14ac:dyDescent="0.55000000000000004">
      <c r="A70" s="44" t="str">
        <f>Data!K69</f>
        <v>Denta Trust</v>
      </c>
      <c r="B70" s="44" t="str">
        <f>Data!L69</f>
        <v>8004365294</v>
      </c>
      <c r="C70" s="44" t="str">
        <f>Data!D69</f>
        <v>Liggett, Carrie</v>
      </c>
      <c r="D70" s="82" t="str">
        <f>Data!F69</f>
        <v>0002426991</v>
      </c>
      <c r="E70" s="82" t="str">
        <f>Data!B69</f>
        <v>6130</v>
      </c>
      <c r="F70" s="44" t="str">
        <f>Data!A69</f>
        <v>Liggett, Carrie</v>
      </c>
      <c r="G70" s="55" t="str">
        <f>Data!C69</f>
        <v>8/17/1972</v>
      </c>
      <c r="H70" s="56">
        <f>Data!H69</f>
        <v>44428</v>
      </c>
      <c r="I70" s="56" t="str">
        <f>Data!I69</f>
        <v>3/5/2022</v>
      </c>
      <c r="J70" s="57">
        <f>Data!J69</f>
        <v>339.6</v>
      </c>
      <c r="K70" s="58">
        <f t="shared" ref="K70:K133" ca="1" si="1">TODAY()-I70</f>
        <v>75</v>
      </c>
      <c r="L70" s="58">
        <f>Data!M69</f>
        <v>0</v>
      </c>
      <c r="M70" s="37" t="s">
        <v>26</v>
      </c>
      <c r="N70" s="43" t="str">
        <f>VLOOKUP(M70,Table1[#All],3,FALSE)</f>
        <v>Note</v>
      </c>
      <c r="O70" s="40" t="str">
        <f>VLOOKUP(M70,Table1[#All],4,FALSE)</f>
        <v>Q1</v>
      </c>
      <c r="P70" s="38"/>
      <c r="Q70" s="40" t="str">
        <f>VLOOKUP(M70,Table1[#All],5,FALSE)</f>
        <v>Q2</v>
      </c>
      <c r="R70" s="79"/>
      <c r="S70" s="40" t="str">
        <f>VLOOKUP(M70,Table1[#All],6,FALSE)</f>
        <v>Q3</v>
      </c>
      <c r="T70" s="79"/>
      <c r="U70" s="40" t="str">
        <f>VLOOKUP(M70,Table1[#All],7,FALSE)</f>
        <v>Q4</v>
      </c>
      <c r="V70" s="79"/>
      <c r="W70" s="40" t="str">
        <f>VLOOKUP(M70,Table1[#All],8,FALSE)</f>
        <v>Q5</v>
      </c>
      <c r="X70" s="79"/>
      <c r="Y70" s="44" t="str">
        <f>VLOOKUP(M70,Table1[#All],2,FALSE)</f>
        <v>Action</v>
      </c>
      <c r="Z70" s="59" t="str">
        <f>VLOOKUP(M70,Table1[#All],9,FALSE)</f>
        <v>Additional Notes:</v>
      </c>
      <c r="AA70" s="76"/>
      <c r="AB70" s="76"/>
      <c r="AC70" s="90" t="s">
        <v>91</v>
      </c>
      <c r="AD70" s="76" t="s">
        <v>91</v>
      </c>
      <c r="AE70" s="77"/>
      <c r="AF70" s="110"/>
      <c r="AG70" s="41" t="s">
        <v>91</v>
      </c>
      <c r="AH70" s="25"/>
      <c r="AI70" s="25"/>
      <c r="AJ70" s="42"/>
    </row>
    <row r="71" spans="1:36" ht="21" hidden="1" x14ac:dyDescent="0.55000000000000004">
      <c r="A71" s="44" t="str">
        <f>Data!K70</f>
        <v>Denta Trust</v>
      </c>
      <c r="B71" s="44" t="str">
        <f>Data!L70</f>
        <v>8004365294</v>
      </c>
      <c r="C71" s="44" t="str">
        <f>Data!D70</f>
        <v xml:space="preserve">Rivera , Reyes </v>
      </c>
      <c r="D71" s="82" t="str">
        <f>Data!F70</f>
        <v>000248499</v>
      </c>
      <c r="E71" s="82" t="str">
        <f>Data!B70</f>
        <v>8678</v>
      </c>
      <c r="F71" s="44" t="str">
        <f>Data!A70</f>
        <v xml:space="preserve">Rivera , Reyes </v>
      </c>
      <c r="G71" s="55" t="str">
        <f>Data!C70</f>
        <v>4/7/1981</v>
      </c>
      <c r="H71" s="56">
        <f>Data!H70</f>
        <v>44546</v>
      </c>
      <c r="I71" s="56" t="str">
        <f>Data!I70</f>
        <v>12/22/2021</v>
      </c>
      <c r="J71" s="57">
        <f>Data!J70</f>
        <v>372.8</v>
      </c>
      <c r="K71" s="58">
        <f t="shared" ca="1" si="1"/>
        <v>148</v>
      </c>
      <c r="L71" s="58">
        <f>Data!M70</f>
        <v>0</v>
      </c>
      <c r="M71" s="37" t="s">
        <v>95</v>
      </c>
      <c r="N71" s="43" t="str">
        <f>VLOOKUP(M71,Table1[#All],3,FALSE)</f>
        <v>Write information in Addl Notes</v>
      </c>
      <c r="O71" s="40" t="str">
        <f>VLOOKUP(M71,Table1[#All],4,FALSE)</f>
        <v>Call Ref#:</v>
      </c>
      <c r="P71" s="39">
        <v>202201772935</v>
      </c>
      <c r="Q71" s="40" t="str">
        <f>VLOOKUP(M71,Table1[#All],5,FALSE)</f>
        <v>Cust Rep:</v>
      </c>
      <c r="R71" s="79" t="s">
        <v>4026</v>
      </c>
      <c r="S71" s="40">
        <f>VLOOKUP(M71,Table1[#All],6,FALSE)</f>
        <v>0</v>
      </c>
      <c r="T71" s="79"/>
      <c r="U71" s="40" t="str">
        <f>VLOOKUP(M71,Table1[#All],7,FALSE)</f>
        <v xml:space="preserve"> </v>
      </c>
      <c r="V71" s="79"/>
      <c r="W71" s="40" t="str">
        <f>VLOOKUP(M71,Table1[#All],8,FALSE)</f>
        <v xml:space="preserve"> </v>
      </c>
      <c r="X71" s="79"/>
      <c r="Y71" s="44" t="str">
        <f>VLOOKUP(M71,Table1[#All],2,FALSE)</f>
        <v xml:space="preserve"> Team Lead to review &amp; Follow-Up</v>
      </c>
      <c r="Z71" s="59" t="str">
        <f>VLOOKUP(M71,Table1[#All],9,FALSE)</f>
        <v>Additional Notes:</v>
      </c>
      <c r="AA71" s="76" t="s">
        <v>4027</v>
      </c>
      <c r="AB71" s="76" t="s">
        <v>3697</v>
      </c>
      <c r="AC71" s="90" t="s">
        <v>185</v>
      </c>
      <c r="AD71" s="76" t="s">
        <v>177</v>
      </c>
      <c r="AE71" s="77" t="s">
        <v>3776</v>
      </c>
      <c r="AF71" s="110">
        <v>44658</v>
      </c>
      <c r="AG71" s="41" t="s">
        <v>101</v>
      </c>
      <c r="AH71" s="25"/>
      <c r="AI71" s="25"/>
      <c r="AJ71" s="42"/>
    </row>
    <row r="72" spans="1:36" ht="21" hidden="1" x14ac:dyDescent="0.55000000000000004">
      <c r="A72" s="44" t="str">
        <f>Data!K71</f>
        <v>Denta Trust</v>
      </c>
      <c r="B72" s="44" t="str">
        <f>Data!L71</f>
        <v>8004365294</v>
      </c>
      <c r="C72" s="44" t="str">
        <f>Data!D71</f>
        <v xml:space="preserve">Washington , Valencia </v>
      </c>
      <c r="D72" s="82" t="str">
        <f>Data!F71</f>
        <v>0003474082</v>
      </c>
      <c r="E72" s="82" t="str">
        <f>Data!B71</f>
        <v>8437</v>
      </c>
      <c r="F72" s="44" t="str">
        <f>Data!A71</f>
        <v xml:space="preserve">Washington , Valencia </v>
      </c>
      <c r="G72" s="55" t="str">
        <f>Data!C71</f>
        <v>2/21/1984</v>
      </c>
      <c r="H72" s="56">
        <f>Data!H71</f>
        <v>44512</v>
      </c>
      <c r="I72" s="56" t="str">
        <f>Data!I71</f>
        <v>11/18/2021</v>
      </c>
      <c r="J72" s="57">
        <f>Data!J71</f>
        <v>525.6</v>
      </c>
      <c r="K72" s="58">
        <f t="shared" ca="1" si="1"/>
        <v>182</v>
      </c>
      <c r="L72" s="58">
        <f>Data!M71</f>
        <v>0</v>
      </c>
      <c r="M72" s="37" t="s">
        <v>5</v>
      </c>
      <c r="N72" s="43" t="str">
        <f>VLOOKUP(M72,Table1[#All],3,FALSE)</f>
        <v>Claim Paid by EFT;</v>
      </c>
      <c r="O72" s="40" t="str">
        <f>VLOOKUP(M72,Table1[#All],4,FALSE)</f>
        <v>Issue Date:</v>
      </c>
      <c r="P72" s="38">
        <v>44526</v>
      </c>
      <c r="Q72" s="40" t="str">
        <f>VLOOKUP(M72,Table1[#All],5,FALSE)</f>
        <v>EFT#</v>
      </c>
      <c r="R72" s="79">
        <v>5877982047</v>
      </c>
      <c r="S72" s="40" t="str">
        <f>VLOOKUP(M72,Table1[#All],6,FALSE)</f>
        <v>Bulk/Sep:</v>
      </c>
      <c r="T72" s="79" t="s">
        <v>3975</v>
      </c>
      <c r="U72" s="40" t="str">
        <f>VLOOKUP(M72,Table1[#All],7,FALSE)</f>
        <v>Call Ref#:</v>
      </c>
      <c r="V72" s="79">
        <v>20220101760</v>
      </c>
      <c r="W72" s="40" t="str">
        <f>VLOOKUP(M72,Table1[#All],8,FALSE)</f>
        <v>Cust Rep:</v>
      </c>
      <c r="X72" s="79" t="s">
        <v>4028</v>
      </c>
      <c r="Y72" s="44" t="str">
        <f>VLOOKUP(M72,Table1[#All],2,FALSE)</f>
        <v xml:space="preserve">Task Post Pmt Queue </v>
      </c>
      <c r="Z72" s="59" t="str">
        <f>VLOOKUP(M72,Table1[#All],9,FALSE)</f>
        <v>Additional Notes:</v>
      </c>
      <c r="AA72" s="76" t="s">
        <v>4029</v>
      </c>
      <c r="AB72" s="76" t="s">
        <v>3697</v>
      </c>
      <c r="AC72" s="90" t="s">
        <v>115</v>
      </c>
      <c r="AD72" s="76" t="s">
        <v>177</v>
      </c>
      <c r="AE72" s="77" t="s">
        <v>3799</v>
      </c>
      <c r="AF72" s="123">
        <v>44608</v>
      </c>
      <c r="AG72" s="41" t="s">
        <v>101</v>
      </c>
      <c r="AH72" s="25"/>
      <c r="AI72" s="25"/>
      <c r="AJ72" s="42"/>
    </row>
    <row r="73" spans="1:36" ht="33" hidden="1" x14ac:dyDescent="0.55000000000000004">
      <c r="A73" s="44" t="str">
        <f>Data!K72</f>
        <v>Denta Trust</v>
      </c>
      <c r="B73" s="44" t="str">
        <f>Data!L72</f>
        <v>8004365294</v>
      </c>
      <c r="C73" s="44" t="str">
        <f>Data!D72</f>
        <v>Arries, Daniel</v>
      </c>
      <c r="D73" s="82" t="str">
        <f>Data!F72</f>
        <v>0002458747</v>
      </c>
      <c r="E73" s="82" t="str">
        <f>Data!B72</f>
        <v>7808</v>
      </c>
      <c r="F73" s="44" t="str">
        <f>Data!A72</f>
        <v>Arries, Daniel</v>
      </c>
      <c r="G73" s="55" t="str">
        <f>Data!C72</f>
        <v>5/13/1986</v>
      </c>
      <c r="H73" s="56">
        <f>Data!H72</f>
        <v>44432</v>
      </c>
      <c r="I73" s="56" t="str">
        <f>Data!I72</f>
        <v>9/21/2021</v>
      </c>
      <c r="J73" s="57">
        <f>Data!J72</f>
        <v>216</v>
      </c>
      <c r="K73" s="58">
        <f t="shared" ca="1" si="1"/>
        <v>240</v>
      </c>
      <c r="L73" s="58">
        <f>Data!M72</f>
        <v>0</v>
      </c>
      <c r="M73" s="37" t="s">
        <v>5</v>
      </c>
      <c r="N73" s="43" t="str">
        <f>VLOOKUP(M73,Table1[#All],3,FALSE)</f>
        <v>Claim Paid by EFT;</v>
      </c>
      <c r="O73" s="40" t="str">
        <f>VLOOKUP(M73,Table1[#All],4,FALSE)</f>
        <v>Issue Date:</v>
      </c>
      <c r="P73" s="38">
        <v>44442</v>
      </c>
      <c r="Q73" s="40" t="str">
        <f>VLOOKUP(M73,Table1[#All],5,FALSE)</f>
        <v>EFT#</v>
      </c>
      <c r="R73" s="79">
        <v>5877908417</v>
      </c>
      <c r="S73" s="40" t="str">
        <f>VLOOKUP(M73,Table1[#All],6,FALSE)</f>
        <v>Bulk/Sep:</v>
      </c>
      <c r="T73" s="79" t="s">
        <v>3962</v>
      </c>
      <c r="U73" s="40" t="str">
        <f>VLOOKUP(M73,Table1[#All],7,FALSE)</f>
        <v>Call Ref#:</v>
      </c>
      <c r="V73" s="79" t="s">
        <v>4030</v>
      </c>
      <c r="W73" s="40" t="str">
        <f>VLOOKUP(M73,Table1[#All],8,FALSE)</f>
        <v>Cust Rep:</v>
      </c>
      <c r="X73" s="79" t="s">
        <v>4031</v>
      </c>
      <c r="Y73" s="44" t="str">
        <f>VLOOKUP(M73,Table1[#All],2,FALSE)</f>
        <v xml:space="preserve">Task Post Pmt Queue </v>
      </c>
      <c r="Z73" s="59" t="str">
        <f>VLOOKUP(M73,Table1[#All],9,FALSE)</f>
        <v>Additional Notes:</v>
      </c>
      <c r="AA73" s="76" t="s">
        <v>4032</v>
      </c>
      <c r="AB73" s="76" t="s">
        <v>3697</v>
      </c>
      <c r="AC73" s="90" t="s">
        <v>115</v>
      </c>
      <c r="AD73" s="76" t="s">
        <v>177</v>
      </c>
      <c r="AE73" s="77" t="s">
        <v>3770</v>
      </c>
      <c r="AF73" s="110">
        <v>44581</v>
      </c>
      <c r="AG73" s="41" t="s">
        <v>101</v>
      </c>
      <c r="AH73" s="25"/>
      <c r="AI73" s="25"/>
      <c r="AJ73" s="42"/>
    </row>
    <row r="74" spans="1:36" ht="33" hidden="1" x14ac:dyDescent="0.55000000000000004">
      <c r="A74" s="44" t="str">
        <f>Data!K73</f>
        <v>Denta Trust</v>
      </c>
      <c r="B74" s="44" t="str">
        <f>Data!L73</f>
        <v>8004365294</v>
      </c>
      <c r="C74" s="44" t="str">
        <f>Data!D73</f>
        <v xml:space="preserve">Luttrell, Melanie </v>
      </c>
      <c r="D74" s="82" t="str">
        <f>Data!F73</f>
        <v>0002988406</v>
      </c>
      <c r="E74" s="82" t="str">
        <f>Data!B73</f>
        <v>7899</v>
      </c>
      <c r="F74" s="44" t="str">
        <f>Data!A73</f>
        <v xml:space="preserve">Luttrell, Melanie </v>
      </c>
      <c r="G74" s="55" t="str">
        <f>Data!C73</f>
        <v>5/20/1993</v>
      </c>
      <c r="H74" s="56">
        <f>Data!H73</f>
        <v>44449</v>
      </c>
      <c r="I74" s="56" t="str">
        <f>Data!I73</f>
        <v>9/15/2021</v>
      </c>
      <c r="J74" s="57">
        <f>Data!J73</f>
        <v>178.4</v>
      </c>
      <c r="K74" s="58">
        <f t="shared" ca="1" si="1"/>
        <v>246</v>
      </c>
      <c r="L74" s="58">
        <f>Data!M73</f>
        <v>0</v>
      </c>
      <c r="M74" s="37" t="s">
        <v>5</v>
      </c>
      <c r="N74" s="43" t="str">
        <f>VLOOKUP(M74,Table1[#All],3,FALSE)</f>
        <v>Claim Paid by EFT;</v>
      </c>
      <c r="O74" s="40" t="str">
        <f>VLOOKUP(M74,Table1[#All],4,FALSE)</f>
        <v>Issue Date:</v>
      </c>
      <c r="P74" s="38">
        <v>44463</v>
      </c>
      <c r="Q74" s="40" t="str">
        <f>VLOOKUP(M74,Table1[#All],5,FALSE)</f>
        <v>EFT#</v>
      </c>
      <c r="R74" s="79">
        <v>5877926593</v>
      </c>
      <c r="S74" s="40" t="str">
        <f>VLOOKUP(M74,Table1[#All],6,FALSE)</f>
        <v>Bulk/Sep:</v>
      </c>
      <c r="T74" s="79" t="s">
        <v>3962</v>
      </c>
      <c r="U74" s="40" t="str">
        <f>VLOOKUP(M74,Table1[#All],7,FALSE)</f>
        <v>Call Ref#:</v>
      </c>
      <c r="V74" s="79" t="s">
        <v>4033</v>
      </c>
      <c r="W74" s="40" t="str">
        <f>VLOOKUP(M74,Table1[#All],8,FALSE)</f>
        <v>Cust Rep:</v>
      </c>
      <c r="X74" s="79" t="s">
        <v>4031</v>
      </c>
      <c r="Y74" s="44" t="str">
        <f>VLOOKUP(M74,Table1[#All],2,FALSE)</f>
        <v xml:space="preserve">Task Post Pmt Queue </v>
      </c>
      <c r="Z74" s="59" t="str">
        <f>VLOOKUP(M74,Table1[#All],9,FALSE)</f>
        <v>Additional Notes:</v>
      </c>
      <c r="AA74" s="76" t="s">
        <v>4034</v>
      </c>
      <c r="AB74" s="76" t="s">
        <v>3697</v>
      </c>
      <c r="AC74" s="90" t="s">
        <v>115</v>
      </c>
      <c r="AD74" s="76" t="s">
        <v>177</v>
      </c>
      <c r="AE74" s="77" t="s">
        <v>3770</v>
      </c>
      <c r="AF74" s="110">
        <v>44581</v>
      </c>
      <c r="AG74" s="41" t="s">
        <v>101</v>
      </c>
      <c r="AH74" s="25"/>
      <c r="AI74" s="25"/>
      <c r="AJ74" s="42"/>
    </row>
    <row r="75" spans="1:36" ht="33" hidden="1" x14ac:dyDescent="0.55000000000000004">
      <c r="A75" s="44" t="str">
        <f>Data!K74</f>
        <v>Denta Trust</v>
      </c>
      <c r="B75" s="44" t="str">
        <f>Data!L74</f>
        <v>8004365294</v>
      </c>
      <c r="C75" s="44" t="str">
        <f>Data!D74</f>
        <v>Goffe, Dennis</v>
      </c>
      <c r="D75" s="82" t="str">
        <f>Data!F74</f>
        <v>0003096716</v>
      </c>
      <c r="E75" s="82" t="str">
        <f>Data!B74</f>
        <v>7782</v>
      </c>
      <c r="F75" s="44" t="str">
        <f>Data!A74</f>
        <v>Goffe, Dennis</v>
      </c>
      <c r="G75" s="55" t="str">
        <f>Data!C74</f>
        <v>2/8/1957</v>
      </c>
      <c r="H75" s="56">
        <f>Data!H74</f>
        <v>44433</v>
      </c>
      <c r="I75" s="56" t="str">
        <f>Data!I74</f>
        <v>8/30/2021</v>
      </c>
      <c r="J75" s="57">
        <f>Data!J74</f>
        <v>505.2</v>
      </c>
      <c r="K75" s="58">
        <f t="shared" ca="1" si="1"/>
        <v>262</v>
      </c>
      <c r="L75" s="58">
        <f>Data!M74</f>
        <v>0</v>
      </c>
      <c r="M75" s="37" t="s">
        <v>5</v>
      </c>
      <c r="N75" s="43" t="str">
        <f>VLOOKUP(M75,Table1[#All],3,FALSE)</f>
        <v>Claim Paid by EFT;</v>
      </c>
      <c r="O75" s="40" t="str">
        <f>VLOOKUP(M75,Table1[#All],4,FALSE)</f>
        <v>Issue Date:</v>
      </c>
      <c r="P75" s="38">
        <v>44447</v>
      </c>
      <c r="Q75" s="40" t="str">
        <f>VLOOKUP(M75,Table1[#All],5,FALSE)</f>
        <v>EFT#</v>
      </c>
      <c r="R75" s="79">
        <v>5877908417</v>
      </c>
      <c r="S75" s="40" t="str">
        <f>VLOOKUP(M75,Table1[#All],6,FALSE)</f>
        <v>Bulk/Sep:</v>
      </c>
      <c r="T75" s="79" t="s">
        <v>3962</v>
      </c>
      <c r="U75" s="40" t="str">
        <f>VLOOKUP(M75,Table1[#All],7,FALSE)</f>
        <v>Call Ref#:</v>
      </c>
      <c r="V75" s="79" t="s">
        <v>4035</v>
      </c>
      <c r="W75" s="40" t="str">
        <f>VLOOKUP(M75,Table1[#All],8,FALSE)</f>
        <v>Cust Rep:</v>
      </c>
      <c r="X75" s="79" t="s">
        <v>4036</v>
      </c>
      <c r="Y75" s="44" t="str">
        <f>VLOOKUP(M75,Table1[#All],2,FALSE)</f>
        <v xml:space="preserve">Task Post Pmt Queue </v>
      </c>
      <c r="Z75" s="59" t="str">
        <f>VLOOKUP(M75,Table1[#All],9,FALSE)</f>
        <v>Additional Notes:</v>
      </c>
      <c r="AA75" s="76" t="s">
        <v>4037</v>
      </c>
      <c r="AB75" s="76" t="s">
        <v>3697</v>
      </c>
      <c r="AC75" s="90" t="s">
        <v>115</v>
      </c>
      <c r="AD75" s="76" t="s">
        <v>177</v>
      </c>
      <c r="AE75" s="77" t="s">
        <v>3770</v>
      </c>
      <c r="AF75" s="110">
        <v>44581</v>
      </c>
      <c r="AG75" s="41" t="s">
        <v>101</v>
      </c>
      <c r="AH75" s="25"/>
      <c r="AI75" s="25"/>
      <c r="AJ75" s="42"/>
    </row>
    <row r="76" spans="1:36" ht="42" hidden="1" x14ac:dyDescent="0.55000000000000004">
      <c r="A76" s="44" t="str">
        <f>Data!K75</f>
        <v>Denta Trust</v>
      </c>
      <c r="B76" s="44" t="str">
        <f>Data!L75</f>
        <v>8004365294</v>
      </c>
      <c r="C76" s="44" t="str">
        <f>Data!D75</f>
        <v xml:space="preserve">Prasser , Stephanie </v>
      </c>
      <c r="D76" s="82" t="str">
        <f>Data!F75</f>
        <v>0003388416</v>
      </c>
      <c r="E76" s="82" t="str">
        <f>Data!B75</f>
        <v>7024</v>
      </c>
      <c r="F76" s="44" t="str">
        <f>Data!A75</f>
        <v xml:space="preserve">Prasser , Stephanie </v>
      </c>
      <c r="G76" s="55" t="str">
        <f>Data!C75</f>
        <v>5/10/1995</v>
      </c>
      <c r="H76" s="56">
        <f>Data!H75</f>
        <v>44322</v>
      </c>
      <c r="I76" s="56" t="str">
        <f>Data!I75</f>
        <v>5/6/2021</v>
      </c>
      <c r="J76" s="57">
        <f>Data!J75</f>
        <v>583.20000000000005</v>
      </c>
      <c r="K76" s="58">
        <f t="shared" ca="1" si="1"/>
        <v>378</v>
      </c>
      <c r="L76" s="58">
        <f>Data!M75</f>
        <v>0</v>
      </c>
      <c r="M76" s="37" t="s">
        <v>45</v>
      </c>
      <c r="N76" s="43" t="str">
        <f>VLOOKUP(M76,Table1[#All],3,FALSE)</f>
        <v>Procedure is not a covered benefit;</v>
      </c>
      <c r="O76" s="40" t="str">
        <f>VLOOKUP(M76,Table1[#All],4,FALSE)</f>
        <v xml:space="preserve">Why? </v>
      </c>
      <c r="P76" s="38" t="s">
        <v>4001</v>
      </c>
      <c r="Q76" s="40" t="str">
        <f>VLOOKUP(M76,Table1[#All],5,FALSE)</f>
        <v>Call Ref#:</v>
      </c>
      <c r="R76" s="79" t="s">
        <v>4038</v>
      </c>
      <c r="S76" s="40" t="str">
        <f>VLOOKUP(M76,Table1[#All],6,FALSE)</f>
        <v>Cust Rep:</v>
      </c>
      <c r="T76" s="79" t="s">
        <v>4036</v>
      </c>
      <c r="U76" s="40">
        <f>VLOOKUP(M76,Table1[#All],7,FALSE)</f>
        <v>0</v>
      </c>
      <c r="V76" s="79"/>
      <c r="W76" s="40">
        <f>VLOOKUP(M76,Table1[#All],8,FALSE)</f>
        <v>0</v>
      </c>
      <c r="X76" s="79"/>
      <c r="Y76" s="44" t="str">
        <f>VLOOKUP(M76,Table1[#All],2,FALSE)</f>
        <v xml:space="preserve">Task Client - Denied Claim Queue </v>
      </c>
      <c r="Z76" s="59" t="str">
        <f>VLOOKUP(M76,Table1[#All],9,FALSE)</f>
        <v>Additional Notes:</v>
      </c>
      <c r="AA76" s="76" t="s">
        <v>4039</v>
      </c>
      <c r="AB76" s="76" t="s">
        <v>3697</v>
      </c>
      <c r="AC76" s="90" t="s">
        <v>115</v>
      </c>
      <c r="AD76" s="76" t="s">
        <v>177</v>
      </c>
      <c r="AE76" s="77" t="s">
        <v>3698</v>
      </c>
      <c r="AF76" s="110">
        <v>44581</v>
      </c>
      <c r="AG76" s="41" t="s">
        <v>101</v>
      </c>
      <c r="AH76" s="25"/>
      <c r="AI76" s="25"/>
      <c r="AJ76" s="42"/>
    </row>
    <row r="77" spans="1:36" ht="21" hidden="1" x14ac:dyDescent="0.55000000000000004">
      <c r="A77" s="44" t="str">
        <f>Data!K76</f>
        <v>Dental Health and Wellness WI</v>
      </c>
      <c r="B77" s="44" t="str">
        <f>Data!L76</f>
        <v>8444645635</v>
      </c>
      <c r="C77" s="44" t="str">
        <f>Data!D76</f>
        <v>Rice, Matthew</v>
      </c>
      <c r="D77" s="82" t="str">
        <f>Data!F76</f>
        <v>8453528381</v>
      </c>
      <c r="E77" s="82" t="str">
        <f>Data!B76</f>
        <v>2431</v>
      </c>
      <c r="F77" s="44" t="str">
        <f>Data!A76</f>
        <v>Rice, Matthew</v>
      </c>
      <c r="G77" s="55" t="str">
        <f>Data!C76</f>
        <v>8/29/2003</v>
      </c>
      <c r="H77" s="56">
        <f>Data!H76</f>
        <v>44652</v>
      </c>
      <c r="I77" s="56" t="str">
        <f>Data!I76</f>
        <v>4/4/2022</v>
      </c>
      <c r="J77" s="57">
        <f>Data!J76</f>
        <v>501.6</v>
      </c>
      <c r="K77" s="58">
        <f t="shared" ca="1" si="1"/>
        <v>45</v>
      </c>
      <c r="L77" s="58">
        <f>Data!M76</f>
        <v>0</v>
      </c>
      <c r="M77" s="37" t="s">
        <v>26</v>
      </c>
      <c r="N77" s="43" t="str">
        <f>VLOOKUP(M77,Table1[#All],3,FALSE)</f>
        <v>Note</v>
      </c>
      <c r="O77" s="40" t="str">
        <f>VLOOKUP(M77,Table1[#All],4,FALSE)</f>
        <v>Q1</v>
      </c>
      <c r="P77" s="38"/>
      <c r="Q77" s="40" t="str">
        <f>VLOOKUP(M77,Table1[#All],5,FALSE)</f>
        <v>Q2</v>
      </c>
      <c r="R77" s="79"/>
      <c r="S77" s="40" t="str">
        <f>VLOOKUP(M77,Table1[#All],6,FALSE)</f>
        <v>Q3</v>
      </c>
      <c r="T77" s="79"/>
      <c r="U77" s="40" t="str">
        <f>VLOOKUP(M77,Table1[#All],7,FALSE)</f>
        <v>Q4</v>
      </c>
      <c r="V77" s="79"/>
      <c r="W77" s="40" t="str">
        <f>VLOOKUP(M77,Table1[#All],8,FALSE)</f>
        <v>Q5</v>
      </c>
      <c r="X77" s="79"/>
      <c r="Y77" s="44" t="str">
        <f>VLOOKUP(M77,Table1[#All],2,FALSE)</f>
        <v>Action</v>
      </c>
      <c r="Z77" s="59" t="str">
        <f>VLOOKUP(M77,Table1[#All],9,FALSE)</f>
        <v>Additional Notes:</v>
      </c>
      <c r="AA77" s="76"/>
      <c r="AB77" s="76"/>
      <c r="AC77" s="90" t="s">
        <v>91</v>
      </c>
      <c r="AD77" s="76" t="s">
        <v>91</v>
      </c>
      <c r="AE77" s="77"/>
      <c r="AF77" s="110"/>
      <c r="AG77" s="41" t="s">
        <v>91</v>
      </c>
      <c r="AH77" s="25"/>
      <c r="AI77" s="25"/>
      <c r="AJ77" s="42"/>
    </row>
    <row r="78" spans="1:36" ht="21" hidden="1" x14ac:dyDescent="0.55000000000000004">
      <c r="A78" s="44" t="str">
        <f>Data!K77</f>
        <v>Dental Health and Wellness WI</v>
      </c>
      <c r="B78" s="44" t="str">
        <f>Data!L77</f>
        <v>8444645635</v>
      </c>
      <c r="C78" s="44" t="str">
        <f>Data!D77</f>
        <v>Rice, Quiana</v>
      </c>
      <c r="D78" s="82" t="str">
        <f>Data!F77</f>
        <v>9453528391</v>
      </c>
      <c r="E78" s="82" t="str">
        <f>Data!B77</f>
        <v>2432</v>
      </c>
      <c r="F78" s="44" t="str">
        <f>Data!A77</f>
        <v>Rice, Quiana</v>
      </c>
      <c r="G78" s="55" t="str">
        <f>Data!C77</f>
        <v>4/15/2005</v>
      </c>
      <c r="H78" s="56">
        <f>Data!H77</f>
        <v>44652</v>
      </c>
      <c r="I78" s="56" t="str">
        <f>Data!I77</f>
        <v>4/4/2022</v>
      </c>
      <c r="J78" s="57">
        <f>Data!J77</f>
        <v>669.6</v>
      </c>
      <c r="K78" s="58">
        <f t="shared" ca="1" si="1"/>
        <v>45</v>
      </c>
      <c r="L78" s="58">
        <f>Data!M77</f>
        <v>0</v>
      </c>
      <c r="M78" s="37" t="s">
        <v>26</v>
      </c>
      <c r="N78" s="43" t="str">
        <f>VLOOKUP(M78,Table1[#All],3,FALSE)</f>
        <v>Note</v>
      </c>
      <c r="O78" s="40" t="str">
        <f>VLOOKUP(M78,Table1[#All],4,FALSE)</f>
        <v>Q1</v>
      </c>
      <c r="P78" s="39"/>
      <c r="Q78" s="40" t="str">
        <f>VLOOKUP(M78,Table1[#All],5,FALSE)</f>
        <v>Q2</v>
      </c>
      <c r="R78" s="79"/>
      <c r="S78" s="40" t="str">
        <f>VLOOKUP(M78,Table1[#All],6,FALSE)</f>
        <v>Q3</v>
      </c>
      <c r="T78" s="79"/>
      <c r="U78" s="40" t="str">
        <f>VLOOKUP(M78,Table1[#All],7,FALSE)</f>
        <v>Q4</v>
      </c>
      <c r="V78" s="79"/>
      <c r="W78" s="40" t="str">
        <f>VLOOKUP(M78,Table1[#All],8,FALSE)</f>
        <v>Q5</v>
      </c>
      <c r="X78" s="79"/>
      <c r="Y78" s="44" t="str">
        <f>VLOOKUP(M78,Table1[#All],2,FALSE)</f>
        <v>Action</v>
      </c>
      <c r="Z78" s="59" t="str">
        <f>VLOOKUP(M78,Table1[#All],9,FALSE)</f>
        <v>Additional Notes:</v>
      </c>
      <c r="AA78" s="76"/>
      <c r="AB78" s="76"/>
      <c r="AC78" s="90" t="s">
        <v>91</v>
      </c>
      <c r="AD78" s="76" t="s">
        <v>91</v>
      </c>
      <c r="AE78" s="77"/>
      <c r="AF78" s="77"/>
      <c r="AG78" s="41" t="s">
        <v>91</v>
      </c>
      <c r="AH78" s="25"/>
      <c r="AI78" s="25"/>
      <c r="AJ78" s="42"/>
    </row>
    <row r="79" spans="1:36" ht="21" hidden="1" x14ac:dyDescent="0.55000000000000004">
      <c r="A79" s="44" t="str">
        <f>Data!K78</f>
        <v>Dental Health and Wellness WI</v>
      </c>
      <c r="B79" s="44" t="str">
        <f>Data!L78</f>
        <v>8444645635</v>
      </c>
      <c r="C79" s="44" t="str">
        <f>Data!D78</f>
        <v>Mcneal, Gabrielle</v>
      </c>
      <c r="D79" s="82" t="str">
        <f>Data!F78</f>
        <v>4405491747</v>
      </c>
      <c r="E79" s="82" t="str">
        <f>Data!B78</f>
        <v>3084</v>
      </c>
      <c r="F79" s="44" t="str">
        <f>Data!A78</f>
        <v>Mcneal, Gabrielle</v>
      </c>
      <c r="G79" s="55" t="str">
        <f>Data!C78</f>
        <v>4/13/1995</v>
      </c>
      <c r="H79" s="56">
        <f>Data!H78</f>
        <v>44652</v>
      </c>
      <c r="I79" s="56" t="str">
        <f>Data!I78</f>
        <v>4/4/2022</v>
      </c>
      <c r="J79" s="57">
        <f>Data!J78</f>
        <v>149.6</v>
      </c>
      <c r="K79" s="58">
        <f t="shared" ca="1" si="1"/>
        <v>45</v>
      </c>
      <c r="L79" s="58">
        <f>Data!M78</f>
        <v>0</v>
      </c>
      <c r="M79" s="37" t="s">
        <v>26</v>
      </c>
      <c r="N79" s="43" t="str">
        <f>VLOOKUP(M79,Table1[#All],3,FALSE)</f>
        <v>Note</v>
      </c>
      <c r="O79" s="40" t="str">
        <f>VLOOKUP(M79,Table1[#All],4,FALSE)</f>
        <v>Q1</v>
      </c>
      <c r="P79" s="39"/>
      <c r="Q79" s="40" t="str">
        <f>VLOOKUP(M79,Table1[#All],5,FALSE)</f>
        <v>Q2</v>
      </c>
      <c r="R79" s="79"/>
      <c r="S79" s="40" t="str">
        <f>VLOOKUP(M79,Table1[#All],6,FALSE)</f>
        <v>Q3</v>
      </c>
      <c r="T79" s="79"/>
      <c r="U79" s="40" t="str">
        <f>VLOOKUP(M79,Table1[#All],7,FALSE)</f>
        <v>Q4</v>
      </c>
      <c r="V79" s="79"/>
      <c r="W79" s="40" t="str">
        <f>VLOOKUP(M79,Table1[#All],8,FALSE)</f>
        <v>Q5</v>
      </c>
      <c r="X79" s="79"/>
      <c r="Y79" s="44" t="str">
        <f>VLOOKUP(M79,Table1[#All],2,FALSE)</f>
        <v>Action</v>
      </c>
      <c r="Z79" s="59" t="str">
        <f>VLOOKUP(M79,Table1[#All],9,FALSE)</f>
        <v>Additional Notes:</v>
      </c>
      <c r="AA79" s="76"/>
      <c r="AB79" s="76"/>
      <c r="AC79" s="90" t="s">
        <v>91</v>
      </c>
      <c r="AD79" s="76" t="s">
        <v>91</v>
      </c>
      <c r="AE79" s="77"/>
      <c r="AF79" s="77"/>
      <c r="AG79" s="41" t="s">
        <v>91</v>
      </c>
      <c r="AH79" s="25"/>
      <c r="AI79" s="25"/>
      <c r="AJ79" s="42"/>
    </row>
    <row r="80" spans="1:36" ht="21" hidden="1" x14ac:dyDescent="0.55000000000000004">
      <c r="A80" s="44" t="str">
        <f>Data!K79</f>
        <v>Dental Health and Wellness WI</v>
      </c>
      <c r="B80" s="44" t="str">
        <f>Data!L79</f>
        <v>8444645635</v>
      </c>
      <c r="C80" s="44" t="str">
        <f>Data!D79</f>
        <v xml:space="preserve">Veasey, Zayden </v>
      </c>
      <c r="D80" s="82" t="str">
        <f>Data!F79</f>
        <v>2446058621</v>
      </c>
      <c r="E80" s="82" t="str">
        <f>Data!B79</f>
        <v>9219</v>
      </c>
      <c r="F80" s="44" t="str">
        <f>Data!A79</f>
        <v xml:space="preserve">Veasey, Zayden </v>
      </c>
      <c r="G80" s="55" t="str">
        <f>Data!C79</f>
        <v>4/2/2014</v>
      </c>
      <c r="H80" s="56">
        <f>Data!H79</f>
        <v>44649</v>
      </c>
      <c r="I80" s="56" t="str">
        <f>Data!I79</f>
        <v>3/30/2022</v>
      </c>
      <c r="J80" s="57">
        <f>Data!J79</f>
        <v>470</v>
      </c>
      <c r="K80" s="58">
        <f t="shared" ca="1" si="1"/>
        <v>50</v>
      </c>
      <c r="L80" s="58">
        <f>Data!M79</f>
        <v>0</v>
      </c>
      <c r="M80" s="37" t="s">
        <v>26</v>
      </c>
      <c r="N80" s="43" t="str">
        <f>VLOOKUP(M80,Table1[#All],3,FALSE)</f>
        <v>Note</v>
      </c>
      <c r="O80" s="40" t="str">
        <f>VLOOKUP(M80,Table1[#All],4,FALSE)</f>
        <v>Q1</v>
      </c>
      <c r="P80" s="39"/>
      <c r="Q80" s="40" t="str">
        <f>VLOOKUP(M80,Table1[#All],5,FALSE)</f>
        <v>Q2</v>
      </c>
      <c r="R80" s="79"/>
      <c r="S80" s="40" t="str">
        <f>VLOOKUP(M80,Table1[#All],6,FALSE)</f>
        <v>Q3</v>
      </c>
      <c r="T80" s="79"/>
      <c r="U80" s="40" t="str">
        <f>VLOOKUP(M80,Table1[#All],7,FALSE)</f>
        <v>Q4</v>
      </c>
      <c r="V80" s="79"/>
      <c r="W80" s="40" t="str">
        <f>VLOOKUP(M80,Table1[#All],8,FALSE)</f>
        <v>Q5</v>
      </c>
      <c r="X80" s="79"/>
      <c r="Y80" s="44" t="str">
        <f>VLOOKUP(M80,Table1[#All],2,FALSE)</f>
        <v>Action</v>
      </c>
      <c r="Z80" s="59" t="str">
        <f>VLOOKUP(M80,Table1[#All],9,FALSE)</f>
        <v>Additional Notes:</v>
      </c>
      <c r="AA80" s="76"/>
      <c r="AB80" s="76"/>
      <c r="AC80" s="90" t="s">
        <v>91</v>
      </c>
      <c r="AD80" s="76" t="s">
        <v>91</v>
      </c>
      <c r="AE80" s="77"/>
      <c r="AF80" s="77"/>
      <c r="AG80" s="41" t="s">
        <v>91</v>
      </c>
      <c r="AH80" s="25"/>
      <c r="AI80" s="25"/>
      <c r="AJ80" s="42"/>
    </row>
    <row r="81" spans="1:36" ht="21" hidden="1" x14ac:dyDescent="0.55000000000000004">
      <c r="A81" s="44" t="str">
        <f>Data!K80</f>
        <v>Dental Health and Wellness WI</v>
      </c>
      <c r="B81" s="44" t="str">
        <f>Data!L80</f>
        <v>8444645635</v>
      </c>
      <c r="C81" s="44" t="str">
        <f>Data!D80</f>
        <v xml:space="preserve">Bell , Muhammed </v>
      </c>
      <c r="D81" s="82" t="str">
        <f>Data!F80</f>
        <v>7440164377</v>
      </c>
      <c r="E81" s="82" t="str">
        <f>Data!B80</f>
        <v>2943</v>
      </c>
      <c r="F81" s="44" t="str">
        <f>Data!A80</f>
        <v xml:space="preserve">Bell , Muhammed </v>
      </c>
      <c r="G81" s="55" t="str">
        <f>Data!C80</f>
        <v>2/27/1998</v>
      </c>
      <c r="H81" s="56">
        <f>Data!H80</f>
        <v>44645</v>
      </c>
      <c r="I81" s="56" t="str">
        <f>Data!I80</f>
        <v>3/28/2022</v>
      </c>
      <c r="J81" s="57">
        <f>Data!J80</f>
        <v>61.2</v>
      </c>
      <c r="K81" s="58">
        <f t="shared" ca="1" si="1"/>
        <v>52</v>
      </c>
      <c r="L81" s="58">
        <f>Data!M80</f>
        <v>0</v>
      </c>
      <c r="M81" s="37" t="s">
        <v>26</v>
      </c>
      <c r="N81" s="43" t="str">
        <f>VLOOKUP(M81,Table1[#All],3,FALSE)</f>
        <v>Note</v>
      </c>
      <c r="O81" s="40" t="str">
        <f>VLOOKUP(M81,Table1[#All],4,FALSE)</f>
        <v>Q1</v>
      </c>
      <c r="P81" s="39"/>
      <c r="Q81" s="40" t="str">
        <f>VLOOKUP(M81,Table1[#All],5,FALSE)</f>
        <v>Q2</v>
      </c>
      <c r="R81" s="79"/>
      <c r="S81" s="40" t="str">
        <f>VLOOKUP(M81,Table1[#All],6,FALSE)</f>
        <v>Q3</v>
      </c>
      <c r="T81" s="79"/>
      <c r="U81" s="40" t="str">
        <f>VLOOKUP(M81,Table1[#All],7,FALSE)</f>
        <v>Q4</v>
      </c>
      <c r="V81" s="79"/>
      <c r="W81" s="40" t="str">
        <f>VLOOKUP(M81,Table1[#All],8,FALSE)</f>
        <v>Q5</v>
      </c>
      <c r="X81" s="79"/>
      <c r="Y81" s="44" t="str">
        <f>VLOOKUP(M81,Table1[#All],2,FALSE)</f>
        <v>Action</v>
      </c>
      <c r="Z81" s="59" t="str">
        <f>VLOOKUP(M81,Table1[#All],9,FALSE)</f>
        <v>Additional Notes:</v>
      </c>
      <c r="AA81" s="76"/>
      <c r="AB81" s="76"/>
      <c r="AC81" s="90" t="s">
        <v>91</v>
      </c>
      <c r="AD81" s="76" t="s">
        <v>91</v>
      </c>
      <c r="AE81" s="77"/>
      <c r="AF81" s="77"/>
      <c r="AG81" s="41" t="s">
        <v>91</v>
      </c>
      <c r="AH81" s="25"/>
      <c r="AI81" s="25"/>
      <c r="AJ81" s="42"/>
    </row>
    <row r="82" spans="1:36" ht="21" hidden="1" x14ac:dyDescent="0.55000000000000004">
      <c r="A82" s="44" t="str">
        <f>Data!K81</f>
        <v>Dental Health and Wellness WI</v>
      </c>
      <c r="B82" s="44" t="str">
        <f>Data!L81</f>
        <v>8444645635</v>
      </c>
      <c r="C82" s="44" t="str">
        <f>Data!D81</f>
        <v>Conner, Aaron</v>
      </c>
      <c r="D82" s="82" t="str">
        <f>Data!F81</f>
        <v>7436049879</v>
      </c>
      <c r="E82" s="82" t="str">
        <f>Data!B81</f>
        <v>9077</v>
      </c>
      <c r="F82" s="44" t="str">
        <f>Data!A81</f>
        <v>Conner, Aaron</v>
      </c>
      <c r="G82" s="55" t="str">
        <f>Data!C81</f>
        <v>5/26/1993</v>
      </c>
      <c r="H82" s="56">
        <f>Data!H81</f>
        <v>44645</v>
      </c>
      <c r="I82" s="56" t="str">
        <f>Data!I81</f>
        <v>3/28/2022</v>
      </c>
      <c r="J82" s="57">
        <f>Data!J81</f>
        <v>506.4</v>
      </c>
      <c r="K82" s="58">
        <f t="shared" ca="1" si="1"/>
        <v>52</v>
      </c>
      <c r="L82" s="58">
        <f>Data!M81</f>
        <v>0</v>
      </c>
      <c r="M82" s="37" t="s">
        <v>26</v>
      </c>
      <c r="N82" s="43" t="str">
        <f>VLOOKUP(M82,Table1[#All],3,FALSE)</f>
        <v>Note</v>
      </c>
      <c r="O82" s="40" t="str">
        <f>VLOOKUP(M82,Table1[#All],4,FALSE)</f>
        <v>Q1</v>
      </c>
      <c r="P82" s="39"/>
      <c r="Q82" s="40" t="str">
        <f>VLOOKUP(M82,Table1[#All],5,FALSE)</f>
        <v>Q2</v>
      </c>
      <c r="R82" s="79"/>
      <c r="S82" s="40" t="str">
        <f>VLOOKUP(M82,Table1[#All],6,FALSE)</f>
        <v>Q3</v>
      </c>
      <c r="T82" s="79"/>
      <c r="U82" s="40" t="str">
        <f>VLOOKUP(M82,Table1[#All],7,FALSE)</f>
        <v>Q4</v>
      </c>
      <c r="V82" s="79"/>
      <c r="W82" s="40" t="str">
        <f>VLOOKUP(M82,Table1[#All],8,FALSE)</f>
        <v>Q5</v>
      </c>
      <c r="X82" s="79"/>
      <c r="Y82" s="44" t="str">
        <f>VLOOKUP(M82,Table1[#All],2,FALSE)</f>
        <v>Action</v>
      </c>
      <c r="Z82" s="59" t="str">
        <f>VLOOKUP(M82,Table1[#All],9,FALSE)</f>
        <v>Additional Notes:</v>
      </c>
      <c r="AA82" s="76"/>
      <c r="AB82" s="76"/>
      <c r="AC82" s="90" t="s">
        <v>91</v>
      </c>
      <c r="AD82" s="76" t="s">
        <v>91</v>
      </c>
      <c r="AE82" s="77"/>
      <c r="AF82" s="77"/>
      <c r="AG82" s="41" t="s">
        <v>91</v>
      </c>
      <c r="AH82" s="25"/>
      <c r="AI82" s="25"/>
      <c r="AJ82" s="42"/>
    </row>
    <row r="83" spans="1:36" ht="21" hidden="1" x14ac:dyDescent="0.55000000000000004">
      <c r="A83" s="44" t="str">
        <f>Data!K82</f>
        <v>Dental Health and Wellness WI</v>
      </c>
      <c r="B83" s="44" t="str">
        <f>Data!L82</f>
        <v>8444645635</v>
      </c>
      <c r="C83" s="44" t="str">
        <f>Data!D82</f>
        <v xml:space="preserve">Brown, Jayce </v>
      </c>
      <c r="D83" s="82" t="str">
        <f>Data!F82</f>
        <v>4442014043</v>
      </c>
      <c r="E83" s="82" t="str">
        <f>Data!B82</f>
        <v>9302</v>
      </c>
      <c r="F83" s="44" t="str">
        <f>Data!A82</f>
        <v xml:space="preserve">Brown, Jayce </v>
      </c>
      <c r="G83" s="55" t="str">
        <f>Data!C82</f>
        <v>3/15/2012</v>
      </c>
      <c r="H83" s="56">
        <f>Data!H82</f>
        <v>44639</v>
      </c>
      <c r="I83" s="56" t="str">
        <f>Data!I82</f>
        <v>3/28/2022</v>
      </c>
      <c r="J83" s="57">
        <f>Data!J82</f>
        <v>432</v>
      </c>
      <c r="K83" s="58">
        <f t="shared" ca="1" si="1"/>
        <v>52</v>
      </c>
      <c r="L83" s="58">
        <f>Data!M82</f>
        <v>0</v>
      </c>
      <c r="M83" s="37" t="s">
        <v>26</v>
      </c>
      <c r="N83" s="43" t="str">
        <f>VLOOKUP(M83,Table1[#All],3,FALSE)</f>
        <v>Note</v>
      </c>
      <c r="O83" s="40" t="str">
        <f>VLOOKUP(M83,Table1[#All],4,FALSE)</f>
        <v>Q1</v>
      </c>
      <c r="P83" s="39"/>
      <c r="Q83" s="40" t="str">
        <f>VLOOKUP(M83,Table1[#All],5,FALSE)</f>
        <v>Q2</v>
      </c>
      <c r="R83" s="79"/>
      <c r="S83" s="40" t="str">
        <f>VLOOKUP(M83,Table1[#All],6,FALSE)</f>
        <v>Q3</v>
      </c>
      <c r="T83" s="79"/>
      <c r="U83" s="40" t="str">
        <f>VLOOKUP(M83,Table1[#All],7,FALSE)</f>
        <v>Q4</v>
      </c>
      <c r="V83" s="79"/>
      <c r="W83" s="40" t="str">
        <f>VLOOKUP(M83,Table1[#All],8,FALSE)</f>
        <v>Q5</v>
      </c>
      <c r="X83" s="79"/>
      <c r="Y83" s="44" t="str">
        <f>VLOOKUP(M83,Table1[#All],2,FALSE)</f>
        <v>Action</v>
      </c>
      <c r="Z83" s="59" t="str">
        <f>VLOOKUP(M83,Table1[#All],9,FALSE)</f>
        <v>Additional Notes:</v>
      </c>
      <c r="AA83" s="76"/>
      <c r="AB83" s="76"/>
      <c r="AC83" s="90" t="s">
        <v>91</v>
      </c>
      <c r="AD83" s="76" t="s">
        <v>91</v>
      </c>
      <c r="AE83" s="77"/>
      <c r="AF83" s="77"/>
      <c r="AG83" s="41" t="s">
        <v>91</v>
      </c>
      <c r="AH83" s="25"/>
      <c r="AI83" s="25"/>
      <c r="AJ83" s="42"/>
    </row>
    <row r="84" spans="1:36" ht="21" hidden="1" x14ac:dyDescent="0.55000000000000004">
      <c r="A84" s="44" t="str">
        <f>Data!K83</f>
        <v>Dental Health and Wellness WI</v>
      </c>
      <c r="B84" s="44" t="str">
        <f>Data!L83</f>
        <v>8444645635</v>
      </c>
      <c r="C84" s="44" t="str">
        <f>Data!D83</f>
        <v xml:space="preserve">Beqiri, Malik </v>
      </c>
      <c r="D84" s="82" t="str">
        <f>Data!F83</f>
        <v>0456692509</v>
      </c>
      <c r="E84" s="82" t="str">
        <f>Data!B83</f>
        <v>7851</v>
      </c>
      <c r="F84" s="44" t="str">
        <f>Data!A83</f>
        <v xml:space="preserve">Beqiri, Malik </v>
      </c>
      <c r="G84" s="55" t="str">
        <f>Data!C83</f>
        <v>9/14/2019</v>
      </c>
      <c r="H84" s="56">
        <f>Data!H83</f>
        <v>44643</v>
      </c>
      <c r="I84" s="56" t="str">
        <f>Data!I83</f>
        <v>3/24/2022</v>
      </c>
      <c r="J84" s="57">
        <f>Data!J83</f>
        <v>138</v>
      </c>
      <c r="K84" s="58">
        <f t="shared" ca="1" si="1"/>
        <v>56</v>
      </c>
      <c r="L84" s="58">
        <f>Data!M83</f>
        <v>0</v>
      </c>
      <c r="M84" s="37" t="s">
        <v>26</v>
      </c>
      <c r="N84" s="43" t="str">
        <f>VLOOKUP(M84,Table1[#All],3,FALSE)</f>
        <v>Note</v>
      </c>
      <c r="O84" s="40" t="str">
        <f>VLOOKUP(M84,Table1[#All],4,FALSE)</f>
        <v>Q1</v>
      </c>
      <c r="P84" s="39"/>
      <c r="Q84" s="40" t="str">
        <f>VLOOKUP(M84,Table1[#All],5,FALSE)</f>
        <v>Q2</v>
      </c>
      <c r="R84" s="79"/>
      <c r="S84" s="40" t="str">
        <f>VLOOKUP(M84,Table1[#All],6,FALSE)</f>
        <v>Q3</v>
      </c>
      <c r="T84" s="79"/>
      <c r="U84" s="40" t="str">
        <f>VLOOKUP(M84,Table1[#All],7,FALSE)</f>
        <v>Q4</v>
      </c>
      <c r="V84" s="79"/>
      <c r="W84" s="40" t="str">
        <f>VLOOKUP(M84,Table1[#All],8,FALSE)</f>
        <v>Q5</v>
      </c>
      <c r="X84" s="79"/>
      <c r="Y84" s="44" t="str">
        <f>VLOOKUP(M84,Table1[#All],2,FALSE)</f>
        <v>Action</v>
      </c>
      <c r="Z84" s="59" t="str">
        <f>VLOOKUP(M84,Table1[#All],9,FALSE)</f>
        <v>Additional Notes:</v>
      </c>
      <c r="AA84" s="76"/>
      <c r="AB84" s="76"/>
      <c r="AC84" s="90" t="s">
        <v>91</v>
      </c>
      <c r="AD84" s="76" t="s">
        <v>91</v>
      </c>
      <c r="AE84" s="77"/>
      <c r="AF84" s="77"/>
      <c r="AG84" s="41" t="s">
        <v>91</v>
      </c>
      <c r="AH84" s="25"/>
      <c r="AI84" s="25"/>
      <c r="AJ84" s="42"/>
    </row>
    <row r="85" spans="1:36" ht="21" hidden="1" x14ac:dyDescent="0.55000000000000004">
      <c r="A85" s="44" t="str">
        <f>Data!K84</f>
        <v>Dental Health and Wellness WI</v>
      </c>
      <c r="B85" s="44" t="str">
        <f>Data!L84</f>
        <v>8444645635</v>
      </c>
      <c r="C85" s="44" t="str">
        <f>Data!D84</f>
        <v>Edmonds, Kelly</v>
      </c>
      <c r="D85" s="82" t="str">
        <f>Data!F84</f>
        <v>5432809656</v>
      </c>
      <c r="E85" s="82" t="str">
        <f>Data!B84</f>
        <v>9278</v>
      </c>
      <c r="F85" s="44" t="str">
        <f>Data!A84</f>
        <v>Edmonds, Kelly</v>
      </c>
      <c r="G85" s="55" t="str">
        <f>Data!C84</f>
        <v>10/7/1964</v>
      </c>
      <c r="H85" s="56">
        <f>Data!H84</f>
        <v>44643</v>
      </c>
      <c r="I85" s="56" t="str">
        <f>Data!I84</f>
        <v>3/24/2022</v>
      </c>
      <c r="J85" s="57">
        <f>Data!J84</f>
        <v>178.4</v>
      </c>
      <c r="K85" s="58">
        <f t="shared" ca="1" si="1"/>
        <v>56</v>
      </c>
      <c r="L85" s="58">
        <f>Data!M84</f>
        <v>0</v>
      </c>
      <c r="M85" s="37" t="s">
        <v>26</v>
      </c>
      <c r="N85" s="43" t="str">
        <f>VLOOKUP(M85,Table1[#All],3,FALSE)</f>
        <v>Note</v>
      </c>
      <c r="O85" s="40" t="str">
        <f>VLOOKUP(M85,Table1[#All],4,FALSE)</f>
        <v>Q1</v>
      </c>
      <c r="P85" s="39"/>
      <c r="Q85" s="40" t="str">
        <f>VLOOKUP(M85,Table1[#All],5,FALSE)</f>
        <v>Q2</v>
      </c>
      <c r="R85" s="79"/>
      <c r="S85" s="40" t="str">
        <f>VLOOKUP(M85,Table1[#All],6,FALSE)</f>
        <v>Q3</v>
      </c>
      <c r="T85" s="79"/>
      <c r="U85" s="40" t="str">
        <f>VLOOKUP(M85,Table1[#All],7,FALSE)</f>
        <v>Q4</v>
      </c>
      <c r="V85" s="79"/>
      <c r="W85" s="40" t="str">
        <f>VLOOKUP(M85,Table1[#All],8,FALSE)</f>
        <v>Q5</v>
      </c>
      <c r="X85" s="79"/>
      <c r="Y85" s="44" t="str">
        <f>VLOOKUP(M85,Table1[#All],2,FALSE)</f>
        <v>Action</v>
      </c>
      <c r="Z85" s="59" t="str">
        <f>VLOOKUP(M85,Table1[#All],9,FALSE)</f>
        <v>Additional Notes:</v>
      </c>
      <c r="AA85" s="76"/>
      <c r="AB85" s="76"/>
      <c r="AC85" s="90" t="s">
        <v>91</v>
      </c>
      <c r="AD85" s="76" t="s">
        <v>91</v>
      </c>
      <c r="AE85" s="77"/>
      <c r="AF85" s="77"/>
      <c r="AG85" s="41" t="s">
        <v>91</v>
      </c>
      <c r="AH85" s="25"/>
      <c r="AI85" s="25"/>
      <c r="AJ85" s="42"/>
    </row>
    <row r="86" spans="1:36" ht="21" hidden="1" x14ac:dyDescent="0.55000000000000004">
      <c r="A86" s="44" t="str">
        <f>Data!K85</f>
        <v>Dental Health and Wellness WI</v>
      </c>
      <c r="B86" s="44" t="str">
        <f>Data!L85</f>
        <v>8444645635</v>
      </c>
      <c r="C86" s="44" t="str">
        <f>Data!D85</f>
        <v xml:space="preserve">Howard , Jace </v>
      </c>
      <c r="D86" s="82" t="str">
        <f>Data!F85</f>
        <v>3454824532</v>
      </c>
      <c r="E86" s="82" t="str">
        <f>Data!B85</f>
        <v>9285</v>
      </c>
      <c r="F86" s="44" t="str">
        <f>Data!A85</f>
        <v xml:space="preserve">Howard , Jace </v>
      </c>
      <c r="G86" s="55" t="str">
        <f>Data!C85</f>
        <v>6/21/2019</v>
      </c>
      <c r="H86" s="56">
        <f>Data!H85</f>
        <v>44643</v>
      </c>
      <c r="I86" s="56" t="str">
        <f>Data!I85</f>
        <v>3/24/2022</v>
      </c>
      <c r="J86" s="57">
        <f>Data!J85</f>
        <v>166.8</v>
      </c>
      <c r="K86" s="58">
        <f t="shared" ca="1" si="1"/>
        <v>56</v>
      </c>
      <c r="L86" s="58">
        <f>Data!M85</f>
        <v>0</v>
      </c>
      <c r="M86" s="37" t="s">
        <v>26</v>
      </c>
      <c r="N86" s="43" t="str">
        <f>VLOOKUP(M86,Table1[#All],3,FALSE)</f>
        <v>Note</v>
      </c>
      <c r="O86" s="40" t="str">
        <f>VLOOKUP(M86,Table1[#All],4,FALSE)</f>
        <v>Q1</v>
      </c>
      <c r="P86" s="39"/>
      <c r="Q86" s="40" t="str">
        <f>VLOOKUP(M86,Table1[#All],5,FALSE)</f>
        <v>Q2</v>
      </c>
      <c r="R86" s="79"/>
      <c r="S86" s="40" t="str">
        <f>VLOOKUP(M86,Table1[#All],6,FALSE)</f>
        <v>Q3</v>
      </c>
      <c r="T86" s="79"/>
      <c r="U86" s="40" t="str">
        <f>VLOOKUP(M86,Table1[#All],7,FALSE)</f>
        <v>Q4</v>
      </c>
      <c r="V86" s="79"/>
      <c r="W86" s="40" t="str">
        <f>VLOOKUP(M86,Table1[#All],8,FALSE)</f>
        <v>Q5</v>
      </c>
      <c r="X86" s="79"/>
      <c r="Y86" s="44" t="str">
        <f>VLOOKUP(M86,Table1[#All],2,FALSE)</f>
        <v>Action</v>
      </c>
      <c r="Z86" s="59" t="str">
        <f>VLOOKUP(M86,Table1[#All],9,FALSE)</f>
        <v>Additional Notes:</v>
      </c>
      <c r="AA86" s="76"/>
      <c r="AB86" s="76"/>
      <c r="AC86" s="90" t="s">
        <v>91</v>
      </c>
      <c r="AD86" s="76" t="s">
        <v>91</v>
      </c>
      <c r="AE86" s="77"/>
      <c r="AF86" s="77"/>
      <c r="AG86" s="41" t="s">
        <v>91</v>
      </c>
      <c r="AH86" s="25"/>
      <c r="AI86" s="25"/>
      <c r="AJ86" s="42"/>
    </row>
    <row r="87" spans="1:36" ht="21" hidden="1" x14ac:dyDescent="0.55000000000000004">
      <c r="A87" s="44" t="str">
        <f>Data!K86</f>
        <v>Dental Health and Wellness WI</v>
      </c>
      <c r="B87" s="44" t="str">
        <f>Data!L86</f>
        <v>8444645635</v>
      </c>
      <c r="C87" s="44" t="str">
        <f>Data!D86</f>
        <v>Hayes , Shequita</v>
      </c>
      <c r="D87" s="82" t="str">
        <f>Data!F86</f>
        <v>9450379491</v>
      </c>
      <c r="E87" s="82" t="str">
        <f>Data!B86</f>
        <v>8696</v>
      </c>
      <c r="F87" s="44" t="str">
        <f>Data!A86</f>
        <v>Hayes , Shequita</v>
      </c>
      <c r="G87" s="55" t="str">
        <f>Data!C86</f>
        <v>8/1/1992</v>
      </c>
      <c r="H87" s="56">
        <f>Data!H86</f>
        <v>44642</v>
      </c>
      <c r="I87" s="56" t="str">
        <f>Data!I86</f>
        <v>3/23/2022</v>
      </c>
      <c r="J87" s="57">
        <f>Data!J86</f>
        <v>506.4</v>
      </c>
      <c r="K87" s="58">
        <f t="shared" ca="1" si="1"/>
        <v>57</v>
      </c>
      <c r="L87" s="58">
        <f>Data!M86</f>
        <v>0</v>
      </c>
      <c r="M87" s="37" t="s">
        <v>26</v>
      </c>
      <c r="N87" s="43" t="str">
        <f>VLOOKUP(M87,Table1[#All],3,FALSE)</f>
        <v>Note</v>
      </c>
      <c r="O87" s="40" t="str">
        <f>VLOOKUP(M87,Table1[#All],4,FALSE)</f>
        <v>Q1</v>
      </c>
      <c r="P87" s="39"/>
      <c r="Q87" s="40" t="str">
        <f>VLOOKUP(M87,Table1[#All],5,FALSE)</f>
        <v>Q2</v>
      </c>
      <c r="R87" s="79"/>
      <c r="S87" s="40" t="str">
        <f>VLOOKUP(M87,Table1[#All],6,FALSE)</f>
        <v>Q3</v>
      </c>
      <c r="T87" s="79"/>
      <c r="U87" s="40" t="str">
        <f>VLOOKUP(M87,Table1[#All],7,FALSE)</f>
        <v>Q4</v>
      </c>
      <c r="V87" s="79"/>
      <c r="W87" s="40" t="str">
        <f>VLOOKUP(M87,Table1[#All],8,FALSE)</f>
        <v>Q5</v>
      </c>
      <c r="X87" s="79"/>
      <c r="Y87" s="44" t="str">
        <f>VLOOKUP(M87,Table1[#All],2,FALSE)</f>
        <v>Action</v>
      </c>
      <c r="Z87" s="59" t="str">
        <f>VLOOKUP(M87,Table1[#All],9,FALSE)</f>
        <v>Additional Notes:</v>
      </c>
      <c r="AA87" s="76"/>
      <c r="AB87" s="76"/>
      <c r="AC87" s="90" t="s">
        <v>91</v>
      </c>
      <c r="AD87" s="76" t="s">
        <v>91</v>
      </c>
      <c r="AE87" s="77"/>
      <c r="AF87" s="77"/>
      <c r="AG87" s="41" t="s">
        <v>91</v>
      </c>
      <c r="AH87" s="25"/>
      <c r="AI87" s="25"/>
      <c r="AJ87" s="42"/>
    </row>
    <row r="88" spans="1:36" ht="21" hidden="1" x14ac:dyDescent="0.55000000000000004">
      <c r="A88" s="44" t="str">
        <f>Data!K87</f>
        <v>Dental Health and Wellness WI</v>
      </c>
      <c r="B88" s="44" t="str">
        <f>Data!L87</f>
        <v>8444645635</v>
      </c>
      <c r="C88" s="44" t="str">
        <f>Data!D87</f>
        <v xml:space="preserve">Baker, Marquis </v>
      </c>
      <c r="D88" s="82" t="str">
        <f>Data!F87</f>
        <v>9416757993</v>
      </c>
      <c r="E88" s="82" t="str">
        <f>Data!B87</f>
        <v>9053</v>
      </c>
      <c r="F88" s="44" t="str">
        <f>Data!A87</f>
        <v xml:space="preserve">Baker, Marquis </v>
      </c>
      <c r="G88" s="55" t="str">
        <f>Data!C87</f>
        <v>6/10/1991</v>
      </c>
      <c r="H88" s="56">
        <f>Data!H87</f>
        <v>44642</v>
      </c>
      <c r="I88" s="56" t="str">
        <f>Data!I87</f>
        <v>3/23/2022</v>
      </c>
      <c r="J88" s="57">
        <f>Data!J87</f>
        <v>466.8</v>
      </c>
      <c r="K88" s="58">
        <f t="shared" ca="1" si="1"/>
        <v>57</v>
      </c>
      <c r="L88" s="58">
        <f>Data!M87</f>
        <v>0</v>
      </c>
      <c r="M88" s="37" t="s">
        <v>26</v>
      </c>
      <c r="N88" s="43" t="str">
        <f>VLOOKUP(M88,Table1[#All],3,FALSE)</f>
        <v>Note</v>
      </c>
      <c r="O88" s="40" t="str">
        <f>VLOOKUP(M88,Table1[#All],4,FALSE)</f>
        <v>Q1</v>
      </c>
      <c r="P88" s="39"/>
      <c r="Q88" s="40" t="str">
        <f>VLOOKUP(M88,Table1[#All],5,FALSE)</f>
        <v>Q2</v>
      </c>
      <c r="R88" s="79"/>
      <c r="S88" s="40" t="str">
        <f>VLOOKUP(M88,Table1[#All],6,FALSE)</f>
        <v>Q3</v>
      </c>
      <c r="T88" s="79"/>
      <c r="U88" s="40" t="str">
        <f>VLOOKUP(M88,Table1[#All],7,FALSE)</f>
        <v>Q4</v>
      </c>
      <c r="V88" s="79"/>
      <c r="W88" s="40" t="str">
        <f>VLOOKUP(M88,Table1[#All],8,FALSE)</f>
        <v>Q5</v>
      </c>
      <c r="X88" s="79"/>
      <c r="Y88" s="44" t="str">
        <f>VLOOKUP(M88,Table1[#All],2,FALSE)</f>
        <v>Action</v>
      </c>
      <c r="Z88" s="59" t="str">
        <f>VLOOKUP(M88,Table1[#All],9,FALSE)</f>
        <v>Additional Notes:</v>
      </c>
      <c r="AA88" s="76"/>
      <c r="AB88" s="76"/>
      <c r="AC88" s="90" t="s">
        <v>91</v>
      </c>
      <c r="AD88" s="76" t="s">
        <v>91</v>
      </c>
      <c r="AE88" s="77"/>
      <c r="AF88" s="77"/>
      <c r="AG88" s="41" t="s">
        <v>91</v>
      </c>
      <c r="AH88" s="25"/>
      <c r="AI88" s="25"/>
      <c r="AJ88" s="42"/>
    </row>
    <row r="89" spans="1:36" ht="21" hidden="1" x14ac:dyDescent="0.55000000000000004">
      <c r="A89" s="44" t="str">
        <f>Data!K88</f>
        <v>Dental Health and Wellness WI</v>
      </c>
      <c r="B89" s="44" t="str">
        <f>Data!L88</f>
        <v>8444645635</v>
      </c>
      <c r="C89" s="44" t="str">
        <f>Data!D88</f>
        <v xml:space="preserve">Brown, Jayce </v>
      </c>
      <c r="D89" s="82" t="str">
        <f>Data!F88</f>
        <v>4442014043</v>
      </c>
      <c r="E89" s="82" t="str">
        <f>Data!B88</f>
        <v>9302</v>
      </c>
      <c r="F89" s="44" t="str">
        <f>Data!A88</f>
        <v xml:space="preserve">Brown, Jayce </v>
      </c>
      <c r="G89" s="55" t="str">
        <f>Data!C88</f>
        <v>3/15/2012</v>
      </c>
      <c r="H89" s="56">
        <f>Data!H88</f>
        <v>44639</v>
      </c>
      <c r="I89" s="56" t="str">
        <f>Data!I88</f>
        <v>3/21/2022</v>
      </c>
      <c r="J89" s="57">
        <f>Data!J88</f>
        <v>273.2</v>
      </c>
      <c r="K89" s="58">
        <f t="shared" ca="1" si="1"/>
        <v>59</v>
      </c>
      <c r="L89" s="58">
        <f>Data!M88</f>
        <v>0</v>
      </c>
      <c r="M89" s="37" t="s">
        <v>26</v>
      </c>
      <c r="N89" s="43" t="str">
        <f>VLOOKUP(M89,Table1[#All],3,FALSE)</f>
        <v>Note</v>
      </c>
      <c r="O89" s="40" t="str">
        <f>VLOOKUP(M89,Table1[#All],4,FALSE)</f>
        <v>Q1</v>
      </c>
      <c r="P89" s="39"/>
      <c r="Q89" s="40" t="str">
        <f>VLOOKUP(M89,Table1[#All],5,FALSE)</f>
        <v>Q2</v>
      </c>
      <c r="R89" s="79"/>
      <c r="S89" s="40" t="str">
        <f>VLOOKUP(M89,Table1[#All],6,FALSE)</f>
        <v>Q3</v>
      </c>
      <c r="T89" s="79"/>
      <c r="U89" s="40" t="str">
        <f>VLOOKUP(M89,Table1[#All],7,FALSE)</f>
        <v>Q4</v>
      </c>
      <c r="V89" s="79"/>
      <c r="W89" s="40" t="str">
        <f>VLOOKUP(M89,Table1[#All],8,FALSE)</f>
        <v>Q5</v>
      </c>
      <c r="X89" s="79"/>
      <c r="Y89" s="44" t="str">
        <f>VLOOKUP(M89,Table1[#All],2,FALSE)</f>
        <v>Action</v>
      </c>
      <c r="Z89" s="59" t="str">
        <f>VLOOKUP(M89,Table1[#All],9,FALSE)</f>
        <v>Additional Notes:</v>
      </c>
      <c r="AA89" s="76"/>
      <c r="AB89" s="76"/>
      <c r="AC89" s="90" t="s">
        <v>91</v>
      </c>
      <c r="AD89" s="76" t="s">
        <v>91</v>
      </c>
      <c r="AE89" s="77"/>
      <c r="AF89" s="77"/>
      <c r="AG89" s="41" t="s">
        <v>91</v>
      </c>
      <c r="AH89" s="25"/>
      <c r="AI89" s="25"/>
      <c r="AJ89" s="42"/>
    </row>
    <row r="90" spans="1:36" ht="21" hidden="1" x14ac:dyDescent="0.55000000000000004">
      <c r="A90" s="44" t="str">
        <f>Data!K89</f>
        <v>Dental Health and Wellness WI</v>
      </c>
      <c r="B90" s="44" t="str">
        <f>Data!L89</f>
        <v>8444645635</v>
      </c>
      <c r="C90" s="44" t="str">
        <f>Data!D89</f>
        <v xml:space="preserve">Brown , Jeremiah </v>
      </c>
      <c r="D90" s="82" t="str">
        <f>Data!F89</f>
        <v>1442014113</v>
      </c>
      <c r="E90" s="82" t="str">
        <f>Data!B89</f>
        <v>9303</v>
      </c>
      <c r="F90" s="44" t="str">
        <f>Data!A89</f>
        <v xml:space="preserve">Brown , Jeremiah </v>
      </c>
      <c r="G90" s="55" t="str">
        <f>Data!C89</f>
        <v>3/15/2012</v>
      </c>
      <c r="H90" s="56">
        <f>Data!H89</f>
        <v>44638</v>
      </c>
      <c r="I90" s="56" t="str">
        <f>Data!I89</f>
        <v>3/21/2022</v>
      </c>
      <c r="J90" s="57">
        <f>Data!J89</f>
        <v>740</v>
      </c>
      <c r="K90" s="58">
        <f t="shared" ca="1" si="1"/>
        <v>59</v>
      </c>
      <c r="L90" s="58">
        <f>Data!M89</f>
        <v>0</v>
      </c>
      <c r="M90" s="37" t="s">
        <v>26</v>
      </c>
      <c r="N90" s="43" t="str">
        <f>VLOOKUP(M90,Table1[#All],3,FALSE)</f>
        <v>Note</v>
      </c>
      <c r="O90" s="40" t="str">
        <f>VLOOKUP(M90,Table1[#All],4,FALSE)</f>
        <v>Q1</v>
      </c>
      <c r="P90" s="39"/>
      <c r="Q90" s="40" t="str">
        <f>VLOOKUP(M90,Table1[#All],5,FALSE)</f>
        <v>Q2</v>
      </c>
      <c r="R90" s="79"/>
      <c r="S90" s="40" t="str">
        <f>VLOOKUP(M90,Table1[#All],6,FALSE)</f>
        <v>Q3</v>
      </c>
      <c r="T90" s="79"/>
      <c r="U90" s="40" t="str">
        <f>VLOOKUP(M90,Table1[#All],7,FALSE)</f>
        <v>Q4</v>
      </c>
      <c r="V90" s="79"/>
      <c r="W90" s="40" t="str">
        <f>VLOOKUP(M90,Table1[#All],8,FALSE)</f>
        <v>Q5</v>
      </c>
      <c r="X90" s="79"/>
      <c r="Y90" s="44" t="str">
        <f>VLOOKUP(M90,Table1[#All],2,FALSE)</f>
        <v>Action</v>
      </c>
      <c r="Z90" s="59" t="str">
        <f>VLOOKUP(M90,Table1[#All],9,FALSE)</f>
        <v>Additional Notes:</v>
      </c>
      <c r="AA90" s="76"/>
      <c r="AB90" s="76"/>
      <c r="AC90" s="90" t="s">
        <v>91</v>
      </c>
      <c r="AD90" s="76" t="s">
        <v>91</v>
      </c>
      <c r="AE90" s="77"/>
      <c r="AF90" s="77"/>
      <c r="AG90" s="41" t="s">
        <v>91</v>
      </c>
      <c r="AH90" s="25"/>
      <c r="AI90" s="25"/>
      <c r="AJ90" s="42"/>
    </row>
    <row r="91" spans="1:36" ht="21" hidden="1" x14ac:dyDescent="0.55000000000000004">
      <c r="A91" s="44" t="str">
        <f>Data!K90</f>
        <v>Dental Health and Wellness WI</v>
      </c>
      <c r="B91" s="44" t="str">
        <f>Data!L90</f>
        <v>8444645635</v>
      </c>
      <c r="C91" s="44" t="str">
        <f>Data!D90</f>
        <v>Hayes , Shequita</v>
      </c>
      <c r="D91" s="82" t="str">
        <f>Data!F90</f>
        <v>9450379491</v>
      </c>
      <c r="E91" s="82" t="str">
        <f>Data!B90</f>
        <v>8696</v>
      </c>
      <c r="F91" s="44" t="str">
        <f>Data!A90</f>
        <v>Hayes , Shequita</v>
      </c>
      <c r="G91" s="55" t="str">
        <f>Data!C90</f>
        <v>8/1/1992</v>
      </c>
      <c r="H91" s="56">
        <f>Data!H90</f>
        <v>44638</v>
      </c>
      <c r="I91" s="56" t="str">
        <f>Data!I90</f>
        <v>3/21/2022</v>
      </c>
      <c r="J91" s="57">
        <f>Data!J90</f>
        <v>216</v>
      </c>
      <c r="K91" s="58">
        <f t="shared" ca="1" si="1"/>
        <v>59</v>
      </c>
      <c r="L91" s="58">
        <f>Data!M90</f>
        <v>0</v>
      </c>
      <c r="M91" s="37" t="s">
        <v>26</v>
      </c>
      <c r="N91" s="43" t="str">
        <f>VLOOKUP(M91,Table1[#All],3,FALSE)</f>
        <v>Note</v>
      </c>
      <c r="O91" s="40" t="str">
        <f>VLOOKUP(M91,Table1[#All],4,FALSE)</f>
        <v>Q1</v>
      </c>
      <c r="P91" s="39"/>
      <c r="Q91" s="40" t="str">
        <f>VLOOKUP(M91,Table1[#All],5,FALSE)</f>
        <v>Q2</v>
      </c>
      <c r="R91" s="79"/>
      <c r="S91" s="40" t="str">
        <f>VLOOKUP(M91,Table1[#All],6,FALSE)</f>
        <v>Q3</v>
      </c>
      <c r="T91" s="79"/>
      <c r="U91" s="40" t="str">
        <f>VLOOKUP(M91,Table1[#All],7,FALSE)</f>
        <v>Q4</v>
      </c>
      <c r="V91" s="79"/>
      <c r="W91" s="40" t="str">
        <f>VLOOKUP(M91,Table1[#All],8,FALSE)</f>
        <v>Q5</v>
      </c>
      <c r="X91" s="79"/>
      <c r="Y91" s="44" t="str">
        <f>VLOOKUP(M91,Table1[#All],2,FALSE)</f>
        <v>Action</v>
      </c>
      <c r="Z91" s="59" t="str">
        <f>VLOOKUP(M91,Table1[#All],9,FALSE)</f>
        <v>Additional Notes:</v>
      </c>
      <c r="AA91" s="76"/>
      <c r="AB91" s="76"/>
      <c r="AC91" s="90" t="s">
        <v>91</v>
      </c>
      <c r="AD91" s="76" t="s">
        <v>91</v>
      </c>
      <c r="AE91" s="77"/>
      <c r="AF91" s="110"/>
      <c r="AG91" s="41" t="s">
        <v>91</v>
      </c>
      <c r="AH91" s="25"/>
      <c r="AI91" s="25"/>
      <c r="AJ91" s="42"/>
    </row>
    <row r="92" spans="1:36" ht="21" hidden="1" x14ac:dyDescent="0.55000000000000004">
      <c r="A92" s="44" t="str">
        <f>Data!K91</f>
        <v>Dental Health and Wellness WI</v>
      </c>
      <c r="B92" s="44" t="str">
        <f>Data!L91</f>
        <v>8444645635</v>
      </c>
      <c r="C92" s="44" t="str">
        <f>Data!D91</f>
        <v xml:space="preserve">Baker, Marquis </v>
      </c>
      <c r="D92" s="82" t="str">
        <f>Data!F91</f>
        <v>1440845115</v>
      </c>
      <c r="E92" s="82" t="str">
        <f>Data!B91</f>
        <v>9056</v>
      </c>
      <c r="F92" s="44" t="str">
        <f>Data!A91</f>
        <v xml:space="preserve">Baker, Marquis </v>
      </c>
      <c r="G92" s="55" t="str">
        <f>Data!C91</f>
        <v>2/22/2011</v>
      </c>
      <c r="H92" s="56">
        <f>Data!H91</f>
        <v>44638</v>
      </c>
      <c r="I92" s="56" t="str">
        <f>Data!I91</f>
        <v>3/21/2022</v>
      </c>
      <c r="J92" s="57">
        <f>Data!J91</f>
        <v>1072.8</v>
      </c>
      <c r="K92" s="58">
        <f t="shared" ca="1" si="1"/>
        <v>59</v>
      </c>
      <c r="L92" s="58">
        <f>Data!M91</f>
        <v>0</v>
      </c>
      <c r="M92" s="37" t="s">
        <v>26</v>
      </c>
      <c r="N92" s="43" t="str">
        <f>VLOOKUP(M92,Table1[#All],3,FALSE)</f>
        <v>Note</v>
      </c>
      <c r="O92" s="40" t="str">
        <f>VLOOKUP(M92,Table1[#All],4,FALSE)</f>
        <v>Q1</v>
      </c>
      <c r="P92" s="39"/>
      <c r="Q92" s="40" t="str">
        <f>VLOOKUP(M92,Table1[#All],5,FALSE)</f>
        <v>Q2</v>
      </c>
      <c r="R92" s="79"/>
      <c r="S92" s="40" t="str">
        <f>VLOOKUP(M92,Table1[#All],6,FALSE)</f>
        <v>Q3</v>
      </c>
      <c r="T92" s="79"/>
      <c r="U92" s="40" t="str">
        <f>VLOOKUP(M92,Table1[#All],7,FALSE)</f>
        <v>Q4</v>
      </c>
      <c r="V92" s="79"/>
      <c r="W92" s="40" t="str">
        <f>VLOOKUP(M92,Table1[#All],8,FALSE)</f>
        <v>Q5</v>
      </c>
      <c r="X92" s="79"/>
      <c r="Y92" s="44" t="str">
        <f>VLOOKUP(M92,Table1[#All],2,FALSE)</f>
        <v>Action</v>
      </c>
      <c r="Z92" s="59" t="str">
        <f>VLOOKUP(M92,Table1[#All],9,FALSE)</f>
        <v>Additional Notes:</v>
      </c>
      <c r="AA92" s="76"/>
      <c r="AB92" s="76"/>
      <c r="AC92" s="90" t="s">
        <v>91</v>
      </c>
      <c r="AD92" s="76" t="s">
        <v>91</v>
      </c>
      <c r="AE92" s="77"/>
      <c r="AF92" s="77"/>
      <c r="AG92" s="41" t="s">
        <v>91</v>
      </c>
      <c r="AH92" s="25"/>
      <c r="AI92" s="25"/>
      <c r="AJ92" s="42"/>
    </row>
    <row r="93" spans="1:36" ht="21" hidden="1" x14ac:dyDescent="0.55000000000000004">
      <c r="A93" s="44" t="str">
        <f>Data!K92</f>
        <v>Dental Health and Wellness WI</v>
      </c>
      <c r="B93" s="44" t="str">
        <f>Data!L92</f>
        <v>8444645635</v>
      </c>
      <c r="C93" s="44" t="str">
        <f>Data!D92</f>
        <v>Baker, Mariah</v>
      </c>
      <c r="D93" s="82" t="str">
        <f>Data!F92</f>
        <v>4442744742</v>
      </c>
      <c r="E93" s="82" t="str">
        <f>Data!B92</f>
        <v>9055</v>
      </c>
      <c r="F93" s="44" t="str">
        <f>Data!A92</f>
        <v>Baker, Mariah</v>
      </c>
      <c r="G93" s="55" t="str">
        <f>Data!C92</f>
        <v>9/8/2012</v>
      </c>
      <c r="H93" s="56">
        <f>Data!H92</f>
        <v>44638</v>
      </c>
      <c r="I93" s="56" t="str">
        <f>Data!I92</f>
        <v>3/21/2022</v>
      </c>
      <c r="J93" s="57">
        <f>Data!J92</f>
        <v>828</v>
      </c>
      <c r="K93" s="58">
        <f t="shared" ca="1" si="1"/>
        <v>59</v>
      </c>
      <c r="L93" s="58">
        <f>Data!M92</f>
        <v>0</v>
      </c>
      <c r="M93" s="37" t="s">
        <v>26</v>
      </c>
      <c r="N93" s="43" t="str">
        <f>VLOOKUP(M93,Table1[#All],3,FALSE)</f>
        <v>Note</v>
      </c>
      <c r="O93" s="40" t="str">
        <f>VLOOKUP(M93,Table1[#All],4,FALSE)</f>
        <v>Q1</v>
      </c>
      <c r="P93" s="38"/>
      <c r="Q93" s="40" t="str">
        <f>VLOOKUP(M93,Table1[#All],5,FALSE)</f>
        <v>Q2</v>
      </c>
      <c r="R93" s="79"/>
      <c r="S93" s="40" t="str">
        <f>VLOOKUP(M93,Table1[#All],6,FALSE)</f>
        <v>Q3</v>
      </c>
      <c r="T93" s="79"/>
      <c r="U93" s="40" t="str">
        <f>VLOOKUP(M93,Table1[#All],7,FALSE)</f>
        <v>Q4</v>
      </c>
      <c r="V93" s="79"/>
      <c r="W93" s="40" t="str">
        <f>VLOOKUP(M93,Table1[#All],8,FALSE)</f>
        <v>Q5</v>
      </c>
      <c r="X93" s="79"/>
      <c r="Y93" s="44" t="str">
        <f>VLOOKUP(M93,Table1[#All],2,FALSE)</f>
        <v>Action</v>
      </c>
      <c r="Z93" s="59" t="str">
        <f>VLOOKUP(M93,Table1[#All],9,FALSE)</f>
        <v>Additional Notes:</v>
      </c>
      <c r="AA93" s="76"/>
      <c r="AB93" s="76"/>
      <c r="AC93" s="90" t="s">
        <v>91</v>
      </c>
      <c r="AD93" s="76" t="s">
        <v>91</v>
      </c>
      <c r="AE93" s="77"/>
      <c r="AF93" s="110"/>
      <c r="AG93" s="41" t="s">
        <v>91</v>
      </c>
      <c r="AH93" s="25"/>
      <c r="AI93" s="25"/>
      <c r="AJ93" s="42"/>
    </row>
    <row r="94" spans="1:36" ht="21" hidden="1" x14ac:dyDescent="0.55000000000000004">
      <c r="A94" s="44" t="str">
        <f>Data!K93</f>
        <v>Dental Health and Wellness WI</v>
      </c>
      <c r="B94" s="44" t="str">
        <f>Data!L93</f>
        <v>8444645635</v>
      </c>
      <c r="C94" s="44" t="str">
        <f>Data!D93</f>
        <v>Rogers, Charles</v>
      </c>
      <c r="D94" s="82" t="str">
        <f>Data!F93</f>
        <v>9414395890</v>
      </c>
      <c r="E94" s="82" t="str">
        <f>Data!B93</f>
        <v>3351</v>
      </c>
      <c r="F94" s="44" t="str">
        <f>Data!A93</f>
        <v>Rogers, Charles</v>
      </c>
      <c r="G94" s="55" t="str">
        <f>Data!C93</f>
        <v>9/9/1992</v>
      </c>
      <c r="H94" s="56">
        <f>Data!H93</f>
        <v>44638</v>
      </c>
      <c r="I94" s="56" t="str">
        <f>Data!I93</f>
        <v>3/21/2022</v>
      </c>
      <c r="J94" s="57">
        <f>Data!J93</f>
        <v>266</v>
      </c>
      <c r="K94" s="58">
        <f t="shared" ca="1" si="1"/>
        <v>59</v>
      </c>
      <c r="L94" s="58">
        <f>Data!M93</f>
        <v>0</v>
      </c>
      <c r="M94" s="37" t="s">
        <v>26</v>
      </c>
      <c r="N94" s="43" t="str">
        <f>VLOOKUP(M94,Table1[#All],3,FALSE)</f>
        <v>Note</v>
      </c>
      <c r="O94" s="40" t="str">
        <f>VLOOKUP(M94,Table1[#All],4,FALSE)</f>
        <v>Q1</v>
      </c>
      <c r="P94" s="38"/>
      <c r="Q94" s="40" t="str">
        <f>VLOOKUP(M94,Table1[#All],5,FALSE)</f>
        <v>Q2</v>
      </c>
      <c r="R94" s="79"/>
      <c r="S94" s="40" t="str">
        <f>VLOOKUP(M94,Table1[#All],6,FALSE)</f>
        <v>Q3</v>
      </c>
      <c r="T94" s="79"/>
      <c r="U94" s="40" t="str">
        <f>VLOOKUP(M94,Table1[#All],7,FALSE)</f>
        <v>Q4</v>
      </c>
      <c r="V94" s="79"/>
      <c r="W94" s="40" t="str">
        <f>VLOOKUP(M94,Table1[#All],8,FALSE)</f>
        <v>Q5</v>
      </c>
      <c r="X94" s="79"/>
      <c r="Y94" s="44" t="str">
        <f>VLOOKUP(M94,Table1[#All],2,FALSE)</f>
        <v>Action</v>
      </c>
      <c r="Z94" s="59" t="str">
        <f>VLOOKUP(M94,Table1[#All],9,FALSE)</f>
        <v>Additional Notes:</v>
      </c>
      <c r="AA94" s="76"/>
      <c r="AB94" s="76"/>
      <c r="AC94" s="90" t="s">
        <v>91</v>
      </c>
      <c r="AD94" s="76" t="s">
        <v>91</v>
      </c>
      <c r="AE94" s="77"/>
      <c r="AF94" s="110"/>
      <c r="AG94" s="41" t="s">
        <v>91</v>
      </c>
      <c r="AH94" s="25"/>
      <c r="AI94" s="25"/>
      <c r="AJ94" s="42"/>
    </row>
    <row r="95" spans="1:36" ht="21" hidden="1" x14ac:dyDescent="0.55000000000000004">
      <c r="A95" s="44" t="str">
        <f>Data!K94</f>
        <v>Dental Health and Wellness WI</v>
      </c>
      <c r="B95" s="44" t="str">
        <f>Data!L94</f>
        <v>8444645635</v>
      </c>
      <c r="C95" s="44" t="str">
        <f>Data!D94</f>
        <v>Simmons, Arionna</v>
      </c>
      <c r="D95" s="82" t="str">
        <f>Data!F94</f>
        <v>1422588114</v>
      </c>
      <c r="E95" s="82" t="str">
        <f>Data!B94</f>
        <v>903</v>
      </c>
      <c r="F95" s="44" t="str">
        <f>Data!A94</f>
        <v>Simmons, Arionna</v>
      </c>
      <c r="G95" s="55" t="str">
        <f>Data!C94</f>
        <v>2/23/2001</v>
      </c>
      <c r="H95" s="56">
        <f>Data!H94</f>
        <v>44629</v>
      </c>
      <c r="I95" s="56" t="str">
        <f>Data!I94</f>
        <v>3/17/2022</v>
      </c>
      <c r="J95" s="57">
        <f>Data!J94</f>
        <v>276</v>
      </c>
      <c r="K95" s="58">
        <f t="shared" ca="1" si="1"/>
        <v>63</v>
      </c>
      <c r="L95" s="58">
        <f>Data!M94</f>
        <v>0</v>
      </c>
      <c r="M95" s="37" t="s">
        <v>26</v>
      </c>
      <c r="N95" s="43" t="str">
        <f>VLOOKUP(M95,Table1[#All],3,FALSE)</f>
        <v>Note</v>
      </c>
      <c r="O95" s="40" t="str">
        <f>VLOOKUP(M95,Table1[#All],4,FALSE)</f>
        <v>Q1</v>
      </c>
      <c r="P95" s="39"/>
      <c r="Q95" s="40" t="str">
        <f>VLOOKUP(M95,Table1[#All],5,FALSE)</f>
        <v>Q2</v>
      </c>
      <c r="R95" s="79"/>
      <c r="S95" s="40" t="str">
        <f>VLOOKUP(M95,Table1[#All],6,FALSE)</f>
        <v>Q3</v>
      </c>
      <c r="T95" s="79"/>
      <c r="U95" s="40" t="str">
        <f>VLOOKUP(M95,Table1[#All],7,FALSE)</f>
        <v>Q4</v>
      </c>
      <c r="V95" s="79"/>
      <c r="W95" s="40" t="str">
        <f>VLOOKUP(M95,Table1[#All],8,FALSE)</f>
        <v>Q5</v>
      </c>
      <c r="X95" s="79"/>
      <c r="Y95" s="44" t="str">
        <f>VLOOKUP(M95,Table1[#All],2,FALSE)</f>
        <v>Action</v>
      </c>
      <c r="Z95" s="59" t="str">
        <f>VLOOKUP(M95,Table1[#All],9,FALSE)</f>
        <v>Additional Notes:</v>
      </c>
      <c r="AA95" s="76"/>
      <c r="AB95" s="76"/>
      <c r="AC95" s="90" t="s">
        <v>91</v>
      </c>
      <c r="AD95" s="76" t="s">
        <v>91</v>
      </c>
      <c r="AE95" s="77"/>
      <c r="AF95" s="77"/>
      <c r="AG95" s="41" t="s">
        <v>91</v>
      </c>
      <c r="AH95" s="25"/>
      <c r="AI95" s="25"/>
      <c r="AJ95" s="42"/>
    </row>
    <row r="96" spans="1:36" ht="21" hidden="1" x14ac:dyDescent="0.55000000000000004">
      <c r="A96" s="44" t="str">
        <f>Data!K95</f>
        <v>Dental Health and Wellness WI</v>
      </c>
      <c r="B96" s="44" t="str">
        <f>Data!L95</f>
        <v>8444645635</v>
      </c>
      <c r="C96" s="44" t="str">
        <f>Data!D95</f>
        <v>Nelson , Annette</v>
      </c>
      <c r="D96" s="82" t="str">
        <f>Data!F95</f>
        <v>5414321655</v>
      </c>
      <c r="E96" s="82" t="str">
        <f>Data!B95</f>
        <v>8091</v>
      </c>
      <c r="F96" s="44" t="str">
        <f>Data!A95</f>
        <v>Nelson , Annette</v>
      </c>
      <c r="G96" s="55" t="str">
        <f>Data!C95</f>
        <v>7/20/1951</v>
      </c>
      <c r="H96" s="56">
        <f>Data!H95</f>
        <v>44473</v>
      </c>
      <c r="I96" s="56" t="str">
        <f>Data!I95</f>
        <v>3/7/2022</v>
      </c>
      <c r="J96" s="57">
        <f>Data!J95</f>
        <v>178.4</v>
      </c>
      <c r="K96" s="58">
        <f t="shared" ca="1" si="1"/>
        <v>73</v>
      </c>
      <c r="L96" s="58">
        <f>Data!M95</f>
        <v>0</v>
      </c>
      <c r="M96" s="37" t="s">
        <v>26</v>
      </c>
      <c r="N96" s="43" t="str">
        <f>VLOOKUP(M96,Table1[#All],3,FALSE)</f>
        <v>Note</v>
      </c>
      <c r="O96" s="40" t="str">
        <f>VLOOKUP(M96,Table1[#All],4,FALSE)</f>
        <v>Q1</v>
      </c>
      <c r="P96" s="113"/>
      <c r="Q96" s="40" t="str">
        <f>VLOOKUP(M96,Table1[#All],5,FALSE)</f>
        <v>Q2</v>
      </c>
      <c r="R96" s="79"/>
      <c r="S96" s="40" t="str">
        <f>VLOOKUP(M96,Table1[#All],6,FALSE)</f>
        <v>Q3</v>
      </c>
      <c r="T96" s="79"/>
      <c r="U96" s="40" t="str">
        <f>VLOOKUP(M96,Table1[#All],7,FALSE)</f>
        <v>Q4</v>
      </c>
      <c r="V96" s="79"/>
      <c r="W96" s="40" t="str">
        <f>VLOOKUP(M96,Table1[#All],8,FALSE)</f>
        <v>Q5</v>
      </c>
      <c r="X96" s="79"/>
      <c r="Y96" s="44" t="str">
        <f>VLOOKUP(M96,Table1[#All],2,FALSE)</f>
        <v>Action</v>
      </c>
      <c r="Z96" s="59" t="str">
        <f>VLOOKUP(M96,Table1[#All],9,FALSE)</f>
        <v>Additional Notes:</v>
      </c>
      <c r="AA96" s="76"/>
      <c r="AB96" s="76"/>
      <c r="AC96" s="90" t="s">
        <v>91</v>
      </c>
      <c r="AD96" s="76" t="s">
        <v>91</v>
      </c>
      <c r="AE96" s="77"/>
      <c r="AF96" s="110"/>
      <c r="AG96" s="41" t="s">
        <v>91</v>
      </c>
      <c r="AH96" s="25"/>
      <c r="AI96" s="25"/>
      <c r="AJ96" s="42"/>
    </row>
    <row r="97" spans="1:36" ht="21" hidden="1" x14ac:dyDescent="0.55000000000000004">
      <c r="A97" s="44" t="str">
        <f>Data!K96</f>
        <v>Dental Health and Wellness WI</v>
      </c>
      <c r="B97" s="44" t="str">
        <f>Data!L96</f>
        <v>8444645635</v>
      </c>
      <c r="C97" s="44" t="str">
        <f>Data!D96</f>
        <v>Paw, Mya</v>
      </c>
      <c r="D97" s="82" t="str">
        <f>Data!F96</f>
        <v>4448709043</v>
      </c>
      <c r="E97" s="82" t="str">
        <f>Data!B96</f>
        <v>7691</v>
      </c>
      <c r="F97" s="44" t="str">
        <f>Data!A96</f>
        <v>Paw, Mya</v>
      </c>
      <c r="G97" s="55" t="str">
        <f>Data!C96</f>
        <v>10/2/2009</v>
      </c>
      <c r="H97" s="56">
        <f>Data!H96</f>
        <v>44492</v>
      </c>
      <c r="I97" s="56" t="str">
        <f>Data!I96</f>
        <v>3/7/2022</v>
      </c>
      <c r="J97" s="57">
        <f>Data!J96</f>
        <v>1062</v>
      </c>
      <c r="K97" s="58">
        <f t="shared" ca="1" si="1"/>
        <v>73</v>
      </c>
      <c r="L97" s="58">
        <f>Data!M96</f>
        <v>0</v>
      </c>
      <c r="M97" s="37" t="s">
        <v>26</v>
      </c>
      <c r="N97" s="43" t="str">
        <f>VLOOKUP(M97,Table1[#All],3,FALSE)</f>
        <v>Note</v>
      </c>
      <c r="O97" s="40" t="str">
        <f>VLOOKUP(M97,Table1[#All],4,FALSE)</f>
        <v>Q1</v>
      </c>
      <c r="P97" s="39"/>
      <c r="Q97" s="40" t="str">
        <f>VLOOKUP(M97,Table1[#All],5,FALSE)</f>
        <v>Q2</v>
      </c>
      <c r="R97" s="79"/>
      <c r="S97" s="40" t="str">
        <f>VLOOKUP(M97,Table1[#All],6,FALSE)</f>
        <v>Q3</v>
      </c>
      <c r="T97" s="79"/>
      <c r="U97" s="40" t="str">
        <f>VLOOKUP(M97,Table1[#All],7,FALSE)</f>
        <v>Q4</v>
      </c>
      <c r="V97" s="79"/>
      <c r="W97" s="40" t="str">
        <f>VLOOKUP(M97,Table1[#All],8,FALSE)</f>
        <v>Q5</v>
      </c>
      <c r="X97" s="79"/>
      <c r="Y97" s="44" t="str">
        <f>VLOOKUP(M97,Table1[#All],2,FALSE)</f>
        <v>Action</v>
      </c>
      <c r="Z97" s="59" t="str">
        <f>VLOOKUP(M97,Table1[#All],9,FALSE)</f>
        <v>Additional Notes:</v>
      </c>
      <c r="AA97" s="76"/>
      <c r="AB97" s="76"/>
      <c r="AC97" s="90" t="s">
        <v>91</v>
      </c>
      <c r="AD97" s="76" t="s">
        <v>91</v>
      </c>
      <c r="AE97" s="77"/>
      <c r="AF97" s="77"/>
      <c r="AG97" s="41" t="s">
        <v>91</v>
      </c>
      <c r="AH97" s="25"/>
      <c r="AI97" s="25"/>
      <c r="AJ97" s="42"/>
    </row>
    <row r="98" spans="1:36" ht="21" hidden="1" x14ac:dyDescent="0.55000000000000004">
      <c r="A98" s="44" t="str">
        <f>Data!K97</f>
        <v>Dental Health and Wellness WI</v>
      </c>
      <c r="B98" s="44" t="str">
        <f>Data!L97</f>
        <v>8444645635</v>
      </c>
      <c r="C98" s="44" t="str">
        <f>Data!D97</f>
        <v xml:space="preserve">Lenegar, Erin </v>
      </c>
      <c r="D98" s="82" t="str">
        <f>Data!F97</f>
        <v>4406052445</v>
      </c>
      <c r="E98" s="82" t="str">
        <f>Data!B97</f>
        <v>8087</v>
      </c>
      <c r="F98" s="44" t="str">
        <f>Data!A97</f>
        <v xml:space="preserve">Lenegar, Erin </v>
      </c>
      <c r="G98" s="55" t="str">
        <f>Data!C97</f>
        <v>12/12/1997</v>
      </c>
      <c r="H98" s="56">
        <f>Data!H97</f>
        <v>44511</v>
      </c>
      <c r="I98" s="56" t="str">
        <f>Data!I97</f>
        <v>3/7/2022</v>
      </c>
      <c r="J98" s="57">
        <f>Data!J97</f>
        <v>506.4</v>
      </c>
      <c r="K98" s="58">
        <f t="shared" ca="1" si="1"/>
        <v>73</v>
      </c>
      <c r="L98" s="58">
        <f>Data!M97</f>
        <v>0</v>
      </c>
      <c r="M98" s="37" t="s">
        <v>26</v>
      </c>
      <c r="N98" s="43" t="str">
        <f>VLOOKUP(M98,Table1[#All],3,FALSE)</f>
        <v>Note</v>
      </c>
      <c r="O98" s="40" t="str">
        <f>VLOOKUP(M98,Table1[#All],4,FALSE)</f>
        <v>Q1</v>
      </c>
      <c r="P98" s="39"/>
      <c r="Q98" s="40" t="str">
        <f>VLOOKUP(M98,Table1[#All],5,FALSE)</f>
        <v>Q2</v>
      </c>
      <c r="R98" s="79"/>
      <c r="S98" s="40" t="str">
        <f>VLOOKUP(M98,Table1[#All],6,FALSE)</f>
        <v>Q3</v>
      </c>
      <c r="T98" s="79"/>
      <c r="U98" s="40" t="str">
        <f>VLOOKUP(M98,Table1[#All],7,FALSE)</f>
        <v>Q4</v>
      </c>
      <c r="V98" s="79"/>
      <c r="W98" s="40" t="str">
        <f>VLOOKUP(M98,Table1[#All],8,FALSE)</f>
        <v>Q5</v>
      </c>
      <c r="X98" s="79"/>
      <c r="Y98" s="44" t="str">
        <f>VLOOKUP(M98,Table1[#All],2,FALSE)</f>
        <v>Action</v>
      </c>
      <c r="Z98" s="59" t="str">
        <f>VLOOKUP(M98,Table1[#All],9,FALSE)</f>
        <v>Additional Notes:</v>
      </c>
      <c r="AA98" s="76"/>
      <c r="AB98" s="76"/>
      <c r="AC98" s="90" t="s">
        <v>91</v>
      </c>
      <c r="AD98" s="76" t="s">
        <v>91</v>
      </c>
      <c r="AE98" s="77"/>
      <c r="AF98" s="77"/>
      <c r="AG98" s="41" t="s">
        <v>91</v>
      </c>
      <c r="AH98" s="25"/>
      <c r="AI98" s="25"/>
      <c r="AJ98" s="42"/>
    </row>
    <row r="99" spans="1:36" ht="21" hidden="1" x14ac:dyDescent="0.55000000000000004">
      <c r="A99" s="44" t="str">
        <f>Data!K98</f>
        <v>Dental Health and Wellness WI</v>
      </c>
      <c r="B99" s="44" t="str">
        <f>Data!L98</f>
        <v>8444645635</v>
      </c>
      <c r="C99" s="44" t="str">
        <f>Data!D98</f>
        <v xml:space="preserve">Rodriguez Rivera, Juan </v>
      </c>
      <c r="D99" s="82" t="str">
        <f>Data!F98</f>
        <v>3445240132</v>
      </c>
      <c r="E99" s="82" t="str">
        <f>Data!B98</f>
        <v>8667</v>
      </c>
      <c r="F99" s="44" t="str">
        <f>Data!A98</f>
        <v xml:space="preserve">Rodriguez Rivera, Juan </v>
      </c>
      <c r="G99" s="55" t="str">
        <f>Data!C98</f>
        <v>4/22/1986</v>
      </c>
      <c r="H99" s="56">
        <f>Data!H98</f>
        <v>44621</v>
      </c>
      <c r="I99" s="56" t="str">
        <f>Data!I98</f>
        <v>3/1/2022</v>
      </c>
      <c r="J99" s="57">
        <f>Data!J98</f>
        <v>6028</v>
      </c>
      <c r="K99" s="58">
        <f t="shared" ca="1" si="1"/>
        <v>79</v>
      </c>
      <c r="L99" s="58">
        <f>Data!M98</f>
        <v>0</v>
      </c>
      <c r="M99" s="37" t="s">
        <v>26</v>
      </c>
      <c r="N99" s="43" t="str">
        <f>VLOOKUP(M99,Table1[#All],3,FALSE)</f>
        <v>Note</v>
      </c>
      <c r="O99" s="40" t="str">
        <f>VLOOKUP(M99,Table1[#All],4,FALSE)</f>
        <v>Q1</v>
      </c>
      <c r="P99" s="39"/>
      <c r="Q99" s="40" t="str">
        <f>VLOOKUP(M99,Table1[#All],5,FALSE)</f>
        <v>Q2</v>
      </c>
      <c r="R99" s="79"/>
      <c r="S99" s="40" t="str">
        <f>VLOOKUP(M99,Table1[#All],6,FALSE)</f>
        <v>Q3</v>
      </c>
      <c r="T99" s="79"/>
      <c r="U99" s="40" t="str">
        <f>VLOOKUP(M99,Table1[#All],7,FALSE)</f>
        <v>Q4</v>
      </c>
      <c r="V99" s="79"/>
      <c r="W99" s="40" t="str">
        <f>VLOOKUP(M99,Table1[#All],8,FALSE)</f>
        <v>Q5</v>
      </c>
      <c r="X99" s="79"/>
      <c r="Y99" s="44" t="str">
        <f>VLOOKUP(M99,Table1[#All],2,FALSE)</f>
        <v>Action</v>
      </c>
      <c r="Z99" s="59" t="str">
        <f>VLOOKUP(M99,Table1[#All],9,FALSE)</f>
        <v>Additional Notes:</v>
      </c>
      <c r="AA99" s="76"/>
      <c r="AB99" s="76"/>
      <c r="AC99" s="90" t="s">
        <v>91</v>
      </c>
      <c r="AD99" s="76" t="s">
        <v>91</v>
      </c>
      <c r="AE99" s="77"/>
      <c r="AF99" s="110"/>
      <c r="AG99" s="41" t="s">
        <v>91</v>
      </c>
      <c r="AH99" s="25"/>
      <c r="AI99" s="25"/>
      <c r="AJ99" s="42"/>
    </row>
    <row r="100" spans="1:36" ht="21" hidden="1" x14ac:dyDescent="0.55000000000000004">
      <c r="A100" s="44" t="str">
        <f>Data!K99</f>
        <v>Dental Health and Wellness WI</v>
      </c>
      <c r="B100" s="44" t="str">
        <f>Data!L99</f>
        <v>8444645635</v>
      </c>
      <c r="C100" s="44" t="str">
        <f>Data!D99</f>
        <v xml:space="preserve">Lenegar, Erin </v>
      </c>
      <c r="D100" s="82" t="str">
        <f>Data!F99</f>
        <v>4406052445</v>
      </c>
      <c r="E100" s="82" t="str">
        <f>Data!B99</f>
        <v>8087</v>
      </c>
      <c r="F100" s="44" t="str">
        <f>Data!A99</f>
        <v xml:space="preserve">Lenegar, Erin </v>
      </c>
      <c r="G100" s="55" t="str">
        <f>Data!C99</f>
        <v>12/12/1997</v>
      </c>
      <c r="H100" s="56">
        <f>Data!H99</f>
        <v>44551</v>
      </c>
      <c r="I100" s="56" t="str">
        <f>Data!I99</f>
        <v>3/1/2022</v>
      </c>
      <c r="J100" s="57">
        <f>Data!J99</f>
        <v>2124</v>
      </c>
      <c r="K100" s="58">
        <f t="shared" ca="1" si="1"/>
        <v>79</v>
      </c>
      <c r="L100" s="58">
        <f>Data!M99</f>
        <v>0</v>
      </c>
      <c r="M100" s="37" t="s">
        <v>26</v>
      </c>
      <c r="N100" s="43" t="str">
        <f>VLOOKUP(M100,Table1[#All],3,FALSE)</f>
        <v>Note</v>
      </c>
      <c r="O100" s="40" t="str">
        <f>VLOOKUP(M100,Table1[#All],4,FALSE)</f>
        <v>Q1</v>
      </c>
      <c r="P100" s="39"/>
      <c r="Q100" s="40" t="str">
        <f>VLOOKUP(M100,Table1[#All],5,FALSE)</f>
        <v>Q2</v>
      </c>
      <c r="R100" s="79"/>
      <c r="S100" s="40" t="str">
        <f>VLOOKUP(M100,Table1[#All],6,FALSE)</f>
        <v>Q3</v>
      </c>
      <c r="T100" s="79"/>
      <c r="U100" s="40" t="str">
        <f>VLOOKUP(M100,Table1[#All],7,FALSE)</f>
        <v>Q4</v>
      </c>
      <c r="V100" s="79"/>
      <c r="W100" s="40" t="str">
        <f>VLOOKUP(M100,Table1[#All],8,FALSE)</f>
        <v>Q5</v>
      </c>
      <c r="X100" s="79"/>
      <c r="Y100" s="44" t="str">
        <f>VLOOKUP(M100,Table1[#All],2,FALSE)</f>
        <v>Action</v>
      </c>
      <c r="Z100" s="59" t="str">
        <f>VLOOKUP(M100,Table1[#All],9,FALSE)</f>
        <v>Additional Notes:</v>
      </c>
      <c r="AA100" s="76"/>
      <c r="AB100" s="76"/>
      <c r="AC100" s="90" t="s">
        <v>91</v>
      </c>
      <c r="AD100" s="76" t="s">
        <v>91</v>
      </c>
      <c r="AE100" s="77"/>
      <c r="AF100" s="77"/>
      <c r="AG100" s="41" t="s">
        <v>91</v>
      </c>
      <c r="AH100" s="25"/>
      <c r="AI100" s="25"/>
      <c r="AJ100" s="42"/>
    </row>
    <row r="101" spans="1:36" ht="21" hidden="1" x14ac:dyDescent="0.55000000000000004">
      <c r="A101" s="44" t="str">
        <f>Data!K100</f>
        <v>Dental Health and Wellness WI</v>
      </c>
      <c r="B101" s="44" t="str">
        <f>Data!L100</f>
        <v>8444645635</v>
      </c>
      <c r="C101" s="44" t="str">
        <f>Data!D100</f>
        <v xml:space="preserve">Cervantes, Giselle </v>
      </c>
      <c r="D101" s="82" t="str">
        <f>Data!F100</f>
        <v>6454600963</v>
      </c>
      <c r="E101" s="82" t="str">
        <f>Data!B100</f>
        <v>6261</v>
      </c>
      <c r="F101" s="44" t="str">
        <f>Data!A100</f>
        <v xml:space="preserve">Cervantes, Giselle </v>
      </c>
      <c r="G101" s="55" t="str">
        <f>Data!C100</f>
        <v>5/6/2016</v>
      </c>
      <c r="H101" s="56">
        <f>Data!H100</f>
        <v>44618</v>
      </c>
      <c r="I101" s="56" t="str">
        <f>Data!I100</f>
        <v>2/28/2022</v>
      </c>
      <c r="J101" s="57">
        <f>Data!J100</f>
        <v>532</v>
      </c>
      <c r="K101" s="58">
        <f t="shared" ca="1" si="1"/>
        <v>80</v>
      </c>
      <c r="L101" s="58">
        <f>Data!M100</f>
        <v>0</v>
      </c>
      <c r="M101" s="37" t="s">
        <v>26</v>
      </c>
      <c r="N101" s="43" t="str">
        <f>VLOOKUP(M101,Table1[#All],3,FALSE)</f>
        <v>Note</v>
      </c>
      <c r="O101" s="40" t="str">
        <f>VLOOKUP(M101,Table1[#All],4,FALSE)</f>
        <v>Q1</v>
      </c>
      <c r="P101" s="39"/>
      <c r="Q101" s="40" t="str">
        <f>VLOOKUP(M101,Table1[#All],5,FALSE)</f>
        <v>Q2</v>
      </c>
      <c r="R101" s="79"/>
      <c r="S101" s="40" t="str">
        <f>VLOOKUP(M101,Table1[#All],6,FALSE)</f>
        <v>Q3</v>
      </c>
      <c r="T101" s="79"/>
      <c r="U101" s="40" t="str">
        <f>VLOOKUP(M101,Table1[#All],7,FALSE)</f>
        <v>Q4</v>
      </c>
      <c r="V101" s="79"/>
      <c r="W101" s="40" t="str">
        <f>VLOOKUP(M101,Table1[#All],8,FALSE)</f>
        <v>Q5</v>
      </c>
      <c r="X101" s="79"/>
      <c r="Y101" s="44" t="str">
        <f>VLOOKUP(M101,Table1[#All],2,FALSE)</f>
        <v>Action</v>
      </c>
      <c r="Z101" s="59" t="str">
        <f>VLOOKUP(M101,Table1[#All],9,FALSE)</f>
        <v>Additional Notes:</v>
      </c>
      <c r="AA101" s="76"/>
      <c r="AB101" s="76"/>
      <c r="AC101" s="90" t="s">
        <v>91</v>
      </c>
      <c r="AD101" s="76" t="s">
        <v>91</v>
      </c>
      <c r="AE101" s="77"/>
      <c r="AF101" s="77"/>
      <c r="AG101" s="41" t="s">
        <v>91</v>
      </c>
      <c r="AH101" s="25"/>
      <c r="AI101" s="25"/>
      <c r="AJ101" s="42"/>
    </row>
    <row r="102" spans="1:36" ht="21" hidden="1" x14ac:dyDescent="0.55000000000000004">
      <c r="A102" s="44" t="str">
        <f>Data!K101</f>
        <v>Dental Health and Wellness WI</v>
      </c>
      <c r="B102" s="44" t="str">
        <f>Data!L101</f>
        <v>8444645635</v>
      </c>
      <c r="C102" s="44" t="str">
        <f>Data!D101</f>
        <v>Miller, Christopher</v>
      </c>
      <c r="D102" s="82" t="str">
        <f>Data!F101</f>
        <v>6453024365</v>
      </c>
      <c r="E102" s="82" t="str">
        <f>Data!B101</f>
        <v>4228</v>
      </c>
      <c r="F102" s="44" t="str">
        <f>Data!A101</f>
        <v>Miller, Christopher</v>
      </c>
      <c r="G102" s="55" t="str">
        <f>Data!C101</f>
        <v>12/16/1976</v>
      </c>
      <c r="H102" s="56">
        <f>Data!H101</f>
        <v>44613</v>
      </c>
      <c r="I102" s="56" t="str">
        <f>Data!I101</f>
        <v>2/28/2022</v>
      </c>
      <c r="J102" s="57">
        <f>Data!J101</f>
        <v>480</v>
      </c>
      <c r="K102" s="58">
        <f t="shared" ca="1" si="1"/>
        <v>80</v>
      </c>
      <c r="L102" s="58">
        <f>Data!M101</f>
        <v>0</v>
      </c>
      <c r="M102" s="37" t="s">
        <v>26</v>
      </c>
      <c r="N102" s="43" t="str">
        <f>VLOOKUP(M102,Table1[#All],3,FALSE)</f>
        <v>Note</v>
      </c>
      <c r="O102" s="40" t="str">
        <f>VLOOKUP(M102,Table1[#All],4,FALSE)</f>
        <v>Q1</v>
      </c>
      <c r="P102" s="39"/>
      <c r="Q102" s="40" t="str">
        <f>VLOOKUP(M102,Table1[#All],5,FALSE)</f>
        <v>Q2</v>
      </c>
      <c r="R102" s="79"/>
      <c r="S102" s="40" t="str">
        <f>VLOOKUP(M102,Table1[#All],6,FALSE)</f>
        <v>Q3</v>
      </c>
      <c r="T102" s="79"/>
      <c r="U102" s="40" t="str">
        <f>VLOOKUP(M102,Table1[#All],7,FALSE)</f>
        <v>Q4</v>
      </c>
      <c r="V102" s="79"/>
      <c r="W102" s="40" t="str">
        <f>VLOOKUP(M102,Table1[#All],8,FALSE)</f>
        <v>Q5</v>
      </c>
      <c r="X102" s="79"/>
      <c r="Y102" s="44" t="str">
        <f>VLOOKUP(M102,Table1[#All],2,FALSE)</f>
        <v>Action</v>
      </c>
      <c r="Z102" s="59" t="str">
        <f>VLOOKUP(M102,Table1[#All],9,FALSE)</f>
        <v>Additional Notes:</v>
      </c>
      <c r="AA102" s="76"/>
      <c r="AB102" s="76"/>
      <c r="AC102" s="90" t="s">
        <v>91</v>
      </c>
      <c r="AD102" s="76" t="s">
        <v>91</v>
      </c>
      <c r="AE102" s="77"/>
      <c r="AF102" s="77"/>
      <c r="AG102" s="41" t="s">
        <v>91</v>
      </c>
      <c r="AH102" s="25"/>
      <c r="AI102" s="25"/>
      <c r="AJ102" s="42"/>
    </row>
    <row r="103" spans="1:36" ht="21" hidden="1" x14ac:dyDescent="0.55000000000000004">
      <c r="A103" s="44" t="str">
        <f>Data!K102</f>
        <v>Dental Health and Wellness WI</v>
      </c>
      <c r="B103" s="44" t="str">
        <f>Data!L102</f>
        <v>8444645635</v>
      </c>
      <c r="C103" s="44" t="str">
        <f>Data!D102</f>
        <v>Stropes, Skylar</v>
      </c>
      <c r="D103" s="82" t="str">
        <f>Data!F102</f>
        <v>5451968250</v>
      </c>
      <c r="E103" s="82" t="str">
        <f>Data!B102</f>
        <v>2389</v>
      </c>
      <c r="F103" s="44" t="str">
        <f>Data!A102</f>
        <v>Stropes, Skylar</v>
      </c>
      <c r="G103" s="55" t="str">
        <f>Data!C102</f>
        <v>8/20/2017</v>
      </c>
      <c r="H103" s="56">
        <f>Data!H102</f>
        <v>44615</v>
      </c>
      <c r="I103" s="56" t="str">
        <f>Data!I102</f>
        <v>2/24/2022</v>
      </c>
      <c r="J103" s="57">
        <f>Data!J102</f>
        <v>227.6</v>
      </c>
      <c r="K103" s="58">
        <f t="shared" ca="1" si="1"/>
        <v>84</v>
      </c>
      <c r="L103" s="58">
        <f>Data!M102</f>
        <v>0</v>
      </c>
      <c r="M103" s="37" t="s">
        <v>26</v>
      </c>
      <c r="N103" s="43" t="str">
        <f>VLOOKUP(M103,Table1[#All],3,FALSE)</f>
        <v>Note</v>
      </c>
      <c r="O103" s="40" t="str">
        <f>VLOOKUP(M103,Table1[#All],4,FALSE)</f>
        <v>Q1</v>
      </c>
      <c r="P103" s="39"/>
      <c r="Q103" s="40" t="str">
        <f>VLOOKUP(M103,Table1[#All],5,FALSE)</f>
        <v>Q2</v>
      </c>
      <c r="R103" s="79"/>
      <c r="S103" s="40" t="str">
        <f>VLOOKUP(M103,Table1[#All],6,FALSE)</f>
        <v>Q3</v>
      </c>
      <c r="T103" s="79"/>
      <c r="U103" s="40" t="str">
        <f>VLOOKUP(M103,Table1[#All],7,FALSE)</f>
        <v>Q4</v>
      </c>
      <c r="V103" s="79"/>
      <c r="W103" s="40" t="str">
        <f>VLOOKUP(M103,Table1[#All],8,FALSE)</f>
        <v>Q5</v>
      </c>
      <c r="X103" s="79"/>
      <c r="Y103" s="44" t="str">
        <f>VLOOKUP(M103,Table1[#All],2,FALSE)</f>
        <v>Action</v>
      </c>
      <c r="Z103" s="59" t="str">
        <f>VLOOKUP(M103,Table1[#All],9,FALSE)</f>
        <v>Additional Notes:</v>
      </c>
      <c r="AA103" s="76"/>
      <c r="AB103" s="76"/>
      <c r="AC103" s="90" t="s">
        <v>91</v>
      </c>
      <c r="AD103" s="76" t="s">
        <v>91</v>
      </c>
      <c r="AE103" s="77"/>
      <c r="AF103" s="77"/>
      <c r="AG103" s="41" t="s">
        <v>91</v>
      </c>
      <c r="AH103" s="25"/>
      <c r="AI103" s="25"/>
      <c r="AJ103" s="42"/>
    </row>
    <row r="104" spans="1:36" ht="21" hidden="1" x14ac:dyDescent="0.55000000000000004">
      <c r="A104" s="44" t="str">
        <f>Data!K103</f>
        <v>Dental Health and Wellness WI</v>
      </c>
      <c r="B104" s="44" t="str">
        <f>Data!L103</f>
        <v>8444645635</v>
      </c>
      <c r="C104" s="44" t="str">
        <f>Data!D103</f>
        <v xml:space="preserve">Vallin, Lola </v>
      </c>
      <c r="D104" s="82" t="str">
        <f>Data!F103</f>
        <v>4447388243</v>
      </c>
      <c r="E104" s="82" t="str">
        <f>Data!B103</f>
        <v>9035</v>
      </c>
      <c r="F104" s="44" t="str">
        <f>Data!A103</f>
        <v xml:space="preserve">Vallin, Lola </v>
      </c>
      <c r="G104" s="55" t="str">
        <f>Data!C103</f>
        <v>12/19/2014</v>
      </c>
      <c r="H104" s="56">
        <f>Data!H103</f>
        <v>44615</v>
      </c>
      <c r="I104" s="56" t="str">
        <f>Data!I103</f>
        <v>2/24/2022</v>
      </c>
      <c r="J104" s="57">
        <f>Data!J103</f>
        <v>470</v>
      </c>
      <c r="K104" s="58">
        <f t="shared" ca="1" si="1"/>
        <v>84</v>
      </c>
      <c r="L104" s="58">
        <f>Data!M103</f>
        <v>0</v>
      </c>
      <c r="M104" s="37" t="s">
        <v>26</v>
      </c>
      <c r="N104" s="43" t="str">
        <f>VLOOKUP(M104,Table1[#All],3,FALSE)</f>
        <v>Note</v>
      </c>
      <c r="O104" s="40" t="str">
        <f>VLOOKUP(M104,Table1[#All],4,FALSE)</f>
        <v>Q1</v>
      </c>
      <c r="P104" s="39"/>
      <c r="Q104" s="40" t="str">
        <f>VLOOKUP(M104,Table1[#All],5,FALSE)</f>
        <v>Q2</v>
      </c>
      <c r="R104" s="79"/>
      <c r="S104" s="40" t="str">
        <f>VLOOKUP(M104,Table1[#All],6,FALSE)</f>
        <v>Q3</v>
      </c>
      <c r="T104" s="79"/>
      <c r="U104" s="40" t="str">
        <f>VLOOKUP(M104,Table1[#All],7,FALSE)</f>
        <v>Q4</v>
      </c>
      <c r="V104" s="79"/>
      <c r="W104" s="40" t="str">
        <f>VLOOKUP(M104,Table1[#All],8,FALSE)</f>
        <v>Q5</v>
      </c>
      <c r="X104" s="79"/>
      <c r="Y104" s="44" t="str">
        <f>VLOOKUP(M104,Table1[#All],2,FALSE)</f>
        <v>Action</v>
      </c>
      <c r="Z104" s="59" t="str">
        <f>VLOOKUP(M104,Table1[#All],9,FALSE)</f>
        <v>Additional Notes:</v>
      </c>
      <c r="AA104" s="76"/>
      <c r="AB104" s="76"/>
      <c r="AC104" s="90" t="s">
        <v>91</v>
      </c>
      <c r="AD104" s="76" t="s">
        <v>91</v>
      </c>
      <c r="AE104" s="77"/>
      <c r="AF104" s="77"/>
      <c r="AG104" s="41" t="s">
        <v>91</v>
      </c>
      <c r="AH104" s="25"/>
      <c r="AI104" s="25"/>
      <c r="AJ104" s="42"/>
    </row>
    <row r="105" spans="1:36" ht="21" hidden="1" x14ac:dyDescent="0.55000000000000004">
      <c r="A105" s="44" t="str">
        <f>Data!K104</f>
        <v>Dental Health and Wellness WI</v>
      </c>
      <c r="B105" s="44" t="str">
        <f>Data!L104</f>
        <v>8444645635</v>
      </c>
      <c r="C105" s="44" t="str">
        <f>Data!D104</f>
        <v xml:space="preserve">Vallin, Aria </v>
      </c>
      <c r="D105" s="82" t="str">
        <f>Data!F104</f>
        <v>5450665857</v>
      </c>
      <c r="E105" s="82" t="str">
        <f>Data!B104</f>
        <v>8773</v>
      </c>
      <c r="F105" s="44" t="str">
        <f>Data!A104</f>
        <v xml:space="preserve">Vallin, Aria </v>
      </c>
      <c r="G105" s="55" t="str">
        <f>Data!C104</f>
        <v>10/9/2016</v>
      </c>
      <c r="H105" s="56">
        <f>Data!H104</f>
        <v>44615</v>
      </c>
      <c r="I105" s="56" t="str">
        <f>Data!I104</f>
        <v>2/24/2022</v>
      </c>
      <c r="J105" s="57">
        <f>Data!J104</f>
        <v>256.39999999999998</v>
      </c>
      <c r="K105" s="58">
        <f t="shared" ca="1" si="1"/>
        <v>84</v>
      </c>
      <c r="L105" s="58">
        <f>Data!M104</f>
        <v>0</v>
      </c>
      <c r="M105" s="37" t="s">
        <v>26</v>
      </c>
      <c r="N105" s="43" t="str">
        <f>VLOOKUP(M105,Table1[#All],3,FALSE)</f>
        <v>Note</v>
      </c>
      <c r="O105" s="40" t="str">
        <f>VLOOKUP(M105,Table1[#All],4,FALSE)</f>
        <v>Q1</v>
      </c>
      <c r="P105" s="39"/>
      <c r="Q105" s="40" t="str">
        <f>VLOOKUP(M105,Table1[#All],5,FALSE)</f>
        <v>Q2</v>
      </c>
      <c r="R105" s="79"/>
      <c r="S105" s="40" t="str">
        <f>VLOOKUP(M105,Table1[#All],6,FALSE)</f>
        <v>Q3</v>
      </c>
      <c r="T105" s="79"/>
      <c r="U105" s="40" t="str">
        <f>VLOOKUP(M105,Table1[#All],7,FALSE)</f>
        <v>Q4</v>
      </c>
      <c r="V105" s="79"/>
      <c r="W105" s="40" t="str">
        <f>VLOOKUP(M105,Table1[#All],8,FALSE)</f>
        <v>Q5</v>
      </c>
      <c r="X105" s="79"/>
      <c r="Y105" s="44" t="str">
        <f>VLOOKUP(M105,Table1[#All],2,FALSE)</f>
        <v>Action</v>
      </c>
      <c r="Z105" s="59" t="str">
        <f>VLOOKUP(M105,Table1[#All],9,FALSE)</f>
        <v>Additional Notes:</v>
      </c>
      <c r="AA105" s="76"/>
      <c r="AB105" s="76"/>
      <c r="AC105" s="90" t="s">
        <v>91</v>
      </c>
      <c r="AD105" s="76" t="s">
        <v>91</v>
      </c>
      <c r="AE105" s="77"/>
      <c r="AF105" s="77"/>
      <c r="AG105" s="41" t="s">
        <v>91</v>
      </c>
      <c r="AH105" s="25"/>
      <c r="AI105" s="25"/>
      <c r="AJ105" s="42"/>
    </row>
    <row r="106" spans="1:36" ht="21" hidden="1" x14ac:dyDescent="0.55000000000000004">
      <c r="A106" s="44" t="str">
        <f>Data!K105</f>
        <v>Dental Health and Wellness WI</v>
      </c>
      <c r="B106" s="44" t="str">
        <f>Data!L105</f>
        <v>8444645635</v>
      </c>
      <c r="C106" s="44" t="str">
        <f>Data!D105</f>
        <v>Doxtater , Jenna</v>
      </c>
      <c r="D106" s="82" t="str">
        <f>Data!F105</f>
        <v>7420561079</v>
      </c>
      <c r="E106" s="82" t="str">
        <f>Data!B105</f>
        <v>9126</v>
      </c>
      <c r="F106" s="44" t="str">
        <f>Data!A105</f>
        <v>Doxtater , Jenna</v>
      </c>
      <c r="G106" s="55" t="str">
        <f>Data!C105</f>
        <v>3/5/1998</v>
      </c>
      <c r="H106" s="56">
        <f>Data!H105</f>
        <v>44615</v>
      </c>
      <c r="I106" s="56" t="str">
        <f>Data!I105</f>
        <v>2/24/2022</v>
      </c>
      <c r="J106" s="57">
        <f>Data!J105</f>
        <v>1118.4000000000001</v>
      </c>
      <c r="K106" s="58">
        <f t="shared" ca="1" si="1"/>
        <v>84</v>
      </c>
      <c r="L106" s="58">
        <f>Data!M105</f>
        <v>0</v>
      </c>
      <c r="M106" s="37" t="s">
        <v>26</v>
      </c>
      <c r="N106" s="43" t="str">
        <f>VLOOKUP(M106,Table1[#All],3,FALSE)</f>
        <v>Note</v>
      </c>
      <c r="O106" s="40" t="str">
        <f>VLOOKUP(M106,Table1[#All],4,FALSE)</f>
        <v>Q1</v>
      </c>
      <c r="P106" s="39"/>
      <c r="Q106" s="40" t="str">
        <f>VLOOKUP(M106,Table1[#All],5,FALSE)</f>
        <v>Q2</v>
      </c>
      <c r="R106" s="79"/>
      <c r="S106" s="40" t="str">
        <f>VLOOKUP(M106,Table1[#All],6,FALSE)</f>
        <v>Q3</v>
      </c>
      <c r="T106" s="79"/>
      <c r="U106" s="40" t="str">
        <f>VLOOKUP(M106,Table1[#All],7,FALSE)</f>
        <v>Q4</v>
      </c>
      <c r="V106" s="79"/>
      <c r="W106" s="40" t="str">
        <f>VLOOKUP(M106,Table1[#All],8,FALSE)</f>
        <v>Q5</v>
      </c>
      <c r="X106" s="79"/>
      <c r="Y106" s="44" t="str">
        <f>VLOOKUP(M106,Table1[#All],2,FALSE)</f>
        <v>Action</v>
      </c>
      <c r="Z106" s="59" t="str">
        <f>VLOOKUP(M106,Table1[#All],9,FALSE)</f>
        <v>Additional Notes:</v>
      </c>
      <c r="AA106" s="76"/>
      <c r="AB106" s="76"/>
      <c r="AC106" s="90" t="s">
        <v>91</v>
      </c>
      <c r="AD106" s="76" t="s">
        <v>91</v>
      </c>
      <c r="AE106" s="77"/>
      <c r="AF106" s="77"/>
      <c r="AG106" s="41" t="s">
        <v>91</v>
      </c>
      <c r="AH106" s="25"/>
      <c r="AI106" s="25"/>
      <c r="AJ106" s="42"/>
    </row>
    <row r="107" spans="1:36" ht="21" hidden="1" x14ac:dyDescent="0.55000000000000004">
      <c r="A107" s="44" t="str">
        <f>Data!K106</f>
        <v>Dental Health and Wellness WI</v>
      </c>
      <c r="B107" s="44" t="str">
        <f>Data!L106</f>
        <v>8444645635</v>
      </c>
      <c r="C107" s="44" t="str">
        <f>Data!D106</f>
        <v xml:space="preserve">Williams, James </v>
      </c>
      <c r="D107" s="82" t="str">
        <f>Data!F106</f>
        <v>3455093931</v>
      </c>
      <c r="E107" s="82" t="str">
        <f>Data!B106</f>
        <v>8849</v>
      </c>
      <c r="F107" s="44" t="str">
        <f>Data!A106</f>
        <v xml:space="preserve">Williams, James </v>
      </c>
      <c r="G107" s="55" t="str">
        <f>Data!C106</f>
        <v>2/10/1998</v>
      </c>
      <c r="H107" s="56">
        <f>Data!H106</f>
        <v>44614</v>
      </c>
      <c r="I107" s="56" t="str">
        <f>Data!I106</f>
        <v>2/23/2022</v>
      </c>
      <c r="J107" s="57">
        <f>Data!J106</f>
        <v>61.2</v>
      </c>
      <c r="K107" s="58">
        <f t="shared" ca="1" si="1"/>
        <v>85</v>
      </c>
      <c r="L107" s="58">
        <f>Data!M106</f>
        <v>0</v>
      </c>
      <c r="M107" s="37" t="s">
        <v>26</v>
      </c>
      <c r="N107" s="43" t="str">
        <f>VLOOKUP(M107,Table1[#All],3,FALSE)</f>
        <v>Note</v>
      </c>
      <c r="O107" s="40" t="str">
        <f>VLOOKUP(M107,Table1[#All],4,FALSE)</f>
        <v>Q1</v>
      </c>
      <c r="P107" s="39"/>
      <c r="Q107" s="40" t="str">
        <f>VLOOKUP(M107,Table1[#All],5,FALSE)</f>
        <v>Q2</v>
      </c>
      <c r="R107" s="79"/>
      <c r="S107" s="40" t="str">
        <f>VLOOKUP(M107,Table1[#All],6,FALSE)</f>
        <v>Q3</v>
      </c>
      <c r="T107" s="79"/>
      <c r="U107" s="40" t="str">
        <f>VLOOKUP(M107,Table1[#All],7,FALSE)</f>
        <v>Q4</v>
      </c>
      <c r="V107" s="79"/>
      <c r="W107" s="40" t="str">
        <f>VLOOKUP(M107,Table1[#All],8,FALSE)</f>
        <v>Q5</v>
      </c>
      <c r="X107" s="79"/>
      <c r="Y107" s="44" t="str">
        <f>VLOOKUP(M107,Table1[#All],2,FALSE)</f>
        <v>Action</v>
      </c>
      <c r="Z107" s="59" t="str">
        <f>VLOOKUP(M107,Table1[#All],9,FALSE)</f>
        <v>Additional Notes:</v>
      </c>
      <c r="AA107" s="76"/>
      <c r="AB107" s="76"/>
      <c r="AC107" s="90" t="s">
        <v>91</v>
      </c>
      <c r="AD107" s="76" t="s">
        <v>91</v>
      </c>
      <c r="AE107" s="77"/>
      <c r="AF107" s="77"/>
      <c r="AG107" s="41" t="s">
        <v>91</v>
      </c>
      <c r="AH107" s="25"/>
      <c r="AI107" s="25"/>
      <c r="AJ107" s="42"/>
    </row>
    <row r="108" spans="1:36" ht="21" hidden="1" x14ac:dyDescent="0.55000000000000004">
      <c r="A108" s="44" t="str">
        <f>Data!K107</f>
        <v>Dental Health and Wellness WI</v>
      </c>
      <c r="B108" s="44" t="str">
        <f>Data!L107</f>
        <v>8444645635</v>
      </c>
      <c r="C108" s="44" t="str">
        <f>Data!D107</f>
        <v>SAUER, Joseph</v>
      </c>
      <c r="D108" s="82" t="str">
        <f>Data!F107</f>
        <v>6444532469</v>
      </c>
      <c r="E108" s="82" t="str">
        <f>Data!B107</f>
        <v>2363</v>
      </c>
      <c r="F108" s="44" t="str">
        <f>Data!A107</f>
        <v>SAUER, Joseph</v>
      </c>
      <c r="G108" s="55" t="str">
        <f>Data!C107</f>
        <v>5/27/2013</v>
      </c>
      <c r="H108" s="56">
        <f>Data!H107</f>
        <v>44611</v>
      </c>
      <c r="I108" s="56" t="str">
        <f>Data!I107</f>
        <v>2/22/2022</v>
      </c>
      <c r="J108" s="57">
        <f>Data!J107</f>
        <v>552</v>
      </c>
      <c r="K108" s="58">
        <f t="shared" ca="1" si="1"/>
        <v>86</v>
      </c>
      <c r="L108" s="58">
        <f>Data!M107</f>
        <v>0</v>
      </c>
      <c r="M108" s="37" t="s">
        <v>26</v>
      </c>
      <c r="N108" s="43" t="str">
        <f>VLOOKUP(M108,Table1[#All],3,FALSE)</f>
        <v>Note</v>
      </c>
      <c r="O108" s="40" t="str">
        <f>VLOOKUP(M108,Table1[#All],4,FALSE)</f>
        <v>Q1</v>
      </c>
      <c r="P108" s="39"/>
      <c r="Q108" s="40" t="str">
        <f>VLOOKUP(M108,Table1[#All],5,FALSE)</f>
        <v>Q2</v>
      </c>
      <c r="R108" s="79"/>
      <c r="S108" s="40" t="str">
        <f>VLOOKUP(M108,Table1[#All],6,FALSE)</f>
        <v>Q3</v>
      </c>
      <c r="T108" s="79"/>
      <c r="U108" s="40" t="str">
        <f>VLOOKUP(M108,Table1[#All],7,FALSE)</f>
        <v>Q4</v>
      </c>
      <c r="V108" s="79"/>
      <c r="W108" s="40" t="str">
        <f>VLOOKUP(M108,Table1[#All],8,FALSE)</f>
        <v>Q5</v>
      </c>
      <c r="X108" s="79"/>
      <c r="Y108" s="44" t="str">
        <f>VLOOKUP(M108,Table1[#All],2,FALSE)</f>
        <v>Action</v>
      </c>
      <c r="Z108" s="59" t="str">
        <f>VLOOKUP(M108,Table1[#All],9,FALSE)</f>
        <v>Additional Notes:</v>
      </c>
      <c r="AA108" s="76"/>
      <c r="AB108" s="76"/>
      <c r="AC108" s="90" t="s">
        <v>91</v>
      </c>
      <c r="AD108" s="76" t="s">
        <v>91</v>
      </c>
      <c r="AE108" s="77"/>
      <c r="AF108" s="77"/>
      <c r="AG108" s="41" t="s">
        <v>91</v>
      </c>
      <c r="AH108" s="25"/>
      <c r="AI108" s="25"/>
      <c r="AJ108" s="42"/>
    </row>
    <row r="109" spans="1:36" ht="21" hidden="1" x14ac:dyDescent="0.55000000000000004">
      <c r="A109" s="44" t="str">
        <f>Data!K108</f>
        <v>Dental Health and Wellness WI</v>
      </c>
      <c r="B109" s="44" t="str">
        <f>Data!L108</f>
        <v>8444645635</v>
      </c>
      <c r="C109" s="44" t="str">
        <f>Data!D108</f>
        <v>Mayes, Shanitra</v>
      </c>
      <c r="D109" s="82" t="str">
        <f>Data!F108</f>
        <v>1419719513</v>
      </c>
      <c r="E109" s="82" t="str">
        <f>Data!B108</f>
        <v>8814</v>
      </c>
      <c r="F109" s="44" t="str">
        <f>Data!A108</f>
        <v>Mayes, Shanitra</v>
      </c>
      <c r="G109" s="55" t="str">
        <f>Data!C108</f>
        <v>4/30/1992</v>
      </c>
      <c r="H109" s="56">
        <f>Data!H108</f>
        <v>44610</v>
      </c>
      <c r="I109" s="56" t="str">
        <f>Data!I108</f>
        <v>2/22/2022</v>
      </c>
      <c r="J109" s="57">
        <f>Data!J108</f>
        <v>80.400000000000006</v>
      </c>
      <c r="K109" s="58">
        <f t="shared" ca="1" si="1"/>
        <v>86</v>
      </c>
      <c r="L109" s="58">
        <f>Data!M108</f>
        <v>0</v>
      </c>
      <c r="M109" s="37" t="s">
        <v>26</v>
      </c>
      <c r="N109" s="43" t="str">
        <f>VLOOKUP(M109,Table1[#All],3,FALSE)</f>
        <v>Note</v>
      </c>
      <c r="O109" s="40" t="str">
        <f>VLOOKUP(M109,Table1[#All],4,FALSE)</f>
        <v>Q1</v>
      </c>
      <c r="P109" s="39"/>
      <c r="Q109" s="40" t="str">
        <f>VLOOKUP(M109,Table1[#All],5,FALSE)</f>
        <v>Q2</v>
      </c>
      <c r="R109" s="79"/>
      <c r="S109" s="40" t="str">
        <f>VLOOKUP(M109,Table1[#All],6,FALSE)</f>
        <v>Q3</v>
      </c>
      <c r="T109" s="79"/>
      <c r="U109" s="40" t="str">
        <f>VLOOKUP(M109,Table1[#All],7,FALSE)</f>
        <v>Q4</v>
      </c>
      <c r="V109" s="79"/>
      <c r="W109" s="40" t="str">
        <f>VLOOKUP(M109,Table1[#All],8,FALSE)</f>
        <v>Q5</v>
      </c>
      <c r="X109" s="79"/>
      <c r="Y109" s="44" t="str">
        <f>VLOOKUP(M109,Table1[#All],2,FALSE)</f>
        <v>Action</v>
      </c>
      <c r="Z109" s="59" t="str">
        <f>VLOOKUP(M109,Table1[#All],9,FALSE)</f>
        <v>Additional Notes:</v>
      </c>
      <c r="AA109" s="76"/>
      <c r="AB109" s="76"/>
      <c r="AC109" s="90" t="s">
        <v>91</v>
      </c>
      <c r="AD109" s="76" t="s">
        <v>91</v>
      </c>
      <c r="AE109" s="77"/>
      <c r="AF109" s="77"/>
      <c r="AG109" s="41" t="s">
        <v>91</v>
      </c>
      <c r="AH109" s="25"/>
      <c r="AI109" s="25"/>
      <c r="AJ109" s="42"/>
    </row>
    <row r="110" spans="1:36" ht="21" hidden="1" x14ac:dyDescent="0.55000000000000004">
      <c r="A110" s="44" t="str">
        <f>Data!K109</f>
        <v>Dental Health and Wellness WI</v>
      </c>
      <c r="B110" s="44" t="str">
        <f>Data!L109</f>
        <v>8444645635</v>
      </c>
      <c r="C110" s="44" t="str">
        <f>Data!D109</f>
        <v>Simmons, Arionna</v>
      </c>
      <c r="D110" s="82" t="str">
        <f>Data!F109</f>
        <v>1422588114</v>
      </c>
      <c r="E110" s="82" t="str">
        <f>Data!B109</f>
        <v>903</v>
      </c>
      <c r="F110" s="44" t="str">
        <f>Data!A109</f>
        <v>Simmons, Arionna</v>
      </c>
      <c r="G110" s="55" t="str">
        <f>Data!C109</f>
        <v>2/23/2001</v>
      </c>
      <c r="H110" s="56">
        <f>Data!H109</f>
        <v>44594</v>
      </c>
      <c r="I110" s="56" t="str">
        <f>Data!I109</f>
        <v>2/22/2022</v>
      </c>
      <c r="J110" s="57">
        <f>Data!J109</f>
        <v>36</v>
      </c>
      <c r="K110" s="58">
        <f t="shared" ca="1" si="1"/>
        <v>86</v>
      </c>
      <c r="L110" s="58">
        <f>Data!M109</f>
        <v>0</v>
      </c>
      <c r="M110" s="37" t="s">
        <v>26</v>
      </c>
      <c r="N110" s="43" t="str">
        <f>VLOOKUP(M110,Table1[#All],3,FALSE)</f>
        <v>Note</v>
      </c>
      <c r="O110" s="40" t="str">
        <f>VLOOKUP(M110,Table1[#All],4,FALSE)</f>
        <v>Q1</v>
      </c>
      <c r="P110" s="39"/>
      <c r="Q110" s="40" t="str">
        <f>VLOOKUP(M110,Table1[#All],5,FALSE)</f>
        <v>Q2</v>
      </c>
      <c r="R110" s="79"/>
      <c r="S110" s="40" t="str">
        <f>VLOOKUP(M110,Table1[#All],6,FALSE)</f>
        <v>Q3</v>
      </c>
      <c r="T110" s="79"/>
      <c r="U110" s="40" t="str">
        <f>VLOOKUP(M110,Table1[#All],7,FALSE)</f>
        <v>Q4</v>
      </c>
      <c r="V110" s="79"/>
      <c r="W110" s="40" t="str">
        <f>VLOOKUP(M110,Table1[#All],8,FALSE)</f>
        <v>Q5</v>
      </c>
      <c r="X110" s="79"/>
      <c r="Y110" s="44" t="str">
        <f>VLOOKUP(M110,Table1[#All],2,FALSE)</f>
        <v>Action</v>
      </c>
      <c r="Z110" s="59" t="str">
        <f>VLOOKUP(M110,Table1[#All],9,FALSE)</f>
        <v>Additional Notes:</v>
      </c>
      <c r="AA110" s="76"/>
      <c r="AB110" s="76"/>
      <c r="AC110" s="90" t="s">
        <v>91</v>
      </c>
      <c r="AD110" s="76" t="s">
        <v>91</v>
      </c>
      <c r="AE110" s="77"/>
      <c r="AF110" s="77"/>
      <c r="AG110" s="41" t="s">
        <v>91</v>
      </c>
      <c r="AH110" s="25"/>
      <c r="AI110" s="25"/>
      <c r="AJ110" s="42"/>
    </row>
    <row r="111" spans="1:36" ht="21" hidden="1" x14ac:dyDescent="0.55000000000000004">
      <c r="A111" s="44" t="str">
        <f>Data!K110</f>
        <v>Dental Health and Wellness WI</v>
      </c>
      <c r="B111" s="44" t="str">
        <f>Data!L110</f>
        <v>8444645635</v>
      </c>
      <c r="C111" s="44" t="str">
        <f>Data!D110</f>
        <v xml:space="preserve">Reed, Christine </v>
      </c>
      <c r="D111" s="82" t="str">
        <f>Data!F110</f>
        <v>5430626457</v>
      </c>
      <c r="E111" s="82" t="str">
        <f>Data!B110</f>
        <v>9013</v>
      </c>
      <c r="F111" s="44" t="str">
        <f>Data!A110</f>
        <v xml:space="preserve">Reed, Christine </v>
      </c>
      <c r="G111" s="55" t="str">
        <f>Data!C110</f>
        <v>5/11/1999</v>
      </c>
      <c r="H111" s="56">
        <f>Data!H110</f>
        <v>44603</v>
      </c>
      <c r="I111" s="56" t="str">
        <f>Data!I110</f>
        <v>2/25/2022</v>
      </c>
      <c r="J111" s="57">
        <f>Data!J110</f>
        <v>1012.8</v>
      </c>
      <c r="K111" s="58">
        <f t="shared" ca="1" si="1"/>
        <v>83</v>
      </c>
      <c r="L111" s="58">
        <f>Data!M110</f>
        <v>0</v>
      </c>
      <c r="M111" s="37" t="s">
        <v>26</v>
      </c>
      <c r="N111" s="43" t="str">
        <f>VLOOKUP(M111,Table1[#All],3,FALSE)</f>
        <v>Note</v>
      </c>
      <c r="O111" s="40" t="str">
        <f>VLOOKUP(M111,Table1[#All],4,FALSE)</f>
        <v>Q1</v>
      </c>
      <c r="P111" s="39"/>
      <c r="Q111" s="40" t="str">
        <f>VLOOKUP(M111,Table1[#All],5,FALSE)</f>
        <v>Q2</v>
      </c>
      <c r="R111" s="79"/>
      <c r="S111" s="40" t="str">
        <f>VLOOKUP(M111,Table1[#All],6,FALSE)</f>
        <v>Q3</v>
      </c>
      <c r="T111" s="79"/>
      <c r="U111" s="40" t="str">
        <f>VLOOKUP(M111,Table1[#All],7,FALSE)</f>
        <v>Q4</v>
      </c>
      <c r="V111" s="79"/>
      <c r="W111" s="40" t="str">
        <f>VLOOKUP(M111,Table1[#All],8,FALSE)</f>
        <v>Q5</v>
      </c>
      <c r="X111" s="79"/>
      <c r="Y111" s="44" t="str">
        <f>VLOOKUP(M111,Table1[#All],2,FALSE)</f>
        <v>Action</v>
      </c>
      <c r="Z111" s="59" t="str">
        <f>VLOOKUP(M111,Table1[#All],9,FALSE)</f>
        <v>Additional Notes:</v>
      </c>
      <c r="AA111" s="76"/>
      <c r="AB111" s="76"/>
      <c r="AC111" s="90" t="s">
        <v>91</v>
      </c>
      <c r="AD111" s="76" t="s">
        <v>91</v>
      </c>
      <c r="AE111" s="77"/>
      <c r="AF111" s="77"/>
      <c r="AG111" s="41" t="s">
        <v>91</v>
      </c>
      <c r="AH111" s="25"/>
      <c r="AI111" s="25"/>
      <c r="AJ111" s="42"/>
    </row>
    <row r="112" spans="1:36" ht="21" hidden="1" x14ac:dyDescent="0.55000000000000004">
      <c r="A112" s="44" t="str">
        <f>Data!K111</f>
        <v>Dental Health and Wellness WI</v>
      </c>
      <c r="B112" s="44" t="str">
        <f>Data!L111</f>
        <v>8444645635</v>
      </c>
      <c r="C112" s="44" t="str">
        <f>Data!D111</f>
        <v xml:space="preserve">Baker, Marquis </v>
      </c>
      <c r="D112" s="82" t="str">
        <f>Data!F111</f>
        <v>9416757993</v>
      </c>
      <c r="E112" s="82" t="str">
        <f>Data!B111</f>
        <v>9053</v>
      </c>
      <c r="F112" s="44" t="str">
        <f>Data!A111</f>
        <v xml:space="preserve">Baker, Marquis </v>
      </c>
      <c r="G112" s="55" t="str">
        <f>Data!C111</f>
        <v>6/10/1991</v>
      </c>
      <c r="H112" s="56">
        <f>Data!H111</f>
        <v>44603</v>
      </c>
      <c r="I112" s="56" t="str">
        <f>Data!I111</f>
        <v>2/15/2022</v>
      </c>
      <c r="J112" s="57">
        <f>Data!J111</f>
        <v>332.4</v>
      </c>
      <c r="K112" s="58">
        <f t="shared" ca="1" si="1"/>
        <v>93</v>
      </c>
      <c r="L112" s="58">
        <f>Data!M111</f>
        <v>0</v>
      </c>
      <c r="M112" s="37" t="s">
        <v>26</v>
      </c>
      <c r="N112" s="43" t="str">
        <f>VLOOKUP(M112,Table1[#All],3,FALSE)</f>
        <v>Note</v>
      </c>
      <c r="O112" s="40" t="str">
        <f>VLOOKUP(M112,Table1[#All],4,FALSE)</f>
        <v>Q1</v>
      </c>
      <c r="P112" s="39"/>
      <c r="Q112" s="40" t="str">
        <f>VLOOKUP(M112,Table1[#All],5,FALSE)</f>
        <v>Q2</v>
      </c>
      <c r="R112" s="79"/>
      <c r="S112" s="40" t="str">
        <f>VLOOKUP(M112,Table1[#All],6,FALSE)</f>
        <v>Q3</v>
      </c>
      <c r="T112" s="79"/>
      <c r="U112" s="40" t="str">
        <f>VLOOKUP(M112,Table1[#All],7,FALSE)</f>
        <v>Q4</v>
      </c>
      <c r="V112" s="79"/>
      <c r="W112" s="40" t="str">
        <f>VLOOKUP(M112,Table1[#All],8,FALSE)</f>
        <v>Q5</v>
      </c>
      <c r="X112" s="79"/>
      <c r="Y112" s="44" t="str">
        <f>VLOOKUP(M112,Table1[#All],2,FALSE)</f>
        <v>Action</v>
      </c>
      <c r="Z112" s="59" t="str">
        <f>VLOOKUP(M112,Table1[#All],9,FALSE)</f>
        <v>Additional Notes:</v>
      </c>
      <c r="AA112" s="76"/>
      <c r="AB112" s="76"/>
      <c r="AC112" s="90" t="s">
        <v>91</v>
      </c>
      <c r="AD112" s="76" t="s">
        <v>91</v>
      </c>
      <c r="AE112" s="77"/>
      <c r="AF112" s="77"/>
      <c r="AG112" s="41" t="s">
        <v>91</v>
      </c>
      <c r="AH112" s="25"/>
      <c r="AI112" s="25"/>
      <c r="AJ112" s="42"/>
    </row>
    <row r="113" spans="1:36" ht="21" hidden="1" x14ac:dyDescent="0.55000000000000004">
      <c r="A113" s="44" t="str">
        <f>Data!K112</f>
        <v>Dental Health and Wellness WI</v>
      </c>
      <c r="B113" s="44" t="str">
        <f>Data!L112</f>
        <v>8444645635</v>
      </c>
      <c r="C113" s="44" t="str">
        <f>Data!D112</f>
        <v>Baker, Mariah</v>
      </c>
      <c r="D113" s="82" t="str">
        <f>Data!F112</f>
        <v>4442744742</v>
      </c>
      <c r="E113" s="82" t="str">
        <f>Data!B112</f>
        <v>9055</v>
      </c>
      <c r="F113" s="44" t="str">
        <f>Data!A112</f>
        <v>Baker, Mariah</v>
      </c>
      <c r="G113" s="55" t="str">
        <f>Data!C112</f>
        <v>9/8/2012</v>
      </c>
      <c r="H113" s="56">
        <f>Data!H112</f>
        <v>44603</v>
      </c>
      <c r="I113" s="56" t="str">
        <f>Data!I112</f>
        <v>2/15/2022</v>
      </c>
      <c r="J113" s="57">
        <f>Data!J112</f>
        <v>273.2</v>
      </c>
      <c r="K113" s="58">
        <f t="shared" ca="1" si="1"/>
        <v>93</v>
      </c>
      <c r="L113" s="58">
        <f>Data!M112</f>
        <v>0</v>
      </c>
      <c r="M113" s="37" t="s">
        <v>26</v>
      </c>
      <c r="N113" s="43" t="str">
        <f>VLOOKUP(M113,Table1[#All],3,FALSE)</f>
        <v>Note</v>
      </c>
      <c r="O113" s="40" t="str">
        <f>VLOOKUP(M113,Table1[#All],4,FALSE)</f>
        <v>Q1</v>
      </c>
      <c r="P113" s="39"/>
      <c r="Q113" s="40" t="str">
        <f>VLOOKUP(M113,Table1[#All],5,FALSE)</f>
        <v>Q2</v>
      </c>
      <c r="R113" s="79"/>
      <c r="S113" s="40" t="str">
        <f>VLOOKUP(M113,Table1[#All],6,FALSE)</f>
        <v>Q3</v>
      </c>
      <c r="T113" s="79"/>
      <c r="U113" s="40" t="str">
        <f>VLOOKUP(M113,Table1[#All],7,FALSE)</f>
        <v>Q4</v>
      </c>
      <c r="V113" s="79"/>
      <c r="W113" s="40" t="str">
        <f>VLOOKUP(M113,Table1[#All],8,FALSE)</f>
        <v>Q5</v>
      </c>
      <c r="X113" s="79"/>
      <c r="Y113" s="44" t="str">
        <f>VLOOKUP(M113,Table1[#All],2,FALSE)</f>
        <v>Action</v>
      </c>
      <c r="Z113" s="59" t="str">
        <f>VLOOKUP(M113,Table1[#All],9,FALSE)</f>
        <v>Additional Notes:</v>
      </c>
      <c r="AA113" s="76"/>
      <c r="AB113" s="76"/>
      <c r="AC113" s="90" t="s">
        <v>91</v>
      </c>
      <c r="AD113" s="76" t="s">
        <v>91</v>
      </c>
      <c r="AE113" s="77"/>
      <c r="AF113" s="77"/>
      <c r="AG113" s="41" t="s">
        <v>91</v>
      </c>
      <c r="AH113" s="25"/>
      <c r="AI113" s="25"/>
      <c r="AJ113" s="42"/>
    </row>
    <row r="114" spans="1:36" ht="42" hidden="1" x14ac:dyDescent="0.55000000000000004">
      <c r="A114" s="44" t="str">
        <f>Data!K113</f>
        <v>Dental Health and Wellness WI</v>
      </c>
      <c r="B114" s="44" t="str">
        <f>Data!L113</f>
        <v>8444645635</v>
      </c>
      <c r="C114" s="44" t="str">
        <f>Data!D113</f>
        <v xml:space="preserve">Cervantes, Giselle </v>
      </c>
      <c r="D114" s="82" t="str">
        <f>Data!F113</f>
        <v>6454600963</v>
      </c>
      <c r="E114" s="82" t="str">
        <f>Data!B113</f>
        <v>6261</v>
      </c>
      <c r="F114" s="44" t="str">
        <f>Data!A113</f>
        <v xml:space="preserve">Cervantes, Giselle </v>
      </c>
      <c r="G114" s="55" t="str">
        <f>Data!C113</f>
        <v>5/6/2016</v>
      </c>
      <c r="H114" s="56">
        <f>Data!H113</f>
        <v>44600</v>
      </c>
      <c r="I114" s="56" t="str">
        <f>Data!I113</f>
        <v>2/9/2022</v>
      </c>
      <c r="J114" s="57">
        <f>Data!J113</f>
        <v>227.6</v>
      </c>
      <c r="K114" s="58">
        <f t="shared" ca="1" si="1"/>
        <v>99</v>
      </c>
      <c r="L114" s="58">
        <f>Data!M113</f>
        <v>0</v>
      </c>
      <c r="M114" s="37" t="s">
        <v>20</v>
      </c>
      <c r="N114" s="43" t="str">
        <f>VLOOKUP(M114,Table1[#All],3,FALSE)</f>
        <v>Ins needs more info, need to submit;</v>
      </c>
      <c r="O114" s="40" t="str">
        <f>VLOOKUP(M114,Table1[#All],4,FALSE)</f>
        <v>Attachments/Info needed?</v>
      </c>
      <c r="P114" s="39" t="s">
        <v>4043</v>
      </c>
      <c r="Q114" s="40" t="str">
        <f>VLOOKUP(M114,Table1[#All],5,FALSE)</f>
        <v>Fax # (If Fax Yes):</v>
      </c>
      <c r="R114" s="39"/>
      <c r="S114" s="40" t="str">
        <f>VLOOKUP(M114,Table1[#All],6,FALSE)</f>
        <v>Call Ref#:</v>
      </c>
      <c r="T114" s="39">
        <v>607713</v>
      </c>
      <c r="U114" s="40" t="str">
        <f>VLOOKUP(M114,Table1[#All],7,FALSE)</f>
        <v>Cust Rep:</v>
      </c>
      <c r="V114" s="79" t="s">
        <v>4194</v>
      </c>
      <c r="W114" s="40">
        <f>VLOOKUP(M114,Table1[#All],8,FALSE)</f>
        <v>0</v>
      </c>
      <c r="X114" s="79"/>
      <c r="Y114" s="44" t="str">
        <f>VLOOKUP(M114,Table1[#All],2,FALSE)</f>
        <v xml:space="preserve">Task Sub Pending Claims Queue </v>
      </c>
      <c r="Z114" s="59" t="str">
        <f>VLOOKUP(M114,Table1[#All],9,FALSE)</f>
        <v>Additional Notes:</v>
      </c>
      <c r="AA114" s="76" t="s">
        <v>4193</v>
      </c>
      <c r="AB114" s="76" t="s">
        <v>3697</v>
      </c>
      <c r="AC114" s="90" t="s">
        <v>115</v>
      </c>
      <c r="AD114" s="76" t="s">
        <v>177</v>
      </c>
      <c r="AE114" s="77" t="s">
        <v>4127</v>
      </c>
      <c r="AF114" s="110">
        <v>44693</v>
      </c>
      <c r="AG114" s="41" t="s">
        <v>101</v>
      </c>
      <c r="AH114" s="25"/>
      <c r="AI114" s="25"/>
      <c r="AJ114" s="42"/>
    </row>
    <row r="115" spans="1:36" ht="21" hidden="1" x14ac:dyDescent="0.55000000000000004">
      <c r="A115" s="44" t="str">
        <f>Data!K114</f>
        <v>Dental Health and Wellness WI</v>
      </c>
      <c r="B115" s="44" t="str">
        <f>Data!L114</f>
        <v>8444645635</v>
      </c>
      <c r="C115" s="44" t="str">
        <f>Data!D114</f>
        <v xml:space="preserve">Reed, Christine </v>
      </c>
      <c r="D115" s="82" t="str">
        <f>Data!F114</f>
        <v>5430626457</v>
      </c>
      <c r="E115" s="82" t="str">
        <f>Data!B114</f>
        <v>9013</v>
      </c>
      <c r="F115" s="44" t="str">
        <f>Data!A114</f>
        <v xml:space="preserve">Reed, Christine </v>
      </c>
      <c r="G115" s="55" t="str">
        <f>Data!C114</f>
        <v>5/11/1999</v>
      </c>
      <c r="H115" s="56">
        <f>Data!H114</f>
        <v>44600</v>
      </c>
      <c r="I115" s="56" t="str">
        <f>Data!I114</f>
        <v>2/22/2022</v>
      </c>
      <c r="J115" s="57">
        <f>Data!J114</f>
        <v>408.8</v>
      </c>
      <c r="K115" s="58">
        <f t="shared" ca="1" si="1"/>
        <v>86</v>
      </c>
      <c r="L115" s="58">
        <f>Data!M114</f>
        <v>0</v>
      </c>
      <c r="M115" s="37" t="s">
        <v>26</v>
      </c>
      <c r="N115" s="43" t="str">
        <f>VLOOKUP(M115,Table1[#All],3,FALSE)</f>
        <v>Note</v>
      </c>
      <c r="O115" s="40" t="str">
        <f>VLOOKUP(M115,Table1[#All],4,FALSE)</f>
        <v>Q1</v>
      </c>
      <c r="P115" s="39"/>
      <c r="Q115" s="40" t="str">
        <f>VLOOKUP(M115,Table1[#All],5,FALSE)</f>
        <v>Q2</v>
      </c>
      <c r="R115" s="79"/>
      <c r="S115" s="40" t="str">
        <f>VLOOKUP(M115,Table1[#All],6,FALSE)</f>
        <v>Q3</v>
      </c>
      <c r="T115" s="79"/>
      <c r="U115" s="40" t="str">
        <f>VLOOKUP(M115,Table1[#All],7,FALSE)</f>
        <v>Q4</v>
      </c>
      <c r="V115" s="79"/>
      <c r="W115" s="40" t="str">
        <f>VLOOKUP(M115,Table1[#All],8,FALSE)</f>
        <v>Q5</v>
      </c>
      <c r="X115" s="79"/>
      <c r="Y115" s="44" t="str">
        <f>VLOOKUP(M115,Table1[#All],2,FALSE)</f>
        <v>Action</v>
      </c>
      <c r="Z115" s="59" t="str">
        <f>VLOOKUP(M115,Table1[#All],9,FALSE)</f>
        <v>Additional Notes:</v>
      </c>
      <c r="AA115" s="76"/>
      <c r="AB115" s="76"/>
      <c r="AC115" s="90" t="s">
        <v>91</v>
      </c>
      <c r="AD115" s="76" t="s">
        <v>91</v>
      </c>
      <c r="AE115" s="77"/>
      <c r="AF115" s="77"/>
      <c r="AG115" s="41" t="s">
        <v>91</v>
      </c>
      <c r="AH115" s="25"/>
      <c r="AI115" s="25"/>
      <c r="AJ115" s="42"/>
    </row>
    <row r="116" spans="1:36" ht="42" hidden="1" x14ac:dyDescent="0.55000000000000004">
      <c r="A116" s="44" t="str">
        <f>Data!K115</f>
        <v>Dental Health and Wellness WI</v>
      </c>
      <c r="B116" s="44" t="str">
        <f>Data!L115</f>
        <v>8444645635</v>
      </c>
      <c r="C116" s="44" t="str">
        <f>Data!D115</f>
        <v xml:space="preserve">Sloat , Breanna </v>
      </c>
      <c r="D116" s="82" t="str">
        <f>Data!F115</f>
        <v>2422230121</v>
      </c>
      <c r="E116" s="82" t="str">
        <f>Data!B115</f>
        <v>8958</v>
      </c>
      <c r="F116" s="44" t="str">
        <f>Data!A115</f>
        <v xml:space="preserve">Sloat , Breanna </v>
      </c>
      <c r="G116" s="55" t="str">
        <f>Data!C115</f>
        <v>5/23/1998</v>
      </c>
      <c r="H116" s="56">
        <f>Data!H115</f>
        <v>44600</v>
      </c>
      <c r="I116" s="56" t="str">
        <f>Data!I115</f>
        <v>2/9/2022</v>
      </c>
      <c r="J116" s="57">
        <f>Data!J115</f>
        <v>607.20000000000005</v>
      </c>
      <c r="K116" s="58">
        <f t="shared" ca="1" si="1"/>
        <v>99</v>
      </c>
      <c r="L116" s="58">
        <f>Data!M115</f>
        <v>0</v>
      </c>
      <c r="M116" s="37" t="s">
        <v>20</v>
      </c>
      <c r="N116" s="43" t="str">
        <f>VLOOKUP(M116,Table1[#All],3,FALSE)</f>
        <v>Ins needs more info, need to submit;</v>
      </c>
      <c r="O116" s="40" t="str">
        <f>VLOOKUP(M116,Table1[#All],4,FALSE)</f>
        <v>Attachments/Info needed?</v>
      </c>
      <c r="P116" s="39" t="s">
        <v>4043</v>
      </c>
      <c r="Q116" s="40" t="str">
        <f>VLOOKUP(M116,Table1[#All],5,FALSE)</f>
        <v>Fax # (If Fax Yes):</v>
      </c>
      <c r="R116" s="79"/>
      <c r="S116" s="40" t="str">
        <f>VLOOKUP(M116,Table1[#All],6,FALSE)</f>
        <v>Call Ref#:</v>
      </c>
      <c r="T116" s="39">
        <v>607713</v>
      </c>
      <c r="U116" s="40" t="str">
        <f>VLOOKUP(M116,Table1[#All],7,FALSE)</f>
        <v>Cust Rep:</v>
      </c>
      <c r="V116" s="79" t="s">
        <v>4194</v>
      </c>
      <c r="W116" s="40">
        <f>VLOOKUP(M116,Table1[#All],8,FALSE)</f>
        <v>0</v>
      </c>
      <c r="X116" s="79"/>
      <c r="Y116" s="44" t="str">
        <f>VLOOKUP(M116,Table1[#All],2,FALSE)</f>
        <v xml:space="preserve">Task Sub Pending Claims Queue </v>
      </c>
      <c r="Z116" s="59" t="str">
        <f>VLOOKUP(M116,Table1[#All],9,FALSE)</f>
        <v>Additional Notes:</v>
      </c>
      <c r="AA116" s="76" t="s">
        <v>4193</v>
      </c>
      <c r="AB116" s="76" t="s">
        <v>3697</v>
      </c>
      <c r="AC116" s="90" t="s">
        <v>115</v>
      </c>
      <c r="AD116" s="76" t="s">
        <v>177</v>
      </c>
      <c r="AE116" s="77" t="s">
        <v>4127</v>
      </c>
      <c r="AF116" s="110">
        <v>44693</v>
      </c>
      <c r="AG116" s="41" t="s">
        <v>101</v>
      </c>
      <c r="AH116" s="25"/>
      <c r="AI116" s="25"/>
      <c r="AJ116" s="42"/>
    </row>
    <row r="117" spans="1:36" ht="42" x14ac:dyDescent="0.55000000000000004">
      <c r="A117" s="44" t="str">
        <f>Data!K116</f>
        <v>Dental Health and Wellness WI</v>
      </c>
      <c r="B117" s="44" t="str">
        <f>Data!L116</f>
        <v>8444645635</v>
      </c>
      <c r="C117" s="44" t="str">
        <f>Data!D116</f>
        <v>Groves, Nolan</v>
      </c>
      <c r="D117" s="82" t="str">
        <f>Data!F116</f>
        <v>4451849241</v>
      </c>
      <c r="E117" s="82" t="str">
        <f>Data!B116</f>
        <v>2956</v>
      </c>
      <c r="F117" s="44" t="str">
        <f>Data!A116</f>
        <v>Groves, Nolan</v>
      </c>
      <c r="G117" s="55" t="str">
        <f>Data!C116</f>
        <v>7/17/2017</v>
      </c>
      <c r="H117" s="56">
        <f>Data!H116</f>
        <v>44588</v>
      </c>
      <c r="I117" s="56" t="str">
        <f>Data!I116</f>
        <v>1/27/2022</v>
      </c>
      <c r="J117" s="57">
        <f>Data!J116</f>
        <v>20</v>
      </c>
      <c r="K117" s="58">
        <f t="shared" ca="1" si="1"/>
        <v>112</v>
      </c>
      <c r="L117" s="58">
        <f>Data!M116</f>
        <v>0</v>
      </c>
      <c r="M117" s="37" t="s">
        <v>46</v>
      </c>
      <c r="N117" s="43" t="str">
        <f>VLOOKUP(M117,Table1[#All],3,FALSE)</f>
        <v>Duplicate Submission;</v>
      </c>
      <c r="O117" s="40" t="str">
        <f>VLOOKUP(M117,Table1[#All],4,FALSE)</f>
        <v>Dt orig. claim submitted:</v>
      </c>
      <c r="P117" s="39"/>
      <c r="Q117" s="40" t="str">
        <f>VLOOKUP(M117,Table1[#All],5,FALSE)</f>
        <v xml:space="preserve">Status of original Claim: </v>
      </c>
      <c r="R117" s="79"/>
      <c r="S117" s="40" t="str">
        <f>VLOOKUP(M117,Table1[#All],6,FALSE)</f>
        <v>Call Ref#:</v>
      </c>
      <c r="T117" s="79">
        <v>575324</v>
      </c>
      <c r="U117" s="40" t="str">
        <f>VLOOKUP(M117,Table1[#All],7,FALSE)</f>
        <v>Cust Rep:</v>
      </c>
      <c r="V117" s="79" t="s">
        <v>4144</v>
      </c>
      <c r="W117" s="40">
        <f>VLOOKUP(M117,Table1[#All],8,FALSE)</f>
        <v>0</v>
      </c>
      <c r="X117" s="79"/>
      <c r="Y117" s="44" t="str">
        <f>VLOOKUP(M117,Table1[#All],2,FALSE)</f>
        <v>No Action</v>
      </c>
      <c r="Z117" s="59" t="str">
        <f>VLOOKUP(M117,Table1[#All],9,FALSE)</f>
        <v>Additional Notes:</v>
      </c>
      <c r="AA117" s="76" t="s">
        <v>4201</v>
      </c>
      <c r="AB117" s="117">
        <v>44698</v>
      </c>
      <c r="AC117" s="90" t="s">
        <v>115</v>
      </c>
      <c r="AD117" s="76" t="s">
        <v>177</v>
      </c>
      <c r="AE117" s="77" t="s">
        <v>4127</v>
      </c>
      <c r="AF117" s="110">
        <v>44679</v>
      </c>
      <c r="AG117" s="41" t="s">
        <v>100</v>
      </c>
      <c r="AH117" s="25"/>
      <c r="AI117" s="25"/>
      <c r="AJ117" s="42"/>
    </row>
    <row r="118" spans="1:36" ht="21" hidden="1" x14ac:dyDescent="0.55000000000000004">
      <c r="A118" s="44" t="str">
        <f>Data!K117</f>
        <v>Dental Health and Wellness WI</v>
      </c>
      <c r="B118" s="44" t="str">
        <f>Data!L117</f>
        <v>8444645635</v>
      </c>
      <c r="C118" s="44" t="str">
        <f>Data!D117</f>
        <v xml:space="preserve">Lees, Vannessa </v>
      </c>
      <c r="D118" s="82" t="str">
        <f>Data!F117</f>
        <v>8417361189</v>
      </c>
      <c r="E118" s="82" t="str">
        <f>Data!B117</f>
        <v>8714</v>
      </c>
      <c r="F118" s="44" t="str">
        <f>Data!A117</f>
        <v xml:space="preserve">Lees, Vannessa </v>
      </c>
      <c r="G118" s="55" t="str">
        <f>Data!C117</f>
        <v>10/2/1996</v>
      </c>
      <c r="H118" s="56">
        <f>Data!H117</f>
        <v>44553</v>
      </c>
      <c r="I118" s="56" t="str">
        <f>Data!I117</f>
        <v>2/15/2022</v>
      </c>
      <c r="J118" s="57">
        <f>Data!J117</f>
        <v>813.6</v>
      </c>
      <c r="K118" s="58">
        <f t="shared" ca="1" si="1"/>
        <v>93</v>
      </c>
      <c r="L118" s="58">
        <f>Data!M117</f>
        <v>0</v>
      </c>
      <c r="M118" s="37" t="s">
        <v>26</v>
      </c>
      <c r="N118" s="43" t="str">
        <f>VLOOKUP(M118,Table1[#All],3,FALSE)</f>
        <v>Note</v>
      </c>
      <c r="O118" s="40" t="str">
        <f>VLOOKUP(M118,Table1[#All],4,FALSE)</f>
        <v>Q1</v>
      </c>
      <c r="P118" s="39"/>
      <c r="Q118" s="40" t="str">
        <f>VLOOKUP(M118,Table1[#All],5,FALSE)</f>
        <v>Q2</v>
      </c>
      <c r="R118" s="79"/>
      <c r="S118" s="40" t="str">
        <f>VLOOKUP(M118,Table1[#All],6,FALSE)</f>
        <v>Q3</v>
      </c>
      <c r="T118" s="79"/>
      <c r="U118" s="40" t="str">
        <f>VLOOKUP(M118,Table1[#All],7,FALSE)</f>
        <v>Q4</v>
      </c>
      <c r="V118" s="79"/>
      <c r="W118" s="40" t="str">
        <f>VLOOKUP(M118,Table1[#All],8,FALSE)</f>
        <v>Q5</v>
      </c>
      <c r="X118" s="79"/>
      <c r="Y118" s="44" t="str">
        <f>VLOOKUP(M118,Table1[#All],2,FALSE)</f>
        <v>Action</v>
      </c>
      <c r="Z118" s="59" t="str">
        <f>VLOOKUP(M118,Table1[#All],9,FALSE)</f>
        <v>Additional Notes:</v>
      </c>
      <c r="AA118" s="76"/>
      <c r="AB118" s="76"/>
      <c r="AC118" s="90" t="s">
        <v>91</v>
      </c>
      <c r="AD118" s="76" t="s">
        <v>91</v>
      </c>
      <c r="AE118" s="77"/>
      <c r="AF118" s="77"/>
      <c r="AG118" s="41" t="s">
        <v>91</v>
      </c>
      <c r="AH118" s="25"/>
      <c r="AI118" s="25"/>
      <c r="AJ118" s="42"/>
    </row>
    <row r="119" spans="1:36" ht="21" hidden="1" x14ac:dyDescent="0.55000000000000004">
      <c r="A119" s="44" t="str">
        <f>Data!K118</f>
        <v>Dental Health and Wellness WI</v>
      </c>
      <c r="B119" s="44" t="str">
        <f>Data!L118</f>
        <v>8444645635</v>
      </c>
      <c r="C119" s="44" t="str">
        <f>Data!D118</f>
        <v xml:space="preserve">Johnson , Elliott </v>
      </c>
      <c r="D119" s="82" t="str">
        <f>Data!F118</f>
        <v>5438989150</v>
      </c>
      <c r="E119" s="82" t="str">
        <f>Data!B118</f>
        <v>8863</v>
      </c>
      <c r="F119" s="44" t="str">
        <f>Data!A118</f>
        <v xml:space="preserve">Johnson , Elliott </v>
      </c>
      <c r="G119" s="55" t="str">
        <f>Data!C118</f>
        <v>11/16/1985</v>
      </c>
      <c r="H119" s="56">
        <f>Data!H118</f>
        <v>44575</v>
      </c>
      <c r="I119" s="56" t="str">
        <f>Data!I118</f>
        <v>2/16/2022</v>
      </c>
      <c r="J119" s="57">
        <f>Data!J118</f>
        <v>408.8</v>
      </c>
      <c r="K119" s="58">
        <f t="shared" ca="1" si="1"/>
        <v>92</v>
      </c>
      <c r="L119" s="58">
        <f>Data!M118</f>
        <v>0</v>
      </c>
      <c r="M119" s="37" t="s">
        <v>26</v>
      </c>
      <c r="N119" s="43" t="str">
        <f>VLOOKUP(M119,Table1[#All],3,FALSE)</f>
        <v>Note</v>
      </c>
      <c r="O119" s="40" t="str">
        <f>VLOOKUP(M119,Table1[#All],4,FALSE)</f>
        <v>Q1</v>
      </c>
      <c r="P119" s="39"/>
      <c r="Q119" s="40" t="str">
        <f>VLOOKUP(M119,Table1[#All],5,FALSE)</f>
        <v>Q2</v>
      </c>
      <c r="R119" s="79"/>
      <c r="S119" s="40" t="str">
        <f>VLOOKUP(M119,Table1[#All],6,FALSE)</f>
        <v>Q3</v>
      </c>
      <c r="T119" s="79"/>
      <c r="U119" s="40" t="str">
        <f>VLOOKUP(M119,Table1[#All],7,FALSE)</f>
        <v>Q4</v>
      </c>
      <c r="V119" s="79"/>
      <c r="W119" s="40" t="str">
        <f>VLOOKUP(M119,Table1[#All],8,FALSE)</f>
        <v>Q5</v>
      </c>
      <c r="X119" s="79"/>
      <c r="Y119" s="44" t="str">
        <f>VLOOKUP(M119,Table1[#All],2,FALSE)</f>
        <v>Action</v>
      </c>
      <c r="Z119" s="59" t="str">
        <f>VLOOKUP(M119,Table1[#All],9,FALSE)</f>
        <v>Additional Notes:</v>
      </c>
      <c r="AA119" s="76"/>
      <c r="AB119" s="76"/>
      <c r="AC119" s="90" t="s">
        <v>91</v>
      </c>
      <c r="AD119" s="76" t="s">
        <v>91</v>
      </c>
      <c r="AE119" s="77"/>
      <c r="AF119" s="77"/>
      <c r="AG119" s="41" t="s">
        <v>91</v>
      </c>
      <c r="AH119" s="25"/>
      <c r="AI119" s="25"/>
      <c r="AJ119" s="42"/>
    </row>
    <row r="120" spans="1:36" ht="21" hidden="1" x14ac:dyDescent="0.55000000000000004">
      <c r="A120" s="44" t="str">
        <f>Data!K119</f>
        <v>Dental Health and Wellness WI</v>
      </c>
      <c r="B120" s="44" t="str">
        <f>Data!L119</f>
        <v>8444645635</v>
      </c>
      <c r="C120" s="44" t="str">
        <f>Data!D119</f>
        <v>Jaimes, Gener</v>
      </c>
      <c r="D120" s="82" t="str">
        <f>Data!F119</f>
        <v>7421220771</v>
      </c>
      <c r="E120" s="82" t="str">
        <f>Data!B119</f>
        <v>629</v>
      </c>
      <c r="F120" s="44" t="str">
        <f>Data!A119</f>
        <v>Jaimes, Gener</v>
      </c>
      <c r="G120" s="55" t="str">
        <f>Data!C119</f>
        <v>6/6/1970</v>
      </c>
      <c r="H120" s="56">
        <f>Data!H119</f>
        <v>44575</v>
      </c>
      <c r="I120" s="56" t="str">
        <f>Data!I119</f>
        <v>1/14/2022</v>
      </c>
      <c r="J120" s="57">
        <f>Data!J119</f>
        <v>132.80000000000001</v>
      </c>
      <c r="K120" s="58">
        <f t="shared" ca="1" si="1"/>
        <v>125</v>
      </c>
      <c r="L120" s="58">
        <f>Data!M119</f>
        <v>0</v>
      </c>
      <c r="M120" s="37" t="s">
        <v>7</v>
      </c>
      <c r="N120" s="43" t="str">
        <f>VLOOKUP(M120,Table1[#All],3,FALSE)</f>
        <v>Claim Paid by Check;</v>
      </c>
      <c r="O120" s="40" t="str">
        <f>VLOOKUP(M120,Table1[#All],4,FALSE)</f>
        <v>Issue Date:</v>
      </c>
      <c r="P120" s="38">
        <v>44581</v>
      </c>
      <c r="Q120" s="40" t="str">
        <f>VLOOKUP(M120,Table1[#All],5,FALSE)</f>
        <v>CHK#</v>
      </c>
      <c r="R120" s="79">
        <v>904375</v>
      </c>
      <c r="S120" s="40" t="str">
        <f>VLOOKUP(M120,Table1[#All],6,FALSE)</f>
        <v>Bulk/Sep:</v>
      </c>
      <c r="T120" s="79" t="s">
        <v>3800</v>
      </c>
      <c r="U120" s="40" t="str">
        <f>VLOOKUP(M120,Table1[#All],7,FALSE)</f>
        <v>Call Ref#:</v>
      </c>
      <c r="V120" s="79"/>
      <c r="W120" s="40" t="str">
        <f>VLOOKUP(M120,Table1[#All],8,FALSE)</f>
        <v>Cust Rep:</v>
      </c>
      <c r="X120" s="79"/>
      <c r="Y120" s="44" t="str">
        <f>VLOOKUP(M120,Table1[#All],2,FALSE)</f>
        <v xml:space="preserve">Task Cashed Chk Queue </v>
      </c>
      <c r="Z120" s="59" t="str">
        <f>VLOOKUP(M120,Table1[#All],9,FALSE)</f>
        <v>Additional Notes:</v>
      </c>
      <c r="AA120" s="76" t="s">
        <v>4200</v>
      </c>
      <c r="AB120" s="76" t="s">
        <v>3762</v>
      </c>
      <c r="AC120" s="90" t="s">
        <v>115</v>
      </c>
      <c r="AD120" s="76" t="s">
        <v>177</v>
      </c>
      <c r="AE120" s="77" t="s">
        <v>4127</v>
      </c>
      <c r="AF120" s="110">
        <v>44676</v>
      </c>
      <c r="AG120" s="41" t="s">
        <v>101</v>
      </c>
      <c r="AH120" s="25"/>
      <c r="AI120" s="25"/>
      <c r="AJ120" s="42"/>
    </row>
    <row r="121" spans="1:36" ht="21" hidden="1" x14ac:dyDescent="0.55000000000000004">
      <c r="A121" s="44" t="str">
        <f>Data!K120</f>
        <v>Dental Health and Wellness WI</v>
      </c>
      <c r="B121" s="44" t="str">
        <f>Data!L120</f>
        <v>8444645635</v>
      </c>
      <c r="C121" s="44" t="str">
        <f>Data!D120</f>
        <v>Guzman, Daniel</v>
      </c>
      <c r="D121" s="82" t="str">
        <f>Data!F120</f>
        <v>7450197171</v>
      </c>
      <c r="E121" s="82" t="str">
        <f>Data!B120</f>
        <v>8765</v>
      </c>
      <c r="F121" s="44" t="str">
        <f>Data!A120</f>
        <v>Guzman, Daniel</v>
      </c>
      <c r="G121" s="55" t="str">
        <f>Data!C120</f>
        <v>12/9/1994</v>
      </c>
      <c r="H121" s="56">
        <f>Data!H120</f>
        <v>44575</v>
      </c>
      <c r="I121" s="56" t="str">
        <f>Data!I120</f>
        <v>1/14/2022</v>
      </c>
      <c r="J121" s="57">
        <f>Data!J120</f>
        <v>332.4</v>
      </c>
      <c r="K121" s="58">
        <f t="shared" ca="1" si="1"/>
        <v>125</v>
      </c>
      <c r="L121" s="58">
        <f>Data!M120</f>
        <v>0</v>
      </c>
      <c r="M121" s="37" t="s">
        <v>7</v>
      </c>
      <c r="N121" s="43" t="str">
        <f>VLOOKUP(M121,Table1[#All],3,FALSE)</f>
        <v>Claim Paid by Check;</v>
      </c>
      <c r="O121" s="40" t="str">
        <f>VLOOKUP(M121,Table1[#All],4,FALSE)</f>
        <v>Issue Date:</v>
      </c>
      <c r="P121" s="38">
        <v>44581</v>
      </c>
      <c r="Q121" s="40" t="str">
        <f>VLOOKUP(M121,Table1[#All],5,FALSE)</f>
        <v>CHK#</v>
      </c>
      <c r="R121" s="79">
        <v>904375</v>
      </c>
      <c r="S121" s="40" t="str">
        <f>VLOOKUP(M121,Table1[#All],6,FALSE)</f>
        <v>Bulk/Sep:</v>
      </c>
      <c r="T121" s="79" t="s">
        <v>3800</v>
      </c>
      <c r="U121" s="40" t="str">
        <f>VLOOKUP(M121,Table1[#All],7,FALSE)</f>
        <v>Call Ref#:</v>
      </c>
      <c r="V121" s="79"/>
      <c r="W121" s="40" t="str">
        <f>VLOOKUP(M121,Table1[#All],8,FALSE)</f>
        <v>Cust Rep:</v>
      </c>
      <c r="X121" s="79"/>
      <c r="Y121" s="44" t="str">
        <f>VLOOKUP(M121,Table1[#All],2,FALSE)</f>
        <v xml:space="preserve">Task Cashed Chk Queue </v>
      </c>
      <c r="Z121" s="59" t="str">
        <f>VLOOKUP(M121,Table1[#All],9,FALSE)</f>
        <v>Additional Notes:</v>
      </c>
      <c r="AA121" s="76" t="s">
        <v>4202</v>
      </c>
      <c r="AB121" s="76" t="s">
        <v>3762</v>
      </c>
      <c r="AC121" s="90" t="s">
        <v>115</v>
      </c>
      <c r="AD121" s="76" t="s">
        <v>177</v>
      </c>
      <c r="AE121" s="77" t="s">
        <v>4127</v>
      </c>
      <c r="AF121" s="110">
        <v>44679</v>
      </c>
      <c r="AG121" s="41" t="s">
        <v>101</v>
      </c>
      <c r="AH121" s="25"/>
      <c r="AI121" s="25"/>
      <c r="AJ121" s="42"/>
    </row>
    <row r="122" spans="1:36" ht="21" hidden="1" x14ac:dyDescent="0.55000000000000004">
      <c r="A122" s="44" t="str">
        <f>Data!K121</f>
        <v>Dental Health and Wellness WI</v>
      </c>
      <c r="B122" s="44" t="str">
        <f>Data!L121</f>
        <v>8444645635</v>
      </c>
      <c r="C122" s="44" t="str">
        <f>Data!D121</f>
        <v>Allen, Andre</v>
      </c>
      <c r="D122" s="82" t="str">
        <f>Data!F121</f>
        <v>0411704605</v>
      </c>
      <c r="E122" s="82" t="str">
        <f>Data!B121</f>
        <v>8807</v>
      </c>
      <c r="F122" s="44" t="str">
        <f>Data!A121</f>
        <v>Allen, Andre</v>
      </c>
      <c r="G122" s="55" t="str">
        <f>Data!C121</f>
        <v>4/19/1982</v>
      </c>
      <c r="H122" s="56">
        <f>Data!H121</f>
        <v>44575</v>
      </c>
      <c r="I122" s="56" t="str">
        <f>Data!I121</f>
        <v>1/14/2022</v>
      </c>
      <c r="J122" s="57">
        <f>Data!J121</f>
        <v>294.8</v>
      </c>
      <c r="K122" s="58">
        <f t="shared" ca="1" si="1"/>
        <v>125</v>
      </c>
      <c r="L122" s="58">
        <f>Data!M121</f>
        <v>0</v>
      </c>
      <c r="M122" s="37" t="s">
        <v>7</v>
      </c>
      <c r="N122" s="43" t="str">
        <f>VLOOKUP(M122,Table1[#All],3,FALSE)</f>
        <v>Claim Paid by Check;</v>
      </c>
      <c r="O122" s="40" t="str">
        <f>VLOOKUP(M122,Table1[#All],4,FALSE)</f>
        <v>Issue Date:</v>
      </c>
      <c r="P122" s="38">
        <v>44581</v>
      </c>
      <c r="Q122" s="40" t="str">
        <f>VLOOKUP(M122,Table1[#All],5,FALSE)</f>
        <v>CHK#</v>
      </c>
      <c r="R122" s="79">
        <v>904375</v>
      </c>
      <c r="S122" s="40" t="str">
        <f>VLOOKUP(M122,Table1[#All],6,FALSE)</f>
        <v>Bulk/Sep:</v>
      </c>
      <c r="T122" s="79" t="s">
        <v>3800</v>
      </c>
      <c r="U122" s="40" t="str">
        <f>VLOOKUP(M122,Table1[#All],7,FALSE)</f>
        <v>Call Ref#:</v>
      </c>
      <c r="V122" s="79"/>
      <c r="W122" s="40" t="str">
        <f>VLOOKUP(M122,Table1[#All],8,FALSE)</f>
        <v>Cust Rep:</v>
      </c>
      <c r="X122" s="79"/>
      <c r="Y122" s="44" t="str">
        <f>VLOOKUP(M122,Table1[#All],2,FALSE)</f>
        <v xml:space="preserve">Task Cashed Chk Queue </v>
      </c>
      <c r="Z122" s="59" t="str">
        <f>VLOOKUP(M122,Table1[#All],9,FALSE)</f>
        <v>Additional Notes:</v>
      </c>
      <c r="AA122" s="76" t="s">
        <v>4158</v>
      </c>
      <c r="AB122" s="76" t="s">
        <v>3762</v>
      </c>
      <c r="AC122" s="90" t="s">
        <v>115</v>
      </c>
      <c r="AD122" s="76" t="s">
        <v>177</v>
      </c>
      <c r="AE122" s="77" t="s">
        <v>4127</v>
      </c>
      <c r="AF122" s="110">
        <v>44679</v>
      </c>
      <c r="AG122" s="41" t="s">
        <v>101</v>
      </c>
      <c r="AH122" s="25"/>
      <c r="AI122" s="25"/>
      <c r="AJ122" s="42"/>
    </row>
    <row r="123" spans="1:36" ht="21" hidden="1" x14ac:dyDescent="0.55000000000000004">
      <c r="A123" s="44" t="str">
        <f>Data!K122</f>
        <v>Dental Health and Wellness WI</v>
      </c>
      <c r="B123" s="44" t="str">
        <f>Data!L122</f>
        <v>8444645635</v>
      </c>
      <c r="C123" s="44" t="str">
        <f>Data!D122</f>
        <v xml:space="preserve">Williams, James </v>
      </c>
      <c r="D123" s="82" t="str">
        <f>Data!F122</f>
        <v>3455093931</v>
      </c>
      <c r="E123" s="82" t="str">
        <f>Data!B122</f>
        <v>8849</v>
      </c>
      <c r="F123" s="44" t="str">
        <f>Data!A122</f>
        <v xml:space="preserve">Williams, James </v>
      </c>
      <c r="G123" s="55" t="str">
        <f>Data!C122</f>
        <v>2/10/1998</v>
      </c>
      <c r="H123" s="56">
        <f>Data!H122</f>
        <v>44573</v>
      </c>
      <c r="I123" s="56" t="str">
        <f>Data!I122</f>
        <v>1/13/2022</v>
      </c>
      <c r="J123" s="57">
        <f>Data!J122</f>
        <v>612</v>
      </c>
      <c r="K123" s="58">
        <f t="shared" ca="1" si="1"/>
        <v>126</v>
      </c>
      <c r="L123" s="58">
        <f>Data!M122</f>
        <v>0</v>
      </c>
      <c r="M123" s="37" t="s">
        <v>7</v>
      </c>
      <c r="N123" s="43" t="str">
        <f>VLOOKUP(M123,Table1[#All],3,FALSE)</f>
        <v>Claim Paid by Check;</v>
      </c>
      <c r="O123" s="40" t="str">
        <f>VLOOKUP(M123,Table1[#All],4,FALSE)</f>
        <v>Issue Date:</v>
      </c>
      <c r="P123" s="38">
        <v>44616</v>
      </c>
      <c r="Q123" s="40" t="str">
        <f>VLOOKUP(M123,Table1[#All],5,FALSE)</f>
        <v>CHK#</v>
      </c>
      <c r="R123" s="79">
        <v>932617</v>
      </c>
      <c r="S123" s="40" t="str">
        <f>VLOOKUP(M123,Table1[#All],6,FALSE)</f>
        <v>Bulk/Sep:</v>
      </c>
      <c r="T123" s="79" t="s">
        <v>3800</v>
      </c>
      <c r="U123" s="40" t="str">
        <f>VLOOKUP(M123,Table1[#All],7,FALSE)</f>
        <v>Call Ref#:</v>
      </c>
      <c r="V123" s="79"/>
      <c r="W123" s="40" t="str">
        <f>VLOOKUP(M123,Table1[#All],8,FALSE)</f>
        <v>Cust Rep:</v>
      </c>
      <c r="X123" s="79"/>
      <c r="Y123" s="44" t="str">
        <f>VLOOKUP(M123,Table1[#All],2,FALSE)</f>
        <v xml:space="preserve">Task Cashed Chk Queue </v>
      </c>
      <c r="Z123" s="59" t="str">
        <f>VLOOKUP(M123,Table1[#All],9,FALSE)</f>
        <v>Additional Notes:</v>
      </c>
      <c r="AA123" s="76" t="s">
        <v>4097</v>
      </c>
      <c r="AB123" s="76" t="s">
        <v>3762</v>
      </c>
      <c r="AC123" s="90" t="s">
        <v>115</v>
      </c>
      <c r="AD123" s="76" t="s">
        <v>177</v>
      </c>
      <c r="AE123" s="77" t="s">
        <v>3770</v>
      </c>
      <c r="AF123" s="110">
        <v>44664</v>
      </c>
      <c r="AG123" s="41" t="s">
        <v>101</v>
      </c>
      <c r="AH123" s="25"/>
      <c r="AI123" s="25"/>
      <c r="AJ123" s="42"/>
    </row>
    <row r="124" spans="1:36" ht="21" hidden="1" x14ac:dyDescent="0.55000000000000004">
      <c r="A124" s="44" t="str">
        <f>Data!K123</f>
        <v>Dental Health and Wellness WI</v>
      </c>
      <c r="B124" s="44" t="str">
        <f>Data!L123</f>
        <v>8444645635</v>
      </c>
      <c r="C124" s="44" t="str">
        <f>Data!D123</f>
        <v xml:space="preserve">Guzman, Nydia </v>
      </c>
      <c r="D124" s="82" t="str">
        <f>Data!F123</f>
        <v>5424267955</v>
      </c>
      <c r="E124" s="82" t="str">
        <f>Data!B123</f>
        <v>8755</v>
      </c>
      <c r="F124" s="44" t="str">
        <f>Data!A123</f>
        <v xml:space="preserve">Guzman, Nydia </v>
      </c>
      <c r="G124" s="55" t="str">
        <f>Data!C123</f>
        <v>3/7/1980</v>
      </c>
      <c r="H124" s="56">
        <f>Data!H123</f>
        <v>44572</v>
      </c>
      <c r="I124" s="56" t="str">
        <f>Data!I123</f>
        <v>1/13/2022</v>
      </c>
      <c r="J124" s="57">
        <f>Data!J123</f>
        <v>332.4</v>
      </c>
      <c r="K124" s="58">
        <f t="shared" ca="1" si="1"/>
        <v>126</v>
      </c>
      <c r="L124" s="58">
        <f>Data!M123</f>
        <v>0</v>
      </c>
      <c r="M124" s="37" t="s">
        <v>7</v>
      </c>
      <c r="N124" s="43" t="str">
        <f>VLOOKUP(M124,Table1[#All],3,FALSE)</f>
        <v>Claim Paid by Check;</v>
      </c>
      <c r="O124" s="40" t="str">
        <f>VLOOKUP(M124,Table1[#All],4,FALSE)</f>
        <v>Issue Date:</v>
      </c>
      <c r="P124" s="38">
        <v>44616</v>
      </c>
      <c r="Q124" s="40" t="str">
        <f>VLOOKUP(M124,Table1[#All],5,FALSE)</f>
        <v>CHK#</v>
      </c>
      <c r="R124" s="79">
        <v>932617</v>
      </c>
      <c r="S124" s="40" t="str">
        <f>VLOOKUP(M124,Table1[#All],6,FALSE)</f>
        <v>Bulk/Sep:</v>
      </c>
      <c r="T124" s="79" t="s">
        <v>3800</v>
      </c>
      <c r="U124" s="40" t="str">
        <f>VLOOKUP(M124,Table1[#All],7,FALSE)</f>
        <v>Call Ref#:</v>
      </c>
      <c r="V124" s="79"/>
      <c r="W124" s="40" t="str">
        <f>VLOOKUP(M124,Table1[#All],8,FALSE)</f>
        <v>Cust Rep:</v>
      </c>
      <c r="X124" s="79"/>
      <c r="Y124" s="44" t="str">
        <f>VLOOKUP(M124,Table1[#All],2,FALSE)</f>
        <v xml:space="preserve">Task Cashed Chk Queue </v>
      </c>
      <c r="Z124" s="59" t="str">
        <f>VLOOKUP(M124,Table1[#All],9,FALSE)</f>
        <v>Additional Notes:</v>
      </c>
      <c r="AA124" s="76" t="s">
        <v>4097</v>
      </c>
      <c r="AB124" s="76" t="s">
        <v>3762</v>
      </c>
      <c r="AC124" s="90" t="s">
        <v>115</v>
      </c>
      <c r="AD124" s="76" t="s">
        <v>177</v>
      </c>
      <c r="AE124" s="77" t="s">
        <v>3770</v>
      </c>
      <c r="AF124" s="110">
        <v>44664</v>
      </c>
      <c r="AG124" s="41" t="s">
        <v>101</v>
      </c>
      <c r="AH124" s="25"/>
      <c r="AI124" s="25"/>
      <c r="AJ124" s="42"/>
    </row>
    <row r="125" spans="1:36" ht="21" hidden="1" x14ac:dyDescent="0.55000000000000004">
      <c r="A125" s="44" t="str">
        <f>Data!K124</f>
        <v>Dental Health and Wellness WI</v>
      </c>
      <c r="B125" s="44" t="str">
        <f>Data!L124</f>
        <v>8444645635</v>
      </c>
      <c r="C125" s="44" t="str">
        <f>Data!D124</f>
        <v>Mayes, Shanitra</v>
      </c>
      <c r="D125" s="82" t="str">
        <f>Data!F124</f>
        <v>1419719513</v>
      </c>
      <c r="E125" s="82" t="str">
        <f>Data!B124</f>
        <v>8814</v>
      </c>
      <c r="F125" s="44" t="str">
        <f>Data!A124</f>
        <v>Mayes, Shanitra</v>
      </c>
      <c r="G125" s="55" t="str">
        <f>Data!C124</f>
        <v>4/30/1992</v>
      </c>
      <c r="H125" s="56">
        <f>Data!H124</f>
        <v>44573</v>
      </c>
      <c r="I125" s="56" t="str">
        <f>Data!I124</f>
        <v>1/12/2022</v>
      </c>
      <c r="J125" s="57">
        <f>Data!J124</f>
        <v>364.8</v>
      </c>
      <c r="K125" s="58">
        <f t="shared" ca="1" si="1"/>
        <v>127</v>
      </c>
      <c r="L125" s="58">
        <f>Data!M124</f>
        <v>0</v>
      </c>
      <c r="M125" s="37" t="s">
        <v>7</v>
      </c>
      <c r="N125" s="43" t="str">
        <f>VLOOKUP(M125,Table1[#All],3,FALSE)</f>
        <v>Claim Paid by Check;</v>
      </c>
      <c r="O125" s="40" t="str">
        <f>VLOOKUP(M125,Table1[#All],4,FALSE)</f>
        <v>Issue Date:</v>
      </c>
      <c r="P125" s="38">
        <v>44616</v>
      </c>
      <c r="Q125" s="40" t="str">
        <f>VLOOKUP(M125,Table1[#All],5,FALSE)</f>
        <v>CHK#</v>
      </c>
      <c r="R125" s="79">
        <v>932617</v>
      </c>
      <c r="S125" s="40" t="str">
        <f>VLOOKUP(M125,Table1[#All],6,FALSE)</f>
        <v>Bulk/Sep:</v>
      </c>
      <c r="T125" s="79" t="s">
        <v>3800</v>
      </c>
      <c r="U125" s="40" t="str">
        <f>VLOOKUP(M125,Table1[#All],7,FALSE)</f>
        <v>Call Ref#:</v>
      </c>
      <c r="V125" s="79"/>
      <c r="W125" s="40" t="str">
        <f>VLOOKUP(M125,Table1[#All],8,FALSE)</f>
        <v>Cust Rep:</v>
      </c>
      <c r="X125" s="79"/>
      <c r="Y125" s="44" t="str">
        <f>VLOOKUP(M125,Table1[#All],2,FALSE)</f>
        <v xml:space="preserve">Task Cashed Chk Queue </v>
      </c>
      <c r="Z125" s="59" t="str">
        <f>VLOOKUP(M125,Table1[#All],9,FALSE)</f>
        <v>Additional Notes:</v>
      </c>
      <c r="AA125" s="76" t="s">
        <v>4098</v>
      </c>
      <c r="AB125" s="76" t="s">
        <v>3762</v>
      </c>
      <c r="AC125" s="90" t="s">
        <v>115</v>
      </c>
      <c r="AD125" s="76" t="s">
        <v>177</v>
      </c>
      <c r="AE125" s="77" t="s">
        <v>3770</v>
      </c>
      <c r="AF125" s="110">
        <v>44664</v>
      </c>
      <c r="AG125" s="41" t="s">
        <v>101</v>
      </c>
      <c r="AH125" s="25"/>
      <c r="AI125" s="25"/>
      <c r="AJ125" s="42"/>
    </row>
    <row r="126" spans="1:36" ht="21" hidden="1" x14ac:dyDescent="0.55000000000000004">
      <c r="A126" s="44" t="str">
        <f>Data!K125</f>
        <v>Dental Health and Wellness WI</v>
      </c>
      <c r="B126" s="44" t="str">
        <f>Data!L125</f>
        <v>8444645635</v>
      </c>
      <c r="C126" s="44" t="str">
        <f>Data!D125</f>
        <v xml:space="preserve">Groves, Vincent </v>
      </c>
      <c r="D126" s="82" t="str">
        <f>Data!F125</f>
        <v>7447241971</v>
      </c>
      <c r="E126" s="82" t="str">
        <f>Data!B125</f>
        <v>2692</v>
      </c>
      <c r="F126" s="44" t="str">
        <f>Data!A125</f>
        <v xml:space="preserve">Groves, Vincent </v>
      </c>
      <c r="G126" s="55" t="str">
        <f>Data!C125</f>
        <v>11/22/2014</v>
      </c>
      <c r="H126" s="56">
        <f>Data!H125</f>
        <v>44573</v>
      </c>
      <c r="I126" s="56" t="str">
        <f>Data!I125</f>
        <v>1/12/2022</v>
      </c>
      <c r="J126" s="57">
        <f>Data!J125</f>
        <v>350.4</v>
      </c>
      <c r="K126" s="58">
        <f t="shared" ca="1" si="1"/>
        <v>127</v>
      </c>
      <c r="L126" s="58">
        <f>Data!M125</f>
        <v>0</v>
      </c>
      <c r="M126" s="37" t="s">
        <v>7</v>
      </c>
      <c r="N126" s="43" t="str">
        <f>VLOOKUP(M126,Table1[#All],3,FALSE)</f>
        <v>Claim Paid by Check;</v>
      </c>
      <c r="O126" s="40" t="str">
        <f>VLOOKUP(M126,Table1[#All],4,FALSE)</f>
        <v>Issue Date:</v>
      </c>
      <c r="P126" s="38">
        <v>44616</v>
      </c>
      <c r="Q126" s="40" t="str">
        <f>VLOOKUP(M126,Table1[#All],5,FALSE)</f>
        <v>CHK#</v>
      </c>
      <c r="R126" s="79">
        <v>932617</v>
      </c>
      <c r="S126" s="40" t="str">
        <f>VLOOKUP(M126,Table1[#All],6,FALSE)</f>
        <v>Bulk/Sep:</v>
      </c>
      <c r="T126" s="79"/>
      <c r="U126" s="40" t="str">
        <f>VLOOKUP(M126,Table1[#All],7,FALSE)</f>
        <v>Call Ref#:</v>
      </c>
      <c r="V126" s="79"/>
      <c r="W126" s="40" t="str">
        <f>VLOOKUP(M126,Table1[#All],8,FALSE)</f>
        <v>Cust Rep:</v>
      </c>
      <c r="X126" s="79"/>
      <c r="Y126" s="44" t="str">
        <f>VLOOKUP(M126,Table1[#All],2,FALSE)</f>
        <v xml:space="preserve">Task Cashed Chk Queue </v>
      </c>
      <c r="Z126" s="59" t="str">
        <f>VLOOKUP(M126,Table1[#All],9,FALSE)</f>
        <v>Additional Notes:</v>
      </c>
      <c r="AA126" s="76" t="s">
        <v>4099</v>
      </c>
      <c r="AB126" s="76" t="s">
        <v>3762</v>
      </c>
      <c r="AC126" s="90" t="s">
        <v>115</v>
      </c>
      <c r="AD126" s="76" t="s">
        <v>177</v>
      </c>
      <c r="AE126" s="77" t="s">
        <v>3770</v>
      </c>
      <c r="AF126" s="110">
        <v>44664</v>
      </c>
      <c r="AG126" s="41" t="s">
        <v>101</v>
      </c>
      <c r="AH126" s="25"/>
      <c r="AI126" s="25"/>
      <c r="AJ126" s="42"/>
    </row>
    <row r="127" spans="1:36" ht="21" hidden="1" x14ac:dyDescent="0.55000000000000004">
      <c r="A127" s="44" t="str">
        <f>Data!K126</f>
        <v>Dental Health and Wellness WI</v>
      </c>
      <c r="B127" s="44" t="str">
        <f>Data!L126</f>
        <v>8444645635</v>
      </c>
      <c r="C127" s="44" t="str">
        <f>Data!D126</f>
        <v xml:space="preserve">BROOK , STELLA </v>
      </c>
      <c r="D127" s="82" t="str">
        <f>Data!F126</f>
        <v>5450313454</v>
      </c>
      <c r="E127" s="82" t="str">
        <f>Data!B126</f>
        <v>3566</v>
      </c>
      <c r="F127" s="44" t="str">
        <f>Data!A126</f>
        <v xml:space="preserve">BROOK , STELLA </v>
      </c>
      <c r="G127" s="55" t="str">
        <f>Data!C126</f>
        <v>8/18/2016</v>
      </c>
      <c r="H127" s="56">
        <f>Data!H126</f>
        <v>44566</v>
      </c>
      <c r="I127" s="56" t="str">
        <f>Data!I126</f>
        <v>1/12/2022</v>
      </c>
      <c r="J127" s="57">
        <f>Data!J126</f>
        <v>700</v>
      </c>
      <c r="K127" s="58">
        <f t="shared" ca="1" si="1"/>
        <v>127</v>
      </c>
      <c r="L127" s="58">
        <f>Data!M126</f>
        <v>0</v>
      </c>
      <c r="M127" s="37" t="s">
        <v>7</v>
      </c>
      <c r="N127" s="43" t="str">
        <f>VLOOKUP(M127,Table1[#All],3,FALSE)</f>
        <v>Claim Paid by Check;</v>
      </c>
      <c r="O127" s="40" t="str">
        <f>VLOOKUP(M127,Table1[#All],4,FALSE)</f>
        <v>Issue Date:</v>
      </c>
      <c r="P127" s="38">
        <v>44616</v>
      </c>
      <c r="Q127" s="40" t="str">
        <f>VLOOKUP(M127,Table1[#All],5,FALSE)</f>
        <v>CHK#</v>
      </c>
      <c r="R127" s="79">
        <v>932617</v>
      </c>
      <c r="S127" s="40" t="str">
        <f>VLOOKUP(M127,Table1[#All],6,FALSE)</f>
        <v>Bulk/Sep:</v>
      </c>
      <c r="T127" s="79" t="s">
        <v>3800</v>
      </c>
      <c r="U127" s="40" t="str">
        <f>VLOOKUP(M127,Table1[#All],7,FALSE)</f>
        <v>Call Ref#:</v>
      </c>
      <c r="V127" s="79"/>
      <c r="W127" s="40" t="str">
        <f>VLOOKUP(M127,Table1[#All],8,FALSE)</f>
        <v>Cust Rep:</v>
      </c>
      <c r="X127" s="79"/>
      <c r="Y127" s="44" t="str">
        <f>VLOOKUP(M127,Table1[#All],2,FALSE)</f>
        <v xml:space="preserve">Task Cashed Chk Queue </v>
      </c>
      <c r="Z127" s="59" t="str">
        <f>VLOOKUP(M127,Table1[#All],9,FALSE)</f>
        <v>Additional Notes:</v>
      </c>
      <c r="AA127" s="76" t="s">
        <v>4100</v>
      </c>
      <c r="AB127" s="76" t="s">
        <v>3762</v>
      </c>
      <c r="AC127" s="90" t="s">
        <v>115</v>
      </c>
      <c r="AD127" s="76" t="s">
        <v>177</v>
      </c>
      <c r="AE127" s="77" t="s">
        <v>3770</v>
      </c>
      <c r="AF127" s="110">
        <v>44664</v>
      </c>
      <c r="AG127" s="41" t="s">
        <v>101</v>
      </c>
      <c r="AH127" s="25"/>
      <c r="AI127" s="25"/>
      <c r="AJ127" s="42"/>
    </row>
    <row r="128" spans="1:36" ht="21" hidden="1" x14ac:dyDescent="0.55000000000000004">
      <c r="A128" s="44" t="str">
        <f>Data!K127</f>
        <v>Dental Health and Wellness WI</v>
      </c>
      <c r="B128" s="44" t="str">
        <f>Data!L127</f>
        <v>8444645635</v>
      </c>
      <c r="C128" s="44" t="str">
        <f>Data!D127</f>
        <v>Mohammadur Rahm, Umil Janab</v>
      </c>
      <c r="D128" s="82" t="str">
        <f>Data!F127</f>
        <v>7451626270</v>
      </c>
      <c r="E128" s="82" t="str">
        <f>Data!B127</f>
        <v>8816</v>
      </c>
      <c r="F128" s="44" t="str">
        <f>Data!A127</f>
        <v>Mohammadur Rahm, Umil Janab</v>
      </c>
      <c r="G128" s="55" t="str">
        <f>Data!C127</f>
        <v>3/3/2014</v>
      </c>
      <c r="H128" s="56">
        <f>Data!H127</f>
        <v>44568</v>
      </c>
      <c r="I128" s="56" t="str">
        <f>Data!I127</f>
        <v>1/12/2022</v>
      </c>
      <c r="J128" s="57">
        <f>Data!J127</f>
        <v>256.39999999999998</v>
      </c>
      <c r="K128" s="58">
        <f t="shared" ca="1" si="1"/>
        <v>127</v>
      </c>
      <c r="L128" s="58">
        <f>Data!M127</f>
        <v>0</v>
      </c>
      <c r="M128" s="37" t="s">
        <v>7</v>
      </c>
      <c r="N128" s="43" t="str">
        <f>VLOOKUP(M128,Table1[#All],3,FALSE)</f>
        <v>Claim Paid by Check;</v>
      </c>
      <c r="O128" s="40" t="str">
        <f>VLOOKUP(M128,Table1[#All],4,FALSE)</f>
        <v>Issue Date:</v>
      </c>
      <c r="P128" s="38">
        <v>44616</v>
      </c>
      <c r="Q128" s="40" t="str">
        <f>VLOOKUP(M128,Table1[#All],5,FALSE)</f>
        <v>CHK#</v>
      </c>
      <c r="R128" s="79">
        <v>932617</v>
      </c>
      <c r="S128" s="40" t="str">
        <f>VLOOKUP(M128,Table1[#All],6,FALSE)</f>
        <v>Bulk/Sep:</v>
      </c>
      <c r="T128" s="79" t="s">
        <v>3800</v>
      </c>
      <c r="U128" s="40" t="str">
        <f>VLOOKUP(M128,Table1[#All],7,FALSE)</f>
        <v>Call Ref#:</v>
      </c>
      <c r="V128" s="79"/>
      <c r="W128" s="40" t="str">
        <f>VLOOKUP(M128,Table1[#All],8,FALSE)</f>
        <v>Cust Rep:</v>
      </c>
      <c r="X128" s="79"/>
      <c r="Y128" s="44" t="str">
        <f>VLOOKUP(M128,Table1[#All],2,FALSE)</f>
        <v xml:space="preserve">Task Cashed Chk Queue </v>
      </c>
      <c r="Z128" s="59" t="str">
        <f>VLOOKUP(M128,Table1[#All],9,FALSE)</f>
        <v>Additional Notes:</v>
      </c>
      <c r="AA128" s="76" t="s">
        <v>4101</v>
      </c>
      <c r="AB128" s="76" t="s">
        <v>3762</v>
      </c>
      <c r="AC128" s="90" t="s">
        <v>115</v>
      </c>
      <c r="AD128" s="76" t="s">
        <v>177</v>
      </c>
      <c r="AE128" s="77" t="s">
        <v>3770</v>
      </c>
      <c r="AF128" s="110">
        <v>44664</v>
      </c>
      <c r="AG128" s="41" t="s">
        <v>101</v>
      </c>
      <c r="AH128" s="25"/>
      <c r="AI128" s="25"/>
      <c r="AJ128" s="42"/>
    </row>
    <row r="129" spans="1:36" ht="21" hidden="1" x14ac:dyDescent="0.55000000000000004">
      <c r="A129" s="44" t="str">
        <f>Data!K128</f>
        <v>Dental Health and Wellness WI</v>
      </c>
      <c r="B129" s="44" t="str">
        <f>Data!L128</f>
        <v>8444645635</v>
      </c>
      <c r="C129" s="44" t="str">
        <f>Data!D128</f>
        <v xml:space="preserve">Black, Yolanda </v>
      </c>
      <c r="D129" s="82" t="str">
        <f>Data!F128</f>
        <v>8449160481</v>
      </c>
      <c r="E129" s="82" t="str">
        <f>Data!B128</f>
        <v>8820</v>
      </c>
      <c r="F129" s="44" t="str">
        <f>Data!A128</f>
        <v xml:space="preserve">Black, Yolanda </v>
      </c>
      <c r="G129" s="55" t="str">
        <f>Data!C128</f>
        <v>5/12/1974</v>
      </c>
      <c r="H129" s="56">
        <f>Data!H128</f>
        <v>44569</v>
      </c>
      <c r="I129" s="56" t="str">
        <f>Data!I128</f>
        <v>1/12/2022</v>
      </c>
      <c r="J129" s="57">
        <f>Data!J128</f>
        <v>819.6</v>
      </c>
      <c r="K129" s="58">
        <f t="shared" ca="1" si="1"/>
        <v>127</v>
      </c>
      <c r="L129" s="58">
        <f>Data!M128</f>
        <v>0</v>
      </c>
      <c r="M129" s="37" t="s">
        <v>7</v>
      </c>
      <c r="N129" s="43" t="str">
        <f>VLOOKUP(M129,Table1[#All],3,FALSE)</f>
        <v>Claim Paid by Check;</v>
      </c>
      <c r="O129" s="40" t="str">
        <f>VLOOKUP(M129,Table1[#All],4,FALSE)</f>
        <v>Issue Date:</v>
      </c>
      <c r="P129" s="38">
        <v>44581</v>
      </c>
      <c r="Q129" s="40" t="str">
        <f>VLOOKUP(M129,Table1[#All],5,FALSE)</f>
        <v>CHK#</v>
      </c>
      <c r="R129" s="79">
        <v>904375</v>
      </c>
      <c r="S129" s="40" t="str">
        <f>VLOOKUP(M129,Table1[#All],6,FALSE)</f>
        <v>Bulk/Sep:</v>
      </c>
      <c r="T129" s="79" t="s">
        <v>3800</v>
      </c>
      <c r="U129" s="40" t="str">
        <f>VLOOKUP(M129,Table1[#All],7,FALSE)</f>
        <v>Call Ref#:</v>
      </c>
      <c r="V129" s="79"/>
      <c r="W129" s="40" t="str">
        <f>VLOOKUP(M129,Table1[#All],8,FALSE)</f>
        <v>Cust Rep:</v>
      </c>
      <c r="X129" s="79"/>
      <c r="Y129" s="44" t="str">
        <f>VLOOKUP(M129,Table1[#All],2,FALSE)</f>
        <v xml:space="preserve">Task Cashed Chk Queue </v>
      </c>
      <c r="Z129" s="59" t="str">
        <f>VLOOKUP(M129,Table1[#All],9,FALSE)</f>
        <v>Additional Notes:</v>
      </c>
      <c r="AA129" s="76" t="s">
        <v>4203</v>
      </c>
      <c r="AB129" s="76" t="s">
        <v>3762</v>
      </c>
      <c r="AC129" s="90" t="s">
        <v>115</v>
      </c>
      <c r="AD129" s="76" t="s">
        <v>177</v>
      </c>
      <c r="AE129" s="77" t="s">
        <v>3770</v>
      </c>
      <c r="AF129" s="110">
        <v>44664</v>
      </c>
      <c r="AG129" s="41" t="s">
        <v>101</v>
      </c>
      <c r="AH129" s="25"/>
      <c r="AI129" s="25"/>
      <c r="AJ129" s="42"/>
    </row>
    <row r="130" spans="1:36" ht="42" hidden="1" x14ac:dyDescent="0.55000000000000004">
      <c r="A130" s="44" t="str">
        <f>Data!K129</f>
        <v>Dental Health and Wellness WI</v>
      </c>
      <c r="B130" s="44" t="str">
        <f>Data!L129</f>
        <v>8444645635</v>
      </c>
      <c r="C130" s="44" t="str">
        <f>Data!D129</f>
        <v>Butler Jr , Richard</v>
      </c>
      <c r="D130" s="82" t="str">
        <f>Data!F129</f>
        <v>2421178622</v>
      </c>
      <c r="E130" s="82" t="str">
        <f>Data!B129</f>
        <v>8818</v>
      </c>
      <c r="F130" s="44" t="str">
        <f>Data!A129</f>
        <v>Butler Jr , Richard</v>
      </c>
      <c r="G130" s="55" t="str">
        <f>Data!C129</f>
        <v>11/7/1991</v>
      </c>
      <c r="H130" s="56">
        <f>Data!H129</f>
        <v>44569</v>
      </c>
      <c r="I130" s="56" t="str">
        <f>Data!I129</f>
        <v>1/12/2022</v>
      </c>
      <c r="J130" s="57">
        <f>Data!J129</f>
        <v>216</v>
      </c>
      <c r="K130" s="58">
        <f t="shared" ca="1" si="1"/>
        <v>127</v>
      </c>
      <c r="L130" s="58">
        <f>Data!M129</f>
        <v>0</v>
      </c>
      <c r="M130" s="37" t="s">
        <v>20</v>
      </c>
      <c r="N130" s="43" t="str">
        <f>VLOOKUP(M130,Table1[#All],3,FALSE)</f>
        <v>Ins needs more info, need to submit;</v>
      </c>
      <c r="O130" s="40" t="str">
        <f>VLOOKUP(M130,Table1[#All],4,FALSE)</f>
        <v>Attachments/Info needed?</v>
      </c>
      <c r="P130" s="39" t="s">
        <v>4043</v>
      </c>
      <c r="Q130" s="40" t="str">
        <f>VLOOKUP(M130,Table1[#All],5,FALSE)</f>
        <v>Fax # (If Fax Yes):</v>
      </c>
      <c r="R130" s="79"/>
      <c r="S130" s="40" t="str">
        <f>VLOOKUP(M130,Table1[#All],6,FALSE)</f>
        <v>Call Ref#:</v>
      </c>
      <c r="T130" s="79"/>
      <c r="U130" s="40" t="str">
        <f>VLOOKUP(M130,Table1[#All],7,FALSE)</f>
        <v>Cust Rep:</v>
      </c>
      <c r="V130" s="79"/>
      <c r="W130" s="40">
        <f>VLOOKUP(M130,Table1[#All],8,FALSE)</f>
        <v>0</v>
      </c>
      <c r="X130" s="79"/>
      <c r="Y130" s="44" t="str">
        <f>VLOOKUP(M130,Table1[#All],2,FALSE)</f>
        <v xml:space="preserve">Task Sub Pending Claims Queue </v>
      </c>
      <c r="Z130" s="59" t="str">
        <f>VLOOKUP(M130,Table1[#All],9,FALSE)</f>
        <v>Additional Notes:</v>
      </c>
      <c r="AA130" s="76" t="s">
        <v>4102</v>
      </c>
      <c r="AB130" s="76" t="s">
        <v>3697</v>
      </c>
      <c r="AC130" s="90" t="s">
        <v>115</v>
      </c>
      <c r="AD130" s="76" t="s">
        <v>177</v>
      </c>
      <c r="AE130" s="77" t="s">
        <v>3698</v>
      </c>
      <c r="AF130" s="110">
        <v>44615</v>
      </c>
      <c r="AG130" s="41" t="s">
        <v>101</v>
      </c>
      <c r="AH130" s="25"/>
      <c r="AI130" s="25"/>
      <c r="AJ130" s="42"/>
    </row>
    <row r="131" spans="1:36" ht="21" hidden="1" x14ac:dyDescent="0.55000000000000004">
      <c r="A131" s="44" t="str">
        <f>Data!K130</f>
        <v>Dental Health and Wellness WI</v>
      </c>
      <c r="B131" s="44" t="str">
        <f>Data!L130</f>
        <v>8444645635</v>
      </c>
      <c r="C131" s="44" t="str">
        <f>Data!D130</f>
        <v>Medrow , Thomas</v>
      </c>
      <c r="D131" s="82" t="str">
        <f>Data!F130</f>
        <v>3422086234</v>
      </c>
      <c r="E131" s="82" t="str">
        <f>Data!B130</f>
        <v>8824</v>
      </c>
      <c r="F131" s="44" t="str">
        <f>Data!A130</f>
        <v>Medrow , Thomas</v>
      </c>
      <c r="G131" s="55" t="str">
        <f>Data!C130</f>
        <v>12/31/1970</v>
      </c>
      <c r="H131" s="56">
        <f>Data!H130</f>
        <v>44569</v>
      </c>
      <c r="I131" s="56" t="str">
        <f>Data!I130</f>
        <v>1/12/2022</v>
      </c>
      <c r="J131" s="57">
        <f>Data!J130</f>
        <v>324</v>
      </c>
      <c r="K131" s="58">
        <f t="shared" ca="1" si="1"/>
        <v>127</v>
      </c>
      <c r="L131" s="58">
        <f>Data!M130</f>
        <v>0</v>
      </c>
      <c r="M131" s="37" t="s">
        <v>7</v>
      </c>
      <c r="N131" s="43" t="str">
        <f>VLOOKUP(M131,Table1[#All],3,FALSE)</f>
        <v>Claim Paid by Check;</v>
      </c>
      <c r="O131" s="40" t="str">
        <f>VLOOKUP(M131,Table1[#All],4,FALSE)</f>
        <v>Issue Date:</v>
      </c>
      <c r="P131" s="38">
        <v>44581</v>
      </c>
      <c r="Q131" s="40" t="str">
        <f>VLOOKUP(M131,Table1[#All],5,FALSE)</f>
        <v>CHK#</v>
      </c>
      <c r="R131" s="79">
        <v>904375</v>
      </c>
      <c r="S131" s="40" t="str">
        <f>VLOOKUP(M131,Table1[#All],6,FALSE)</f>
        <v>Bulk/Sep:</v>
      </c>
      <c r="T131" s="79" t="s">
        <v>3800</v>
      </c>
      <c r="U131" s="40" t="str">
        <f>VLOOKUP(M131,Table1[#All],7,FALSE)</f>
        <v>Call Ref#:</v>
      </c>
      <c r="V131" s="79"/>
      <c r="W131" s="40" t="str">
        <f>VLOOKUP(M131,Table1[#All],8,FALSE)</f>
        <v>Cust Rep:</v>
      </c>
      <c r="X131" s="79"/>
      <c r="Y131" s="44" t="str">
        <f>VLOOKUP(M131,Table1[#All],2,FALSE)</f>
        <v xml:space="preserve">Task Cashed Chk Queue </v>
      </c>
      <c r="Z131" s="59" t="str">
        <f>VLOOKUP(M131,Table1[#All],9,FALSE)</f>
        <v>Additional Notes:</v>
      </c>
      <c r="AA131" s="76" t="s">
        <v>4204</v>
      </c>
      <c r="AB131" s="76" t="s">
        <v>3762</v>
      </c>
      <c r="AC131" s="90" t="s">
        <v>115</v>
      </c>
      <c r="AD131" s="76" t="s">
        <v>177</v>
      </c>
      <c r="AE131" s="77" t="s">
        <v>3770</v>
      </c>
      <c r="AF131" s="110">
        <v>44664</v>
      </c>
      <c r="AG131" s="41" t="s">
        <v>101</v>
      </c>
      <c r="AH131" s="25"/>
      <c r="AI131" s="25"/>
      <c r="AJ131" s="42"/>
    </row>
    <row r="132" spans="1:36" ht="21" hidden="1" x14ac:dyDescent="0.55000000000000004">
      <c r="A132" s="44" t="str">
        <f>Data!K131</f>
        <v>Dental Health and Wellness WI</v>
      </c>
      <c r="B132" s="44" t="str">
        <f>Data!L131</f>
        <v>8444645635</v>
      </c>
      <c r="C132" s="44" t="str">
        <f>Data!D131</f>
        <v>Groves, Christopher</v>
      </c>
      <c r="D132" s="82" t="str">
        <f>Data!F131</f>
        <v>5445273156</v>
      </c>
      <c r="E132" s="82" t="str">
        <f>Data!B131</f>
        <v>3354</v>
      </c>
      <c r="F132" s="44" t="str">
        <f>Data!A131</f>
        <v>Groves, Christopher</v>
      </c>
      <c r="G132" s="55" t="str">
        <f>Data!C131</f>
        <v>12/19/1971</v>
      </c>
      <c r="H132" s="56">
        <f>Data!H131</f>
        <v>44568</v>
      </c>
      <c r="I132" s="56" t="str">
        <f>Data!I131</f>
        <v>1/12/2022</v>
      </c>
      <c r="J132" s="57">
        <f>Data!J131</f>
        <v>149.6</v>
      </c>
      <c r="K132" s="58">
        <f t="shared" ca="1" si="1"/>
        <v>127</v>
      </c>
      <c r="L132" s="58">
        <f>Data!M131</f>
        <v>0</v>
      </c>
      <c r="M132" s="37" t="s">
        <v>172</v>
      </c>
      <c r="N132" s="43" t="str">
        <f>VLOOKUP(M132,Table1[#All],3,FALSE)</f>
        <v>Claim Partially Paid by Check; Add notes</v>
      </c>
      <c r="O132" s="40" t="str">
        <f>VLOOKUP(M132,Table1[#All],4,FALSE)</f>
        <v>Issue Date:</v>
      </c>
      <c r="P132" s="38">
        <v>44581</v>
      </c>
      <c r="Q132" s="40" t="str">
        <f>VLOOKUP(M132,Table1[#All],5,FALSE)</f>
        <v>CHK#</v>
      </c>
      <c r="R132" s="79">
        <v>904375</v>
      </c>
      <c r="S132" s="40" t="str">
        <f>VLOOKUP(M132,Table1[#All],6,FALSE)</f>
        <v>Bulk/Sep:</v>
      </c>
      <c r="T132" s="79" t="s">
        <v>3800</v>
      </c>
      <c r="U132" s="40" t="str">
        <f>VLOOKUP(M132,Table1[#All],7,FALSE)</f>
        <v>Call Ref#:</v>
      </c>
      <c r="V132" s="79"/>
      <c r="W132" s="40" t="str">
        <f>VLOOKUP(M132,Table1[#All],8,FALSE)</f>
        <v>Cust Rep:</v>
      </c>
      <c r="X132" s="79"/>
      <c r="Y132" s="44" t="str">
        <f>VLOOKUP(M132,Table1[#All],2,FALSE)</f>
        <v xml:space="preserve">Task Cashed Chk Queue </v>
      </c>
      <c r="Z132" s="59" t="str">
        <f>VLOOKUP(M132,Table1[#All],9,FALSE)</f>
        <v>Additional Notes:</v>
      </c>
      <c r="AA132" s="76" t="s">
        <v>4210</v>
      </c>
      <c r="AB132" s="117" t="s">
        <v>3762</v>
      </c>
      <c r="AC132" s="90" t="s">
        <v>115</v>
      </c>
      <c r="AD132" s="76" t="s">
        <v>177</v>
      </c>
      <c r="AE132" s="77" t="s">
        <v>4127</v>
      </c>
      <c r="AF132" s="110">
        <v>44692</v>
      </c>
      <c r="AG132" s="41" t="s">
        <v>101</v>
      </c>
      <c r="AH132" s="25"/>
      <c r="AI132" s="25"/>
      <c r="AJ132" s="42"/>
    </row>
    <row r="133" spans="1:36" ht="21" hidden="1" x14ac:dyDescent="0.55000000000000004">
      <c r="A133" s="44" t="str">
        <f>Data!K132</f>
        <v>Dental Health and Wellness WI</v>
      </c>
      <c r="B133" s="44" t="str">
        <f>Data!L132</f>
        <v>8444645635</v>
      </c>
      <c r="C133" s="44" t="str">
        <f>Data!D132</f>
        <v>Hicks, Cardella</v>
      </c>
      <c r="D133" s="82" t="str">
        <f>Data!F132</f>
        <v>3402696835</v>
      </c>
      <c r="E133" s="82" t="str">
        <f>Data!B132</f>
        <v>4161</v>
      </c>
      <c r="F133" s="44" t="str">
        <f>Data!A132</f>
        <v>Hicks, Cardella</v>
      </c>
      <c r="G133" s="55" t="str">
        <f>Data!C132</f>
        <v>9/14/1969</v>
      </c>
      <c r="H133" s="56">
        <f>Data!H132</f>
        <v>44568</v>
      </c>
      <c r="I133" s="56" t="str">
        <f>Data!I132</f>
        <v>1/12/2022</v>
      </c>
      <c r="J133" s="57">
        <f>Data!J132</f>
        <v>61.2</v>
      </c>
      <c r="K133" s="58">
        <f t="shared" ca="1" si="1"/>
        <v>127</v>
      </c>
      <c r="L133" s="58">
        <f>Data!M132</f>
        <v>0</v>
      </c>
      <c r="M133" s="37" t="s">
        <v>7</v>
      </c>
      <c r="N133" s="43" t="str">
        <f>VLOOKUP(M133,Table1[#All],3,FALSE)</f>
        <v>Claim Paid by Check;</v>
      </c>
      <c r="O133" s="40" t="str">
        <f>VLOOKUP(M133,Table1[#All],4,FALSE)</f>
        <v>Issue Date:</v>
      </c>
      <c r="P133" s="38">
        <v>44581</v>
      </c>
      <c r="Q133" s="40" t="str">
        <f>VLOOKUP(M133,Table1[#All],5,FALSE)</f>
        <v>CHK#</v>
      </c>
      <c r="R133" s="79">
        <v>904375</v>
      </c>
      <c r="S133" s="40" t="str">
        <f>VLOOKUP(M133,Table1[#All],6,FALSE)</f>
        <v>Bulk/Sep:</v>
      </c>
      <c r="T133" s="79" t="s">
        <v>3800</v>
      </c>
      <c r="U133" s="40" t="str">
        <f>VLOOKUP(M133,Table1[#All],7,FALSE)</f>
        <v>Call Ref#:</v>
      </c>
      <c r="V133" s="79"/>
      <c r="W133" s="40" t="str">
        <f>VLOOKUP(M133,Table1[#All],8,FALSE)</f>
        <v>Cust Rep:</v>
      </c>
      <c r="X133" s="79"/>
      <c r="Y133" s="44" t="str">
        <f>VLOOKUP(M133,Table1[#All],2,FALSE)</f>
        <v xml:space="preserve">Task Cashed Chk Queue </v>
      </c>
      <c r="Z133" s="59" t="str">
        <f>VLOOKUP(M133,Table1[#All],9,FALSE)</f>
        <v>Additional Notes:</v>
      </c>
      <c r="AA133" s="76" t="s">
        <v>4103</v>
      </c>
      <c r="AB133" s="76" t="s">
        <v>3762</v>
      </c>
      <c r="AC133" s="90" t="s">
        <v>115</v>
      </c>
      <c r="AD133" s="76" t="s">
        <v>177</v>
      </c>
      <c r="AE133" s="77" t="s">
        <v>3698</v>
      </c>
      <c r="AF133" s="110">
        <v>44615</v>
      </c>
      <c r="AG133" s="41" t="s">
        <v>101</v>
      </c>
      <c r="AH133" s="25"/>
      <c r="AI133" s="25"/>
      <c r="AJ133" s="42"/>
    </row>
    <row r="134" spans="1:36" ht="21" hidden="1" x14ac:dyDescent="0.55000000000000004">
      <c r="A134" s="44" t="str">
        <f>Data!K133</f>
        <v>Dental Health and Wellness WI</v>
      </c>
      <c r="B134" s="44" t="str">
        <f>Data!L133</f>
        <v>8444645635</v>
      </c>
      <c r="C134" s="44" t="str">
        <f>Data!D133</f>
        <v>SAUER, Adalyn</v>
      </c>
      <c r="D134" s="82" t="str">
        <f>Data!F133</f>
        <v>2448964521</v>
      </c>
      <c r="E134" s="82" t="str">
        <f>Data!B133</f>
        <v>2411</v>
      </c>
      <c r="F134" s="44" t="str">
        <f>Data!A133</f>
        <v>SAUER, Adalyn</v>
      </c>
      <c r="G134" s="55" t="str">
        <f>Data!C133</f>
        <v>11/13/2015</v>
      </c>
      <c r="H134" s="56">
        <f>Data!H133</f>
        <v>44568</v>
      </c>
      <c r="I134" s="56" t="str">
        <f>Data!I133</f>
        <v>1/12/2022</v>
      </c>
      <c r="J134" s="57">
        <f>Data!J133</f>
        <v>520</v>
      </c>
      <c r="K134" s="58">
        <f t="shared" ref="K134:K197" ca="1" si="2">TODAY()-I134</f>
        <v>127</v>
      </c>
      <c r="L134" s="58">
        <f>Data!M133</f>
        <v>0</v>
      </c>
      <c r="M134" s="37" t="s">
        <v>7</v>
      </c>
      <c r="N134" s="43" t="str">
        <f>VLOOKUP(M134,Table1[#All],3,FALSE)</f>
        <v>Claim Paid by Check;</v>
      </c>
      <c r="O134" s="40" t="str">
        <f>VLOOKUP(M134,Table1[#All],4,FALSE)</f>
        <v>Issue Date:</v>
      </c>
      <c r="P134" s="38">
        <v>44581</v>
      </c>
      <c r="Q134" s="40" t="str">
        <f>VLOOKUP(M134,Table1[#All],5,FALSE)</f>
        <v>CHK#</v>
      </c>
      <c r="R134" s="79">
        <v>904375</v>
      </c>
      <c r="S134" s="40" t="str">
        <f>VLOOKUP(M134,Table1[#All],6,FALSE)</f>
        <v>Bulk/Sep:</v>
      </c>
      <c r="T134" s="79" t="s">
        <v>3800</v>
      </c>
      <c r="U134" s="40" t="str">
        <f>VLOOKUP(M134,Table1[#All],7,FALSE)</f>
        <v>Call Ref#:</v>
      </c>
      <c r="V134" s="79"/>
      <c r="W134" s="40" t="str">
        <f>VLOOKUP(M134,Table1[#All],8,FALSE)</f>
        <v>Cust Rep:</v>
      </c>
      <c r="X134" s="79"/>
      <c r="Y134" s="44" t="str">
        <f>VLOOKUP(M134,Table1[#All],2,FALSE)</f>
        <v xml:space="preserve">Task Cashed Chk Queue </v>
      </c>
      <c r="Z134" s="59" t="str">
        <f>VLOOKUP(M134,Table1[#All],9,FALSE)</f>
        <v>Additional Notes:</v>
      </c>
      <c r="AA134" s="76" t="s">
        <v>4104</v>
      </c>
      <c r="AB134" s="76" t="s">
        <v>3762</v>
      </c>
      <c r="AC134" s="90" t="s">
        <v>115</v>
      </c>
      <c r="AD134" s="76" t="s">
        <v>177</v>
      </c>
      <c r="AE134" s="77" t="s">
        <v>3698</v>
      </c>
      <c r="AF134" s="110">
        <v>44615</v>
      </c>
      <c r="AG134" s="41" t="s">
        <v>101</v>
      </c>
      <c r="AH134" s="25"/>
      <c r="AI134" s="25"/>
      <c r="AJ134" s="42"/>
    </row>
    <row r="135" spans="1:36" ht="21" hidden="1" x14ac:dyDescent="0.55000000000000004">
      <c r="A135" s="44" t="str">
        <f>Data!K134</f>
        <v>Dental Health and Wellness WI</v>
      </c>
      <c r="B135" s="44" t="str">
        <f>Data!L134</f>
        <v>8444645635</v>
      </c>
      <c r="C135" s="44" t="str">
        <f>Data!D134</f>
        <v>Hunter, Antonio</v>
      </c>
      <c r="D135" s="82" t="str">
        <f>Data!F134</f>
        <v>6414125067</v>
      </c>
      <c r="E135" s="82" t="str">
        <f>Data!B134</f>
        <v>7575</v>
      </c>
      <c r="F135" s="44" t="str">
        <f>Data!A134</f>
        <v>Hunter, Antonio</v>
      </c>
      <c r="G135" s="55" t="str">
        <f>Data!C134</f>
        <v>6/25/1976</v>
      </c>
      <c r="H135" s="56">
        <f>Data!H134</f>
        <v>44568</v>
      </c>
      <c r="I135" s="56" t="str">
        <f>Data!I134</f>
        <v>1/12/2022</v>
      </c>
      <c r="J135" s="57">
        <f>Data!J134</f>
        <v>480</v>
      </c>
      <c r="K135" s="58">
        <f t="shared" ca="1" si="2"/>
        <v>127</v>
      </c>
      <c r="L135" s="58">
        <f>Data!M134</f>
        <v>0</v>
      </c>
      <c r="M135" s="37" t="s">
        <v>7</v>
      </c>
      <c r="N135" s="43" t="str">
        <f>VLOOKUP(M135,Table1[#All],3,FALSE)</f>
        <v>Claim Paid by Check;</v>
      </c>
      <c r="O135" s="40" t="str">
        <f>VLOOKUP(M135,Table1[#All],4,FALSE)</f>
        <v>Issue Date:</v>
      </c>
      <c r="P135" s="38">
        <v>44581</v>
      </c>
      <c r="Q135" s="40" t="str">
        <f>VLOOKUP(M135,Table1[#All],5,FALSE)</f>
        <v>CHK#</v>
      </c>
      <c r="R135" s="79">
        <v>904375</v>
      </c>
      <c r="S135" s="40" t="str">
        <f>VLOOKUP(M135,Table1[#All],6,FALSE)</f>
        <v>Bulk/Sep:</v>
      </c>
      <c r="T135" s="79" t="s">
        <v>3800</v>
      </c>
      <c r="U135" s="40" t="str">
        <f>VLOOKUP(M135,Table1[#All],7,FALSE)</f>
        <v>Call Ref#:</v>
      </c>
      <c r="V135" s="79"/>
      <c r="W135" s="40" t="str">
        <f>VLOOKUP(M135,Table1[#All],8,FALSE)</f>
        <v>Cust Rep:</v>
      </c>
      <c r="X135" s="79"/>
      <c r="Y135" s="44" t="str">
        <f>VLOOKUP(M135,Table1[#All],2,FALSE)</f>
        <v xml:space="preserve">Task Cashed Chk Queue </v>
      </c>
      <c r="Z135" s="59" t="str">
        <f>VLOOKUP(M135,Table1[#All],9,FALSE)</f>
        <v>Additional Notes:</v>
      </c>
      <c r="AA135" s="76" t="s">
        <v>4105</v>
      </c>
      <c r="AB135" s="76" t="s">
        <v>3762</v>
      </c>
      <c r="AC135" s="90" t="s">
        <v>115</v>
      </c>
      <c r="AD135" s="76" t="s">
        <v>177</v>
      </c>
      <c r="AE135" s="77" t="s">
        <v>3698</v>
      </c>
      <c r="AF135" s="110">
        <v>44615</v>
      </c>
      <c r="AG135" s="41" t="s">
        <v>101</v>
      </c>
      <c r="AH135" s="25"/>
      <c r="AI135" s="25"/>
      <c r="AJ135" s="42"/>
    </row>
    <row r="136" spans="1:36" ht="21" hidden="1" x14ac:dyDescent="0.55000000000000004">
      <c r="A136" s="44" t="str">
        <f>Data!K135</f>
        <v>Dental Health and Wellness WI</v>
      </c>
      <c r="B136" s="44" t="str">
        <f>Data!L135</f>
        <v>8444645635</v>
      </c>
      <c r="C136" s="44" t="str">
        <f>Data!D135</f>
        <v xml:space="preserve">Guzman Chavez, Aiden </v>
      </c>
      <c r="D136" s="82" t="str">
        <f>Data!F135</f>
        <v>5446273753</v>
      </c>
      <c r="E136" s="82" t="str">
        <f>Data!B135</f>
        <v>7903</v>
      </c>
      <c r="F136" s="44" t="str">
        <f>Data!A135</f>
        <v xml:space="preserve">Guzman Chavez, Aiden </v>
      </c>
      <c r="G136" s="55" t="str">
        <f>Data!C135</f>
        <v>5/16/2014</v>
      </c>
      <c r="H136" s="56">
        <f>Data!H135</f>
        <v>44567</v>
      </c>
      <c r="I136" s="56" t="str">
        <f>Data!I135</f>
        <v>1/12/2022</v>
      </c>
      <c r="J136" s="57">
        <f>Data!J135</f>
        <v>532</v>
      </c>
      <c r="K136" s="58">
        <f t="shared" ca="1" si="2"/>
        <v>127</v>
      </c>
      <c r="L136" s="58">
        <f>Data!M135</f>
        <v>0</v>
      </c>
      <c r="M136" s="37" t="s">
        <v>7</v>
      </c>
      <c r="N136" s="43" t="str">
        <f>VLOOKUP(M136,Table1[#All],3,FALSE)</f>
        <v>Claim Paid by Check;</v>
      </c>
      <c r="O136" s="40" t="str">
        <f>VLOOKUP(M136,Table1[#All],4,FALSE)</f>
        <v>Issue Date:</v>
      </c>
      <c r="P136" s="38">
        <v>44581</v>
      </c>
      <c r="Q136" s="40" t="str">
        <f>VLOOKUP(M136,Table1[#All],5,FALSE)</f>
        <v>CHK#</v>
      </c>
      <c r="R136" s="79">
        <v>904375</v>
      </c>
      <c r="S136" s="40" t="str">
        <f>VLOOKUP(M136,Table1[#All],6,FALSE)</f>
        <v>Bulk/Sep:</v>
      </c>
      <c r="T136" s="79" t="s">
        <v>3800</v>
      </c>
      <c r="U136" s="40" t="str">
        <f>VLOOKUP(M136,Table1[#All],7,FALSE)</f>
        <v>Call Ref#:</v>
      </c>
      <c r="V136" s="79"/>
      <c r="W136" s="40" t="str">
        <f>VLOOKUP(M136,Table1[#All],8,FALSE)</f>
        <v>Cust Rep:</v>
      </c>
      <c r="X136" s="79"/>
      <c r="Y136" s="44" t="str">
        <f>VLOOKUP(M136,Table1[#All],2,FALSE)</f>
        <v xml:space="preserve">Task Cashed Chk Queue </v>
      </c>
      <c r="Z136" s="59" t="str">
        <f>VLOOKUP(M136,Table1[#All],9,FALSE)</f>
        <v>Additional Notes:</v>
      </c>
      <c r="AA136" s="76" t="s">
        <v>4205</v>
      </c>
      <c r="AB136" s="76" t="s">
        <v>3762</v>
      </c>
      <c r="AC136" s="90" t="s">
        <v>115</v>
      </c>
      <c r="AD136" s="76" t="s">
        <v>177</v>
      </c>
      <c r="AE136" s="77" t="s">
        <v>3770</v>
      </c>
      <c r="AF136" s="110">
        <v>44663</v>
      </c>
      <c r="AG136" s="41" t="s">
        <v>101</v>
      </c>
      <c r="AH136" s="25"/>
      <c r="AI136" s="25"/>
      <c r="AJ136" s="42"/>
    </row>
    <row r="137" spans="1:36" ht="21" hidden="1" x14ac:dyDescent="0.55000000000000004">
      <c r="A137" s="44" t="str">
        <f>Data!K136</f>
        <v>Dental Health and Wellness WI</v>
      </c>
      <c r="B137" s="44" t="str">
        <f>Data!L136</f>
        <v>8444645635</v>
      </c>
      <c r="C137" s="44" t="str">
        <f>Data!D136</f>
        <v>Miller, Christopher</v>
      </c>
      <c r="D137" s="82" t="str">
        <f>Data!F136</f>
        <v>6453024365</v>
      </c>
      <c r="E137" s="82" t="str">
        <f>Data!B136</f>
        <v>4228</v>
      </c>
      <c r="F137" s="44" t="str">
        <f>Data!A136</f>
        <v>Miller, Christopher</v>
      </c>
      <c r="G137" s="55" t="str">
        <f>Data!C136</f>
        <v>12/16/1976</v>
      </c>
      <c r="H137" s="56">
        <f>Data!H136</f>
        <v>44566</v>
      </c>
      <c r="I137" s="56" t="str">
        <f>Data!I136</f>
        <v>1/12/2022</v>
      </c>
      <c r="J137" s="57">
        <f>Data!J136</f>
        <v>84</v>
      </c>
      <c r="K137" s="58">
        <f t="shared" ca="1" si="2"/>
        <v>127</v>
      </c>
      <c r="L137" s="58">
        <f>Data!M136</f>
        <v>0</v>
      </c>
      <c r="M137" s="37" t="s">
        <v>7</v>
      </c>
      <c r="N137" s="43" t="str">
        <f>VLOOKUP(M137,Table1[#All],3,FALSE)</f>
        <v>Claim Paid by Check;</v>
      </c>
      <c r="O137" s="40" t="str">
        <f>VLOOKUP(M137,Table1[#All],4,FALSE)</f>
        <v>Issue Date:</v>
      </c>
      <c r="P137" s="38">
        <v>44581</v>
      </c>
      <c r="Q137" s="40" t="str">
        <f>VLOOKUP(M137,Table1[#All],5,FALSE)</f>
        <v>CHK#</v>
      </c>
      <c r="R137" s="79">
        <v>904375</v>
      </c>
      <c r="S137" s="40" t="str">
        <f>VLOOKUP(M137,Table1[#All],6,FALSE)</f>
        <v>Bulk/Sep:</v>
      </c>
      <c r="T137" s="79" t="s">
        <v>3800</v>
      </c>
      <c r="U137" s="40" t="str">
        <f>VLOOKUP(M137,Table1[#All],7,FALSE)</f>
        <v>Call Ref#:</v>
      </c>
      <c r="V137" s="79"/>
      <c r="W137" s="40" t="str">
        <f>VLOOKUP(M137,Table1[#All],8,FALSE)</f>
        <v>Cust Rep:</v>
      </c>
      <c r="X137" s="79"/>
      <c r="Y137" s="44" t="str">
        <f>VLOOKUP(M137,Table1[#All],2,FALSE)</f>
        <v xml:space="preserve">Task Cashed Chk Queue </v>
      </c>
      <c r="Z137" s="59" t="str">
        <f>VLOOKUP(M137,Table1[#All],9,FALSE)</f>
        <v>Additional Notes:</v>
      </c>
      <c r="AA137" s="76" t="s">
        <v>4206</v>
      </c>
      <c r="AB137" s="76" t="s">
        <v>3762</v>
      </c>
      <c r="AC137" s="90" t="s">
        <v>115</v>
      </c>
      <c r="AD137" s="76" t="s">
        <v>177</v>
      </c>
      <c r="AE137" s="77" t="s">
        <v>3770</v>
      </c>
      <c r="AF137" s="110">
        <v>44663</v>
      </c>
      <c r="AG137" s="41" t="s">
        <v>101</v>
      </c>
      <c r="AH137" s="25"/>
      <c r="AI137" s="25"/>
      <c r="AJ137" s="42"/>
    </row>
    <row r="138" spans="1:36" ht="21" hidden="1" x14ac:dyDescent="0.55000000000000004">
      <c r="A138" s="44" t="str">
        <f>Data!K137</f>
        <v>Dental Health and Wellness WI</v>
      </c>
      <c r="B138" s="44" t="str">
        <f>Data!L137</f>
        <v>8444645635</v>
      </c>
      <c r="C138" s="44" t="str">
        <f>Data!D137</f>
        <v xml:space="preserve">Zold , Joseph </v>
      </c>
      <c r="D138" s="82" t="str">
        <f>Data!F137</f>
        <v>0449395707</v>
      </c>
      <c r="E138" s="82" t="str">
        <f>Data!B137</f>
        <v>8736</v>
      </c>
      <c r="F138" s="44" t="str">
        <f>Data!A137</f>
        <v xml:space="preserve">Zold , Joseph </v>
      </c>
      <c r="G138" s="55" t="str">
        <f>Data!C137</f>
        <v>1/26/1997</v>
      </c>
      <c r="H138" s="56">
        <f>Data!H137</f>
        <v>44566</v>
      </c>
      <c r="I138" s="56" t="str">
        <f>Data!I137</f>
        <v>1/12/2022</v>
      </c>
      <c r="J138" s="57">
        <f>Data!J137</f>
        <v>360</v>
      </c>
      <c r="K138" s="58">
        <f t="shared" ca="1" si="2"/>
        <v>127</v>
      </c>
      <c r="L138" s="58">
        <f>Data!M137</f>
        <v>0</v>
      </c>
      <c r="M138" s="37" t="s">
        <v>7</v>
      </c>
      <c r="N138" s="43" t="str">
        <f>VLOOKUP(M138,Table1[#All],3,FALSE)</f>
        <v>Claim Paid by Check;</v>
      </c>
      <c r="O138" s="40" t="str">
        <f>VLOOKUP(M138,Table1[#All],4,FALSE)</f>
        <v>Issue Date:</v>
      </c>
      <c r="P138" s="38">
        <v>44581</v>
      </c>
      <c r="Q138" s="40" t="str">
        <f>VLOOKUP(M138,Table1[#All],5,FALSE)</f>
        <v>CHK#</v>
      </c>
      <c r="R138" s="79">
        <v>904375</v>
      </c>
      <c r="S138" s="40" t="str">
        <f>VLOOKUP(M138,Table1[#All],6,FALSE)</f>
        <v>Bulk/Sep:</v>
      </c>
      <c r="T138" s="79" t="s">
        <v>3800</v>
      </c>
      <c r="U138" s="40" t="str">
        <f>VLOOKUP(M138,Table1[#All],7,FALSE)</f>
        <v>Call Ref#:</v>
      </c>
      <c r="V138" s="79"/>
      <c r="W138" s="40" t="str">
        <f>VLOOKUP(M138,Table1[#All],8,FALSE)</f>
        <v>Cust Rep:</v>
      </c>
      <c r="X138" s="79"/>
      <c r="Y138" s="44" t="str">
        <f>VLOOKUP(M138,Table1[#All],2,FALSE)</f>
        <v xml:space="preserve">Task Cashed Chk Queue </v>
      </c>
      <c r="Z138" s="59" t="str">
        <f>VLOOKUP(M138,Table1[#All],9,FALSE)</f>
        <v>Additional Notes:</v>
      </c>
      <c r="AA138" s="76" t="s">
        <v>4207</v>
      </c>
      <c r="AB138" s="76" t="s">
        <v>3762</v>
      </c>
      <c r="AC138" s="90" t="s">
        <v>115</v>
      </c>
      <c r="AD138" s="76" t="s">
        <v>177</v>
      </c>
      <c r="AE138" s="77" t="s">
        <v>3770</v>
      </c>
      <c r="AF138" s="110">
        <v>44663</v>
      </c>
      <c r="AG138" s="41" t="s">
        <v>101</v>
      </c>
      <c r="AH138" s="25"/>
      <c r="AI138" s="25"/>
      <c r="AJ138" s="42"/>
    </row>
    <row r="139" spans="1:36" ht="21" hidden="1" x14ac:dyDescent="0.55000000000000004">
      <c r="A139" s="44" t="str">
        <f>Data!K138</f>
        <v>Dental Health and Wellness WI</v>
      </c>
      <c r="B139" s="44" t="str">
        <f>Data!L138</f>
        <v>8444645635</v>
      </c>
      <c r="C139" s="44" t="str">
        <f>Data!D138</f>
        <v>Allen, Joseph</v>
      </c>
      <c r="D139" s="82" t="str">
        <f>Data!F138</f>
        <v>0446533203</v>
      </c>
      <c r="E139" s="82" t="str">
        <f>Data!B138</f>
        <v>8505</v>
      </c>
      <c r="F139" s="44" t="str">
        <f>Data!A138</f>
        <v>Allen, Joseph</v>
      </c>
      <c r="G139" s="55" t="str">
        <f>Data!C138</f>
        <v>7/11/2014</v>
      </c>
      <c r="H139" s="56">
        <f>Data!H138</f>
        <v>44565</v>
      </c>
      <c r="I139" s="56" t="str">
        <f>Data!I138</f>
        <v>1/12/2022</v>
      </c>
      <c r="J139" s="57">
        <f>Data!J138</f>
        <v>532</v>
      </c>
      <c r="K139" s="58">
        <f t="shared" ca="1" si="2"/>
        <v>127</v>
      </c>
      <c r="L139" s="58">
        <f>Data!M138</f>
        <v>0</v>
      </c>
      <c r="M139" s="37" t="s">
        <v>7</v>
      </c>
      <c r="N139" s="43" t="str">
        <f>VLOOKUP(M139,Table1[#All],3,FALSE)</f>
        <v>Claim Paid by Check;</v>
      </c>
      <c r="O139" s="40" t="str">
        <f>VLOOKUP(M139,Table1[#All],4,FALSE)</f>
        <v>Issue Date:</v>
      </c>
      <c r="P139" s="38">
        <v>44581</v>
      </c>
      <c r="Q139" s="40" t="str">
        <f>VLOOKUP(M139,Table1[#All],5,FALSE)</f>
        <v>CHK#</v>
      </c>
      <c r="R139" s="79">
        <v>904375</v>
      </c>
      <c r="S139" s="40" t="str">
        <f>VLOOKUP(M139,Table1[#All],6,FALSE)</f>
        <v>Bulk/Sep:</v>
      </c>
      <c r="T139" s="79" t="s">
        <v>3800</v>
      </c>
      <c r="U139" s="40" t="str">
        <f>VLOOKUP(M139,Table1[#All],7,FALSE)</f>
        <v>Call Ref#:</v>
      </c>
      <c r="V139" s="79"/>
      <c r="W139" s="40" t="str">
        <f>VLOOKUP(M139,Table1[#All],8,FALSE)</f>
        <v>Cust Rep:</v>
      </c>
      <c r="X139" s="79"/>
      <c r="Y139" s="44" t="str">
        <f>VLOOKUP(M139,Table1[#All],2,FALSE)</f>
        <v xml:space="preserve">Task Cashed Chk Queue </v>
      </c>
      <c r="Z139" s="59" t="str">
        <f>VLOOKUP(M139,Table1[#All],9,FALSE)</f>
        <v>Additional Notes:</v>
      </c>
      <c r="AA139" s="76" t="s">
        <v>4208</v>
      </c>
      <c r="AB139" s="76" t="s">
        <v>3762</v>
      </c>
      <c r="AC139" s="90" t="s">
        <v>115</v>
      </c>
      <c r="AD139" s="76" t="s">
        <v>177</v>
      </c>
      <c r="AE139" s="77" t="s">
        <v>3770</v>
      </c>
      <c r="AF139" s="110">
        <v>44663</v>
      </c>
      <c r="AG139" s="41" t="s">
        <v>101</v>
      </c>
      <c r="AH139" s="25"/>
      <c r="AI139" s="25"/>
      <c r="AJ139" s="42"/>
    </row>
    <row r="140" spans="1:36" ht="21" hidden="1" x14ac:dyDescent="0.55000000000000004">
      <c r="A140" s="44" t="str">
        <f>Data!K139</f>
        <v>Dental Health and Wellness WI</v>
      </c>
      <c r="B140" s="44" t="str">
        <f>Data!L139</f>
        <v>8444645635</v>
      </c>
      <c r="C140" s="44" t="str">
        <f>Data!D139</f>
        <v xml:space="preserve">Kaur, Davinder </v>
      </c>
      <c r="D140" s="82" t="str">
        <f>Data!F139</f>
        <v>5447637350</v>
      </c>
      <c r="E140" s="82" t="str">
        <f>Data!B139</f>
        <v>8772</v>
      </c>
      <c r="F140" s="44" t="str">
        <f>Data!A139</f>
        <v xml:space="preserve">Kaur, Davinder </v>
      </c>
      <c r="G140" s="55" t="str">
        <f>Data!C139</f>
        <v>9/13/1947</v>
      </c>
      <c r="H140" s="56">
        <f>Data!H139</f>
        <v>44565</v>
      </c>
      <c r="I140" s="56" t="str">
        <f>Data!I139</f>
        <v>1/12/2022</v>
      </c>
      <c r="J140" s="57">
        <f>Data!J139</f>
        <v>88.8</v>
      </c>
      <c r="K140" s="58">
        <f t="shared" ca="1" si="2"/>
        <v>127</v>
      </c>
      <c r="L140" s="58">
        <f>Data!M139</f>
        <v>0</v>
      </c>
      <c r="M140" s="37" t="s">
        <v>7</v>
      </c>
      <c r="N140" s="43" t="str">
        <f>VLOOKUP(M140,Table1[#All],3,FALSE)</f>
        <v>Claim Paid by Check;</v>
      </c>
      <c r="O140" s="40" t="str">
        <f>VLOOKUP(M140,Table1[#All],4,FALSE)</f>
        <v>Issue Date:</v>
      </c>
      <c r="P140" s="38">
        <v>44581</v>
      </c>
      <c r="Q140" s="40" t="str">
        <f>VLOOKUP(M140,Table1[#All],5,FALSE)</f>
        <v>CHK#</v>
      </c>
      <c r="R140" s="79">
        <v>904375</v>
      </c>
      <c r="S140" s="40" t="str">
        <f>VLOOKUP(M140,Table1[#All],6,FALSE)</f>
        <v>Bulk/Sep:</v>
      </c>
      <c r="T140" s="79" t="s">
        <v>3800</v>
      </c>
      <c r="U140" s="40" t="str">
        <f>VLOOKUP(M140,Table1[#All],7,FALSE)</f>
        <v>Call Ref#:</v>
      </c>
      <c r="V140" s="79"/>
      <c r="W140" s="40" t="str">
        <f>VLOOKUP(M140,Table1[#All],8,FALSE)</f>
        <v>Cust Rep:</v>
      </c>
      <c r="X140" s="79"/>
      <c r="Y140" s="44" t="str">
        <f>VLOOKUP(M140,Table1[#All],2,FALSE)</f>
        <v xml:space="preserve">Task Cashed Chk Queue </v>
      </c>
      <c r="Z140" s="59" t="str">
        <f>VLOOKUP(M140,Table1[#All],9,FALSE)</f>
        <v>Additional Notes:</v>
      </c>
      <c r="AA140" s="76" t="s">
        <v>4209</v>
      </c>
      <c r="AB140" s="76" t="s">
        <v>3762</v>
      </c>
      <c r="AC140" s="90" t="s">
        <v>115</v>
      </c>
      <c r="AD140" s="76" t="s">
        <v>177</v>
      </c>
      <c r="AE140" s="77" t="s">
        <v>3770</v>
      </c>
      <c r="AF140" s="110">
        <v>44663</v>
      </c>
      <c r="AG140" s="41" t="s">
        <v>101</v>
      </c>
      <c r="AH140" s="25"/>
      <c r="AI140" s="25"/>
      <c r="AJ140" s="42"/>
    </row>
    <row r="141" spans="1:36" ht="21" hidden="1" x14ac:dyDescent="0.55000000000000004">
      <c r="A141" s="44" t="str">
        <f>Data!K140</f>
        <v>Dental Health and Wellness WI</v>
      </c>
      <c r="B141" s="44" t="str">
        <f>Data!L140</f>
        <v>8444645635</v>
      </c>
      <c r="C141" s="44" t="str">
        <f>Data!D140</f>
        <v>Meza, Jose</v>
      </c>
      <c r="D141" s="82" t="str">
        <f>Data!F140</f>
        <v>1414786913</v>
      </c>
      <c r="E141" s="82" t="str">
        <f>Data!B140</f>
        <v>8749</v>
      </c>
      <c r="F141" s="44" t="str">
        <f>Data!A140</f>
        <v>Meza, Jose</v>
      </c>
      <c r="G141" s="55" t="str">
        <f>Data!C140</f>
        <v>9/16/1994</v>
      </c>
      <c r="H141" s="56">
        <f>Data!H140</f>
        <v>44561</v>
      </c>
      <c r="I141" s="56" t="str">
        <f>Data!I140</f>
        <v>1/7/2022</v>
      </c>
      <c r="J141" s="57">
        <f>Data!J140</f>
        <v>394.4</v>
      </c>
      <c r="K141" s="58">
        <f t="shared" ca="1" si="2"/>
        <v>132</v>
      </c>
      <c r="L141" s="58">
        <f>Data!M140</f>
        <v>0</v>
      </c>
      <c r="M141" s="37" t="s">
        <v>7</v>
      </c>
      <c r="N141" s="43" t="str">
        <f>VLOOKUP(M141,Table1[#All],3,FALSE)</f>
        <v>Claim Paid by Check;</v>
      </c>
      <c r="O141" s="40" t="str">
        <f>VLOOKUP(M141,Table1[#All],4,FALSE)</f>
        <v>Issue Date:</v>
      </c>
      <c r="P141" s="38">
        <v>44581</v>
      </c>
      <c r="Q141" s="40" t="str">
        <f>VLOOKUP(M141,Table1[#All],5,FALSE)</f>
        <v>CHK#</v>
      </c>
      <c r="R141" s="79">
        <v>904375</v>
      </c>
      <c r="S141" s="40" t="str">
        <f>VLOOKUP(M141,Table1[#All],6,FALSE)</f>
        <v>Bulk/Sep:</v>
      </c>
      <c r="T141" s="79" t="s">
        <v>3800</v>
      </c>
      <c r="U141" s="40" t="str">
        <f>VLOOKUP(M141,Table1[#All],7,FALSE)</f>
        <v>Call Ref#:</v>
      </c>
      <c r="V141" s="79"/>
      <c r="W141" s="40" t="str">
        <f>VLOOKUP(M141,Table1[#All],8,FALSE)</f>
        <v>Cust Rep:</v>
      </c>
      <c r="X141" s="79"/>
      <c r="Y141" s="44" t="str">
        <f>VLOOKUP(M141,Table1[#All],2,FALSE)</f>
        <v xml:space="preserve">Task Cashed Chk Queue </v>
      </c>
      <c r="Z141" s="59" t="str">
        <f>VLOOKUP(M141,Table1[#All],9,FALSE)</f>
        <v>Additional Notes:</v>
      </c>
      <c r="AA141" s="76" t="s">
        <v>4106</v>
      </c>
      <c r="AB141" s="76" t="s">
        <v>3762</v>
      </c>
      <c r="AC141" s="90" t="s">
        <v>115</v>
      </c>
      <c r="AD141" s="76" t="s">
        <v>177</v>
      </c>
      <c r="AE141" s="77" t="s">
        <v>3698</v>
      </c>
      <c r="AF141" s="110">
        <v>44663</v>
      </c>
      <c r="AG141" s="41" t="s">
        <v>101</v>
      </c>
      <c r="AH141" s="25"/>
      <c r="AI141" s="25"/>
      <c r="AJ141" s="42"/>
    </row>
    <row r="142" spans="1:36" ht="21" hidden="1" x14ac:dyDescent="0.55000000000000004">
      <c r="A142" s="44" t="str">
        <f>Data!K141</f>
        <v>Dental Health and Wellness WI</v>
      </c>
      <c r="B142" s="44" t="str">
        <f>Data!L141</f>
        <v>8444645635</v>
      </c>
      <c r="C142" s="44" t="str">
        <f>Data!D141</f>
        <v>Walker, Malia</v>
      </c>
      <c r="D142" s="82" t="str">
        <f>Data!F141</f>
        <v>7451599370</v>
      </c>
      <c r="E142" s="82" t="str">
        <f>Data!B141</f>
        <v>4780</v>
      </c>
      <c r="F142" s="44" t="str">
        <f>Data!A141</f>
        <v>Walker, Malia</v>
      </c>
      <c r="G142" s="55" t="str">
        <f>Data!C141</f>
        <v>5/19/2017</v>
      </c>
      <c r="H142" s="56">
        <f>Data!H141</f>
        <v>44560</v>
      </c>
      <c r="I142" s="56" t="str">
        <f>Data!I141</f>
        <v>1/1/2022</v>
      </c>
      <c r="J142" s="57">
        <f>Data!J141</f>
        <v>165.6</v>
      </c>
      <c r="K142" s="58">
        <f t="shared" ca="1" si="2"/>
        <v>138</v>
      </c>
      <c r="L142" s="58">
        <f>Data!M141</f>
        <v>0</v>
      </c>
      <c r="M142" s="37" t="s">
        <v>7</v>
      </c>
      <c r="N142" s="43" t="str">
        <f>VLOOKUP(M142,Table1[#All],3,FALSE)</f>
        <v>Claim Paid by Check;</v>
      </c>
      <c r="O142" s="40" t="str">
        <f>VLOOKUP(M142,Table1[#All],4,FALSE)</f>
        <v>Issue Date:</v>
      </c>
      <c r="P142" s="38">
        <v>44574</v>
      </c>
      <c r="Q142" s="40" t="str">
        <f>VLOOKUP(M142,Table1[#All],5,FALSE)</f>
        <v>CHK#</v>
      </c>
      <c r="R142" s="79">
        <v>899788</v>
      </c>
      <c r="S142" s="40" t="str">
        <f>VLOOKUP(M142,Table1[#All],6,FALSE)</f>
        <v>Bulk/Sep:</v>
      </c>
      <c r="T142" s="79" t="s">
        <v>3800</v>
      </c>
      <c r="U142" s="40" t="str">
        <f>VLOOKUP(M142,Table1[#All],7,FALSE)</f>
        <v>Call Ref#:</v>
      </c>
      <c r="V142" s="79"/>
      <c r="W142" s="40" t="str">
        <f>VLOOKUP(M142,Table1[#All],8,FALSE)</f>
        <v>Cust Rep:</v>
      </c>
      <c r="X142" s="79"/>
      <c r="Y142" s="44" t="str">
        <f>VLOOKUP(M142,Table1[#All],2,FALSE)</f>
        <v xml:space="preserve">Task Cashed Chk Queue </v>
      </c>
      <c r="Z142" s="59" t="str">
        <f>VLOOKUP(M142,Table1[#All],9,FALSE)</f>
        <v>Additional Notes:</v>
      </c>
      <c r="AA142" s="76" t="s">
        <v>4107</v>
      </c>
      <c r="AB142" s="76" t="s">
        <v>3762</v>
      </c>
      <c r="AC142" s="90" t="s">
        <v>115</v>
      </c>
      <c r="AD142" s="76" t="s">
        <v>177</v>
      </c>
      <c r="AE142" s="77" t="s">
        <v>3698</v>
      </c>
      <c r="AF142" s="110">
        <v>44615</v>
      </c>
      <c r="AG142" s="41" t="s">
        <v>101</v>
      </c>
      <c r="AH142" s="25"/>
      <c r="AI142" s="25"/>
      <c r="AJ142" s="42"/>
    </row>
    <row r="143" spans="1:36" ht="21" hidden="1" x14ac:dyDescent="0.55000000000000004">
      <c r="A143" s="44" t="str">
        <f>Data!K142</f>
        <v>Dental Health and Wellness WI</v>
      </c>
      <c r="B143" s="44" t="str">
        <f>Data!L142</f>
        <v>8444645635</v>
      </c>
      <c r="C143" s="44" t="str">
        <f>Data!D142</f>
        <v xml:space="preserve">Gross, Shanon </v>
      </c>
      <c r="D143" s="82" t="str">
        <f>Data!F142</f>
        <v>2452728420</v>
      </c>
      <c r="E143" s="82" t="str">
        <f>Data!B142</f>
        <v>5639</v>
      </c>
      <c r="F143" s="44" t="str">
        <f>Data!A142</f>
        <v xml:space="preserve">Gross, Shanon </v>
      </c>
      <c r="G143" s="55" t="str">
        <f>Data!C142</f>
        <v>10/20/1976</v>
      </c>
      <c r="H143" s="56">
        <f>Data!H142</f>
        <v>44560</v>
      </c>
      <c r="I143" s="56" t="str">
        <f>Data!I142</f>
        <v>1/1/2022</v>
      </c>
      <c r="J143" s="57">
        <f>Data!J142</f>
        <v>180</v>
      </c>
      <c r="K143" s="58">
        <f t="shared" ca="1" si="2"/>
        <v>138</v>
      </c>
      <c r="L143" s="58">
        <f>Data!M142</f>
        <v>0</v>
      </c>
      <c r="M143" s="37" t="s">
        <v>7</v>
      </c>
      <c r="N143" s="43" t="str">
        <f>VLOOKUP(M143,Table1[#All],3,FALSE)</f>
        <v>Claim Paid by Check;</v>
      </c>
      <c r="O143" s="40" t="str">
        <f>VLOOKUP(M143,Table1[#All],4,FALSE)</f>
        <v>Issue Date:</v>
      </c>
      <c r="P143" s="38">
        <v>44574</v>
      </c>
      <c r="Q143" s="40" t="str">
        <f>VLOOKUP(M143,Table1[#All],5,FALSE)</f>
        <v>CHK#</v>
      </c>
      <c r="R143" s="79">
        <v>899788</v>
      </c>
      <c r="S143" s="40" t="str">
        <f>VLOOKUP(M143,Table1[#All],6,FALSE)</f>
        <v>Bulk/Sep:</v>
      </c>
      <c r="T143" s="79" t="s">
        <v>3800</v>
      </c>
      <c r="U143" s="40" t="str">
        <f>VLOOKUP(M143,Table1[#All],7,FALSE)</f>
        <v>Call Ref#:</v>
      </c>
      <c r="V143" s="79"/>
      <c r="W143" s="40" t="str">
        <f>VLOOKUP(M143,Table1[#All],8,FALSE)</f>
        <v>Cust Rep:</v>
      </c>
      <c r="X143" s="79"/>
      <c r="Y143" s="44" t="str">
        <f>VLOOKUP(M143,Table1[#All],2,FALSE)</f>
        <v xml:space="preserve">Task Cashed Chk Queue </v>
      </c>
      <c r="Z143" s="59" t="str">
        <f>VLOOKUP(M143,Table1[#All],9,FALSE)</f>
        <v>Additional Notes:</v>
      </c>
      <c r="AA143" s="76" t="s">
        <v>4108</v>
      </c>
      <c r="AB143" s="76" t="s">
        <v>3762</v>
      </c>
      <c r="AC143" s="90" t="s">
        <v>115</v>
      </c>
      <c r="AD143" s="76" t="s">
        <v>177</v>
      </c>
      <c r="AE143" s="77" t="s">
        <v>3698</v>
      </c>
      <c r="AF143" s="110">
        <v>44615</v>
      </c>
      <c r="AG143" s="41" t="s">
        <v>101</v>
      </c>
      <c r="AH143" s="25"/>
      <c r="AI143" s="25"/>
      <c r="AJ143" s="42"/>
    </row>
    <row r="144" spans="1:36" ht="21" hidden="1" x14ac:dyDescent="0.55000000000000004">
      <c r="A144" s="44" t="str">
        <f>Data!K143</f>
        <v>Dental Health and Wellness WI</v>
      </c>
      <c r="B144" s="44" t="str">
        <f>Data!L143</f>
        <v>8444645635</v>
      </c>
      <c r="C144" s="44" t="str">
        <f>Data!D143</f>
        <v>Cortez, Anjel</v>
      </c>
      <c r="D144" s="82" t="str">
        <f>Data!F143</f>
        <v>2409667821</v>
      </c>
      <c r="E144" s="82" t="str">
        <f>Data!B143</f>
        <v>8742</v>
      </c>
      <c r="F144" s="44" t="str">
        <f>Data!A143</f>
        <v>Cortez, Anjel</v>
      </c>
      <c r="G144" s="55" t="str">
        <f>Data!C143</f>
        <v>9/16/1990</v>
      </c>
      <c r="H144" s="56">
        <f>Data!H143</f>
        <v>44559</v>
      </c>
      <c r="I144" s="56" t="str">
        <f>Data!I143</f>
        <v>1/1/2022</v>
      </c>
      <c r="J144" s="57">
        <f>Data!J143</f>
        <v>957.6</v>
      </c>
      <c r="K144" s="58">
        <f t="shared" ca="1" si="2"/>
        <v>138</v>
      </c>
      <c r="L144" s="58">
        <f>Data!M143</f>
        <v>0</v>
      </c>
      <c r="M144" s="37" t="s">
        <v>7</v>
      </c>
      <c r="N144" s="43" t="str">
        <f>VLOOKUP(M144,Table1[#All],3,FALSE)</f>
        <v>Claim Paid by Check;</v>
      </c>
      <c r="O144" s="40" t="str">
        <f>VLOOKUP(M144,Table1[#All],4,FALSE)</f>
        <v>Issue Date:</v>
      </c>
      <c r="P144" s="38">
        <v>44581</v>
      </c>
      <c r="Q144" s="40" t="str">
        <f>VLOOKUP(M144,Table1[#All],5,FALSE)</f>
        <v>CHK#</v>
      </c>
      <c r="R144" s="79">
        <v>904375</v>
      </c>
      <c r="S144" s="40" t="str">
        <f>VLOOKUP(M144,Table1[#All],6,FALSE)</f>
        <v>Bulk/Sep:</v>
      </c>
      <c r="T144" s="79" t="s">
        <v>3800</v>
      </c>
      <c r="U144" s="40" t="str">
        <f>VLOOKUP(M144,Table1[#All],7,FALSE)</f>
        <v>Call Ref#:</v>
      </c>
      <c r="V144" s="79"/>
      <c r="W144" s="40" t="str">
        <f>VLOOKUP(M144,Table1[#All],8,FALSE)</f>
        <v>Cust Rep:</v>
      </c>
      <c r="X144" s="79"/>
      <c r="Y144" s="44" t="str">
        <f>VLOOKUP(M144,Table1[#All],2,FALSE)</f>
        <v xml:space="preserve">Task Cashed Chk Queue </v>
      </c>
      <c r="Z144" s="59" t="str">
        <f>VLOOKUP(M144,Table1[#All],9,FALSE)</f>
        <v>Additional Notes:</v>
      </c>
      <c r="AA144" s="76" t="s">
        <v>4109</v>
      </c>
      <c r="AB144" s="76" t="s">
        <v>3762</v>
      </c>
      <c r="AC144" s="90" t="s">
        <v>115</v>
      </c>
      <c r="AD144" s="76" t="s">
        <v>177</v>
      </c>
      <c r="AE144" s="77" t="s">
        <v>3698</v>
      </c>
      <c r="AF144" s="110">
        <v>44615</v>
      </c>
      <c r="AG144" s="41" t="s">
        <v>101</v>
      </c>
      <c r="AH144" s="25"/>
      <c r="AI144" s="25"/>
      <c r="AJ144" s="42"/>
    </row>
    <row r="145" spans="1:36" ht="21" hidden="1" x14ac:dyDescent="0.55000000000000004">
      <c r="A145" s="44" t="str">
        <f>Data!K144</f>
        <v>Dental Health and Wellness WI</v>
      </c>
      <c r="B145" s="44" t="str">
        <f>Data!L144</f>
        <v>8444645635</v>
      </c>
      <c r="C145" s="44" t="str">
        <f>Data!D144</f>
        <v xml:space="preserve">Poikonen, Zachary </v>
      </c>
      <c r="D145" s="82" t="str">
        <f>Data!F144</f>
        <v>9458122899</v>
      </c>
      <c r="E145" s="82" t="str">
        <f>Data!B144</f>
        <v>8619</v>
      </c>
      <c r="F145" s="44" t="str">
        <f>Data!A144</f>
        <v xml:space="preserve">Poikonen, Zachary </v>
      </c>
      <c r="G145" s="55" t="str">
        <f>Data!C144</f>
        <v>10/5/1998</v>
      </c>
      <c r="H145" s="56">
        <f>Data!H144</f>
        <v>44558</v>
      </c>
      <c r="I145" s="56" t="str">
        <f>Data!I144</f>
        <v>1/1/2022</v>
      </c>
      <c r="J145" s="57">
        <f>Data!J144</f>
        <v>644.4</v>
      </c>
      <c r="K145" s="58">
        <f t="shared" ca="1" si="2"/>
        <v>138</v>
      </c>
      <c r="L145" s="58">
        <f>Data!M144</f>
        <v>0</v>
      </c>
      <c r="M145" s="37" t="s">
        <v>7</v>
      </c>
      <c r="N145" s="43" t="str">
        <f>VLOOKUP(M145,Table1[#All],3,FALSE)</f>
        <v>Claim Paid by Check;</v>
      </c>
      <c r="O145" s="40" t="str">
        <f>VLOOKUP(M145,Table1[#All],4,FALSE)</f>
        <v>Issue Date:</v>
      </c>
      <c r="P145" s="38">
        <v>44581</v>
      </c>
      <c r="Q145" s="40" t="str">
        <f>VLOOKUP(M145,Table1[#All],5,FALSE)</f>
        <v>CHK#</v>
      </c>
      <c r="R145" s="79">
        <v>904375</v>
      </c>
      <c r="S145" s="40" t="str">
        <f>VLOOKUP(M145,Table1[#All],6,FALSE)</f>
        <v>Bulk/Sep:</v>
      </c>
      <c r="T145" s="79" t="s">
        <v>3800</v>
      </c>
      <c r="U145" s="40" t="str">
        <f>VLOOKUP(M145,Table1[#All],7,FALSE)</f>
        <v>Call Ref#:</v>
      </c>
      <c r="V145" s="79"/>
      <c r="W145" s="40" t="str">
        <f>VLOOKUP(M145,Table1[#All],8,FALSE)</f>
        <v>Cust Rep:</v>
      </c>
      <c r="X145" s="79"/>
      <c r="Y145" s="44" t="str">
        <f>VLOOKUP(M145,Table1[#All],2,FALSE)</f>
        <v xml:space="preserve">Task Cashed Chk Queue </v>
      </c>
      <c r="Z145" s="59" t="str">
        <f>VLOOKUP(M145,Table1[#All],9,FALSE)</f>
        <v>Additional Notes:</v>
      </c>
      <c r="AA145" s="76" t="s">
        <v>4110</v>
      </c>
      <c r="AB145" s="76" t="s">
        <v>3762</v>
      </c>
      <c r="AC145" s="90" t="s">
        <v>115</v>
      </c>
      <c r="AD145" s="76" t="s">
        <v>177</v>
      </c>
      <c r="AE145" s="77" t="s">
        <v>3698</v>
      </c>
      <c r="AF145" s="110">
        <v>44615</v>
      </c>
      <c r="AG145" s="41" t="s">
        <v>101</v>
      </c>
      <c r="AH145" s="25"/>
      <c r="AI145" s="25"/>
      <c r="AJ145" s="42"/>
    </row>
    <row r="146" spans="1:36" ht="21" hidden="1" x14ac:dyDescent="0.55000000000000004">
      <c r="A146" s="44" t="str">
        <f>Data!K145</f>
        <v>Dental Health and Wellness WI</v>
      </c>
      <c r="B146" s="44" t="str">
        <f>Data!L145</f>
        <v>8444645635</v>
      </c>
      <c r="C146" s="44" t="str">
        <f>Data!D145</f>
        <v xml:space="preserve">Zold , Joseph </v>
      </c>
      <c r="D146" s="82" t="str">
        <f>Data!F145</f>
        <v>0449395707</v>
      </c>
      <c r="E146" s="82" t="str">
        <f>Data!B145</f>
        <v>8736</v>
      </c>
      <c r="F146" s="44" t="str">
        <f>Data!A145</f>
        <v xml:space="preserve">Zold , Joseph </v>
      </c>
      <c r="G146" s="55" t="str">
        <f>Data!C145</f>
        <v>1/26/1997</v>
      </c>
      <c r="H146" s="56">
        <f>Data!H145</f>
        <v>44558</v>
      </c>
      <c r="I146" s="56" t="str">
        <f>Data!I145</f>
        <v>1/1/2022</v>
      </c>
      <c r="J146" s="57">
        <f>Data!J145</f>
        <v>781.2</v>
      </c>
      <c r="K146" s="58">
        <f t="shared" ca="1" si="2"/>
        <v>138</v>
      </c>
      <c r="L146" s="58">
        <f>Data!M145</f>
        <v>0</v>
      </c>
      <c r="M146" s="37" t="s">
        <v>7</v>
      </c>
      <c r="N146" s="43" t="str">
        <f>VLOOKUP(M146,Table1[#All],3,FALSE)</f>
        <v>Claim Paid by Check;</v>
      </c>
      <c r="O146" s="40" t="str">
        <f>VLOOKUP(M146,Table1[#All],4,FALSE)</f>
        <v>Issue Date:</v>
      </c>
      <c r="P146" s="38">
        <v>44574</v>
      </c>
      <c r="Q146" s="40" t="str">
        <f>VLOOKUP(M146,Table1[#All],5,FALSE)</f>
        <v>CHK#</v>
      </c>
      <c r="R146" s="79">
        <v>899788</v>
      </c>
      <c r="S146" s="40" t="str">
        <f>VLOOKUP(M146,Table1[#All],6,FALSE)</f>
        <v>Bulk/Sep:</v>
      </c>
      <c r="T146" s="79" t="s">
        <v>3800</v>
      </c>
      <c r="U146" s="40" t="str">
        <f>VLOOKUP(M146,Table1[#All],7,FALSE)</f>
        <v>Call Ref#:</v>
      </c>
      <c r="V146" s="79"/>
      <c r="W146" s="40" t="str">
        <f>VLOOKUP(M146,Table1[#All],8,FALSE)</f>
        <v>Cust Rep:</v>
      </c>
      <c r="X146" s="79"/>
      <c r="Y146" s="44" t="str">
        <f>VLOOKUP(M146,Table1[#All],2,FALSE)</f>
        <v xml:space="preserve">Task Cashed Chk Queue </v>
      </c>
      <c r="Z146" s="59" t="str">
        <f>VLOOKUP(M146,Table1[#All],9,FALSE)</f>
        <v>Additional Notes:</v>
      </c>
      <c r="AA146" s="76" t="s">
        <v>4111</v>
      </c>
      <c r="AB146" s="76" t="s">
        <v>3762</v>
      </c>
      <c r="AC146" s="90" t="s">
        <v>115</v>
      </c>
      <c r="AD146" s="76" t="s">
        <v>177</v>
      </c>
      <c r="AE146" s="77" t="s">
        <v>3698</v>
      </c>
      <c r="AF146" s="110">
        <v>44616</v>
      </c>
      <c r="AG146" s="41" t="s">
        <v>101</v>
      </c>
      <c r="AH146" s="25"/>
      <c r="AI146" s="25"/>
      <c r="AJ146" s="42"/>
    </row>
    <row r="147" spans="1:36" ht="21" hidden="1" x14ac:dyDescent="0.55000000000000004">
      <c r="A147" s="44" t="str">
        <f>Data!K146</f>
        <v>Dental Health and Wellness WI</v>
      </c>
      <c r="B147" s="44" t="str">
        <f>Data!L146</f>
        <v>8444645635</v>
      </c>
      <c r="C147" s="44" t="str">
        <f>Data!D146</f>
        <v>Singstocktrevin , Jacob</v>
      </c>
      <c r="D147" s="82" t="str">
        <f>Data!F146</f>
        <v>5410149254</v>
      </c>
      <c r="E147" s="82" t="str">
        <f>Data!B146</f>
        <v>8725</v>
      </c>
      <c r="F147" s="44" t="str">
        <f>Data!A146</f>
        <v>Singstocktrevin , Jacob</v>
      </c>
      <c r="G147" s="55" t="str">
        <f>Data!C146</f>
        <v>2/15/1991</v>
      </c>
      <c r="H147" s="56">
        <f>Data!H146</f>
        <v>44558</v>
      </c>
      <c r="I147" s="56" t="str">
        <f>Data!I146</f>
        <v>1/1/2022</v>
      </c>
      <c r="J147" s="57">
        <f>Data!J146</f>
        <v>332.4</v>
      </c>
      <c r="K147" s="58">
        <f t="shared" ca="1" si="2"/>
        <v>138</v>
      </c>
      <c r="L147" s="58">
        <f>Data!M146</f>
        <v>0</v>
      </c>
      <c r="M147" s="37" t="s">
        <v>7</v>
      </c>
      <c r="N147" s="43" t="str">
        <f>VLOOKUP(M147,Table1[#All],3,FALSE)</f>
        <v>Claim Paid by Check;</v>
      </c>
      <c r="O147" s="40" t="str">
        <f>VLOOKUP(M147,Table1[#All],4,FALSE)</f>
        <v>Issue Date:</v>
      </c>
      <c r="P147" s="38">
        <v>44574</v>
      </c>
      <c r="Q147" s="40" t="str">
        <f>VLOOKUP(M147,Table1[#All],5,FALSE)</f>
        <v>CHK#</v>
      </c>
      <c r="R147" s="79">
        <v>899788</v>
      </c>
      <c r="S147" s="40" t="str">
        <f>VLOOKUP(M147,Table1[#All],6,FALSE)</f>
        <v>Bulk/Sep:</v>
      </c>
      <c r="T147" s="79" t="s">
        <v>3800</v>
      </c>
      <c r="U147" s="40" t="str">
        <f>VLOOKUP(M147,Table1[#All],7,FALSE)</f>
        <v>Call Ref#:</v>
      </c>
      <c r="V147" s="79"/>
      <c r="W147" s="40" t="str">
        <f>VLOOKUP(M147,Table1[#All],8,FALSE)</f>
        <v>Cust Rep:</v>
      </c>
      <c r="X147" s="79"/>
      <c r="Y147" s="44" t="str">
        <f>VLOOKUP(M147,Table1[#All],2,FALSE)</f>
        <v xml:space="preserve">Task Cashed Chk Queue </v>
      </c>
      <c r="Z147" s="59" t="str">
        <f>VLOOKUP(M147,Table1[#All],9,FALSE)</f>
        <v>Additional Notes:</v>
      </c>
      <c r="AA147" s="76" t="s">
        <v>4112</v>
      </c>
      <c r="AB147" s="76" t="s">
        <v>3762</v>
      </c>
      <c r="AC147" s="90" t="s">
        <v>115</v>
      </c>
      <c r="AD147" s="76" t="s">
        <v>177</v>
      </c>
      <c r="AE147" s="77" t="s">
        <v>3698</v>
      </c>
      <c r="AF147" s="110">
        <v>44616</v>
      </c>
      <c r="AG147" s="41" t="s">
        <v>101</v>
      </c>
      <c r="AH147" s="25"/>
      <c r="AI147" s="25"/>
      <c r="AJ147" s="42"/>
    </row>
    <row r="148" spans="1:36" ht="21" hidden="1" x14ac:dyDescent="0.55000000000000004">
      <c r="A148" s="44" t="str">
        <f>Data!K147</f>
        <v>Dental Health and Wellness WI</v>
      </c>
      <c r="B148" s="44" t="str">
        <f>Data!L147</f>
        <v>8444645635</v>
      </c>
      <c r="C148" s="44" t="str">
        <f>Data!D147</f>
        <v>Rodriguez, Marcelino</v>
      </c>
      <c r="D148" s="82" t="str">
        <f>Data!F147</f>
        <v>0452484804</v>
      </c>
      <c r="E148" s="82" t="str">
        <f>Data!B147</f>
        <v>8307</v>
      </c>
      <c r="F148" s="44" t="str">
        <f>Data!A147</f>
        <v>Rodriguez, Marcelino</v>
      </c>
      <c r="G148" s="55" t="str">
        <f>Data!C147</f>
        <v>12/3/2017</v>
      </c>
      <c r="H148" s="56">
        <f>Data!H147</f>
        <v>44554</v>
      </c>
      <c r="I148" s="56" t="str">
        <f>Data!I147</f>
        <v>12/30/2021</v>
      </c>
      <c r="J148" s="57">
        <f>Data!J147</f>
        <v>667.6</v>
      </c>
      <c r="K148" s="58">
        <f t="shared" ca="1" si="2"/>
        <v>140</v>
      </c>
      <c r="L148" s="58">
        <f>Data!M147</f>
        <v>0</v>
      </c>
      <c r="M148" s="37" t="s">
        <v>7</v>
      </c>
      <c r="N148" s="43" t="str">
        <f>VLOOKUP(M148,Table1[#All],3,FALSE)</f>
        <v>Claim Paid by Check;</v>
      </c>
      <c r="O148" s="40" t="str">
        <f>VLOOKUP(M148,Table1[#All],4,FALSE)</f>
        <v>Issue Date:</v>
      </c>
      <c r="P148" s="38">
        <v>44581</v>
      </c>
      <c r="Q148" s="40" t="str">
        <f>VLOOKUP(M148,Table1[#All],5,FALSE)</f>
        <v>CHK#</v>
      </c>
      <c r="R148" s="79">
        <v>904375</v>
      </c>
      <c r="S148" s="40" t="str">
        <f>VLOOKUP(M148,Table1[#All],6,FALSE)</f>
        <v>Bulk/Sep:</v>
      </c>
      <c r="T148" s="79" t="s">
        <v>3800</v>
      </c>
      <c r="U148" s="40" t="str">
        <f>VLOOKUP(M148,Table1[#All],7,FALSE)</f>
        <v>Call Ref#:</v>
      </c>
      <c r="V148" s="79">
        <v>439589</v>
      </c>
      <c r="W148" s="40" t="str">
        <f>VLOOKUP(M148,Table1[#All],8,FALSE)</f>
        <v>Cust Rep:</v>
      </c>
      <c r="X148" s="79" t="s">
        <v>3730</v>
      </c>
      <c r="Y148" s="44" t="str">
        <f>VLOOKUP(M148,Table1[#All],2,FALSE)</f>
        <v xml:space="preserve">Task Cashed Chk Queue </v>
      </c>
      <c r="Z148" s="59" t="str">
        <f>VLOOKUP(M148,Table1[#All],9,FALSE)</f>
        <v>Additional Notes:</v>
      </c>
      <c r="AA148" s="76" t="s">
        <v>4113</v>
      </c>
      <c r="AB148" s="76" t="s">
        <v>3697</v>
      </c>
      <c r="AC148" s="90" t="s">
        <v>115</v>
      </c>
      <c r="AD148" s="76" t="s">
        <v>177</v>
      </c>
      <c r="AE148" s="77" t="s">
        <v>3698</v>
      </c>
      <c r="AF148" s="110">
        <v>44616</v>
      </c>
      <c r="AG148" s="41" t="s">
        <v>101</v>
      </c>
      <c r="AH148" s="25"/>
      <c r="AI148" s="25"/>
      <c r="AJ148" s="42"/>
    </row>
    <row r="149" spans="1:36" ht="21" hidden="1" x14ac:dyDescent="0.55000000000000004">
      <c r="A149" s="44" t="str">
        <f>Data!K148</f>
        <v>Dental Health and Wellness WI</v>
      </c>
      <c r="B149" s="44" t="str">
        <f>Data!L148</f>
        <v>8444645635</v>
      </c>
      <c r="C149" s="44" t="str">
        <f>Data!D148</f>
        <v>Ortiz Espada, Lia</v>
      </c>
      <c r="D149" s="82" t="str">
        <f>Data!F148</f>
        <v>3451638134</v>
      </c>
      <c r="E149" s="82" t="str">
        <f>Data!B148</f>
        <v>4346</v>
      </c>
      <c r="F149" s="44" t="str">
        <f>Data!A148</f>
        <v>Ortiz Espada, Lia</v>
      </c>
      <c r="G149" s="55" t="str">
        <f>Data!C148</f>
        <v>9/4/2014</v>
      </c>
      <c r="H149" s="56">
        <f>Data!H148</f>
        <v>44553</v>
      </c>
      <c r="I149" s="56" t="str">
        <f>Data!I148</f>
        <v>12/30/2021</v>
      </c>
      <c r="J149" s="57">
        <f>Data!J148</f>
        <v>566.79999999999995</v>
      </c>
      <c r="K149" s="58">
        <f t="shared" ca="1" si="2"/>
        <v>140</v>
      </c>
      <c r="L149" s="58">
        <f>Data!M148</f>
        <v>0</v>
      </c>
      <c r="M149" s="37" t="s">
        <v>7</v>
      </c>
      <c r="N149" s="43" t="str">
        <f>VLOOKUP(M149,Table1[#All],3,FALSE)</f>
        <v>Claim Paid by Check;</v>
      </c>
      <c r="O149" s="40" t="str">
        <f>VLOOKUP(M149,Table1[#All],4,FALSE)</f>
        <v>Issue Date:</v>
      </c>
      <c r="P149" s="38">
        <v>44581</v>
      </c>
      <c r="Q149" s="40" t="str">
        <f>VLOOKUP(M149,Table1[#All],5,FALSE)</f>
        <v>CHK#</v>
      </c>
      <c r="R149" s="79">
        <v>904375</v>
      </c>
      <c r="S149" s="40" t="str">
        <f>VLOOKUP(M149,Table1[#All],6,FALSE)</f>
        <v>Bulk/Sep:</v>
      </c>
      <c r="T149" s="79" t="s">
        <v>3800</v>
      </c>
      <c r="U149" s="40" t="str">
        <f>VLOOKUP(M149,Table1[#All],7,FALSE)</f>
        <v>Call Ref#:</v>
      </c>
      <c r="V149" s="79"/>
      <c r="W149" s="40" t="str">
        <f>VLOOKUP(M149,Table1[#All],8,FALSE)</f>
        <v>Cust Rep:</v>
      </c>
      <c r="X149" s="79"/>
      <c r="Y149" s="44" t="str">
        <f>VLOOKUP(M149,Table1[#All],2,FALSE)</f>
        <v xml:space="preserve">Task Cashed Chk Queue </v>
      </c>
      <c r="Z149" s="59" t="str">
        <f>VLOOKUP(M149,Table1[#All],9,FALSE)</f>
        <v>Additional Notes:</v>
      </c>
      <c r="AA149" s="76" t="s">
        <v>4114</v>
      </c>
      <c r="AB149" s="76" t="s">
        <v>3762</v>
      </c>
      <c r="AC149" s="90" t="s">
        <v>115</v>
      </c>
      <c r="AD149" s="76" t="s">
        <v>177</v>
      </c>
      <c r="AE149" s="77" t="s">
        <v>3698</v>
      </c>
      <c r="AF149" s="110">
        <v>44616</v>
      </c>
      <c r="AG149" s="41" t="s">
        <v>101</v>
      </c>
      <c r="AH149" s="25"/>
      <c r="AI149" s="25"/>
      <c r="AJ149" s="42"/>
    </row>
    <row r="150" spans="1:36" ht="21" hidden="1" x14ac:dyDescent="0.55000000000000004">
      <c r="A150" s="44" t="str">
        <f>Data!K149</f>
        <v>Dental Health and Wellness WI</v>
      </c>
      <c r="B150" s="44" t="str">
        <f>Data!L149</f>
        <v>8444645635</v>
      </c>
      <c r="C150" s="44" t="str">
        <f>Data!D149</f>
        <v>Burgess, Hayley</v>
      </c>
      <c r="D150" s="82" t="str">
        <f>Data!F149</f>
        <v>3437534432</v>
      </c>
      <c r="E150" s="82" t="str">
        <f>Data!B149</f>
        <v>8523</v>
      </c>
      <c r="F150" s="44" t="str">
        <f>Data!A149</f>
        <v>Burgess, Hayley</v>
      </c>
      <c r="G150" s="55" t="str">
        <f>Data!C149</f>
        <v>10/23/1990</v>
      </c>
      <c r="H150" s="56">
        <f>Data!H149</f>
        <v>44547</v>
      </c>
      <c r="I150" s="56" t="str">
        <f>Data!I149</f>
        <v>12/20/2021</v>
      </c>
      <c r="J150" s="57">
        <f>Data!J149</f>
        <v>138</v>
      </c>
      <c r="K150" s="58">
        <f t="shared" ca="1" si="2"/>
        <v>150</v>
      </c>
      <c r="L150" s="58">
        <f>Data!M149</f>
        <v>0</v>
      </c>
      <c r="M150" s="37" t="s">
        <v>11</v>
      </c>
      <c r="N150" s="43" t="str">
        <f>VLOOKUP(M150,Table1[#All],3,FALSE)</f>
        <v>Claim denied due to Frequency;</v>
      </c>
      <c r="O150" s="40" t="str">
        <f>VLOOKUP(M150,Table1[#All],4,FALSE)</f>
        <v>Freq for Proc:</v>
      </c>
      <c r="P150" s="39"/>
      <c r="Q150" s="40" t="str">
        <f>VLOOKUP(M150,Table1[#All],5,FALSE)</f>
        <v>Hist dts:</v>
      </c>
      <c r="R150" s="79"/>
      <c r="S150" s="40" t="str">
        <f>VLOOKUP(M150,Table1[#All],6,FALSE)</f>
        <v>Call Ref#:</v>
      </c>
      <c r="T150" s="79">
        <v>439589</v>
      </c>
      <c r="U150" s="40" t="str">
        <f>VLOOKUP(M150,Table1[#All],7,FALSE)</f>
        <v>Cust Rep:</v>
      </c>
      <c r="V150" s="79" t="s">
        <v>3730</v>
      </c>
      <c r="W150" s="40">
        <f>VLOOKUP(M150,Table1[#All],8,FALSE)</f>
        <v>0</v>
      </c>
      <c r="X150" s="79"/>
      <c r="Y150" s="44" t="str">
        <f>VLOOKUP(M150,Table1[#All],2,FALSE)</f>
        <v xml:space="preserve">Task Post Pmt Queue </v>
      </c>
      <c r="Z150" s="59" t="str">
        <f>VLOOKUP(M150,Table1[#All],9,FALSE)</f>
        <v>Additional Notes:</v>
      </c>
      <c r="AA150" s="76" t="s">
        <v>4115</v>
      </c>
      <c r="AB150" s="76" t="s">
        <v>3697</v>
      </c>
      <c r="AC150" s="90" t="s">
        <v>115</v>
      </c>
      <c r="AD150" s="76" t="s">
        <v>177</v>
      </c>
      <c r="AE150" s="77" t="s">
        <v>3698</v>
      </c>
      <c r="AF150" s="110">
        <v>44616</v>
      </c>
      <c r="AG150" s="41" t="s">
        <v>101</v>
      </c>
      <c r="AH150" s="25"/>
      <c r="AI150" s="25"/>
      <c r="AJ150" s="42"/>
    </row>
    <row r="151" spans="1:36" ht="21" hidden="1" x14ac:dyDescent="0.55000000000000004">
      <c r="A151" s="44" t="str">
        <f>Data!K150</f>
        <v>Dental Health and Wellness WI</v>
      </c>
      <c r="B151" s="44" t="str">
        <f>Data!L150</f>
        <v>8444645635</v>
      </c>
      <c r="C151" s="44" t="str">
        <f>Data!D150</f>
        <v xml:space="preserve">Poikonen, Zachary </v>
      </c>
      <c r="D151" s="82" t="str">
        <f>Data!F150</f>
        <v>9458122899</v>
      </c>
      <c r="E151" s="82" t="str">
        <f>Data!B150</f>
        <v>8619</v>
      </c>
      <c r="F151" s="44" t="str">
        <f>Data!A150</f>
        <v xml:space="preserve">Poikonen, Zachary </v>
      </c>
      <c r="G151" s="55" t="str">
        <f>Data!C150</f>
        <v>10/5/1998</v>
      </c>
      <c r="H151" s="56">
        <f>Data!H150</f>
        <v>44536</v>
      </c>
      <c r="I151" s="56" t="str">
        <f>Data!I150</f>
        <v>12/10/2021</v>
      </c>
      <c r="J151" s="57">
        <f>Data!J150</f>
        <v>428.4</v>
      </c>
      <c r="K151" s="58">
        <f t="shared" ca="1" si="2"/>
        <v>160</v>
      </c>
      <c r="L151" s="58">
        <f>Data!M150</f>
        <v>0</v>
      </c>
      <c r="M151" s="37" t="s">
        <v>7</v>
      </c>
      <c r="N151" s="43" t="str">
        <f>VLOOKUP(M151,Table1[#All],3,FALSE)</f>
        <v>Claim Paid by Check;</v>
      </c>
      <c r="O151" s="40" t="str">
        <f>VLOOKUP(M151,Table1[#All],4,FALSE)</f>
        <v>Issue Date:</v>
      </c>
      <c r="P151" s="38">
        <v>44567</v>
      </c>
      <c r="Q151" s="40" t="str">
        <f>VLOOKUP(M151,Table1[#All],5,FALSE)</f>
        <v>CHK#</v>
      </c>
      <c r="R151" s="79">
        <v>896376</v>
      </c>
      <c r="S151" s="40" t="str">
        <f>VLOOKUP(M151,Table1[#All],6,FALSE)</f>
        <v>Bulk/Sep:</v>
      </c>
      <c r="T151" s="79" t="s">
        <v>3952</v>
      </c>
      <c r="U151" s="40" t="str">
        <f>VLOOKUP(M151,Table1[#All],7,FALSE)</f>
        <v>Call Ref#:</v>
      </c>
      <c r="V151" s="79"/>
      <c r="W151" s="40" t="str">
        <f>VLOOKUP(M151,Table1[#All],8,FALSE)</f>
        <v>Cust Rep:</v>
      </c>
      <c r="X151" s="79"/>
      <c r="Y151" s="44" t="str">
        <f>VLOOKUP(M151,Table1[#All],2,FALSE)</f>
        <v xml:space="preserve">Task Cashed Chk Queue </v>
      </c>
      <c r="Z151" s="59" t="str">
        <f>VLOOKUP(M151,Table1[#All],9,FALSE)</f>
        <v>Additional Notes:</v>
      </c>
      <c r="AA151" s="76" t="s">
        <v>4116</v>
      </c>
      <c r="AB151" s="76" t="s">
        <v>3762</v>
      </c>
      <c r="AC151" s="90" t="s">
        <v>115</v>
      </c>
      <c r="AD151" s="76" t="s">
        <v>177</v>
      </c>
      <c r="AE151" s="77" t="s">
        <v>3698</v>
      </c>
      <c r="AF151" s="110">
        <v>44616</v>
      </c>
      <c r="AG151" s="41" t="s">
        <v>101</v>
      </c>
      <c r="AH151" s="25"/>
      <c r="AI151" s="25"/>
      <c r="AJ151" s="42"/>
    </row>
    <row r="152" spans="1:36" ht="21" hidden="1" x14ac:dyDescent="0.55000000000000004">
      <c r="A152" s="44" t="str">
        <f>Data!K151</f>
        <v>Dental Health and Wellness WI</v>
      </c>
      <c r="B152" s="44" t="str">
        <f>Data!L151</f>
        <v>8444645635</v>
      </c>
      <c r="C152" s="44" t="str">
        <f>Data!D151</f>
        <v>Rodriguez, Marcelino</v>
      </c>
      <c r="D152" s="82" t="str">
        <f>Data!F151</f>
        <v>0452484804</v>
      </c>
      <c r="E152" s="82" t="str">
        <f>Data!B151</f>
        <v>8307</v>
      </c>
      <c r="F152" s="44" t="str">
        <f>Data!A151</f>
        <v>Rodriguez, Marcelino</v>
      </c>
      <c r="G152" s="55" t="str">
        <f>Data!C151</f>
        <v>12/3/2017</v>
      </c>
      <c r="H152" s="56">
        <f>Data!H151</f>
        <v>44537</v>
      </c>
      <c r="I152" s="56" t="str">
        <f>Data!I151</f>
        <v>12/9/2021</v>
      </c>
      <c r="J152" s="57">
        <f>Data!J151</f>
        <v>798.4</v>
      </c>
      <c r="K152" s="58">
        <f t="shared" ca="1" si="2"/>
        <v>161</v>
      </c>
      <c r="L152" s="58">
        <f>Data!M151</f>
        <v>0</v>
      </c>
      <c r="M152" s="37" t="s">
        <v>7</v>
      </c>
      <c r="N152" s="43" t="str">
        <f>VLOOKUP(M152,Table1[#All],3,FALSE)</f>
        <v>Claim Paid by Check;</v>
      </c>
      <c r="O152" s="40" t="str">
        <f>VLOOKUP(M152,Table1[#All],4,FALSE)</f>
        <v>Issue Date:</v>
      </c>
      <c r="P152" s="38">
        <v>44567</v>
      </c>
      <c r="Q152" s="40" t="str">
        <f>VLOOKUP(M152,Table1[#All],5,FALSE)</f>
        <v>CHK#</v>
      </c>
      <c r="R152" s="79">
        <v>896382</v>
      </c>
      <c r="S152" s="40" t="str">
        <f>VLOOKUP(M152,Table1[#All],6,FALSE)</f>
        <v>Bulk/Sep:</v>
      </c>
      <c r="T152" s="79" t="s">
        <v>3952</v>
      </c>
      <c r="U152" s="40" t="str">
        <f>VLOOKUP(M152,Table1[#All],7,FALSE)</f>
        <v>Call Ref#:</v>
      </c>
      <c r="V152" s="79">
        <v>439589</v>
      </c>
      <c r="W152" s="40" t="str">
        <f>VLOOKUP(M152,Table1[#All],8,FALSE)</f>
        <v>Cust Rep:</v>
      </c>
      <c r="X152" s="79" t="s">
        <v>3730</v>
      </c>
      <c r="Y152" s="44" t="str">
        <f>VLOOKUP(M152,Table1[#All],2,FALSE)</f>
        <v xml:space="preserve">Task Cashed Chk Queue </v>
      </c>
      <c r="Z152" s="59" t="str">
        <f>VLOOKUP(M152,Table1[#All],9,FALSE)</f>
        <v>Additional Notes:</v>
      </c>
      <c r="AA152" s="76" t="s">
        <v>4117</v>
      </c>
      <c r="AB152" s="76" t="s">
        <v>3697</v>
      </c>
      <c r="AC152" s="90" t="s">
        <v>115</v>
      </c>
      <c r="AD152" s="76" t="s">
        <v>177</v>
      </c>
      <c r="AE152" s="77" t="s">
        <v>3698</v>
      </c>
      <c r="AF152" s="110">
        <v>44616</v>
      </c>
      <c r="AG152" s="41" t="s">
        <v>101</v>
      </c>
      <c r="AH152" s="25"/>
      <c r="AI152" s="25"/>
      <c r="AJ152" s="42"/>
    </row>
    <row r="153" spans="1:36" ht="42" hidden="1" x14ac:dyDescent="0.55000000000000004">
      <c r="A153" s="44" t="str">
        <f>Data!K152</f>
        <v>Dental Health and Wellness WI</v>
      </c>
      <c r="B153" s="44" t="str">
        <f>Data!L152</f>
        <v>8444645635</v>
      </c>
      <c r="C153" s="44" t="str">
        <f>Data!D152</f>
        <v xml:space="preserve">CHAMBERS , Colten </v>
      </c>
      <c r="D153" s="82" t="str">
        <f>Data!F152</f>
        <v>0453918905</v>
      </c>
      <c r="E153" s="82" t="str">
        <f>Data!B152</f>
        <v>4513</v>
      </c>
      <c r="F153" s="44" t="str">
        <f>Data!A152</f>
        <v xml:space="preserve">CHAMBERS , Colten </v>
      </c>
      <c r="G153" s="55" t="str">
        <f>Data!C152</f>
        <v>7/25/2018</v>
      </c>
      <c r="H153" s="56">
        <f>Data!H152</f>
        <v>44529</v>
      </c>
      <c r="I153" s="56" t="str">
        <f>Data!I152</f>
        <v>12/1/2021</v>
      </c>
      <c r="J153" s="57">
        <f>Data!J152</f>
        <v>138</v>
      </c>
      <c r="K153" s="58">
        <f t="shared" ca="1" si="2"/>
        <v>169</v>
      </c>
      <c r="L153" s="58">
        <f>Data!M152</f>
        <v>0</v>
      </c>
      <c r="M153" s="37" t="s">
        <v>20</v>
      </c>
      <c r="N153" s="43" t="str">
        <f>VLOOKUP(M153,Table1[#All],3,FALSE)</f>
        <v>Ins needs more info, need to submit;</v>
      </c>
      <c r="O153" s="40" t="str">
        <f>VLOOKUP(M153,Table1[#All],4,FALSE)</f>
        <v>Attachments/Info needed?</v>
      </c>
      <c r="P153" s="39" t="s">
        <v>4043</v>
      </c>
      <c r="Q153" s="40" t="str">
        <f>VLOOKUP(M153,Table1[#All],5,FALSE)</f>
        <v>Fax # (If Fax Yes):</v>
      </c>
      <c r="R153" s="79"/>
      <c r="S153" s="40" t="str">
        <f>VLOOKUP(M153,Table1[#All],6,FALSE)</f>
        <v>Call Ref#:</v>
      </c>
      <c r="T153" s="79"/>
      <c r="U153" s="40" t="str">
        <f>VLOOKUP(M153,Table1[#All],7,FALSE)</f>
        <v>Cust Rep:</v>
      </c>
      <c r="V153" s="79"/>
      <c r="W153" s="40">
        <f>VLOOKUP(M153,Table1[#All],8,FALSE)</f>
        <v>0</v>
      </c>
      <c r="X153" s="79"/>
      <c r="Y153" s="44" t="str">
        <f>VLOOKUP(M153,Table1[#All],2,FALSE)</f>
        <v xml:space="preserve">Task Sub Pending Claims Queue </v>
      </c>
      <c r="Z153" s="59" t="str">
        <f>VLOOKUP(M153,Table1[#All],9,FALSE)</f>
        <v>Additional Notes:</v>
      </c>
      <c r="AA153" s="76" t="s">
        <v>4118</v>
      </c>
      <c r="AB153" s="76" t="s">
        <v>3697</v>
      </c>
      <c r="AC153" s="90" t="s">
        <v>115</v>
      </c>
      <c r="AD153" s="76" t="s">
        <v>177</v>
      </c>
      <c r="AE153" s="77" t="s">
        <v>3698</v>
      </c>
      <c r="AF153" s="110">
        <v>44616</v>
      </c>
      <c r="AG153" s="41" t="s">
        <v>101</v>
      </c>
      <c r="AH153" s="25"/>
      <c r="AI153" s="25"/>
      <c r="AJ153" s="42"/>
    </row>
    <row r="154" spans="1:36" ht="21" hidden="1" x14ac:dyDescent="0.55000000000000004">
      <c r="A154" s="44" t="str">
        <f>Data!K153</f>
        <v>Dental Health and Wellness WI</v>
      </c>
      <c r="B154" s="44" t="str">
        <f>Data!L153</f>
        <v>8444645635</v>
      </c>
      <c r="C154" s="44" t="str">
        <f>Data!D153</f>
        <v xml:space="preserve">Ramirez, Jayden </v>
      </c>
      <c r="D154" s="82" t="str">
        <f>Data!F153</f>
        <v>1445381818</v>
      </c>
      <c r="E154" s="82" t="str">
        <f>Data!B153</f>
        <v>8364</v>
      </c>
      <c r="F154" s="44" t="str">
        <f>Data!A153</f>
        <v xml:space="preserve">Ramirez, Jayden </v>
      </c>
      <c r="G154" s="55" t="str">
        <f>Data!C153</f>
        <v>9/25/2013</v>
      </c>
      <c r="H154" s="56">
        <f>Data!H153</f>
        <v>44510</v>
      </c>
      <c r="I154" s="56" t="str">
        <f>Data!I153</f>
        <v>11/12/2021</v>
      </c>
      <c r="J154" s="57">
        <f>Data!J153</f>
        <v>61.2</v>
      </c>
      <c r="K154" s="58">
        <f t="shared" ca="1" si="2"/>
        <v>188</v>
      </c>
      <c r="L154" s="58">
        <f>Data!M153</f>
        <v>0</v>
      </c>
      <c r="M154" s="37" t="s">
        <v>7</v>
      </c>
      <c r="N154" s="43" t="str">
        <f>VLOOKUP(M154,Table1[#All],3,FALSE)</f>
        <v>Claim Paid by Check;</v>
      </c>
      <c r="O154" s="40" t="str">
        <f>VLOOKUP(M154,Table1[#All],4,FALSE)</f>
        <v>Issue Date:</v>
      </c>
      <c r="P154" s="38">
        <v>44525</v>
      </c>
      <c r="Q154" s="40" t="str">
        <f>VLOOKUP(M154,Table1[#All],5,FALSE)</f>
        <v>CHK#</v>
      </c>
      <c r="R154" s="79">
        <v>875061</v>
      </c>
      <c r="S154" s="40" t="str">
        <f>VLOOKUP(M154,Table1[#All],6,FALSE)</f>
        <v>Bulk/Sep:</v>
      </c>
      <c r="T154" s="79" t="s">
        <v>3800</v>
      </c>
      <c r="U154" s="40" t="str">
        <f>VLOOKUP(M154,Table1[#All],7,FALSE)</f>
        <v>Call Ref#:</v>
      </c>
      <c r="V154" s="79">
        <v>422342</v>
      </c>
      <c r="W154" s="40" t="str">
        <f>VLOOKUP(M154,Table1[#All],8,FALSE)</f>
        <v>Cust Rep:</v>
      </c>
      <c r="X154" s="79" t="s">
        <v>4119</v>
      </c>
      <c r="Y154" s="44" t="str">
        <f>VLOOKUP(M154,Table1[#All],2,FALSE)</f>
        <v xml:space="preserve">Task Cashed Chk Queue </v>
      </c>
      <c r="Z154" s="59" t="str">
        <f>VLOOKUP(M154,Table1[#All],9,FALSE)</f>
        <v>Additional Notes:</v>
      </c>
      <c r="AA154" s="76" t="s">
        <v>4120</v>
      </c>
      <c r="AB154" s="76" t="s">
        <v>3762</v>
      </c>
      <c r="AC154" s="90" t="s">
        <v>115</v>
      </c>
      <c r="AD154" s="76" t="s">
        <v>177</v>
      </c>
      <c r="AE154" s="77" t="s">
        <v>3698</v>
      </c>
      <c r="AF154" s="110">
        <v>44608</v>
      </c>
      <c r="AG154" s="41" t="s">
        <v>101</v>
      </c>
      <c r="AH154" s="25"/>
      <c r="AI154" s="25"/>
      <c r="AJ154" s="42"/>
    </row>
    <row r="155" spans="1:36" ht="21" hidden="1" x14ac:dyDescent="0.55000000000000004">
      <c r="A155" s="44" t="str">
        <f>Data!K154</f>
        <v>Dental Health and Wellness WI</v>
      </c>
      <c r="B155" s="44" t="str">
        <f>Data!L154</f>
        <v>8444645635</v>
      </c>
      <c r="C155" s="44" t="str">
        <f>Data!D154</f>
        <v xml:space="preserve">Santiago, Jenny </v>
      </c>
      <c r="D155" s="82" t="str">
        <f>Data!F154</f>
        <v>9449249091</v>
      </c>
      <c r="E155" s="82" t="str">
        <f>Data!B154</f>
        <v>7804</v>
      </c>
      <c r="F155" s="44" t="str">
        <f>Data!A154</f>
        <v xml:space="preserve">Santiago, Jenny </v>
      </c>
      <c r="G155" s="55" t="str">
        <f>Data!C154</f>
        <v>3/30/2005</v>
      </c>
      <c r="H155" s="56">
        <f>Data!H154</f>
        <v>44502</v>
      </c>
      <c r="I155" s="56" t="str">
        <f>Data!I154</f>
        <v>11/5/2021</v>
      </c>
      <c r="J155" s="57">
        <f>Data!J154</f>
        <v>519.20000000000005</v>
      </c>
      <c r="K155" s="58">
        <f t="shared" ca="1" si="2"/>
        <v>195</v>
      </c>
      <c r="L155" s="58">
        <f>Data!M154</f>
        <v>0</v>
      </c>
      <c r="M155" s="37" t="s">
        <v>7</v>
      </c>
      <c r="N155" s="43" t="str">
        <f>VLOOKUP(M155,Table1[#All],3,FALSE)</f>
        <v>Claim Paid by Check;</v>
      </c>
      <c r="O155" s="40" t="str">
        <f>VLOOKUP(M155,Table1[#All],4,FALSE)</f>
        <v>Issue Date:</v>
      </c>
      <c r="P155" s="38">
        <v>44518</v>
      </c>
      <c r="Q155" s="40" t="str">
        <f>VLOOKUP(M155,Table1[#All],5,FALSE)</f>
        <v>CHK#</v>
      </c>
      <c r="R155" s="79">
        <v>870913</v>
      </c>
      <c r="S155" s="40" t="str">
        <f>VLOOKUP(M155,Table1[#All],6,FALSE)</f>
        <v>Bulk/Sep:</v>
      </c>
      <c r="T155" s="79" t="s">
        <v>3800</v>
      </c>
      <c r="U155" s="40" t="str">
        <f>VLOOKUP(M155,Table1[#All],7,FALSE)</f>
        <v>Call Ref#:</v>
      </c>
      <c r="V155" s="79">
        <v>439589</v>
      </c>
      <c r="W155" s="40" t="str">
        <f>VLOOKUP(M155,Table1[#All],8,FALSE)</f>
        <v>Cust Rep:</v>
      </c>
      <c r="X155" s="79" t="s">
        <v>3730</v>
      </c>
      <c r="Y155" s="44" t="str">
        <f>VLOOKUP(M155,Table1[#All],2,FALSE)</f>
        <v xml:space="preserve">Task Cashed Chk Queue </v>
      </c>
      <c r="Z155" s="59" t="str">
        <f>VLOOKUP(M155,Table1[#All],9,FALSE)</f>
        <v>Additional Notes:</v>
      </c>
      <c r="AA155" s="76" t="s">
        <v>4121</v>
      </c>
      <c r="AB155" s="76" t="s">
        <v>3697</v>
      </c>
      <c r="AC155" s="90" t="s">
        <v>115</v>
      </c>
      <c r="AD155" s="76" t="s">
        <v>177</v>
      </c>
      <c r="AE155" s="77" t="s">
        <v>3698</v>
      </c>
      <c r="AF155" s="110">
        <v>44608</v>
      </c>
      <c r="AG155" s="41" t="s">
        <v>101</v>
      </c>
      <c r="AH155" s="25"/>
      <c r="AI155" s="25"/>
      <c r="AJ155" s="42"/>
    </row>
    <row r="156" spans="1:36" ht="82.5" hidden="1" x14ac:dyDescent="0.55000000000000004">
      <c r="A156" s="44" t="str">
        <f>Data!K155</f>
        <v>Dental Health and Wellness WI</v>
      </c>
      <c r="B156" s="44" t="str">
        <f>Data!L155</f>
        <v>8444645635</v>
      </c>
      <c r="C156" s="44" t="str">
        <f>Data!D155</f>
        <v xml:space="preserve">CHAMBERS , Colten </v>
      </c>
      <c r="D156" s="82" t="str">
        <f>Data!F155</f>
        <v>0453918905</v>
      </c>
      <c r="E156" s="82" t="str">
        <f>Data!B155</f>
        <v>4513</v>
      </c>
      <c r="F156" s="44" t="str">
        <f>Data!A155</f>
        <v xml:space="preserve">CHAMBERS , Colten </v>
      </c>
      <c r="G156" s="55" t="str">
        <f>Data!C155</f>
        <v>7/25/2018</v>
      </c>
      <c r="H156" s="56">
        <f>Data!H155</f>
        <v>44336</v>
      </c>
      <c r="I156" s="56" t="str">
        <f>Data!I155</f>
        <v>5/22/2021</v>
      </c>
      <c r="J156" s="57">
        <f>Data!J155</f>
        <v>138</v>
      </c>
      <c r="K156" s="58">
        <f t="shared" ca="1" si="2"/>
        <v>362</v>
      </c>
      <c r="L156" s="58">
        <f>Data!M155</f>
        <v>0</v>
      </c>
      <c r="M156" s="37" t="s">
        <v>20</v>
      </c>
      <c r="N156" s="43" t="str">
        <f>VLOOKUP(M156,Table1[#All],3,FALSE)</f>
        <v>Ins needs more info, need to submit;</v>
      </c>
      <c r="O156" s="40" t="str">
        <f>VLOOKUP(M156,Table1[#All],4,FALSE)</f>
        <v>Attachments/Info needed?</v>
      </c>
      <c r="P156" s="39" t="s">
        <v>3926</v>
      </c>
      <c r="Q156" s="40" t="str">
        <f>VLOOKUP(M156,Table1[#All],5,FALSE)</f>
        <v>Fax # (If Fax Yes):</v>
      </c>
      <c r="R156" s="79" t="s">
        <v>4122</v>
      </c>
      <c r="S156" s="40" t="str">
        <f>VLOOKUP(M156,Table1[#All],6,FALSE)</f>
        <v>Call Ref#:</v>
      </c>
      <c r="T156" s="79">
        <v>386959</v>
      </c>
      <c r="U156" s="40" t="str">
        <f>VLOOKUP(M156,Table1[#All],7,FALSE)</f>
        <v>Cust Rep:</v>
      </c>
      <c r="V156" s="79" t="s">
        <v>4123</v>
      </c>
      <c r="W156" s="40">
        <f>VLOOKUP(M156,Table1[#All],8,FALSE)</f>
        <v>0</v>
      </c>
      <c r="X156" s="79"/>
      <c r="Y156" s="44" t="str">
        <f>VLOOKUP(M156,Table1[#All],2,FALSE)</f>
        <v xml:space="preserve">Task Sub Pending Claims Queue </v>
      </c>
      <c r="Z156" s="59" t="str">
        <f>VLOOKUP(M156,Table1[#All],9,FALSE)</f>
        <v>Additional Notes:</v>
      </c>
      <c r="AA156" s="76" t="s">
        <v>4124</v>
      </c>
      <c r="AB156" s="76" t="s">
        <v>3697</v>
      </c>
      <c r="AC156" s="90" t="s">
        <v>185</v>
      </c>
      <c r="AD156" s="76" t="s">
        <v>177</v>
      </c>
      <c r="AE156" s="77" t="s">
        <v>3770</v>
      </c>
      <c r="AF156" s="110">
        <v>44588</v>
      </c>
      <c r="AG156" s="41" t="s">
        <v>101</v>
      </c>
      <c r="AH156" s="25"/>
      <c r="AI156" s="25"/>
      <c r="AJ156" s="42"/>
    </row>
    <row r="157" spans="1:36" ht="82.5" hidden="1" x14ac:dyDescent="0.55000000000000004">
      <c r="A157" s="44" t="str">
        <f>Data!K156</f>
        <v>Dental Health and Wellness WI</v>
      </c>
      <c r="B157" s="44" t="str">
        <f>Data!L156</f>
        <v>8444645635</v>
      </c>
      <c r="C157" s="44" t="str">
        <f>Data!D156</f>
        <v xml:space="preserve">House , Deja </v>
      </c>
      <c r="D157" s="82" t="str">
        <f>Data!F156</f>
        <v>1409048314</v>
      </c>
      <c r="E157" s="82" t="str">
        <f>Data!B156</f>
        <v>5893</v>
      </c>
      <c r="F157" s="44" t="str">
        <f>Data!A156</f>
        <v xml:space="preserve">House , Deja </v>
      </c>
      <c r="G157" s="55" t="str">
        <f>Data!C156</f>
        <v>6/20/2003</v>
      </c>
      <c r="H157" s="56">
        <f>Data!H156</f>
        <v>44180</v>
      </c>
      <c r="I157" s="56" t="str">
        <f>Data!I156</f>
        <v>4/29/2021</v>
      </c>
      <c r="J157" s="57">
        <f>Data!J156</f>
        <v>294.8</v>
      </c>
      <c r="K157" s="58">
        <f t="shared" ca="1" si="2"/>
        <v>385</v>
      </c>
      <c r="L157" s="58">
        <f>Data!M156</f>
        <v>0</v>
      </c>
      <c r="M157" s="37" t="s">
        <v>20</v>
      </c>
      <c r="N157" s="43" t="str">
        <f>VLOOKUP(M157,Table1[#All],3,FALSE)</f>
        <v>Ins needs more info, need to submit;</v>
      </c>
      <c r="O157" s="40" t="str">
        <f>VLOOKUP(M157,Table1[#All],4,FALSE)</f>
        <v>Attachments/Info needed?</v>
      </c>
      <c r="P157" s="39" t="s">
        <v>3926</v>
      </c>
      <c r="Q157" s="40" t="str">
        <f>VLOOKUP(M157,Table1[#All],5,FALSE)</f>
        <v>Fax # (If Fax Yes):</v>
      </c>
      <c r="R157" s="79" t="s">
        <v>4122</v>
      </c>
      <c r="S157" s="40" t="str">
        <f>VLOOKUP(M157,Table1[#All],6,FALSE)</f>
        <v>Call Ref#:</v>
      </c>
      <c r="T157" s="79">
        <v>386959</v>
      </c>
      <c r="U157" s="40" t="str">
        <f>VLOOKUP(M157,Table1[#All],7,FALSE)</f>
        <v>Cust Rep:</v>
      </c>
      <c r="V157" s="79" t="s">
        <v>4123</v>
      </c>
      <c r="W157" s="40">
        <f>VLOOKUP(M157,Table1[#All],8,FALSE)</f>
        <v>0</v>
      </c>
      <c r="X157" s="79"/>
      <c r="Y157" s="44" t="str">
        <f>VLOOKUP(M157,Table1[#All],2,FALSE)</f>
        <v xml:space="preserve">Task Sub Pending Claims Queue </v>
      </c>
      <c r="Z157" s="59" t="str">
        <f>VLOOKUP(M157,Table1[#All],9,FALSE)</f>
        <v>Additional Notes:</v>
      </c>
      <c r="AA157" s="76" t="s">
        <v>4125</v>
      </c>
      <c r="AB157" s="76" t="s">
        <v>3697</v>
      </c>
      <c r="AC157" s="90" t="s">
        <v>185</v>
      </c>
      <c r="AD157" s="76" t="s">
        <v>177</v>
      </c>
      <c r="AE157" s="77" t="s">
        <v>3770</v>
      </c>
      <c r="AF157" s="110">
        <v>44588</v>
      </c>
      <c r="AG157" s="41" t="s">
        <v>101</v>
      </c>
      <c r="AH157" s="25"/>
      <c r="AI157" s="25"/>
      <c r="AJ157" s="42"/>
    </row>
    <row r="158" spans="1:36" ht="82.5" hidden="1" x14ac:dyDescent="0.55000000000000004">
      <c r="A158" s="44" t="str">
        <f>Data!K157</f>
        <v>Dental Health and Wellness WI</v>
      </c>
      <c r="B158" s="44" t="str">
        <f>Data!L157</f>
        <v>8444645635</v>
      </c>
      <c r="C158" s="44" t="str">
        <f>Data!D157</f>
        <v xml:space="preserve">House , Alesia </v>
      </c>
      <c r="D158" s="82" t="str">
        <f>Data!F157</f>
        <v>9426691294</v>
      </c>
      <c r="E158" s="82" t="str">
        <f>Data!B157</f>
        <v>5894</v>
      </c>
      <c r="F158" s="44" t="str">
        <f>Data!A157</f>
        <v xml:space="preserve">House , Alesia </v>
      </c>
      <c r="G158" s="55" t="str">
        <f>Data!C157</f>
        <v>10/22/2006</v>
      </c>
      <c r="H158" s="56">
        <f>Data!H157</f>
        <v>44184</v>
      </c>
      <c r="I158" s="56" t="str">
        <f>Data!I157</f>
        <v>4/29/2021</v>
      </c>
      <c r="J158" s="57">
        <f>Data!J157</f>
        <v>648</v>
      </c>
      <c r="K158" s="58">
        <f t="shared" ca="1" si="2"/>
        <v>385</v>
      </c>
      <c r="L158" s="58">
        <f>Data!M157</f>
        <v>0</v>
      </c>
      <c r="M158" s="37" t="s">
        <v>30</v>
      </c>
      <c r="N158" s="43" t="str">
        <f>VLOOKUP(M158,Table1[#All],3,FALSE)</f>
        <v>Claim not on file. Patient is active ;</v>
      </c>
      <c r="O158" s="40" t="str">
        <f>VLOOKUP(M158,Table1[#All],4,FALSE)</f>
        <v>Payor ID &amp; Address:</v>
      </c>
      <c r="P158" s="39">
        <v>46278</v>
      </c>
      <c r="Q158" s="40" t="str">
        <f>VLOOKUP(M158,Table1[#All],5,FALSE)</f>
        <v>Fax # (If Fax Yes):</v>
      </c>
      <c r="R158" s="79" t="s">
        <v>4122</v>
      </c>
      <c r="S158" s="40" t="str">
        <f>VLOOKUP(M158,Table1[#All],6,FALSE)</f>
        <v>TFL in Mnths:</v>
      </c>
      <c r="T158" s="79" t="s">
        <v>4126</v>
      </c>
      <c r="U158" s="40" t="str">
        <f>VLOOKUP(M158,Table1[#All],7,FALSE)</f>
        <v>Call Ref#:</v>
      </c>
      <c r="V158" s="79">
        <v>386959</v>
      </c>
      <c r="W158" s="40" t="str">
        <f>VLOOKUP(M158,Table1[#All],8,FALSE)</f>
        <v>Cust Rep:</v>
      </c>
      <c r="X158" s="79" t="s">
        <v>4123</v>
      </c>
      <c r="Y158" s="44" t="str">
        <f>VLOOKUP(M158,Table1[#All],2,FALSE)</f>
        <v>Task Sub Pending Claims Queue</v>
      </c>
      <c r="Z158" s="59" t="str">
        <f>VLOOKUP(M158,Table1[#All],9,FALSE)</f>
        <v>Additional Notes:</v>
      </c>
      <c r="AA158" s="76" t="s">
        <v>3707</v>
      </c>
      <c r="AB158" s="76" t="s">
        <v>3697</v>
      </c>
      <c r="AC158" s="90" t="s">
        <v>185</v>
      </c>
      <c r="AD158" s="76" t="s">
        <v>177</v>
      </c>
      <c r="AE158" s="77" t="s">
        <v>3770</v>
      </c>
      <c r="AF158" s="110">
        <v>44588</v>
      </c>
      <c r="AG158" s="41" t="s">
        <v>101</v>
      </c>
      <c r="AH158" s="25"/>
      <c r="AI158" s="25"/>
      <c r="AJ158" s="42"/>
    </row>
    <row r="159" spans="1:36" ht="82.5" hidden="1" x14ac:dyDescent="0.55000000000000004">
      <c r="A159" s="44" t="str">
        <f>Data!K158</f>
        <v>Dental Health and Wellness WI</v>
      </c>
      <c r="B159" s="44" t="str">
        <f>Data!L158</f>
        <v>8444645635</v>
      </c>
      <c r="C159" s="44" t="str">
        <f>Data!D158</f>
        <v xml:space="preserve">House , Alesia </v>
      </c>
      <c r="D159" s="82" t="str">
        <f>Data!F158</f>
        <v>9426691294</v>
      </c>
      <c r="E159" s="82" t="str">
        <f>Data!B158</f>
        <v>5894</v>
      </c>
      <c r="F159" s="44" t="str">
        <f>Data!A158</f>
        <v xml:space="preserve">House , Alesia </v>
      </c>
      <c r="G159" s="55" t="str">
        <f>Data!C158</f>
        <v>10/22/2006</v>
      </c>
      <c r="H159" s="56">
        <f>Data!H158</f>
        <v>44180</v>
      </c>
      <c r="I159" s="56" t="str">
        <f>Data!I158</f>
        <v>4/29/2021</v>
      </c>
      <c r="J159" s="57">
        <f>Data!J158</f>
        <v>491.6</v>
      </c>
      <c r="K159" s="58">
        <f t="shared" ca="1" si="2"/>
        <v>385</v>
      </c>
      <c r="L159" s="58">
        <f>Data!M158</f>
        <v>0</v>
      </c>
      <c r="M159" s="37" t="s">
        <v>30</v>
      </c>
      <c r="N159" s="43" t="str">
        <f>VLOOKUP(M159,Table1[#All],3,FALSE)</f>
        <v>Claim not on file. Patient is active ;</v>
      </c>
      <c r="O159" s="40" t="str">
        <f>VLOOKUP(M159,Table1[#All],4,FALSE)</f>
        <v>Payor ID &amp; Address:</v>
      </c>
      <c r="P159" s="39">
        <v>46278</v>
      </c>
      <c r="Q159" s="40" t="str">
        <f>VLOOKUP(M159,Table1[#All],5,FALSE)</f>
        <v>Fax # (If Fax Yes):</v>
      </c>
      <c r="R159" s="79" t="s">
        <v>4122</v>
      </c>
      <c r="S159" s="40" t="str">
        <f>VLOOKUP(M159,Table1[#All],6,FALSE)</f>
        <v>TFL in Mnths:</v>
      </c>
      <c r="T159" s="79" t="s">
        <v>4126</v>
      </c>
      <c r="U159" s="40" t="str">
        <f>VLOOKUP(M159,Table1[#All],7,FALSE)</f>
        <v>Call Ref#:</v>
      </c>
      <c r="V159" s="79">
        <v>386959</v>
      </c>
      <c r="W159" s="40" t="str">
        <f>VLOOKUP(M159,Table1[#All],8,FALSE)</f>
        <v>Cust Rep:</v>
      </c>
      <c r="X159" s="79" t="s">
        <v>4123</v>
      </c>
      <c r="Y159" s="44" t="str">
        <f>VLOOKUP(M159,Table1[#All],2,FALSE)</f>
        <v>Task Sub Pending Claims Queue</v>
      </c>
      <c r="Z159" s="59" t="str">
        <f>VLOOKUP(M159,Table1[#All],9,FALSE)</f>
        <v>Additional Notes:</v>
      </c>
      <c r="AA159" s="76" t="s">
        <v>3707</v>
      </c>
      <c r="AB159" s="76" t="s">
        <v>3697</v>
      </c>
      <c r="AC159" s="90" t="s">
        <v>185</v>
      </c>
      <c r="AD159" s="76" t="s">
        <v>177</v>
      </c>
      <c r="AE159" s="77" t="s">
        <v>3770</v>
      </c>
      <c r="AF159" s="110">
        <v>44588</v>
      </c>
      <c r="AG159" s="41" t="s">
        <v>101</v>
      </c>
      <c r="AH159" s="25"/>
      <c r="AI159" s="25"/>
      <c r="AJ159" s="42"/>
    </row>
    <row r="160" spans="1:36" ht="21" hidden="1" x14ac:dyDescent="0.55000000000000004">
      <c r="A160" s="44" t="str">
        <f>Data!K159</f>
        <v>Dentaquest</v>
      </c>
      <c r="B160" s="44" t="str">
        <f>Data!L159</f>
        <v>8004177140</v>
      </c>
      <c r="C160" s="44" t="str">
        <f>Data!D159</f>
        <v>Seay, Dashawn</v>
      </c>
      <c r="D160" s="82" t="str">
        <f>Data!F159</f>
        <v>3407828730</v>
      </c>
      <c r="E160" s="82" t="str">
        <f>Data!B159</f>
        <v>9415</v>
      </c>
      <c r="F160" s="44" t="str">
        <f>Data!A159</f>
        <v>Seay, Dashawn</v>
      </c>
      <c r="G160" s="55" t="str">
        <f>Data!C159</f>
        <v>5/5/1995</v>
      </c>
      <c r="H160" s="56">
        <f>Data!H159</f>
        <v>44652</v>
      </c>
      <c r="I160" s="56" t="str">
        <f>Data!I159</f>
        <v>4/4/2022</v>
      </c>
      <c r="J160" s="57">
        <f>Data!J159</f>
        <v>216</v>
      </c>
      <c r="K160" s="58">
        <f t="shared" ca="1" si="2"/>
        <v>45</v>
      </c>
      <c r="L160" s="58">
        <f>Data!M159</f>
        <v>0</v>
      </c>
      <c r="M160" s="37" t="s">
        <v>26</v>
      </c>
      <c r="N160" s="43" t="str">
        <f>VLOOKUP(M160,Table1[#All],3,FALSE)</f>
        <v>Note</v>
      </c>
      <c r="O160" s="40" t="str">
        <f>VLOOKUP(M160,Table1[#All],4,FALSE)</f>
        <v>Q1</v>
      </c>
      <c r="P160" s="39"/>
      <c r="Q160" s="40" t="str">
        <f>VLOOKUP(M160,Table1[#All],5,FALSE)</f>
        <v>Q2</v>
      </c>
      <c r="R160" s="79"/>
      <c r="S160" s="40" t="str">
        <f>VLOOKUP(M160,Table1[#All],6,FALSE)</f>
        <v>Q3</v>
      </c>
      <c r="T160" s="79"/>
      <c r="U160" s="40" t="str">
        <f>VLOOKUP(M160,Table1[#All],7,FALSE)</f>
        <v>Q4</v>
      </c>
      <c r="V160" s="79"/>
      <c r="W160" s="40" t="str">
        <f>VLOOKUP(M160,Table1[#All],8,FALSE)</f>
        <v>Q5</v>
      </c>
      <c r="X160" s="79"/>
      <c r="Y160" s="44" t="str">
        <f>VLOOKUP(M160,Table1[#All],2,FALSE)</f>
        <v>Action</v>
      </c>
      <c r="Z160" s="59" t="str">
        <f>VLOOKUP(M160,Table1[#All],9,FALSE)</f>
        <v>Additional Notes:</v>
      </c>
      <c r="AA160" s="76"/>
      <c r="AB160" s="76"/>
      <c r="AC160" s="90" t="s">
        <v>91</v>
      </c>
      <c r="AD160" s="76" t="s">
        <v>91</v>
      </c>
      <c r="AE160" s="77"/>
      <c r="AF160" s="77"/>
      <c r="AG160" s="41" t="s">
        <v>91</v>
      </c>
      <c r="AH160" s="25"/>
      <c r="AI160" s="25"/>
      <c r="AJ160" s="42"/>
    </row>
    <row r="161" spans="1:36" ht="21" hidden="1" x14ac:dyDescent="0.55000000000000004">
      <c r="A161" s="44" t="str">
        <f>Data!K160</f>
        <v>Dentaquest</v>
      </c>
      <c r="B161" s="44" t="str">
        <f>Data!L160</f>
        <v>8004177140</v>
      </c>
      <c r="C161" s="44" t="str">
        <f>Data!D160</f>
        <v>Lennon, Jackson</v>
      </c>
      <c r="D161" s="82" t="str">
        <f>Data!F160</f>
        <v>719031826</v>
      </c>
      <c r="E161" s="82" t="str">
        <f>Data!B160</f>
        <v>6232</v>
      </c>
      <c r="F161" s="44" t="str">
        <f>Data!A160</f>
        <v>Lennon, Jackson</v>
      </c>
      <c r="G161" s="55" t="str">
        <f>Data!C160</f>
        <v>8/29/2011</v>
      </c>
      <c r="H161" s="56">
        <f>Data!H160</f>
        <v>44652</v>
      </c>
      <c r="I161" s="56" t="str">
        <f>Data!I160</f>
        <v>4/4/2022</v>
      </c>
      <c r="J161" s="57">
        <f>Data!J160</f>
        <v>432</v>
      </c>
      <c r="K161" s="58">
        <f t="shared" ca="1" si="2"/>
        <v>45</v>
      </c>
      <c r="L161" s="58">
        <f>Data!M160</f>
        <v>0</v>
      </c>
      <c r="M161" s="37" t="s">
        <v>26</v>
      </c>
      <c r="N161" s="43" t="str">
        <f>VLOOKUP(M161,Table1[#All],3,FALSE)</f>
        <v>Note</v>
      </c>
      <c r="O161" s="40" t="str">
        <f>VLOOKUP(M161,Table1[#All],4,FALSE)</f>
        <v>Q1</v>
      </c>
      <c r="P161" s="39"/>
      <c r="Q161" s="40" t="str">
        <f>VLOOKUP(M161,Table1[#All],5,FALSE)</f>
        <v>Q2</v>
      </c>
      <c r="R161" s="79"/>
      <c r="S161" s="40" t="str">
        <f>VLOOKUP(M161,Table1[#All],6,FALSE)</f>
        <v>Q3</v>
      </c>
      <c r="T161" s="79"/>
      <c r="U161" s="40" t="str">
        <f>VLOOKUP(M161,Table1[#All],7,FALSE)</f>
        <v>Q4</v>
      </c>
      <c r="V161" s="79"/>
      <c r="W161" s="40" t="str">
        <f>VLOOKUP(M161,Table1[#All],8,FALSE)</f>
        <v>Q5</v>
      </c>
      <c r="X161" s="79"/>
      <c r="Y161" s="44" t="str">
        <f>VLOOKUP(M161,Table1[#All],2,FALSE)</f>
        <v>Action</v>
      </c>
      <c r="Z161" s="59" t="str">
        <f>VLOOKUP(M161,Table1[#All],9,FALSE)</f>
        <v>Additional Notes:</v>
      </c>
      <c r="AA161" s="76"/>
      <c r="AB161" s="76"/>
      <c r="AC161" s="90" t="s">
        <v>91</v>
      </c>
      <c r="AD161" s="76" t="s">
        <v>91</v>
      </c>
      <c r="AE161" s="77"/>
      <c r="AF161" s="77"/>
      <c r="AG161" s="41" t="s">
        <v>91</v>
      </c>
      <c r="AH161" s="25"/>
      <c r="AI161" s="25"/>
      <c r="AJ161" s="42"/>
    </row>
    <row r="162" spans="1:36" ht="21" hidden="1" x14ac:dyDescent="0.55000000000000004">
      <c r="A162" s="44" t="str">
        <f>Data!K161</f>
        <v>Dentaquest</v>
      </c>
      <c r="B162" s="44" t="str">
        <f>Data!L161</f>
        <v>8004177140</v>
      </c>
      <c r="C162" s="44" t="str">
        <f>Data!D161</f>
        <v xml:space="preserve">Roman, Henry </v>
      </c>
      <c r="D162" s="82" t="str">
        <f>Data!F161</f>
        <v>722204139</v>
      </c>
      <c r="E162" s="82" t="str">
        <f>Data!B161</f>
        <v>9418</v>
      </c>
      <c r="F162" s="44" t="str">
        <f>Data!A161</f>
        <v xml:space="preserve">Roman, Henry </v>
      </c>
      <c r="G162" s="55" t="str">
        <f>Data!C161</f>
        <v>3/19/1991</v>
      </c>
      <c r="H162" s="56">
        <f>Data!H161</f>
        <v>44652</v>
      </c>
      <c r="I162" s="56" t="str">
        <f>Data!I161</f>
        <v>4/4/2022</v>
      </c>
      <c r="J162" s="57">
        <f>Data!J161</f>
        <v>1969.2</v>
      </c>
      <c r="K162" s="58">
        <f t="shared" ca="1" si="2"/>
        <v>45</v>
      </c>
      <c r="L162" s="58">
        <f>Data!M161</f>
        <v>0</v>
      </c>
      <c r="M162" s="37" t="s">
        <v>26</v>
      </c>
      <c r="N162" s="43" t="str">
        <f>VLOOKUP(M162,Table1[#All],3,FALSE)</f>
        <v>Note</v>
      </c>
      <c r="O162" s="40" t="str">
        <f>VLOOKUP(M162,Table1[#All],4,FALSE)</f>
        <v>Q1</v>
      </c>
      <c r="P162" s="39"/>
      <c r="Q162" s="40" t="str">
        <f>VLOOKUP(M162,Table1[#All],5,FALSE)</f>
        <v>Q2</v>
      </c>
      <c r="R162" s="79"/>
      <c r="S162" s="40" t="str">
        <f>VLOOKUP(M162,Table1[#All],6,FALSE)</f>
        <v>Q3</v>
      </c>
      <c r="T162" s="79"/>
      <c r="U162" s="40" t="str">
        <f>VLOOKUP(M162,Table1[#All],7,FALSE)</f>
        <v>Q4</v>
      </c>
      <c r="V162" s="79"/>
      <c r="W162" s="40" t="str">
        <f>VLOOKUP(M162,Table1[#All],8,FALSE)</f>
        <v>Q5</v>
      </c>
      <c r="X162" s="79"/>
      <c r="Y162" s="44" t="str">
        <f>VLOOKUP(M162,Table1[#All],2,FALSE)</f>
        <v>Action</v>
      </c>
      <c r="Z162" s="59" t="str">
        <f>VLOOKUP(M162,Table1[#All],9,FALSE)</f>
        <v>Additional Notes:</v>
      </c>
      <c r="AA162" s="76"/>
      <c r="AB162" s="76"/>
      <c r="AC162" s="90" t="s">
        <v>91</v>
      </c>
      <c r="AD162" s="76" t="s">
        <v>91</v>
      </c>
      <c r="AE162" s="77"/>
      <c r="AF162" s="77"/>
      <c r="AG162" s="41" t="s">
        <v>91</v>
      </c>
      <c r="AH162" s="25"/>
      <c r="AI162" s="25"/>
      <c r="AJ162" s="42"/>
    </row>
    <row r="163" spans="1:36" ht="21" hidden="1" x14ac:dyDescent="0.55000000000000004">
      <c r="A163" s="44" t="str">
        <f>Data!K162</f>
        <v>Dentaquest</v>
      </c>
      <c r="B163" s="44" t="str">
        <f>Data!L162</f>
        <v>8004177140</v>
      </c>
      <c r="C163" s="44" t="str">
        <f>Data!D162</f>
        <v xml:space="preserve">Nebel, Holly </v>
      </c>
      <c r="D163" s="82" t="str">
        <f>Data!F162</f>
        <v>728856894</v>
      </c>
      <c r="E163" s="82" t="str">
        <f>Data!B162</f>
        <v>9369</v>
      </c>
      <c r="F163" s="44" t="str">
        <f>Data!A162</f>
        <v xml:space="preserve">Nebel, Holly </v>
      </c>
      <c r="G163" s="55" t="str">
        <f>Data!C162</f>
        <v>5/17/2001</v>
      </c>
      <c r="H163" s="56">
        <f>Data!H162</f>
        <v>44652</v>
      </c>
      <c r="I163" s="56" t="str">
        <f>Data!I162</f>
        <v>4/4/2022</v>
      </c>
      <c r="J163" s="57">
        <f>Data!J162</f>
        <v>302.39999999999998</v>
      </c>
      <c r="K163" s="58">
        <f t="shared" ca="1" si="2"/>
        <v>45</v>
      </c>
      <c r="L163" s="58">
        <f>Data!M162</f>
        <v>0</v>
      </c>
      <c r="M163" s="37" t="s">
        <v>26</v>
      </c>
      <c r="N163" s="43" t="str">
        <f>VLOOKUP(M163,Table1[#All],3,FALSE)</f>
        <v>Note</v>
      </c>
      <c r="O163" s="40" t="str">
        <f>VLOOKUP(M163,Table1[#All],4,FALSE)</f>
        <v>Q1</v>
      </c>
      <c r="P163" s="39"/>
      <c r="Q163" s="40" t="str">
        <f>VLOOKUP(M163,Table1[#All],5,FALSE)</f>
        <v>Q2</v>
      </c>
      <c r="R163" s="79"/>
      <c r="S163" s="40" t="str">
        <f>VLOOKUP(M163,Table1[#All],6,FALSE)</f>
        <v>Q3</v>
      </c>
      <c r="T163" s="79"/>
      <c r="U163" s="40" t="str">
        <f>VLOOKUP(M163,Table1[#All],7,FALSE)</f>
        <v>Q4</v>
      </c>
      <c r="V163" s="79"/>
      <c r="W163" s="40" t="str">
        <f>VLOOKUP(M163,Table1[#All],8,FALSE)</f>
        <v>Q5</v>
      </c>
      <c r="X163" s="79"/>
      <c r="Y163" s="44" t="str">
        <f>VLOOKUP(M163,Table1[#All],2,FALSE)</f>
        <v>Action</v>
      </c>
      <c r="Z163" s="59" t="str">
        <f>VLOOKUP(M163,Table1[#All],9,FALSE)</f>
        <v>Additional Notes:</v>
      </c>
      <c r="AA163" s="76"/>
      <c r="AB163" s="76"/>
      <c r="AC163" s="90" t="s">
        <v>91</v>
      </c>
      <c r="AD163" s="76" t="s">
        <v>91</v>
      </c>
      <c r="AE163" s="77"/>
      <c r="AF163" s="77"/>
      <c r="AG163" s="41" t="s">
        <v>91</v>
      </c>
      <c r="AH163" s="25"/>
      <c r="AI163" s="25"/>
      <c r="AJ163" s="42"/>
    </row>
    <row r="164" spans="1:36" ht="21" hidden="1" x14ac:dyDescent="0.55000000000000004">
      <c r="A164" s="44" t="str">
        <f>Data!K163</f>
        <v>Dentaquest</v>
      </c>
      <c r="B164" s="44" t="str">
        <f>Data!L163</f>
        <v>8004177140</v>
      </c>
      <c r="C164" s="44" t="str">
        <f>Data!D163</f>
        <v>Bruinsma, Lillyan</v>
      </c>
      <c r="D164" s="82" t="str">
        <f>Data!F163</f>
        <v>723305636</v>
      </c>
      <c r="E164" s="82" t="str">
        <f>Data!B163</f>
        <v>7791</v>
      </c>
      <c r="F164" s="44" t="str">
        <f>Data!A163</f>
        <v>Bruinsma, Lillyan</v>
      </c>
      <c r="G164" s="55" t="str">
        <f>Data!C163</f>
        <v>7/31/2013</v>
      </c>
      <c r="H164" s="56">
        <f>Data!H163</f>
        <v>44651</v>
      </c>
      <c r="I164" s="56" t="str">
        <f>Data!I163</f>
        <v>4/1/2022</v>
      </c>
      <c r="J164" s="57">
        <f>Data!J163</f>
        <v>286.39999999999998</v>
      </c>
      <c r="K164" s="58">
        <f t="shared" ca="1" si="2"/>
        <v>48</v>
      </c>
      <c r="L164" s="58">
        <f>Data!M163</f>
        <v>0</v>
      </c>
      <c r="M164" s="37" t="s">
        <v>26</v>
      </c>
      <c r="N164" s="43" t="str">
        <f>VLOOKUP(M164,Table1[#All],3,FALSE)</f>
        <v>Note</v>
      </c>
      <c r="O164" s="40" t="str">
        <f>VLOOKUP(M164,Table1[#All],4,FALSE)</f>
        <v>Q1</v>
      </c>
      <c r="P164" s="39"/>
      <c r="Q164" s="40" t="str">
        <f>VLOOKUP(M164,Table1[#All],5,FALSE)</f>
        <v>Q2</v>
      </c>
      <c r="R164" s="79"/>
      <c r="S164" s="40" t="str">
        <f>VLOOKUP(M164,Table1[#All],6,FALSE)</f>
        <v>Q3</v>
      </c>
      <c r="T164" s="79"/>
      <c r="U164" s="40" t="str">
        <f>VLOOKUP(M164,Table1[#All],7,FALSE)</f>
        <v>Q4</v>
      </c>
      <c r="V164" s="79"/>
      <c r="W164" s="40" t="str">
        <f>VLOOKUP(M164,Table1[#All],8,FALSE)</f>
        <v>Q5</v>
      </c>
      <c r="X164" s="79"/>
      <c r="Y164" s="44" t="str">
        <f>VLOOKUP(M164,Table1[#All],2,FALSE)</f>
        <v>Action</v>
      </c>
      <c r="Z164" s="59" t="str">
        <f>VLOOKUP(M164,Table1[#All],9,FALSE)</f>
        <v>Additional Notes:</v>
      </c>
      <c r="AA164" s="76"/>
      <c r="AB164" s="76"/>
      <c r="AC164" s="90" t="s">
        <v>91</v>
      </c>
      <c r="AD164" s="76" t="s">
        <v>91</v>
      </c>
      <c r="AE164" s="77"/>
      <c r="AF164" s="77"/>
      <c r="AG164" s="41" t="s">
        <v>91</v>
      </c>
      <c r="AH164" s="25"/>
      <c r="AI164" s="25"/>
      <c r="AJ164" s="42"/>
    </row>
    <row r="165" spans="1:36" ht="21" hidden="1" x14ac:dyDescent="0.55000000000000004">
      <c r="A165" s="44" t="str">
        <f>Data!K164</f>
        <v>Dentaquest</v>
      </c>
      <c r="B165" s="44" t="str">
        <f>Data!L164</f>
        <v>8004177140</v>
      </c>
      <c r="C165" s="44" t="str">
        <f>Data!D164</f>
        <v xml:space="preserve">Epps , Shatoya </v>
      </c>
      <c r="D165" s="82" t="str">
        <f>Data!F164</f>
        <v>724862696</v>
      </c>
      <c r="E165" s="82" t="str">
        <f>Data!B164</f>
        <v>3132</v>
      </c>
      <c r="F165" s="44" t="str">
        <f>Data!A164</f>
        <v xml:space="preserve">Epps , Shatoya </v>
      </c>
      <c r="G165" s="55" t="str">
        <f>Data!C164</f>
        <v>1/25/1991</v>
      </c>
      <c r="H165" s="56">
        <f>Data!H164</f>
        <v>44651</v>
      </c>
      <c r="I165" s="56" t="str">
        <f>Data!I164</f>
        <v>4/1/2022</v>
      </c>
      <c r="J165" s="57">
        <f>Data!J164</f>
        <v>138</v>
      </c>
      <c r="K165" s="58">
        <f t="shared" ca="1" si="2"/>
        <v>48</v>
      </c>
      <c r="L165" s="58">
        <f>Data!M164</f>
        <v>0</v>
      </c>
      <c r="M165" s="37" t="s">
        <v>26</v>
      </c>
      <c r="N165" s="43" t="str">
        <f>VLOOKUP(M165,Table1[#All],3,FALSE)</f>
        <v>Note</v>
      </c>
      <c r="O165" s="40" t="str">
        <f>VLOOKUP(M165,Table1[#All],4,FALSE)</f>
        <v>Q1</v>
      </c>
      <c r="P165" s="39"/>
      <c r="Q165" s="40" t="str">
        <f>VLOOKUP(M165,Table1[#All],5,FALSE)</f>
        <v>Q2</v>
      </c>
      <c r="R165" s="79"/>
      <c r="S165" s="40" t="str">
        <f>VLOOKUP(M165,Table1[#All],6,FALSE)</f>
        <v>Q3</v>
      </c>
      <c r="T165" s="79"/>
      <c r="U165" s="40" t="str">
        <f>VLOOKUP(M165,Table1[#All],7,FALSE)</f>
        <v>Q4</v>
      </c>
      <c r="V165" s="79"/>
      <c r="W165" s="40" t="str">
        <f>VLOOKUP(M165,Table1[#All],8,FALSE)</f>
        <v>Q5</v>
      </c>
      <c r="X165" s="79"/>
      <c r="Y165" s="44" t="str">
        <f>VLOOKUP(M165,Table1[#All],2,FALSE)</f>
        <v>Action</v>
      </c>
      <c r="Z165" s="59" t="str">
        <f>VLOOKUP(M165,Table1[#All],9,FALSE)</f>
        <v>Additional Notes:</v>
      </c>
      <c r="AA165" s="76"/>
      <c r="AB165" s="76"/>
      <c r="AC165" s="90" t="s">
        <v>91</v>
      </c>
      <c r="AD165" s="76" t="s">
        <v>91</v>
      </c>
      <c r="AE165" s="77"/>
      <c r="AF165" s="77"/>
      <c r="AG165" s="41" t="s">
        <v>91</v>
      </c>
      <c r="AH165" s="25"/>
      <c r="AI165" s="25"/>
      <c r="AJ165" s="42"/>
    </row>
    <row r="166" spans="1:36" ht="21" hidden="1" x14ac:dyDescent="0.55000000000000004">
      <c r="A166" s="44" t="str">
        <f>Data!K165</f>
        <v>Dentaquest</v>
      </c>
      <c r="B166" s="44" t="str">
        <f>Data!L165</f>
        <v>8004177140</v>
      </c>
      <c r="C166" s="44" t="str">
        <f>Data!D165</f>
        <v xml:space="preserve">Rayls, Kim </v>
      </c>
      <c r="D166" s="82" t="str">
        <f>Data!F165</f>
        <v>720877496</v>
      </c>
      <c r="E166" s="82" t="str">
        <f>Data!B165</f>
        <v>6446</v>
      </c>
      <c r="F166" s="44" t="str">
        <f>Data!A165</f>
        <v xml:space="preserve">Rayls, Kim </v>
      </c>
      <c r="G166" s="55" t="str">
        <f>Data!C165</f>
        <v>5/3/1969</v>
      </c>
      <c r="H166" s="56">
        <f>Data!H165</f>
        <v>44651</v>
      </c>
      <c r="I166" s="56" t="str">
        <f>Data!I165</f>
        <v>4/1/2022</v>
      </c>
      <c r="J166" s="57">
        <f>Data!J165</f>
        <v>266</v>
      </c>
      <c r="K166" s="58">
        <f t="shared" ca="1" si="2"/>
        <v>48</v>
      </c>
      <c r="L166" s="58">
        <f>Data!M165</f>
        <v>0</v>
      </c>
      <c r="M166" s="37" t="s">
        <v>26</v>
      </c>
      <c r="N166" s="43" t="str">
        <f>VLOOKUP(M166,Table1[#All],3,FALSE)</f>
        <v>Note</v>
      </c>
      <c r="O166" s="40" t="str">
        <f>VLOOKUP(M166,Table1[#All],4,FALSE)</f>
        <v>Q1</v>
      </c>
      <c r="P166" s="39"/>
      <c r="Q166" s="40" t="str">
        <f>VLOOKUP(M166,Table1[#All],5,FALSE)</f>
        <v>Q2</v>
      </c>
      <c r="R166" s="79"/>
      <c r="S166" s="40" t="str">
        <f>VLOOKUP(M166,Table1[#All],6,FALSE)</f>
        <v>Q3</v>
      </c>
      <c r="T166" s="79"/>
      <c r="U166" s="40" t="str">
        <f>VLOOKUP(M166,Table1[#All],7,FALSE)</f>
        <v>Q4</v>
      </c>
      <c r="V166" s="79"/>
      <c r="W166" s="40" t="str">
        <f>VLOOKUP(M166,Table1[#All],8,FALSE)</f>
        <v>Q5</v>
      </c>
      <c r="X166" s="79"/>
      <c r="Y166" s="44" t="str">
        <f>VLOOKUP(M166,Table1[#All],2,FALSE)</f>
        <v>Action</v>
      </c>
      <c r="Z166" s="59" t="str">
        <f>VLOOKUP(M166,Table1[#All],9,FALSE)</f>
        <v>Additional Notes:</v>
      </c>
      <c r="AA166" s="76"/>
      <c r="AB166" s="76"/>
      <c r="AC166" s="90" t="s">
        <v>91</v>
      </c>
      <c r="AD166" s="76" t="s">
        <v>91</v>
      </c>
      <c r="AE166" s="77"/>
      <c r="AF166" s="77"/>
      <c r="AG166" s="41" t="s">
        <v>91</v>
      </c>
      <c r="AH166" s="25"/>
      <c r="AI166" s="25"/>
      <c r="AJ166" s="42"/>
    </row>
    <row r="167" spans="1:36" ht="21" hidden="1" x14ac:dyDescent="0.55000000000000004">
      <c r="A167" s="44" t="str">
        <f>Data!K166</f>
        <v>Dentaquest</v>
      </c>
      <c r="B167" s="44" t="str">
        <f>Data!L166</f>
        <v>8004177140</v>
      </c>
      <c r="C167" s="44" t="str">
        <f>Data!D166</f>
        <v>Nailing , Julius</v>
      </c>
      <c r="D167" s="82" t="str">
        <f>Data!F166</f>
        <v>9403407697</v>
      </c>
      <c r="E167" s="82" t="str">
        <f>Data!B166</f>
        <v>8576</v>
      </c>
      <c r="F167" s="44" t="str">
        <f>Data!A166</f>
        <v>Nailing , Julius</v>
      </c>
      <c r="G167" s="55" t="str">
        <f>Data!C166</f>
        <v>11/29/1981</v>
      </c>
      <c r="H167" s="56">
        <f>Data!H166</f>
        <v>44651</v>
      </c>
      <c r="I167" s="56" t="str">
        <f>Data!I166</f>
        <v>4/1/2022</v>
      </c>
      <c r="J167" s="57">
        <f>Data!J166</f>
        <v>294.8</v>
      </c>
      <c r="K167" s="58">
        <f t="shared" ca="1" si="2"/>
        <v>48</v>
      </c>
      <c r="L167" s="58">
        <f>Data!M166</f>
        <v>0</v>
      </c>
      <c r="M167" s="37" t="s">
        <v>26</v>
      </c>
      <c r="N167" s="43" t="str">
        <f>VLOOKUP(M167,Table1[#All],3,FALSE)</f>
        <v>Note</v>
      </c>
      <c r="O167" s="40" t="str">
        <f>VLOOKUP(M167,Table1[#All],4,FALSE)</f>
        <v>Q1</v>
      </c>
      <c r="P167" s="39"/>
      <c r="Q167" s="40" t="str">
        <f>VLOOKUP(M167,Table1[#All],5,FALSE)</f>
        <v>Q2</v>
      </c>
      <c r="R167" s="79"/>
      <c r="S167" s="40" t="str">
        <f>VLOOKUP(M167,Table1[#All],6,FALSE)</f>
        <v>Q3</v>
      </c>
      <c r="T167" s="79"/>
      <c r="U167" s="40" t="str">
        <f>VLOOKUP(M167,Table1[#All],7,FALSE)</f>
        <v>Q4</v>
      </c>
      <c r="V167" s="79"/>
      <c r="W167" s="40" t="str">
        <f>VLOOKUP(M167,Table1[#All],8,FALSE)</f>
        <v>Q5</v>
      </c>
      <c r="X167" s="79"/>
      <c r="Y167" s="44" t="str">
        <f>VLOOKUP(M167,Table1[#All],2,FALSE)</f>
        <v>Action</v>
      </c>
      <c r="Z167" s="59" t="str">
        <f>VLOOKUP(M167,Table1[#All],9,FALSE)</f>
        <v>Additional Notes:</v>
      </c>
      <c r="AA167" s="76"/>
      <c r="AB167" s="76"/>
      <c r="AC167" s="90" t="s">
        <v>91</v>
      </c>
      <c r="AD167" s="76" t="s">
        <v>91</v>
      </c>
      <c r="AE167" s="77"/>
      <c r="AF167" s="77"/>
      <c r="AG167" s="41" t="s">
        <v>91</v>
      </c>
      <c r="AH167" s="25"/>
      <c r="AI167" s="25"/>
      <c r="AJ167" s="42"/>
    </row>
    <row r="168" spans="1:36" ht="21" hidden="1" x14ac:dyDescent="0.55000000000000004">
      <c r="A168" s="44" t="str">
        <f>Data!K167</f>
        <v>Dentaquest</v>
      </c>
      <c r="B168" s="44" t="str">
        <f>Data!L167</f>
        <v>8004177140</v>
      </c>
      <c r="C168" s="44" t="str">
        <f>Data!D167</f>
        <v>Begaj, Floriana</v>
      </c>
      <c r="D168" s="82" t="str">
        <f>Data!F167</f>
        <v>1455209210</v>
      </c>
      <c r="E168" s="82" t="str">
        <f>Data!B167</f>
        <v>9177</v>
      </c>
      <c r="F168" s="44" t="str">
        <f>Data!A167</f>
        <v>Begaj, Floriana</v>
      </c>
      <c r="G168" s="55" t="str">
        <f>Data!C167</f>
        <v>9/17/1990</v>
      </c>
      <c r="H168" s="56">
        <f>Data!H167</f>
        <v>44651</v>
      </c>
      <c r="I168" s="56" t="str">
        <f>Data!I167</f>
        <v>4/1/2022</v>
      </c>
      <c r="J168" s="57">
        <f>Data!J167</f>
        <v>27.6</v>
      </c>
      <c r="K168" s="58">
        <f t="shared" ca="1" si="2"/>
        <v>48</v>
      </c>
      <c r="L168" s="58">
        <f>Data!M167</f>
        <v>0</v>
      </c>
      <c r="M168" s="37" t="s">
        <v>26</v>
      </c>
      <c r="N168" s="43" t="str">
        <f>VLOOKUP(M168,Table1[#All],3,FALSE)</f>
        <v>Note</v>
      </c>
      <c r="O168" s="40" t="str">
        <f>VLOOKUP(M168,Table1[#All],4,FALSE)</f>
        <v>Q1</v>
      </c>
      <c r="P168" s="39"/>
      <c r="Q168" s="40" t="str">
        <f>VLOOKUP(M168,Table1[#All],5,FALSE)</f>
        <v>Q2</v>
      </c>
      <c r="R168" s="79"/>
      <c r="S168" s="40" t="str">
        <f>VLOOKUP(M168,Table1[#All],6,FALSE)</f>
        <v>Q3</v>
      </c>
      <c r="T168" s="79"/>
      <c r="U168" s="40" t="str">
        <f>VLOOKUP(M168,Table1[#All],7,FALSE)</f>
        <v>Q4</v>
      </c>
      <c r="V168" s="79"/>
      <c r="W168" s="40" t="str">
        <f>VLOOKUP(M168,Table1[#All],8,FALSE)</f>
        <v>Q5</v>
      </c>
      <c r="X168" s="79"/>
      <c r="Y168" s="44" t="str">
        <f>VLOOKUP(M168,Table1[#All],2,FALSE)</f>
        <v>Action</v>
      </c>
      <c r="Z168" s="59" t="str">
        <f>VLOOKUP(M168,Table1[#All],9,FALSE)</f>
        <v>Additional Notes:</v>
      </c>
      <c r="AA168" s="76"/>
      <c r="AB168" s="76"/>
      <c r="AC168" s="90" t="s">
        <v>91</v>
      </c>
      <c r="AD168" s="76" t="s">
        <v>91</v>
      </c>
      <c r="AE168" s="77"/>
      <c r="AF168" s="77"/>
      <c r="AG168" s="41" t="s">
        <v>91</v>
      </c>
      <c r="AH168" s="25"/>
      <c r="AI168" s="25"/>
      <c r="AJ168" s="42"/>
    </row>
    <row r="169" spans="1:36" ht="21" hidden="1" x14ac:dyDescent="0.55000000000000004">
      <c r="A169" s="44" t="str">
        <f>Data!K168</f>
        <v>Dentaquest</v>
      </c>
      <c r="B169" s="44" t="str">
        <f>Data!L168</f>
        <v>8004177140</v>
      </c>
      <c r="C169" s="44" t="str">
        <f>Data!D168</f>
        <v xml:space="preserve">Graham , Tiffany </v>
      </c>
      <c r="D169" s="82" t="str">
        <f>Data!F168</f>
        <v>730413713</v>
      </c>
      <c r="E169" s="82" t="str">
        <f>Data!B168</f>
        <v>9382</v>
      </c>
      <c r="F169" s="44" t="str">
        <f>Data!A168</f>
        <v xml:space="preserve">Graham , Tiffany </v>
      </c>
      <c r="G169" s="55" t="str">
        <f>Data!C168</f>
        <v>9/29/1985</v>
      </c>
      <c r="H169" s="56">
        <f>Data!H168</f>
        <v>44651</v>
      </c>
      <c r="I169" s="56" t="str">
        <f>Data!I168</f>
        <v>4/1/2022</v>
      </c>
      <c r="J169" s="57">
        <f>Data!J168</f>
        <v>589.20000000000005</v>
      </c>
      <c r="K169" s="58">
        <f t="shared" ca="1" si="2"/>
        <v>48</v>
      </c>
      <c r="L169" s="58">
        <f>Data!M168</f>
        <v>0</v>
      </c>
      <c r="M169" s="37" t="s">
        <v>26</v>
      </c>
      <c r="N169" s="43" t="str">
        <f>VLOOKUP(M169,Table1[#All],3,FALSE)</f>
        <v>Note</v>
      </c>
      <c r="O169" s="40" t="str">
        <f>VLOOKUP(M169,Table1[#All],4,FALSE)</f>
        <v>Q1</v>
      </c>
      <c r="P169" s="39"/>
      <c r="Q169" s="40" t="str">
        <f>VLOOKUP(M169,Table1[#All],5,FALSE)</f>
        <v>Q2</v>
      </c>
      <c r="R169" s="79"/>
      <c r="S169" s="40" t="str">
        <f>VLOOKUP(M169,Table1[#All],6,FALSE)</f>
        <v>Q3</v>
      </c>
      <c r="T169" s="79"/>
      <c r="U169" s="40" t="str">
        <f>VLOOKUP(M169,Table1[#All],7,FALSE)</f>
        <v>Q4</v>
      </c>
      <c r="V169" s="79"/>
      <c r="W169" s="40" t="str">
        <f>VLOOKUP(M169,Table1[#All],8,FALSE)</f>
        <v>Q5</v>
      </c>
      <c r="X169" s="79"/>
      <c r="Y169" s="44" t="str">
        <f>VLOOKUP(M169,Table1[#All],2,FALSE)</f>
        <v>Action</v>
      </c>
      <c r="Z169" s="59" t="str">
        <f>VLOOKUP(M169,Table1[#All],9,FALSE)</f>
        <v>Additional Notes:</v>
      </c>
      <c r="AA169" s="76"/>
      <c r="AB169" s="76"/>
      <c r="AC169" s="90" t="s">
        <v>91</v>
      </c>
      <c r="AD169" s="76" t="s">
        <v>91</v>
      </c>
      <c r="AE169" s="77"/>
      <c r="AF169" s="77"/>
      <c r="AG169" s="41" t="s">
        <v>91</v>
      </c>
      <c r="AH169" s="25"/>
      <c r="AI169" s="25"/>
      <c r="AJ169" s="42"/>
    </row>
    <row r="170" spans="1:36" ht="21" hidden="1" x14ac:dyDescent="0.55000000000000004">
      <c r="A170" s="44" t="str">
        <f>Data!K169</f>
        <v>Dentaquest</v>
      </c>
      <c r="B170" s="44" t="str">
        <f>Data!L169</f>
        <v>8004177140</v>
      </c>
      <c r="C170" s="44" t="str">
        <f>Data!D169</f>
        <v xml:space="preserve">Hell, Kyler </v>
      </c>
      <c r="D170" s="82" t="str">
        <f>Data!F169</f>
        <v>723304347</v>
      </c>
      <c r="E170" s="82" t="str">
        <f>Data!B169</f>
        <v>7792</v>
      </c>
      <c r="F170" s="44" t="str">
        <f>Data!A169</f>
        <v xml:space="preserve">Hell, Kyler </v>
      </c>
      <c r="G170" s="55" t="str">
        <f>Data!C169</f>
        <v>8/16/2007</v>
      </c>
      <c r="H170" s="56">
        <f>Data!H169</f>
        <v>44651</v>
      </c>
      <c r="I170" s="56" t="str">
        <f>Data!I169</f>
        <v>4/1/2022</v>
      </c>
      <c r="J170" s="57">
        <f>Data!J169</f>
        <v>266</v>
      </c>
      <c r="K170" s="58">
        <f t="shared" ca="1" si="2"/>
        <v>48</v>
      </c>
      <c r="L170" s="58">
        <f>Data!M169</f>
        <v>0</v>
      </c>
      <c r="M170" s="37" t="s">
        <v>26</v>
      </c>
      <c r="N170" s="43" t="str">
        <f>VLOOKUP(M170,Table1[#All],3,FALSE)</f>
        <v>Note</v>
      </c>
      <c r="O170" s="40" t="str">
        <f>VLOOKUP(M170,Table1[#All],4,FALSE)</f>
        <v>Q1</v>
      </c>
      <c r="P170" s="39"/>
      <c r="Q170" s="40" t="str">
        <f>VLOOKUP(M170,Table1[#All],5,FALSE)</f>
        <v>Q2</v>
      </c>
      <c r="R170" s="79"/>
      <c r="S170" s="40" t="str">
        <f>VLOOKUP(M170,Table1[#All],6,FALSE)</f>
        <v>Q3</v>
      </c>
      <c r="T170" s="79"/>
      <c r="U170" s="40" t="str">
        <f>VLOOKUP(M170,Table1[#All],7,FALSE)</f>
        <v>Q4</v>
      </c>
      <c r="V170" s="79"/>
      <c r="W170" s="40" t="str">
        <f>VLOOKUP(M170,Table1[#All],8,FALSE)</f>
        <v>Q5</v>
      </c>
      <c r="X170" s="79"/>
      <c r="Y170" s="44" t="str">
        <f>VLOOKUP(M170,Table1[#All],2,FALSE)</f>
        <v>Action</v>
      </c>
      <c r="Z170" s="59" t="str">
        <f>VLOOKUP(M170,Table1[#All],9,FALSE)</f>
        <v>Additional Notes:</v>
      </c>
      <c r="AA170" s="76"/>
      <c r="AB170" s="76"/>
      <c r="AC170" s="90" t="s">
        <v>91</v>
      </c>
      <c r="AD170" s="76" t="s">
        <v>91</v>
      </c>
      <c r="AE170" s="77"/>
      <c r="AF170" s="77"/>
      <c r="AG170" s="41" t="s">
        <v>91</v>
      </c>
      <c r="AH170" s="25"/>
      <c r="AI170" s="25"/>
      <c r="AJ170" s="42"/>
    </row>
    <row r="171" spans="1:36" ht="21" hidden="1" x14ac:dyDescent="0.55000000000000004">
      <c r="A171" s="44" t="str">
        <f>Data!K170</f>
        <v>Dentaquest</v>
      </c>
      <c r="B171" s="44" t="str">
        <f>Data!L170</f>
        <v>8004177140</v>
      </c>
      <c r="C171" s="44" t="str">
        <f>Data!D170</f>
        <v xml:space="preserve">Bruinsma , Henley </v>
      </c>
      <c r="D171" s="82" t="str">
        <f>Data!F170</f>
        <v>728270248</v>
      </c>
      <c r="E171" s="82" t="str">
        <f>Data!B170</f>
        <v>8103</v>
      </c>
      <c r="F171" s="44" t="str">
        <f>Data!A170</f>
        <v xml:space="preserve">Bruinsma , Henley </v>
      </c>
      <c r="G171" s="55" t="str">
        <f>Data!C170</f>
        <v>6/19/2017</v>
      </c>
      <c r="H171" s="56">
        <f>Data!H170</f>
        <v>44651</v>
      </c>
      <c r="I171" s="56" t="str">
        <f>Data!I170</f>
        <v>4/1/2022</v>
      </c>
      <c r="J171" s="57">
        <f>Data!J170</f>
        <v>138</v>
      </c>
      <c r="K171" s="58">
        <f t="shared" ca="1" si="2"/>
        <v>48</v>
      </c>
      <c r="L171" s="58">
        <f>Data!M170</f>
        <v>0</v>
      </c>
      <c r="M171" s="37" t="s">
        <v>26</v>
      </c>
      <c r="N171" s="43" t="str">
        <f>VLOOKUP(M171,Table1[#All],3,FALSE)</f>
        <v>Note</v>
      </c>
      <c r="O171" s="40" t="str">
        <f>VLOOKUP(M171,Table1[#All],4,FALSE)</f>
        <v>Q1</v>
      </c>
      <c r="P171" s="39"/>
      <c r="Q171" s="40" t="str">
        <f>VLOOKUP(M171,Table1[#All],5,FALSE)</f>
        <v>Q2</v>
      </c>
      <c r="R171" s="79"/>
      <c r="S171" s="40" t="str">
        <f>VLOOKUP(M171,Table1[#All],6,FALSE)</f>
        <v>Q3</v>
      </c>
      <c r="T171" s="79"/>
      <c r="U171" s="40" t="str">
        <f>VLOOKUP(M171,Table1[#All],7,FALSE)</f>
        <v>Q4</v>
      </c>
      <c r="V171" s="79"/>
      <c r="W171" s="40" t="str">
        <f>VLOOKUP(M171,Table1[#All],8,FALSE)</f>
        <v>Q5</v>
      </c>
      <c r="X171" s="79"/>
      <c r="Y171" s="44" t="str">
        <f>VLOOKUP(M171,Table1[#All],2,FALSE)</f>
        <v>Action</v>
      </c>
      <c r="Z171" s="59" t="str">
        <f>VLOOKUP(M171,Table1[#All],9,FALSE)</f>
        <v>Additional Notes:</v>
      </c>
      <c r="AA171" s="76"/>
      <c r="AB171" s="76"/>
      <c r="AC171" s="90" t="s">
        <v>91</v>
      </c>
      <c r="AD171" s="76" t="s">
        <v>91</v>
      </c>
      <c r="AE171" s="77"/>
      <c r="AF171" s="77"/>
      <c r="AG171" s="41" t="s">
        <v>91</v>
      </c>
      <c r="AH171" s="25"/>
      <c r="AI171" s="25"/>
      <c r="AJ171" s="42"/>
    </row>
    <row r="172" spans="1:36" ht="21" hidden="1" x14ac:dyDescent="0.55000000000000004">
      <c r="A172" s="44" t="str">
        <f>Data!K171</f>
        <v>Dentaquest</v>
      </c>
      <c r="B172" s="44" t="str">
        <f>Data!L171</f>
        <v>8004177140</v>
      </c>
      <c r="C172" s="44" t="str">
        <f>Data!D171</f>
        <v>Cavero Zavala, Walter</v>
      </c>
      <c r="D172" s="82" t="str">
        <f>Data!F171</f>
        <v>7442077277</v>
      </c>
      <c r="E172" s="82" t="str">
        <f>Data!B171</f>
        <v>9374</v>
      </c>
      <c r="F172" s="44" t="str">
        <f>Data!A171</f>
        <v>Cavero Zavala, Walter</v>
      </c>
      <c r="G172" s="55" t="str">
        <f>Data!C171</f>
        <v>2/26/1977</v>
      </c>
      <c r="H172" s="56">
        <f>Data!H171</f>
        <v>44651</v>
      </c>
      <c r="I172" s="56" t="str">
        <f>Data!I171</f>
        <v>4/1/2022</v>
      </c>
      <c r="J172" s="57">
        <f>Data!J171</f>
        <v>216</v>
      </c>
      <c r="K172" s="58">
        <f t="shared" ca="1" si="2"/>
        <v>48</v>
      </c>
      <c r="L172" s="58">
        <f>Data!M171</f>
        <v>0</v>
      </c>
      <c r="M172" s="37" t="s">
        <v>26</v>
      </c>
      <c r="N172" s="43" t="str">
        <f>VLOOKUP(M172,Table1[#All],3,FALSE)</f>
        <v>Note</v>
      </c>
      <c r="O172" s="40" t="str">
        <f>VLOOKUP(M172,Table1[#All],4,FALSE)</f>
        <v>Q1</v>
      </c>
      <c r="P172" s="39"/>
      <c r="Q172" s="40" t="str">
        <f>VLOOKUP(M172,Table1[#All],5,FALSE)</f>
        <v>Q2</v>
      </c>
      <c r="R172" s="79"/>
      <c r="S172" s="40" t="str">
        <f>VLOOKUP(M172,Table1[#All],6,FALSE)</f>
        <v>Q3</v>
      </c>
      <c r="T172" s="79"/>
      <c r="U172" s="40" t="str">
        <f>VLOOKUP(M172,Table1[#All],7,FALSE)</f>
        <v>Q4</v>
      </c>
      <c r="V172" s="79"/>
      <c r="W172" s="40" t="str">
        <f>VLOOKUP(M172,Table1[#All],8,FALSE)</f>
        <v>Q5</v>
      </c>
      <c r="X172" s="79"/>
      <c r="Y172" s="44" t="str">
        <f>VLOOKUP(M172,Table1[#All],2,FALSE)</f>
        <v>Action</v>
      </c>
      <c r="Z172" s="59" t="str">
        <f>VLOOKUP(M172,Table1[#All],9,FALSE)</f>
        <v>Additional Notes:</v>
      </c>
      <c r="AA172" s="76"/>
      <c r="AB172" s="76"/>
      <c r="AC172" s="90" t="s">
        <v>91</v>
      </c>
      <c r="AD172" s="76" t="s">
        <v>91</v>
      </c>
      <c r="AE172" s="77"/>
      <c r="AF172" s="77"/>
      <c r="AG172" s="41" t="s">
        <v>91</v>
      </c>
      <c r="AH172" s="25"/>
      <c r="AI172" s="25"/>
      <c r="AJ172" s="42"/>
    </row>
    <row r="173" spans="1:36" ht="21" hidden="1" x14ac:dyDescent="0.55000000000000004">
      <c r="A173" s="44" t="str">
        <f>Data!K172</f>
        <v>Dentaquest</v>
      </c>
      <c r="B173" s="44" t="str">
        <f>Data!L172</f>
        <v>8004177140</v>
      </c>
      <c r="C173" s="44" t="str">
        <f>Data!D172</f>
        <v xml:space="preserve">Diem , Kelly </v>
      </c>
      <c r="D173" s="82" t="str">
        <f>Data!F172</f>
        <v>729353694</v>
      </c>
      <c r="E173" s="82" t="str">
        <f>Data!B172</f>
        <v>5008</v>
      </c>
      <c r="F173" s="44" t="str">
        <f>Data!A172</f>
        <v xml:space="preserve">Diem , Kelly </v>
      </c>
      <c r="G173" s="55" t="str">
        <f>Data!C172</f>
        <v>2/9/1962</v>
      </c>
      <c r="H173" s="56">
        <f>Data!H172</f>
        <v>44650</v>
      </c>
      <c r="I173" s="56" t="str">
        <f>Data!I172</f>
        <v>3/31/2022</v>
      </c>
      <c r="J173" s="57">
        <f>Data!J172</f>
        <v>84</v>
      </c>
      <c r="K173" s="58">
        <f t="shared" ca="1" si="2"/>
        <v>49</v>
      </c>
      <c r="L173" s="58">
        <f>Data!M172</f>
        <v>0</v>
      </c>
      <c r="M173" s="37" t="s">
        <v>26</v>
      </c>
      <c r="N173" s="43" t="str">
        <f>VLOOKUP(M173,Table1[#All],3,FALSE)</f>
        <v>Note</v>
      </c>
      <c r="O173" s="40" t="str">
        <f>VLOOKUP(M173,Table1[#All],4,FALSE)</f>
        <v>Q1</v>
      </c>
      <c r="P173" s="39"/>
      <c r="Q173" s="40" t="str">
        <f>VLOOKUP(M173,Table1[#All],5,FALSE)</f>
        <v>Q2</v>
      </c>
      <c r="R173" s="79"/>
      <c r="S173" s="40" t="str">
        <f>VLOOKUP(M173,Table1[#All],6,FALSE)</f>
        <v>Q3</v>
      </c>
      <c r="T173" s="79"/>
      <c r="U173" s="40" t="str">
        <f>VLOOKUP(M173,Table1[#All],7,FALSE)</f>
        <v>Q4</v>
      </c>
      <c r="V173" s="79"/>
      <c r="W173" s="40" t="str">
        <f>VLOOKUP(M173,Table1[#All],8,FALSE)</f>
        <v>Q5</v>
      </c>
      <c r="X173" s="79"/>
      <c r="Y173" s="44" t="str">
        <f>VLOOKUP(M173,Table1[#All],2,FALSE)</f>
        <v>Action</v>
      </c>
      <c r="Z173" s="59" t="str">
        <f>VLOOKUP(M173,Table1[#All],9,FALSE)</f>
        <v>Additional Notes:</v>
      </c>
      <c r="AA173" s="76"/>
      <c r="AB173" s="76"/>
      <c r="AC173" s="90" t="s">
        <v>91</v>
      </c>
      <c r="AD173" s="76" t="s">
        <v>91</v>
      </c>
      <c r="AE173" s="77"/>
      <c r="AF173" s="77"/>
      <c r="AG173" s="41" t="s">
        <v>91</v>
      </c>
      <c r="AH173" s="25"/>
      <c r="AI173" s="25"/>
      <c r="AJ173" s="42"/>
    </row>
    <row r="174" spans="1:36" ht="21" hidden="1" x14ac:dyDescent="0.55000000000000004">
      <c r="A174" s="44" t="str">
        <f>Data!K173</f>
        <v>Dentaquest</v>
      </c>
      <c r="B174" s="44" t="str">
        <f>Data!L173</f>
        <v>8004177140</v>
      </c>
      <c r="C174" s="44" t="str">
        <f>Data!D173</f>
        <v xml:space="preserve">Musaitf , Jalal </v>
      </c>
      <c r="D174" s="82" t="str">
        <f>Data!F173</f>
        <v>725047148</v>
      </c>
      <c r="E174" s="82" t="str">
        <f>Data!B173</f>
        <v>8999</v>
      </c>
      <c r="F174" s="44" t="str">
        <f>Data!A173</f>
        <v xml:space="preserve">Musaitf , Jalal </v>
      </c>
      <c r="G174" s="55" t="str">
        <f>Data!C173</f>
        <v>9/18/2008</v>
      </c>
      <c r="H174" s="56">
        <f>Data!H173</f>
        <v>44650</v>
      </c>
      <c r="I174" s="56" t="str">
        <f>Data!I173</f>
        <v>3/31/2022</v>
      </c>
      <c r="J174" s="57">
        <f>Data!J173</f>
        <v>648</v>
      </c>
      <c r="K174" s="58">
        <f t="shared" ca="1" si="2"/>
        <v>49</v>
      </c>
      <c r="L174" s="58">
        <f>Data!M173</f>
        <v>0</v>
      </c>
      <c r="M174" s="37" t="s">
        <v>26</v>
      </c>
      <c r="N174" s="43" t="str">
        <f>VLOOKUP(M174,Table1[#All],3,FALSE)</f>
        <v>Note</v>
      </c>
      <c r="O174" s="40" t="str">
        <f>VLOOKUP(M174,Table1[#All],4,FALSE)</f>
        <v>Q1</v>
      </c>
      <c r="P174" s="39"/>
      <c r="Q174" s="40" t="str">
        <f>VLOOKUP(M174,Table1[#All],5,FALSE)</f>
        <v>Q2</v>
      </c>
      <c r="R174" s="79"/>
      <c r="S174" s="40" t="str">
        <f>VLOOKUP(M174,Table1[#All],6,FALSE)</f>
        <v>Q3</v>
      </c>
      <c r="T174" s="79"/>
      <c r="U174" s="40" t="str">
        <f>VLOOKUP(M174,Table1[#All],7,FALSE)</f>
        <v>Q4</v>
      </c>
      <c r="V174" s="79"/>
      <c r="W174" s="40" t="str">
        <f>VLOOKUP(M174,Table1[#All],8,FALSE)</f>
        <v>Q5</v>
      </c>
      <c r="X174" s="79"/>
      <c r="Y174" s="44" t="str">
        <f>VLOOKUP(M174,Table1[#All],2,FALSE)</f>
        <v>Action</v>
      </c>
      <c r="Z174" s="59" t="str">
        <f>VLOOKUP(M174,Table1[#All],9,FALSE)</f>
        <v>Additional Notes:</v>
      </c>
      <c r="AA174" s="76"/>
      <c r="AB174" s="76"/>
      <c r="AC174" s="90" t="s">
        <v>91</v>
      </c>
      <c r="AD174" s="76" t="s">
        <v>91</v>
      </c>
      <c r="AE174" s="77"/>
      <c r="AF174" s="77"/>
      <c r="AG174" s="41" t="s">
        <v>91</v>
      </c>
      <c r="AH174" s="25"/>
      <c r="AI174" s="25"/>
      <c r="AJ174" s="42"/>
    </row>
    <row r="175" spans="1:36" ht="21" hidden="1" x14ac:dyDescent="0.55000000000000004">
      <c r="A175" s="44" t="str">
        <f>Data!K174</f>
        <v>Dentaquest</v>
      </c>
      <c r="B175" s="44" t="str">
        <f>Data!L174</f>
        <v>8004177140</v>
      </c>
      <c r="C175" s="44" t="str">
        <f>Data!D174</f>
        <v>Tobar, Deanna</v>
      </c>
      <c r="D175" s="82" t="str">
        <f>Data!F174</f>
        <v>719019996</v>
      </c>
      <c r="E175" s="82" t="str">
        <f>Data!B174</f>
        <v>7552</v>
      </c>
      <c r="F175" s="44" t="str">
        <f>Data!A174</f>
        <v>Tobar, Deanna</v>
      </c>
      <c r="G175" s="55" t="str">
        <f>Data!C174</f>
        <v>8/3/1992</v>
      </c>
      <c r="H175" s="56">
        <f>Data!H174</f>
        <v>44650</v>
      </c>
      <c r="I175" s="56" t="str">
        <f>Data!I174</f>
        <v>3/31/2022</v>
      </c>
      <c r="J175" s="57">
        <f>Data!J174</f>
        <v>480</v>
      </c>
      <c r="K175" s="58">
        <f t="shared" ca="1" si="2"/>
        <v>49</v>
      </c>
      <c r="L175" s="58">
        <f>Data!M174</f>
        <v>0</v>
      </c>
      <c r="M175" s="37" t="s">
        <v>26</v>
      </c>
      <c r="N175" s="43" t="str">
        <f>VLOOKUP(M175,Table1[#All],3,FALSE)</f>
        <v>Note</v>
      </c>
      <c r="O175" s="40" t="str">
        <f>VLOOKUP(M175,Table1[#All],4,FALSE)</f>
        <v>Q1</v>
      </c>
      <c r="P175" s="39"/>
      <c r="Q175" s="40" t="str">
        <f>VLOOKUP(M175,Table1[#All],5,FALSE)</f>
        <v>Q2</v>
      </c>
      <c r="R175" s="79"/>
      <c r="S175" s="40" t="str">
        <f>VLOOKUP(M175,Table1[#All],6,FALSE)</f>
        <v>Q3</v>
      </c>
      <c r="T175" s="79"/>
      <c r="U175" s="40" t="str">
        <f>VLOOKUP(M175,Table1[#All],7,FALSE)</f>
        <v>Q4</v>
      </c>
      <c r="V175" s="79"/>
      <c r="W175" s="40" t="str">
        <f>VLOOKUP(M175,Table1[#All],8,FALSE)</f>
        <v>Q5</v>
      </c>
      <c r="X175" s="79"/>
      <c r="Y175" s="44" t="str">
        <f>VLOOKUP(M175,Table1[#All],2,FALSE)</f>
        <v>Action</v>
      </c>
      <c r="Z175" s="59" t="str">
        <f>VLOOKUP(M175,Table1[#All],9,FALSE)</f>
        <v>Additional Notes:</v>
      </c>
      <c r="AA175" s="76"/>
      <c r="AB175" s="76"/>
      <c r="AC175" s="90" t="s">
        <v>91</v>
      </c>
      <c r="AD175" s="76" t="s">
        <v>91</v>
      </c>
      <c r="AE175" s="77"/>
      <c r="AF175" s="77"/>
      <c r="AG175" s="41" t="s">
        <v>91</v>
      </c>
      <c r="AH175" s="25"/>
      <c r="AI175" s="25"/>
      <c r="AJ175" s="42"/>
    </row>
    <row r="176" spans="1:36" ht="21" hidden="1" x14ac:dyDescent="0.55000000000000004">
      <c r="A176" s="44" t="str">
        <f>Data!K175</f>
        <v>Dentaquest</v>
      </c>
      <c r="B176" s="44" t="str">
        <f>Data!L175</f>
        <v>8004177140</v>
      </c>
      <c r="C176" s="44" t="str">
        <f>Data!D175</f>
        <v xml:space="preserve">Alvarez, Jace </v>
      </c>
      <c r="D176" s="82" t="str">
        <f>Data!F175</f>
        <v>723304850</v>
      </c>
      <c r="E176" s="82" t="str">
        <f>Data!B175</f>
        <v>7507</v>
      </c>
      <c r="F176" s="44" t="str">
        <f>Data!A175</f>
        <v xml:space="preserve">Alvarez, Jace </v>
      </c>
      <c r="G176" s="55" t="str">
        <f>Data!C175</f>
        <v>1/1/2017</v>
      </c>
      <c r="H176" s="56">
        <f>Data!H175</f>
        <v>44650</v>
      </c>
      <c r="I176" s="56" t="str">
        <f>Data!I175</f>
        <v>3/31/2022</v>
      </c>
      <c r="J176" s="57">
        <f>Data!J175</f>
        <v>227.6</v>
      </c>
      <c r="K176" s="58">
        <f t="shared" ca="1" si="2"/>
        <v>49</v>
      </c>
      <c r="L176" s="58">
        <f>Data!M175</f>
        <v>0</v>
      </c>
      <c r="M176" s="37" t="s">
        <v>26</v>
      </c>
      <c r="N176" s="43" t="str">
        <f>VLOOKUP(M176,Table1[#All],3,FALSE)</f>
        <v>Note</v>
      </c>
      <c r="O176" s="40" t="str">
        <f>VLOOKUP(M176,Table1[#All],4,FALSE)</f>
        <v>Q1</v>
      </c>
      <c r="P176" s="39"/>
      <c r="Q176" s="40" t="str">
        <f>VLOOKUP(M176,Table1[#All],5,FALSE)</f>
        <v>Q2</v>
      </c>
      <c r="R176" s="79"/>
      <c r="S176" s="40" t="str">
        <f>VLOOKUP(M176,Table1[#All],6,FALSE)</f>
        <v>Q3</v>
      </c>
      <c r="T176" s="79"/>
      <c r="U176" s="40" t="str">
        <f>VLOOKUP(M176,Table1[#All],7,FALSE)</f>
        <v>Q4</v>
      </c>
      <c r="V176" s="79"/>
      <c r="W176" s="40" t="str">
        <f>VLOOKUP(M176,Table1[#All],8,FALSE)</f>
        <v>Q5</v>
      </c>
      <c r="X176" s="79"/>
      <c r="Y176" s="44" t="str">
        <f>VLOOKUP(M176,Table1[#All],2,FALSE)</f>
        <v>Action</v>
      </c>
      <c r="Z176" s="59" t="str">
        <f>VLOOKUP(M176,Table1[#All],9,FALSE)</f>
        <v>Additional Notes:</v>
      </c>
      <c r="AA176" s="76"/>
      <c r="AB176" s="76"/>
      <c r="AC176" s="90" t="s">
        <v>91</v>
      </c>
      <c r="AD176" s="76" t="s">
        <v>91</v>
      </c>
      <c r="AE176" s="77"/>
      <c r="AF176" s="77"/>
      <c r="AG176" s="41" t="s">
        <v>91</v>
      </c>
      <c r="AH176" s="25"/>
      <c r="AI176" s="25"/>
      <c r="AJ176" s="42"/>
    </row>
    <row r="177" spans="1:36" ht="21" hidden="1" x14ac:dyDescent="0.55000000000000004">
      <c r="A177" s="44" t="str">
        <f>Data!K176</f>
        <v>Dentaquest</v>
      </c>
      <c r="B177" s="44" t="str">
        <f>Data!L176</f>
        <v>8004177140</v>
      </c>
      <c r="C177" s="44" t="str">
        <f>Data!D176</f>
        <v xml:space="preserve">Tobar , Noah </v>
      </c>
      <c r="D177" s="82" t="str">
        <f>Data!F176</f>
        <v>722665361</v>
      </c>
      <c r="E177" s="82" t="str">
        <f>Data!B176</f>
        <v>9228</v>
      </c>
      <c r="F177" s="44" t="str">
        <f>Data!A176</f>
        <v xml:space="preserve">Tobar , Noah </v>
      </c>
      <c r="G177" s="55" t="str">
        <f>Data!C176</f>
        <v>10/19/2015</v>
      </c>
      <c r="H177" s="56">
        <f>Data!H176</f>
        <v>44650</v>
      </c>
      <c r="I177" s="56" t="str">
        <f>Data!I176</f>
        <v>3/31/2022</v>
      </c>
      <c r="J177" s="57">
        <f>Data!J176</f>
        <v>453.2</v>
      </c>
      <c r="K177" s="58">
        <f t="shared" ca="1" si="2"/>
        <v>49</v>
      </c>
      <c r="L177" s="58">
        <f>Data!M176</f>
        <v>0</v>
      </c>
      <c r="M177" s="37" t="s">
        <v>26</v>
      </c>
      <c r="N177" s="43" t="str">
        <f>VLOOKUP(M177,Table1[#All],3,FALSE)</f>
        <v>Note</v>
      </c>
      <c r="O177" s="40" t="str">
        <f>VLOOKUP(M177,Table1[#All],4,FALSE)</f>
        <v>Q1</v>
      </c>
      <c r="P177" s="39"/>
      <c r="Q177" s="40" t="str">
        <f>VLOOKUP(M177,Table1[#All],5,FALSE)</f>
        <v>Q2</v>
      </c>
      <c r="R177" s="79"/>
      <c r="S177" s="40" t="str">
        <f>VLOOKUP(M177,Table1[#All],6,FALSE)</f>
        <v>Q3</v>
      </c>
      <c r="T177" s="79"/>
      <c r="U177" s="40" t="str">
        <f>VLOOKUP(M177,Table1[#All],7,FALSE)</f>
        <v>Q4</v>
      </c>
      <c r="V177" s="79"/>
      <c r="W177" s="40" t="str">
        <f>VLOOKUP(M177,Table1[#All],8,FALSE)</f>
        <v>Q5</v>
      </c>
      <c r="X177" s="79"/>
      <c r="Y177" s="44" t="str">
        <f>VLOOKUP(M177,Table1[#All],2,FALSE)</f>
        <v>Action</v>
      </c>
      <c r="Z177" s="59" t="str">
        <f>VLOOKUP(M177,Table1[#All],9,FALSE)</f>
        <v>Additional Notes:</v>
      </c>
      <c r="AA177" s="76"/>
      <c r="AB177" s="76"/>
      <c r="AC177" s="90" t="s">
        <v>91</v>
      </c>
      <c r="AD177" s="76" t="s">
        <v>91</v>
      </c>
      <c r="AE177" s="77"/>
      <c r="AF177" s="77"/>
      <c r="AG177" s="41" t="s">
        <v>91</v>
      </c>
      <c r="AH177" s="25"/>
      <c r="AI177" s="25"/>
      <c r="AJ177" s="42"/>
    </row>
    <row r="178" spans="1:36" ht="21" hidden="1" x14ac:dyDescent="0.55000000000000004">
      <c r="A178" s="44" t="str">
        <f>Data!K177</f>
        <v>Dentaquest</v>
      </c>
      <c r="B178" s="44" t="str">
        <f>Data!L177</f>
        <v>8004177140</v>
      </c>
      <c r="C178" s="44" t="str">
        <f>Data!D177</f>
        <v xml:space="preserve">Young , Melissa </v>
      </c>
      <c r="D178" s="82" t="str">
        <f>Data!F177</f>
        <v>719058392</v>
      </c>
      <c r="E178" s="82" t="str">
        <f>Data!B177</f>
        <v>8289</v>
      </c>
      <c r="F178" s="44" t="str">
        <f>Data!A177</f>
        <v xml:space="preserve">Young , Melissa </v>
      </c>
      <c r="G178" s="55" t="str">
        <f>Data!C177</f>
        <v>12/16/1983</v>
      </c>
      <c r="H178" s="56">
        <f>Data!H177</f>
        <v>44650</v>
      </c>
      <c r="I178" s="56" t="str">
        <f>Data!I177</f>
        <v>3/31/2022</v>
      </c>
      <c r="J178" s="57">
        <f>Data!J177</f>
        <v>451.2</v>
      </c>
      <c r="K178" s="58">
        <f t="shared" ca="1" si="2"/>
        <v>49</v>
      </c>
      <c r="L178" s="58">
        <f>Data!M177</f>
        <v>0</v>
      </c>
      <c r="M178" s="37" t="s">
        <v>26</v>
      </c>
      <c r="N178" s="43" t="str">
        <f>VLOOKUP(M178,Table1[#All],3,FALSE)</f>
        <v>Note</v>
      </c>
      <c r="O178" s="40" t="str">
        <f>VLOOKUP(M178,Table1[#All],4,FALSE)</f>
        <v>Q1</v>
      </c>
      <c r="P178" s="39"/>
      <c r="Q178" s="40" t="str">
        <f>VLOOKUP(M178,Table1[#All],5,FALSE)</f>
        <v>Q2</v>
      </c>
      <c r="R178" s="79"/>
      <c r="S178" s="40" t="str">
        <f>VLOOKUP(M178,Table1[#All],6,FALSE)</f>
        <v>Q3</v>
      </c>
      <c r="T178" s="79"/>
      <c r="U178" s="40" t="str">
        <f>VLOOKUP(M178,Table1[#All],7,FALSE)</f>
        <v>Q4</v>
      </c>
      <c r="V178" s="79"/>
      <c r="W178" s="40" t="str">
        <f>VLOOKUP(M178,Table1[#All],8,FALSE)</f>
        <v>Q5</v>
      </c>
      <c r="X178" s="79"/>
      <c r="Y178" s="44" t="str">
        <f>VLOOKUP(M178,Table1[#All],2,FALSE)</f>
        <v>Action</v>
      </c>
      <c r="Z178" s="59" t="str">
        <f>VLOOKUP(M178,Table1[#All],9,FALSE)</f>
        <v>Additional Notes:</v>
      </c>
      <c r="AA178" s="76"/>
      <c r="AB178" s="76"/>
      <c r="AC178" s="90" t="s">
        <v>91</v>
      </c>
      <c r="AD178" s="76" t="s">
        <v>91</v>
      </c>
      <c r="AE178" s="77"/>
      <c r="AF178" s="77"/>
      <c r="AG178" s="41" t="s">
        <v>91</v>
      </c>
      <c r="AH178" s="25"/>
      <c r="AI178" s="25"/>
      <c r="AJ178" s="42"/>
    </row>
    <row r="179" spans="1:36" ht="21" hidden="1" x14ac:dyDescent="0.55000000000000004">
      <c r="A179" s="44" t="str">
        <f>Data!K178</f>
        <v>Dentaquest</v>
      </c>
      <c r="B179" s="44" t="str">
        <f>Data!L178</f>
        <v>8004177140</v>
      </c>
      <c r="C179" s="44" t="str">
        <f>Data!D178</f>
        <v>Simpson, Shavonta</v>
      </c>
      <c r="D179" s="82" t="str">
        <f>Data!F178</f>
        <v>796141693</v>
      </c>
      <c r="E179" s="82" t="str">
        <f>Data!B178</f>
        <v>8912</v>
      </c>
      <c r="F179" s="44" t="str">
        <f>Data!A178</f>
        <v>Simpson, Shavonta</v>
      </c>
      <c r="G179" s="55" t="str">
        <f>Data!C178</f>
        <v>6/1/1983</v>
      </c>
      <c r="H179" s="56">
        <f>Data!H178</f>
        <v>44634</v>
      </c>
      <c r="I179" s="56" t="str">
        <f>Data!I178</f>
        <v>3/14/2022</v>
      </c>
      <c r="J179" s="57">
        <f>Data!J178</f>
        <v>1062</v>
      </c>
      <c r="K179" s="58">
        <f t="shared" ca="1" si="2"/>
        <v>66</v>
      </c>
      <c r="L179" s="58">
        <f>Data!M178</f>
        <v>0</v>
      </c>
      <c r="M179" s="37" t="s">
        <v>26</v>
      </c>
      <c r="N179" s="43" t="str">
        <f>VLOOKUP(M179,Table1[#All],3,FALSE)</f>
        <v>Note</v>
      </c>
      <c r="O179" s="40" t="str">
        <f>VLOOKUP(M179,Table1[#All],4,FALSE)</f>
        <v>Q1</v>
      </c>
      <c r="P179" s="39"/>
      <c r="Q179" s="40" t="str">
        <f>VLOOKUP(M179,Table1[#All],5,FALSE)</f>
        <v>Q2</v>
      </c>
      <c r="R179" s="79"/>
      <c r="S179" s="40" t="str">
        <f>VLOOKUP(M179,Table1[#All],6,FALSE)</f>
        <v>Q3</v>
      </c>
      <c r="T179" s="79"/>
      <c r="U179" s="40" t="str">
        <f>VLOOKUP(M179,Table1[#All],7,FALSE)</f>
        <v>Q4</v>
      </c>
      <c r="V179" s="79"/>
      <c r="W179" s="40" t="str">
        <f>VLOOKUP(M179,Table1[#All],8,FALSE)</f>
        <v>Q5</v>
      </c>
      <c r="X179" s="79"/>
      <c r="Y179" s="44" t="str">
        <f>VLOOKUP(M179,Table1[#All],2,FALSE)</f>
        <v>Action</v>
      </c>
      <c r="Z179" s="59" t="str">
        <f>VLOOKUP(M179,Table1[#All],9,FALSE)</f>
        <v>Additional Notes:</v>
      </c>
      <c r="AA179" s="76"/>
      <c r="AB179" s="76"/>
      <c r="AC179" s="90" t="s">
        <v>91</v>
      </c>
      <c r="AD179" s="76" t="s">
        <v>91</v>
      </c>
      <c r="AE179" s="77"/>
      <c r="AF179" s="77"/>
      <c r="AG179" s="41" t="s">
        <v>91</v>
      </c>
      <c r="AH179" s="25"/>
      <c r="AI179" s="25"/>
      <c r="AJ179" s="42"/>
    </row>
    <row r="180" spans="1:36" ht="21" hidden="1" x14ac:dyDescent="0.55000000000000004">
      <c r="A180" s="44" t="str">
        <f>Data!K179</f>
        <v>Dentaquest</v>
      </c>
      <c r="B180" s="44" t="str">
        <f>Data!L179</f>
        <v>8004177140</v>
      </c>
      <c r="C180" s="44" t="str">
        <f>Data!D179</f>
        <v xml:space="preserve">Garcia , Evelina </v>
      </c>
      <c r="D180" s="82" t="str">
        <f>Data!F179</f>
        <v>725162611</v>
      </c>
      <c r="E180" s="82" t="str">
        <f>Data!B179</f>
        <v>8223</v>
      </c>
      <c r="F180" s="44" t="str">
        <f>Data!A179</f>
        <v xml:space="preserve">Garcia , Evelina </v>
      </c>
      <c r="G180" s="55" t="str">
        <f>Data!C179</f>
        <v>4/27/1982</v>
      </c>
      <c r="H180" s="56">
        <f>Data!H179</f>
        <v>44635</v>
      </c>
      <c r="I180" s="56" t="str">
        <f>Data!I179</f>
        <v>3/16/2022</v>
      </c>
      <c r="J180" s="57">
        <f>Data!J179</f>
        <v>406.8</v>
      </c>
      <c r="K180" s="58">
        <f t="shared" ca="1" si="2"/>
        <v>64</v>
      </c>
      <c r="L180" s="58">
        <f>Data!M179</f>
        <v>0</v>
      </c>
      <c r="M180" s="37" t="s">
        <v>26</v>
      </c>
      <c r="N180" s="43" t="str">
        <f>VLOOKUP(M180,Table1[#All],3,FALSE)</f>
        <v>Note</v>
      </c>
      <c r="O180" s="40" t="str">
        <f>VLOOKUP(M180,Table1[#All],4,FALSE)</f>
        <v>Q1</v>
      </c>
      <c r="P180" s="39"/>
      <c r="Q180" s="40" t="str">
        <f>VLOOKUP(M180,Table1[#All],5,FALSE)</f>
        <v>Q2</v>
      </c>
      <c r="R180" s="79"/>
      <c r="S180" s="40" t="str">
        <f>VLOOKUP(M180,Table1[#All],6,FALSE)</f>
        <v>Q3</v>
      </c>
      <c r="T180" s="79"/>
      <c r="U180" s="40" t="str">
        <f>VLOOKUP(M180,Table1[#All],7,FALSE)</f>
        <v>Q4</v>
      </c>
      <c r="V180" s="79"/>
      <c r="W180" s="40" t="str">
        <f>VLOOKUP(M180,Table1[#All],8,FALSE)</f>
        <v>Q5</v>
      </c>
      <c r="X180" s="79"/>
      <c r="Y180" s="44" t="str">
        <f>VLOOKUP(M180,Table1[#All],2,FALSE)</f>
        <v>Action</v>
      </c>
      <c r="Z180" s="59" t="str">
        <f>VLOOKUP(M180,Table1[#All],9,FALSE)</f>
        <v>Additional Notes:</v>
      </c>
      <c r="AA180" s="76"/>
      <c r="AB180" s="76"/>
      <c r="AC180" s="90" t="s">
        <v>91</v>
      </c>
      <c r="AD180" s="76" t="s">
        <v>91</v>
      </c>
      <c r="AE180" s="77"/>
      <c r="AF180" s="77"/>
      <c r="AG180" s="41" t="s">
        <v>91</v>
      </c>
      <c r="AH180" s="25"/>
      <c r="AI180" s="25"/>
      <c r="AJ180" s="42"/>
    </row>
    <row r="181" spans="1:36" ht="21" hidden="1" x14ac:dyDescent="0.55000000000000004">
      <c r="A181" s="44" t="str">
        <f>Data!K180</f>
        <v>Dentaquest</v>
      </c>
      <c r="B181" s="44" t="str">
        <f>Data!L180</f>
        <v>8004177140</v>
      </c>
      <c r="C181" s="44" t="str">
        <f>Data!D180</f>
        <v>Taborn- Bryant, Le`Nijah</v>
      </c>
      <c r="D181" s="82" t="str">
        <f>Data!F180</f>
        <v>719038165</v>
      </c>
      <c r="E181" s="82" t="str">
        <f>Data!B180</f>
        <v>963</v>
      </c>
      <c r="F181" s="44" t="str">
        <f>Data!A180</f>
        <v>Taborn- Bryant, Le`Nijah</v>
      </c>
      <c r="G181" s="55" t="str">
        <f>Data!C180</f>
        <v>5/14/2009</v>
      </c>
      <c r="H181" s="56">
        <f>Data!H180</f>
        <v>44617</v>
      </c>
      <c r="I181" s="56" t="str">
        <f>Data!I180</f>
        <v>3/11/2022</v>
      </c>
      <c r="J181" s="57">
        <f>Data!J180</f>
        <v>80.400000000000006</v>
      </c>
      <c r="K181" s="58">
        <f t="shared" ca="1" si="2"/>
        <v>69</v>
      </c>
      <c r="L181" s="58">
        <f>Data!M180</f>
        <v>0</v>
      </c>
      <c r="M181" s="37" t="s">
        <v>26</v>
      </c>
      <c r="N181" s="43" t="str">
        <f>VLOOKUP(M181,Table1[#All],3,FALSE)</f>
        <v>Note</v>
      </c>
      <c r="O181" s="40" t="str">
        <f>VLOOKUP(M181,Table1[#All],4,FALSE)</f>
        <v>Q1</v>
      </c>
      <c r="P181" s="39"/>
      <c r="Q181" s="40" t="str">
        <f>VLOOKUP(M181,Table1[#All],5,FALSE)</f>
        <v>Q2</v>
      </c>
      <c r="R181" s="79"/>
      <c r="S181" s="40" t="str">
        <f>VLOOKUP(M181,Table1[#All],6,FALSE)</f>
        <v>Q3</v>
      </c>
      <c r="T181" s="79"/>
      <c r="U181" s="40" t="str">
        <f>VLOOKUP(M181,Table1[#All],7,FALSE)</f>
        <v>Q4</v>
      </c>
      <c r="V181" s="79"/>
      <c r="W181" s="40" t="str">
        <f>VLOOKUP(M181,Table1[#All],8,FALSE)</f>
        <v>Q5</v>
      </c>
      <c r="X181" s="79"/>
      <c r="Y181" s="44" t="str">
        <f>VLOOKUP(M181,Table1[#All],2,FALSE)</f>
        <v>Action</v>
      </c>
      <c r="Z181" s="59" t="str">
        <f>VLOOKUP(M181,Table1[#All],9,FALSE)</f>
        <v>Additional Notes:</v>
      </c>
      <c r="AA181" s="76"/>
      <c r="AB181" s="76"/>
      <c r="AC181" s="90" t="s">
        <v>91</v>
      </c>
      <c r="AD181" s="76" t="s">
        <v>91</v>
      </c>
      <c r="AE181" s="77"/>
      <c r="AF181" s="77"/>
      <c r="AG181" s="41" t="s">
        <v>91</v>
      </c>
      <c r="AH181" s="25"/>
      <c r="AI181" s="25"/>
      <c r="AJ181" s="42"/>
    </row>
    <row r="182" spans="1:36" ht="21" hidden="1" x14ac:dyDescent="0.55000000000000004">
      <c r="A182" s="44" t="str">
        <f>Data!K181</f>
        <v>Dentaquest</v>
      </c>
      <c r="B182" s="44" t="str">
        <f>Data!L181</f>
        <v>8004177140</v>
      </c>
      <c r="C182" s="44" t="str">
        <f>Data!D181</f>
        <v>Moore, Keyon</v>
      </c>
      <c r="D182" s="82" t="str">
        <f>Data!F181</f>
        <v>4446736345</v>
      </c>
      <c r="E182" s="82" t="str">
        <f>Data!B181</f>
        <v>8875</v>
      </c>
      <c r="F182" s="44" t="str">
        <f>Data!A181</f>
        <v>Moore, Keyon</v>
      </c>
      <c r="G182" s="55" t="str">
        <f>Data!C181</f>
        <v>8/17/2014</v>
      </c>
      <c r="H182" s="56">
        <f>Data!H181</f>
        <v>44606</v>
      </c>
      <c r="I182" s="56" t="str">
        <f>Data!I181</f>
        <v>3/11/2022</v>
      </c>
      <c r="J182" s="57">
        <f>Data!J181</f>
        <v>100</v>
      </c>
      <c r="K182" s="58">
        <f t="shared" ca="1" si="2"/>
        <v>69</v>
      </c>
      <c r="L182" s="58">
        <f>Data!M181</f>
        <v>0</v>
      </c>
      <c r="M182" s="37" t="s">
        <v>26</v>
      </c>
      <c r="N182" s="43" t="str">
        <f>VLOOKUP(M182,Table1[#All],3,FALSE)</f>
        <v>Note</v>
      </c>
      <c r="O182" s="40" t="str">
        <f>VLOOKUP(M182,Table1[#All],4,FALSE)</f>
        <v>Q1</v>
      </c>
      <c r="P182" s="39"/>
      <c r="Q182" s="40" t="str">
        <f>VLOOKUP(M182,Table1[#All],5,FALSE)</f>
        <v>Q2</v>
      </c>
      <c r="R182" s="79"/>
      <c r="S182" s="40" t="str">
        <f>VLOOKUP(M182,Table1[#All],6,FALSE)</f>
        <v>Q3</v>
      </c>
      <c r="T182" s="79"/>
      <c r="U182" s="40" t="str">
        <f>VLOOKUP(M182,Table1[#All],7,FALSE)</f>
        <v>Q4</v>
      </c>
      <c r="V182" s="79"/>
      <c r="W182" s="40" t="str">
        <f>VLOOKUP(M182,Table1[#All],8,FALSE)</f>
        <v>Q5</v>
      </c>
      <c r="X182" s="79"/>
      <c r="Y182" s="44" t="str">
        <f>VLOOKUP(M182,Table1[#All],2,FALSE)</f>
        <v>Action</v>
      </c>
      <c r="Z182" s="59" t="str">
        <f>VLOOKUP(M182,Table1[#All],9,FALSE)</f>
        <v>Additional Notes:</v>
      </c>
      <c r="AA182" s="76"/>
      <c r="AB182" s="76"/>
      <c r="AC182" s="90" t="s">
        <v>91</v>
      </c>
      <c r="AD182" s="76" t="s">
        <v>91</v>
      </c>
      <c r="AE182" s="77"/>
      <c r="AF182" s="77"/>
      <c r="AG182" s="41" t="s">
        <v>91</v>
      </c>
      <c r="AH182" s="25"/>
      <c r="AI182" s="25"/>
      <c r="AJ182" s="42"/>
    </row>
    <row r="183" spans="1:36" ht="21" hidden="1" x14ac:dyDescent="0.55000000000000004">
      <c r="A183" s="44" t="str">
        <f>Data!K182</f>
        <v>Dentaquest</v>
      </c>
      <c r="B183" s="44" t="str">
        <f>Data!L182</f>
        <v>8004177140</v>
      </c>
      <c r="C183" s="44" t="str">
        <f>Data!D182</f>
        <v xml:space="preserve">MENDEZ, LANA </v>
      </c>
      <c r="D183" s="82" t="str">
        <f>Data!F182</f>
        <v>719036392</v>
      </c>
      <c r="E183" s="82" t="str">
        <f>Data!B182</f>
        <v>3381</v>
      </c>
      <c r="F183" s="44" t="str">
        <f>Data!A182</f>
        <v xml:space="preserve">MENDEZ, LANA </v>
      </c>
      <c r="G183" s="55" t="str">
        <f>Data!C182</f>
        <v>11/5/1977</v>
      </c>
      <c r="H183" s="56">
        <f>Data!H182</f>
        <v>44630</v>
      </c>
      <c r="I183" s="56" t="str">
        <f>Data!I182</f>
        <v>3/11/2022</v>
      </c>
      <c r="J183" s="57">
        <f>Data!J182</f>
        <v>1062</v>
      </c>
      <c r="K183" s="58">
        <f t="shared" ca="1" si="2"/>
        <v>69</v>
      </c>
      <c r="L183" s="58">
        <f>Data!M182</f>
        <v>0</v>
      </c>
      <c r="M183" s="37" t="s">
        <v>26</v>
      </c>
      <c r="N183" s="43" t="str">
        <f>VLOOKUP(M183,Table1[#All],3,FALSE)</f>
        <v>Note</v>
      </c>
      <c r="O183" s="40" t="str">
        <f>VLOOKUP(M183,Table1[#All],4,FALSE)</f>
        <v>Q1</v>
      </c>
      <c r="P183" s="39"/>
      <c r="Q183" s="40" t="str">
        <f>VLOOKUP(M183,Table1[#All],5,FALSE)</f>
        <v>Q2</v>
      </c>
      <c r="R183" s="79"/>
      <c r="S183" s="40" t="str">
        <f>VLOOKUP(M183,Table1[#All],6,FALSE)</f>
        <v>Q3</v>
      </c>
      <c r="T183" s="79"/>
      <c r="U183" s="40" t="str">
        <f>VLOOKUP(M183,Table1[#All],7,FALSE)</f>
        <v>Q4</v>
      </c>
      <c r="V183" s="79"/>
      <c r="W183" s="40" t="str">
        <f>VLOOKUP(M183,Table1[#All],8,FALSE)</f>
        <v>Q5</v>
      </c>
      <c r="X183" s="79"/>
      <c r="Y183" s="44" t="str">
        <f>VLOOKUP(M183,Table1[#All],2,FALSE)</f>
        <v>Action</v>
      </c>
      <c r="Z183" s="59" t="str">
        <f>VLOOKUP(M183,Table1[#All],9,FALSE)</f>
        <v>Additional Notes:</v>
      </c>
      <c r="AA183" s="76"/>
      <c r="AB183" s="76"/>
      <c r="AC183" s="90" t="s">
        <v>91</v>
      </c>
      <c r="AD183" s="76" t="s">
        <v>91</v>
      </c>
      <c r="AE183" s="77"/>
      <c r="AF183" s="77"/>
      <c r="AG183" s="41" t="s">
        <v>91</v>
      </c>
      <c r="AH183" s="25"/>
      <c r="AI183" s="25"/>
      <c r="AJ183" s="42"/>
    </row>
    <row r="184" spans="1:36" ht="21" hidden="1" x14ac:dyDescent="0.55000000000000004">
      <c r="A184" s="44" t="str">
        <f>Data!K183</f>
        <v>Dentaquest</v>
      </c>
      <c r="B184" s="44" t="str">
        <f>Data!L183</f>
        <v>8004177140</v>
      </c>
      <c r="C184" s="44" t="str">
        <f>Data!D183</f>
        <v xml:space="preserve">Dawson, Tacara </v>
      </c>
      <c r="D184" s="82" t="str">
        <f>Data!F183</f>
        <v>4404718748</v>
      </c>
      <c r="E184" s="82" t="str">
        <f>Data!B183</f>
        <v>7002</v>
      </c>
      <c r="F184" s="44" t="str">
        <f>Data!A183</f>
        <v xml:space="preserve">Dawson, Tacara </v>
      </c>
      <c r="G184" s="55" t="str">
        <f>Data!C183</f>
        <v>2/10/1989</v>
      </c>
      <c r="H184" s="56">
        <f>Data!H183</f>
        <v>44613</v>
      </c>
      <c r="I184" s="56" t="str">
        <f>Data!I183</f>
        <v>3/9/2022</v>
      </c>
      <c r="J184" s="57">
        <f>Data!J183</f>
        <v>61.2</v>
      </c>
      <c r="K184" s="58">
        <f t="shared" ca="1" si="2"/>
        <v>71</v>
      </c>
      <c r="L184" s="58">
        <f>Data!M183</f>
        <v>0</v>
      </c>
      <c r="M184" s="37" t="s">
        <v>26</v>
      </c>
      <c r="N184" s="43" t="str">
        <f>VLOOKUP(M184,Table1[#All],3,FALSE)</f>
        <v>Note</v>
      </c>
      <c r="O184" s="40" t="str">
        <f>VLOOKUP(M184,Table1[#All],4,FALSE)</f>
        <v>Q1</v>
      </c>
      <c r="P184" s="39"/>
      <c r="Q184" s="40" t="str">
        <f>VLOOKUP(M184,Table1[#All],5,FALSE)</f>
        <v>Q2</v>
      </c>
      <c r="R184" s="79"/>
      <c r="S184" s="40" t="str">
        <f>VLOOKUP(M184,Table1[#All],6,FALSE)</f>
        <v>Q3</v>
      </c>
      <c r="T184" s="79"/>
      <c r="U184" s="40" t="str">
        <f>VLOOKUP(M184,Table1[#All],7,FALSE)</f>
        <v>Q4</v>
      </c>
      <c r="V184" s="79"/>
      <c r="W184" s="40" t="str">
        <f>VLOOKUP(M184,Table1[#All],8,FALSE)</f>
        <v>Q5</v>
      </c>
      <c r="X184" s="79"/>
      <c r="Y184" s="44" t="str">
        <f>VLOOKUP(M184,Table1[#All],2,FALSE)</f>
        <v>Action</v>
      </c>
      <c r="Z184" s="59" t="str">
        <f>VLOOKUP(M184,Table1[#All],9,FALSE)</f>
        <v>Additional Notes:</v>
      </c>
      <c r="AA184" s="76"/>
      <c r="AB184" s="76"/>
      <c r="AC184" s="90" t="s">
        <v>91</v>
      </c>
      <c r="AD184" s="76" t="s">
        <v>91</v>
      </c>
      <c r="AE184" s="77"/>
      <c r="AF184" s="77"/>
      <c r="AG184" s="41" t="s">
        <v>91</v>
      </c>
      <c r="AH184" s="25"/>
      <c r="AI184" s="25"/>
      <c r="AJ184" s="42"/>
    </row>
    <row r="185" spans="1:36" ht="21" hidden="1" x14ac:dyDescent="0.55000000000000004">
      <c r="A185" s="44" t="str">
        <f>Data!K184</f>
        <v>Dentaquest</v>
      </c>
      <c r="B185" s="44" t="str">
        <f>Data!L184</f>
        <v>8004177140</v>
      </c>
      <c r="C185" s="44" t="str">
        <f>Data!D184</f>
        <v>Brown, Catalina</v>
      </c>
      <c r="D185" s="82" t="str">
        <f>Data!F184</f>
        <v>1446967913</v>
      </c>
      <c r="E185" s="82" t="str">
        <f>Data!B184</f>
        <v>9057</v>
      </c>
      <c r="F185" s="44" t="str">
        <f>Data!A184</f>
        <v>Brown, Catalina</v>
      </c>
      <c r="G185" s="55" t="str">
        <f>Data!C184</f>
        <v>8/26/2014</v>
      </c>
      <c r="H185" s="56">
        <f>Data!H184</f>
        <v>44602</v>
      </c>
      <c r="I185" s="56" t="str">
        <f>Data!I184</f>
        <v>3/9/2022</v>
      </c>
      <c r="J185" s="57">
        <f>Data!J184</f>
        <v>100</v>
      </c>
      <c r="K185" s="58">
        <f t="shared" ca="1" si="2"/>
        <v>71</v>
      </c>
      <c r="L185" s="58">
        <f>Data!M184</f>
        <v>0</v>
      </c>
      <c r="M185" s="37" t="s">
        <v>26</v>
      </c>
      <c r="N185" s="43" t="str">
        <f>VLOOKUP(M185,Table1[#All],3,FALSE)</f>
        <v>Note</v>
      </c>
      <c r="O185" s="40" t="str">
        <f>VLOOKUP(M185,Table1[#All],4,FALSE)</f>
        <v>Q1</v>
      </c>
      <c r="P185" s="39"/>
      <c r="Q185" s="40" t="str">
        <f>VLOOKUP(M185,Table1[#All],5,FALSE)</f>
        <v>Q2</v>
      </c>
      <c r="R185" s="79"/>
      <c r="S185" s="40" t="str">
        <f>VLOOKUP(M185,Table1[#All],6,FALSE)</f>
        <v>Q3</v>
      </c>
      <c r="T185" s="79"/>
      <c r="U185" s="40" t="str">
        <f>VLOOKUP(M185,Table1[#All],7,FALSE)</f>
        <v>Q4</v>
      </c>
      <c r="V185" s="79"/>
      <c r="W185" s="40" t="str">
        <f>VLOOKUP(M185,Table1[#All],8,FALSE)</f>
        <v>Q5</v>
      </c>
      <c r="X185" s="79"/>
      <c r="Y185" s="44" t="str">
        <f>VLOOKUP(M185,Table1[#All],2,FALSE)</f>
        <v>Action</v>
      </c>
      <c r="Z185" s="59" t="str">
        <f>VLOOKUP(M185,Table1[#All],9,FALSE)</f>
        <v>Additional Notes:</v>
      </c>
      <c r="AA185" s="76"/>
      <c r="AB185" s="76"/>
      <c r="AC185" s="90" t="s">
        <v>91</v>
      </c>
      <c r="AD185" s="76" t="s">
        <v>91</v>
      </c>
      <c r="AE185" s="77"/>
      <c r="AF185" s="77"/>
      <c r="AG185" s="41" t="s">
        <v>91</v>
      </c>
      <c r="AH185" s="25"/>
      <c r="AI185" s="25"/>
      <c r="AJ185" s="42"/>
    </row>
    <row r="186" spans="1:36" ht="21" hidden="1" x14ac:dyDescent="0.55000000000000004">
      <c r="A186" s="44" t="str">
        <f>Data!K185</f>
        <v>Dentaquest</v>
      </c>
      <c r="B186" s="44" t="str">
        <f>Data!L185</f>
        <v>8004177140</v>
      </c>
      <c r="C186" s="44" t="str">
        <f>Data!D185</f>
        <v xml:space="preserve">MENDEZ, LANA </v>
      </c>
      <c r="D186" s="82" t="str">
        <f>Data!F185</f>
        <v>719036392</v>
      </c>
      <c r="E186" s="82" t="str">
        <f>Data!B185</f>
        <v>3381</v>
      </c>
      <c r="F186" s="44" t="str">
        <f>Data!A185</f>
        <v xml:space="preserve">MENDEZ, LANA </v>
      </c>
      <c r="G186" s="55" t="str">
        <f>Data!C185</f>
        <v>11/5/1977</v>
      </c>
      <c r="H186" s="56">
        <f>Data!H185</f>
        <v>44608</v>
      </c>
      <c r="I186" s="56" t="str">
        <f>Data!I185</f>
        <v>3/9/2022</v>
      </c>
      <c r="J186" s="57">
        <f>Data!J185</f>
        <v>61.2</v>
      </c>
      <c r="K186" s="58">
        <f t="shared" ca="1" si="2"/>
        <v>71</v>
      </c>
      <c r="L186" s="58">
        <f>Data!M185</f>
        <v>0</v>
      </c>
      <c r="M186" s="37" t="s">
        <v>26</v>
      </c>
      <c r="N186" s="43" t="str">
        <f>VLOOKUP(M186,Table1[#All],3,FALSE)</f>
        <v>Note</v>
      </c>
      <c r="O186" s="40" t="str">
        <f>VLOOKUP(M186,Table1[#All],4,FALSE)</f>
        <v>Q1</v>
      </c>
      <c r="P186" s="39"/>
      <c r="Q186" s="40" t="str">
        <f>VLOOKUP(M186,Table1[#All],5,FALSE)</f>
        <v>Q2</v>
      </c>
      <c r="R186" s="79"/>
      <c r="S186" s="40" t="str">
        <f>VLOOKUP(M186,Table1[#All],6,FALSE)</f>
        <v>Q3</v>
      </c>
      <c r="T186" s="79"/>
      <c r="U186" s="40" t="str">
        <f>VLOOKUP(M186,Table1[#All],7,FALSE)</f>
        <v>Q4</v>
      </c>
      <c r="V186" s="79"/>
      <c r="W186" s="40" t="str">
        <f>VLOOKUP(M186,Table1[#All],8,FALSE)</f>
        <v>Q5</v>
      </c>
      <c r="X186" s="79"/>
      <c r="Y186" s="44" t="str">
        <f>VLOOKUP(M186,Table1[#All],2,FALSE)</f>
        <v>Action</v>
      </c>
      <c r="Z186" s="59" t="str">
        <f>VLOOKUP(M186,Table1[#All],9,FALSE)</f>
        <v>Additional Notes:</v>
      </c>
      <c r="AA186" s="76"/>
      <c r="AB186" s="76"/>
      <c r="AC186" s="90" t="s">
        <v>91</v>
      </c>
      <c r="AD186" s="76" t="s">
        <v>91</v>
      </c>
      <c r="AE186" s="77"/>
      <c r="AF186" s="77"/>
      <c r="AG186" s="41" t="s">
        <v>91</v>
      </c>
      <c r="AH186" s="25"/>
      <c r="AI186" s="25"/>
      <c r="AJ186" s="42"/>
    </row>
    <row r="187" spans="1:36" ht="21" hidden="1" x14ac:dyDescent="0.55000000000000004">
      <c r="A187" s="44" t="str">
        <f>Data!K186</f>
        <v>Dentaquest</v>
      </c>
      <c r="B187" s="44" t="str">
        <f>Data!L186</f>
        <v>8004177140</v>
      </c>
      <c r="C187" s="44" t="str">
        <f>Data!D186</f>
        <v>Chisem, Javon</v>
      </c>
      <c r="D187" s="82" t="str">
        <f>Data!F186</f>
        <v>719855286</v>
      </c>
      <c r="E187" s="82" t="str">
        <f>Data!B186</f>
        <v>2435</v>
      </c>
      <c r="F187" s="44" t="str">
        <f>Data!A186</f>
        <v>Chisem, Javon</v>
      </c>
      <c r="G187" s="55" t="str">
        <f>Data!C186</f>
        <v>10/4/2014</v>
      </c>
      <c r="H187" s="56">
        <f>Data!H186</f>
        <v>44610</v>
      </c>
      <c r="I187" s="56" t="str">
        <f>Data!I186</f>
        <v>3/9/2022</v>
      </c>
      <c r="J187" s="57">
        <f>Data!J186</f>
        <v>61.2</v>
      </c>
      <c r="K187" s="58">
        <f t="shared" ca="1" si="2"/>
        <v>71</v>
      </c>
      <c r="L187" s="58">
        <f>Data!M186</f>
        <v>0</v>
      </c>
      <c r="M187" s="37" t="s">
        <v>26</v>
      </c>
      <c r="N187" s="43" t="str">
        <f>VLOOKUP(M187,Table1[#All],3,FALSE)</f>
        <v>Note</v>
      </c>
      <c r="O187" s="40" t="str">
        <f>VLOOKUP(M187,Table1[#All],4,FALSE)</f>
        <v>Q1</v>
      </c>
      <c r="P187" s="39"/>
      <c r="Q187" s="40" t="str">
        <f>VLOOKUP(M187,Table1[#All],5,FALSE)</f>
        <v>Q2</v>
      </c>
      <c r="R187" s="79"/>
      <c r="S187" s="40" t="str">
        <f>VLOOKUP(M187,Table1[#All],6,FALSE)</f>
        <v>Q3</v>
      </c>
      <c r="T187" s="79"/>
      <c r="U187" s="40" t="str">
        <f>VLOOKUP(M187,Table1[#All],7,FALSE)</f>
        <v>Q4</v>
      </c>
      <c r="V187" s="79"/>
      <c r="W187" s="40" t="str">
        <f>VLOOKUP(M187,Table1[#All],8,FALSE)</f>
        <v>Q5</v>
      </c>
      <c r="X187" s="79"/>
      <c r="Y187" s="44" t="str">
        <f>VLOOKUP(M187,Table1[#All],2,FALSE)</f>
        <v>Action</v>
      </c>
      <c r="Z187" s="59" t="str">
        <f>VLOOKUP(M187,Table1[#All],9,FALSE)</f>
        <v>Additional Notes:</v>
      </c>
      <c r="AA187" s="76"/>
      <c r="AB187" s="76"/>
      <c r="AC187" s="90" t="s">
        <v>91</v>
      </c>
      <c r="AD187" s="76" t="s">
        <v>91</v>
      </c>
      <c r="AE187" s="77"/>
      <c r="AF187" s="77"/>
      <c r="AG187" s="41" t="s">
        <v>91</v>
      </c>
      <c r="AH187" s="25"/>
      <c r="AI187" s="25"/>
      <c r="AJ187" s="42"/>
    </row>
    <row r="188" spans="1:36" ht="21" hidden="1" x14ac:dyDescent="0.55000000000000004">
      <c r="A188" s="44" t="str">
        <f>Data!K187</f>
        <v>Dentaquest</v>
      </c>
      <c r="B188" s="44" t="str">
        <f>Data!L187</f>
        <v>8004177140</v>
      </c>
      <c r="C188" s="44" t="str">
        <f>Data!D187</f>
        <v xml:space="preserve">Carnegie , Mae </v>
      </c>
      <c r="D188" s="82" t="str">
        <f>Data!F187</f>
        <v>730339481</v>
      </c>
      <c r="E188" s="82" t="str">
        <f>Data!B187</f>
        <v>5743</v>
      </c>
      <c r="F188" s="44" t="str">
        <f>Data!A187</f>
        <v xml:space="preserve">Carnegie , Mae </v>
      </c>
      <c r="G188" s="55" t="str">
        <f>Data!C187</f>
        <v>11/18/1956</v>
      </c>
      <c r="H188" s="56">
        <f>Data!H187</f>
        <v>44621</v>
      </c>
      <c r="I188" s="56" t="str">
        <f>Data!I187</f>
        <v>3/1/2022</v>
      </c>
      <c r="J188" s="57">
        <f>Data!J187</f>
        <v>1482</v>
      </c>
      <c r="K188" s="58">
        <f t="shared" ca="1" si="2"/>
        <v>79</v>
      </c>
      <c r="L188" s="58">
        <f>Data!M187</f>
        <v>0</v>
      </c>
      <c r="M188" s="37" t="s">
        <v>26</v>
      </c>
      <c r="N188" s="43" t="str">
        <f>VLOOKUP(M188,Table1[#All],3,FALSE)</f>
        <v>Note</v>
      </c>
      <c r="O188" s="40" t="str">
        <f>VLOOKUP(M188,Table1[#All],4,FALSE)</f>
        <v>Q1</v>
      </c>
      <c r="P188" s="39"/>
      <c r="Q188" s="40" t="str">
        <f>VLOOKUP(M188,Table1[#All],5,FALSE)</f>
        <v>Q2</v>
      </c>
      <c r="R188" s="79"/>
      <c r="S188" s="40" t="str">
        <f>VLOOKUP(M188,Table1[#All],6,FALSE)</f>
        <v>Q3</v>
      </c>
      <c r="T188" s="79"/>
      <c r="U188" s="40" t="str">
        <f>VLOOKUP(M188,Table1[#All],7,FALSE)</f>
        <v>Q4</v>
      </c>
      <c r="V188" s="79"/>
      <c r="W188" s="40" t="str">
        <f>VLOOKUP(M188,Table1[#All],8,FALSE)</f>
        <v>Q5</v>
      </c>
      <c r="X188" s="79"/>
      <c r="Y188" s="44" t="str">
        <f>VLOOKUP(M188,Table1[#All],2,FALSE)</f>
        <v>Action</v>
      </c>
      <c r="Z188" s="59" t="str">
        <f>VLOOKUP(M188,Table1[#All],9,FALSE)</f>
        <v>Additional Notes:</v>
      </c>
      <c r="AA188" s="76"/>
      <c r="AB188" s="76"/>
      <c r="AC188" s="90" t="s">
        <v>91</v>
      </c>
      <c r="AD188" s="76" t="s">
        <v>91</v>
      </c>
      <c r="AE188" s="77"/>
      <c r="AF188" s="77"/>
      <c r="AG188" s="41" t="s">
        <v>91</v>
      </c>
      <c r="AH188" s="25"/>
      <c r="AI188" s="25"/>
      <c r="AJ188" s="42"/>
    </row>
    <row r="189" spans="1:36" ht="21" hidden="1" x14ac:dyDescent="0.55000000000000004">
      <c r="A189" s="44" t="str">
        <f>Data!K188</f>
        <v>Dentaquest</v>
      </c>
      <c r="B189" s="44" t="str">
        <f>Data!L188</f>
        <v>8004177140</v>
      </c>
      <c r="C189" s="44" t="str">
        <f>Data!D188</f>
        <v xml:space="preserve">Williams, Shakyra </v>
      </c>
      <c r="D189" s="82" t="str">
        <f>Data!F188</f>
        <v>7414471071</v>
      </c>
      <c r="E189" s="82" t="str">
        <f>Data!B188</f>
        <v>9050</v>
      </c>
      <c r="F189" s="44" t="str">
        <f>Data!A188</f>
        <v xml:space="preserve">Williams, Shakyra </v>
      </c>
      <c r="G189" s="55" t="str">
        <f>Data!C188</f>
        <v>6/16/1986</v>
      </c>
      <c r="H189" s="56">
        <f>Data!H188</f>
        <v>44621</v>
      </c>
      <c r="I189" s="56" t="str">
        <f>Data!I188</f>
        <v>3/2/2022</v>
      </c>
      <c r="J189" s="57">
        <f>Data!J188</f>
        <v>162</v>
      </c>
      <c r="K189" s="58">
        <f t="shared" ca="1" si="2"/>
        <v>78</v>
      </c>
      <c r="L189" s="58">
        <f>Data!M188</f>
        <v>0</v>
      </c>
      <c r="M189" s="37" t="s">
        <v>26</v>
      </c>
      <c r="N189" s="43" t="str">
        <f>VLOOKUP(M189,Table1[#All],3,FALSE)</f>
        <v>Note</v>
      </c>
      <c r="O189" s="40" t="str">
        <f>VLOOKUP(M189,Table1[#All],4,FALSE)</f>
        <v>Q1</v>
      </c>
      <c r="P189" s="39"/>
      <c r="Q189" s="40" t="str">
        <f>VLOOKUP(M189,Table1[#All],5,FALSE)</f>
        <v>Q2</v>
      </c>
      <c r="R189" s="79"/>
      <c r="S189" s="40" t="str">
        <f>VLOOKUP(M189,Table1[#All],6,FALSE)</f>
        <v>Q3</v>
      </c>
      <c r="T189" s="79"/>
      <c r="U189" s="40" t="str">
        <f>VLOOKUP(M189,Table1[#All],7,FALSE)</f>
        <v>Q4</v>
      </c>
      <c r="V189" s="79"/>
      <c r="W189" s="40" t="str">
        <f>VLOOKUP(M189,Table1[#All],8,FALSE)</f>
        <v>Q5</v>
      </c>
      <c r="X189" s="79"/>
      <c r="Y189" s="44" t="str">
        <f>VLOOKUP(M189,Table1[#All],2,FALSE)</f>
        <v>Action</v>
      </c>
      <c r="Z189" s="59" t="str">
        <f>VLOOKUP(M189,Table1[#All],9,FALSE)</f>
        <v>Additional Notes:</v>
      </c>
      <c r="AA189" s="76"/>
      <c r="AB189" s="76"/>
      <c r="AC189" s="90" t="s">
        <v>91</v>
      </c>
      <c r="AD189" s="76" t="s">
        <v>91</v>
      </c>
      <c r="AE189" s="77"/>
      <c r="AF189" s="77"/>
      <c r="AG189" s="41" t="s">
        <v>91</v>
      </c>
      <c r="AH189" s="25"/>
      <c r="AI189" s="25"/>
      <c r="AJ189" s="42"/>
    </row>
    <row r="190" spans="1:36" ht="21" hidden="1" x14ac:dyDescent="0.55000000000000004">
      <c r="A190" s="44" t="str">
        <f>Data!K189</f>
        <v>Dentaquest</v>
      </c>
      <c r="B190" s="44" t="str">
        <f>Data!L189</f>
        <v>8004177140</v>
      </c>
      <c r="C190" s="44" t="str">
        <f>Data!D189</f>
        <v>DIAZ, ZAIDA</v>
      </c>
      <c r="D190" s="82" t="str">
        <f>Data!F189</f>
        <v>721527852</v>
      </c>
      <c r="E190" s="82" t="str">
        <f>Data!B189</f>
        <v>3498</v>
      </c>
      <c r="F190" s="44" t="str">
        <f>Data!A189</f>
        <v>DIAZ, ZAIDA</v>
      </c>
      <c r="G190" s="55" t="str">
        <f>Data!C189</f>
        <v>10/14/2015</v>
      </c>
      <c r="H190" s="56">
        <f>Data!H189</f>
        <v>44603</v>
      </c>
      <c r="I190" s="56" t="str">
        <f>Data!I189</f>
        <v>2/24/2022</v>
      </c>
      <c r="J190" s="57">
        <f>Data!J189</f>
        <v>100</v>
      </c>
      <c r="K190" s="58">
        <f t="shared" ca="1" si="2"/>
        <v>84</v>
      </c>
      <c r="L190" s="58">
        <f>Data!M189</f>
        <v>0</v>
      </c>
      <c r="M190" s="37" t="s">
        <v>26</v>
      </c>
      <c r="N190" s="43" t="str">
        <f>VLOOKUP(M190,Table1[#All],3,FALSE)</f>
        <v>Note</v>
      </c>
      <c r="O190" s="40" t="str">
        <f>VLOOKUP(M190,Table1[#All],4,FALSE)</f>
        <v>Q1</v>
      </c>
      <c r="P190" s="39"/>
      <c r="Q190" s="40" t="str">
        <f>VLOOKUP(M190,Table1[#All],5,FALSE)</f>
        <v>Q2</v>
      </c>
      <c r="R190" s="79"/>
      <c r="S190" s="40" t="str">
        <f>VLOOKUP(M190,Table1[#All],6,FALSE)</f>
        <v>Q3</v>
      </c>
      <c r="T190" s="79"/>
      <c r="U190" s="40" t="str">
        <f>VLOOKUP(M190,Table1[#All],7,FALSE)</f>
        <v>Q4</v>
      </c>
      <c r="V190" s="79"/>
      <c r="W190" s="40" t="str">
        <f>VLOOKUP(M190,Table1[#All],8,FALSE)</f>
        <v>Q5</v>
      </c>
      <c r="X190" s="79"/>
      <c r="Y190" s="44" t="str">
        <f>VLOOKUP(M190,Table1[#All],2,FALSE)</f>
        <v>Action</v>
      </c>
      <c r="Z190" s="59" t="str">
        <f>VLOOKUP(M190,Table1[#All],9,FALSE)</f>
        <v>Additional Notes:</v>
      </c>
      <c r="AA190" s="76"/>
      <c r="AB190" s="76"/>
      <c r="AC190" s="90" t="s">
        <v>91</v>
      </c>
      <c r="AD190" s="76" t="s">
        <v>91</v>
      </c>
      <c r="AE190" s="77"/>
      <c r="AF190" s="77"/>
      <c r="AG190" s="41" t="s">
        <v>91</v>
      </c>
      <c r="AH190" s="25"/>
      <c r="AI190" s="25"/>
      <c r="AJ190" s="42"/>
    </row>
    <row r="191" spans="1:36" ht="19.899999999999999" hidden="1" customHeight="1" x14ac:dyDescent="0.55000000000000004">
      <c r="A191" s="44" t="str">
        <f>Data!K190</f>
        <v>Dentaquest</v>
      </c>
      <c r="B191" s="44" t="str">
        <f>Data!L190</f>
        <v>8004177140</v>
      </c>
      <c r="C191" s="44" t="str">
        <f>Data!D190</f>
        <v>Mclaughlin, Bradley</v>
      </c>
      <c r="D191" s="82" t="str">
        <f>Data!F190</f>
        <v>720828138</v>
      </c>
      <c r="E191" s="82" t="str">
        <f>Data!B190</f>
        <v>148</v>
      </c>
      <c r="F191" s="44" t="str">
        <f>Data!A190</f>
        <v>Mclaughlin, Bradley</v>
      </c>
      <c r="G191" s="55" t="str">
        <f>Data!C190</f>
        <v>11/7/1963</v>
      </c>
      <c r="H191" s="56">
        <f>Data!H190</f>
        <v>44607</v>
      </c>
      <c r="I191" s="56" t="str">
        <f>Data!I190</f>
        <v>2/15/2022</v>
      </c>
      <c r="J191" s="57">
        <f>Data!J190</f>
        <v>480</v>
      </c>
      <c r="K191" s="58">
        <f t="shared" ca="1" si="2"/>
        <v>93</v>
      </c>
      <c r="L191" s="58">
        <f>Data!M190</f>
        <v>0</v>
      </c>
      <c r="M191" s="37" t="s">
        <v>26</v>
      </c>
      <c r="N191" s="43" t="str">
        <f>VLOOKUP(M191,Table1[#All],3,FALSE)</f>
        <v>Note</v>
      </c>
      <c r="O191" s="40" t="str">
        <f>VLOOKUP(M191,Table1[#All],4,FALSE)</f>
        <v>Q1</v>
      </c>
      <c r="P191" s="39"/>
      <c r="Q191" s="40" t="str">
        <f>VLOOKUP(M191,Table1[#All],5,FALSE)</f>
        <v>Q2</v>
      </c>
      <c r="R191" s="79"/>
      <c r="S191" s="40" t="str">
        <f>VLOOKUP(M191,Table1[#All],6,FALSE)</f>
        <v>Q3</v>
      </c>
      <c r="T191" s="79"/>
      <c r="U191" s="40" t="str">
        <f>VLOOKUP(M191,Table1[#All],7,FALSE)</f>
        <v>Q4</v>
      </c>
      <c r="V191" s="79"/>
      <c r="W191" s="40" t="str">
        <f>VLOOKUP(M191,Table1[#All],8,FALSE)</f>
        <v>Q5</v>
      </c>
      <c r="X191" s="79"/>
      <c r="Y191" s="44" t="str">
        <f>VLOOKUP(M191,Table1[#All],2,FALSE)</f>
        <v>Action</v>
      </c>
      <c r="Z191" s="59" t="str">
        <f>VLOOKUP(M191,Table1[#All],9,FALSE)</f>
        <v>Additional Notes:</v>
      </c>
      <c r="AA191" s="76"/>
      <c r="AB191" s="76"/>
      <c r="AC191" s="90" t="s">
        <v>91</v>
      </c>
      <c r="AD191" s="76" t="s">
        <v>91</v>
      </c>
      <c r="AE191" s="77"/>
      <c r="AF191" s="77"/>
      <c r="AG191" s="41" t="s">
        <v>91</v>
      </c>
      <c r="AH191" s="25"/>
      <c r="AI191" s="25"/>
      <c r="AJ191" s="42"/>
    </row>
    <row r="192" spans="1:36" ht="21" hidden="1" x14ac:dyDescent="0.55000000000000004">
      <c r="A192" s="44" t="str">
        <f>Data!K191</f>
        <v>Dentaquest</v>
      </c>
      <c r="B192" s="44" t="str">
        <f>Data!L191</f>
        <v>8004177140</v>
      </c>
      <c r="C192" s="44" t="str">
        <f>Data!D191</f>
        <v xml:space="preserve">Dagostino , Sophia </v>
      </c>
      <c r="D192" s="82" t="str">
        <f>Data!F191</f>
        <v>725098123</v>
      </c>
      <c r="E192" s="82" t="str">
        <f>Data!B191</f>
        <v>8979</v>
      </c>
      <c r="F192" s="44" t="str">
        <f>Data!A191</f>
        <v xml:space="preserve">Dagostino , Sophia </v>
      </c>
      <c r="G192" s="55" t="str">
        <f>Data!C191</f>
        <v>12/9/1989</v>
      </c>
      <c r="H192" s="56">
        <f>Data!H191</f>
        <v>44603</v>
      </c>
      <c r="I192" s="56" t="str">
        <f>Data!I191</f>
        <v>2/15/2022</v>
      </c>
      <c r="J192" s="57">
        <f>Data!J191</f>
        <v>332.4</v>
      </c>
      <c r="K192" s="58">
        <f t="shared" ca="1" si="2"/>
        <v>93</v>
      </c>
      <c r="L192" s="58">
        <f>Data!M191</f>
        <v>0</v>
      </c>
      <c r="M192" s="37" t="s">
        <v>26</v>
      </c>
      <c r="N192" s="43" t="str">
        <f>VLOOKUP(M192,Table1[#All],3,FALSE)</f>
        <v>Note</v>
      </c>
      <c r="O192" s="40" t="str">
        <f>VLOOKUP(M192,Table1[#All],4,FALSE)</f>
        <v>Q1</v>
      </c>
      <c r="P192" s="39"/>
      <c r="Q192" s="40" t="str">
        <f>VLOOKUP(M192,Table1[#All],5,FALSE)</f>
        <v>Q2</v>
      </c>
      <c r="R192" s="79"/>
      <c r="S192" s="40" t="str">
        <f>VLOOKUP(M192,Table1[#All],6,FALSE)</f>
        <v>Q3</v>
      </c>
      <c r="T192" s="79"/>
      <c r="U192" s="40" t="str">
        <f>VLOOKUP(M192,Table1[#All],7,FALSE)</f>
        <v>Q4</v>
      </c>
      <c r="V192" s="79"/>
      <c r="W192" s="40" t="str">
        <f>VLOOKUP(M192,Table1[#All],8,FALSE)</f>
        <v>Q5</v>
      </c>
      <c r="X192" s="79"/>
      <c r="Y192" s="44" t="str">
        <f>VLOOKUP(M192,Table1[#All],2,FALSE)</f>
        <v>Action</v>
      </c>
      <c r="Z192" s="59" t="str">
        <f>VLOOKUP(M192,Table1[#All],9,FALSE)</f>
        <v>Additional Notes:</v>
      </c>
      <c r="AA192" s="76"/>
      <c r="AB192" s="76"/>
      <c r="AC192" s="90" t="s">
        <v>91</v>
      </c>
      <c r="AD192" s="76" t="s">
        <v>91</v>
      </c>
      <c r="AE192" s="77"/>
      <c r="AF192" s="77"/>
      <c r="AG192" s="41" t="s">
        <v>91</v>
      </c>
    </row>
    <row r="193" spans="1:33" ht="42" hidden="1" x14ac:dyDescent="0.55000000000000004">
      <c r="A193" s="44" t="str">
        <f>Data!K192</f>
        <v>Dentaquest</v>
      </c>
      <c r="B193" s="44" t="str">
        <f>Data!L192</f>
        <v>8004177140</v>
      </c>
      <c r="C193" s="44" t="str">
        <f>Data!D192</f>
        <v xml:space="preserve">Donson , Jaivion </v>
      </c>
      <c r="D193" s="82" t="str">
        <f>Data!F192</f>
        <v>723155665</v>
      </c>
      <c r="E193" s="82" t="str">
        <f>Data!B192</f>
        <v>8054</v>
      </c>
      <c r="F193" s="44" t="str">
        <f>Data!A192</f>
        <v xml:space="preserve">Donson , Jaivion </v>
      </c>
      <c r="G193" s="55" t="str">
        <f>Data!C192</f>
        <v>11/17/2016</v>
      </c>
      <c r="H193" s="56">
        <f>Data!H192</f>
        <v>44566</v>
      </c>
      <c r="I193" s="56" t="str">
        <f>Data!I192</f>
        <v>2/4/2022</v>
      </c>
      <c r="J193" s="57">
        <f>Data!J192</f>
        <v>100</v>
      </c>
      <c r="K193" s="58">
        <f t="shared" ca="1" si="2"/>
        <v>104</v>
      </c>
      <c r="L193" s="58">
        <f>Data!M192</f>
        <v>0</v>
      </c>
      <c r="M193" s="37" t="s">
        <v>20</v>
      </c>
      <c r="N193" s="43" t="str">
        <f>VLOOKUP(M193,Table1[#All],3,FALSE)</f>
        <v>Ins needs more info, need to submit;</v>
      </c>
      <c r="O193" s="40" t="str">
        <f>VLOOKUP(M193,Table1[#All],4,FALSE)</f>
        <v>Attachments/Info needed?</v>
      </c>
      <c r="P193" s="39" t="s">
        <v>4081</v>
      </c>
      <c r="Q193" s="40" t="str">
        <f>VLOOKUP(M193,Table1[#All],5,FALSE)</f>
        <v>Fax # (If Fax Yes):</v>
      </c>
      <c r="R193" s="79">
        <v>2628343589</v>
      </c>
      <c r="S193" s="40" t="str">
        <f>VLOOKUP(M193,Table1[#All],6,FALSE)</f>
        <v>Call Ref#:</v>
      </c>
      <c r="T193" s="121" t="s">
        <v>4172</v>
      </c>
      <c r="U193" s="40" t="str">
        <f>VLOOKUP(M193,Table1[#All],7,FALSE)</f>
        <v>Cust Rep:</v>
      </c>
      <c r="V193" s="79" t="s">
        <v>4173</v>
      </c>
      <c r="W193" s="40">
        <f>VLOOKUP(M193,Table1[#All],8,FALSE)</f>
        <v>0</v>
      </c>
      <c r="X193" s="79"/>
      <c r="Y193" s="44" t="str">
        <f>VLOOKUP(M193,Table1[#All],2,FALSE)</f>
        <v xml:space="preserve">Task Sub Pending Claims Queue </v>
      </c>
      <c r="Z193" s="59" t="str">
        <f>VLOOKUP(M193,Table1[#All],9,FALSE)</f>
        <v>Additional Notes:</v>
      </c>
      <c r="AA193" s="76" t="s">
        <v>4211</v>
      </c>
      <c r="AB193" s="76" t="s">
        <v>3697</v>
      </c>
      <c r="AC193" s="90" t="s">
        <v>115</v>
      </c>
      <c r="AD193" s="76" t="s">
        <v>177</v>
      </c>
      <c r="AE193" s="77" t="s">
        <v>3770</v>
      </c>
      <c r="AF193" s="110">
        <v>44687</v>
      </c>
      <c r="AG193" s="41" t="s">
        <v>101</v>
      </c>
    </row>
    <row r="194" spans="1:33" ht="42" hidden="1" x14ac:dyDescent="0.55000000000000004">
      <c r="A194" s="44" t="str">
        <f>Data!K193</f>
        <v>Dentaquest</v>
      </c>
      <c r="B194" s="44" t="str">
        <f>Data!L193</f>
        <v>8004177140</v>
      </c>
      <c r="C194" s="44" t="str">
        <f>Data!D193</f>
        <v>Canday, Skylah</v>
      </c>
      <c r="D194" s="82" t="str">
        <f>Data!F193</f>
        <v>723651921</v>
      </c>
      <c r="E194" s="82" t="str">
        <f>Data!B193</f>
        <v>7671</v>
      </c>
      <c r="F194" s="44" t="str">
        <f>Data!A193</f>
        <v>Canday, Skylah</v>
      </c>
      <c r="G194" s="55" t="str">
        <f>Data!C193</f>
        <v>4/3/2017</v>
      </c>
      <c r="H194" s="56">
        <f>Data!H193</f>
        <v>44586</v>
      </c>
      <c r="I194" s="56" t="str">
        <f>Data!I193</f>
        <v>2/4/2022</v>
      </c>
      <c r="J194" s="57">
        <f>Data!J193</f>
        <v>100</v>
      </c>
      <c r="K194" s="58">
        <f t="shared" ca="1" si="2"/>
        <v>104</v>
      </c>
      <c r="L194" s="58">
        <f>Data!M193</f>
        <v>0</v>
      </c>
      <c r="M194" s="37" t="s">
        <v>20</v>
      </c>
      <c r="N194" s="43" t="str">
        <f>VLOOKUP(M194,Table1[#All],3,FALSE)</f>
        <v>Ins needs more info, need to submit;</v>
      </c>
      <c r="O194" s="40" t="str">
        <f>VLOOKUP(M194,Table1[#All],4,FALSE)</f>
        <v>Attachments/Info needed?</v>
      </c>
      <c r="P194" s="39" t="s">
        <v>4081</v>
      </c>
      <c r="Q194" s="40" t="str">
        <f>VLOOKUP(M194,Table1[#All],5,FALSE)</f>
        <v>Fax # (If Fax Yes):</v>
      </c>
      <c r="R194" s="79">
        <v>2628343589</v>
      </c>
      <c r="S194" s="40" t="str">
        <f>VLOOKUP(M194,Table1[#All],6,FALSE)</f>
        <v>Call Ref#:</v>
      </c>
      <c r="T194" s="121" t="s">
        <v>4172</v>
      </c>
      <c r="U194" s="40" t="str">
        <f>VLOOKUP(M194,Table1[#All],7,FALSE)</f>
        <v>Cust Rep:</v>
      </c>
      <c r="V194" s="79" t="s">
        <v>4173</v>
      </c>
      <c r="W194" s="40">
        <f>VLOOKUP(M194,Table1[#All],8,FALSE)</f>
        <v>0</v>
      </c>
      <c r="X194" s="79"/>
      <c r="Y194" s="44" t="str">
        <f>VLOOKUP(M194,Table1[#All],2,FALSE)</f>
        <v xml:space="preserve">Task Sub Pending Claims Queue </v>
      </c>
      <c r="Z194" s="59" t="str">
        <f>VLOOKUP(M194,Table1[#All],9,FALSE)</f>
        <v>Additional Notes:</v>
      </c>
      <c r="AA194" s="76" t="s">
        <v>4212</v>
      </c>
      <c r="AB194" s="76" t="s">
        <v>3697</v>
      </c>
      <c r="AC194" s="90" t="s">
        <v>115</v>
      </c>
      <c r="AD194" s="76" t="s">
        <v>177</v>
      </c>
      <c r="AE194" s="77" t="s">
        <v>3770</v>
      </c>
      <c r="AF194" s="110">
        <v>44687</v>
      </c>
      <c r="AG194" s="41" t="s">
        <v>101</v>
      </c>
    </row>
    <row r="195" spans="1:33" ht="42" hidden="1" x14ac:dyDescent="0.55000000000000004">
      <c r="A195" s="44" t="str">
        <f>Data!K194</f>
        <v>Dentaquest</v>
      </c>
      <c r="B195" s="44" t="str">
        <f>Data!L194</f>
        <v>8004177140</v>
      </c>
      <c r="C195" s="44" t="str">
        <f>Data!D194</f>
        <v>Reyes - Gomez, Leonardo</v>
      </c>
      <c r="D195" s="82" t="str">
        <f>Data!F194</f>
        <v xml:space="preserve">723303627 </v>
      </c>
      <c r="E195" s="82" t="str">
        <f>Data!B194</f>
        <v>1665</v>
      </c>
      <c r="F195" s="44" t="str">
        <f>Data!A194</f>
        <v>Reyes - Gomez, Leonardo</v>
      </c>
      <c r="G195" s="55" t="str">
        <f>Data!C194</f>
        <v>11/29/2014</v>
      </c>
      <c r="H195" s="56">
        <f>Data!H194</f>
        <v>44568</v>
      </c>
      <c r="I195" s="56" t="str">
        <f>Data!I194</f>
        <v>2/4/2022</v>
      </c>
      <c r="J195" s="57">
        <f>Data!J194</f>
        <v>100</v>
      </c>
      <c r="K195" s="58">
        <f t="shared" ca="1" si="2"/>
        <v>104</v>
      </c>
      <c r="L195" s="58">
        <f>Data!M194</f>
        <v>0</v>
      </c>
      <c r="M195" s="37" t="s">
        <v>20</v>
      </c>
      <c r="N195" s="43" t="str">
        <f>VLOOKUP(M195,Table1[#All],3,FALSE)</f>
        <v>Ins needs more info, need to submit;</v>
      </c>
      <c r="O195" s="40" t="str">
        <f>VLOOKUP(M195,Table1[#All],4,FALSE)</f>
        <v>Attachments/Info needed?</v>
      </c>
      <c r="P195" s="39" t="s">
        <v>4081</v>
      </c>
      <c r="Q195" s="40" t="str">
        <f>VLOOKUP(M195,Table1[#All],5,FALSE)</f>
        <v>Fax # (If Fax Yes):</v>
      </c>
      <c r="R195" s="79">
        <v>2628343589</v>
      </c>
      <c r="S195" s="40" t="str">
        <f>VLOOKUP(M195,Table1[#All],6,FALSE)</f>
        <v>Call Ref#:</v>
      </c>
      <c r="T195" s="121" t="s">
        <v>4172</v>
      </c>
      <c r="U195" s="40" t="str">
        <f>VLOOKUP(M195,Table1[#All],7,FALSE)</f>
        <v>Cust Rep:</v>
      </c>
      <c r="V195" s="79" t="s">
        <v>4173</v>
      </c>
      <c r="W195" s="40">
        <f>VLOOKUP(M195,Table1[#All],8,FALSE)</f>
        <v>0</v>
      </c>
      <c r="X195" s="79"/>
      <c r="Y195" s="44" t="str">
        <f>VLOOKUP(M195,Table1[#All],2,FALSE)</f>
        <v xml:space="preserve">Task Sub Pending Claims Queue </v>
      </c>
      <c r="Z195" s="59" t="str">
        <f>VLOOKUP(M195,Table1[#All],9,FALSE)</f>
        <v>Additional Notes:</v>
      </c>
      <c r="AA195" s="76" t="s">
        <v>4213</v>
      </c>
      <c r="AB195" s="76" t="s">
        <v>3697</v>
      </c>
      <c r="AC195" s="90" t="s">
        <v>115</v>
      </c>
      <c r="AD195" s="76" t="s">
        <v>177</v>
      </c>
      <c r="AE195" s="77" t="s">
        <v>3770</v>
      </c>
      <c r="AF195" s="110">
        <v>44687</v>
      </c>
      <c r="AG195" s="41" t="s">
        <v>101</v>
      </c>
    </row>
    <row r="196" spans="1:33" ht="42" hidden="1" x14ac:dyDescent="0.55000000000000004">
      <c r="A196" s="44" t="str">
        <f>Data!K195</f>
        <v>Dentaquest</v>
      </c>
      <c r="B196" s="44" t="str">
        <f>Data!L195</f>
        <v>8004177140</v>
      </c>
      <c r="C196" s="44" t="str">
        <f>Data!D195</f>
        <v>Ruiz- Perez, Juan</v>
      </c>
      <c r="D196" s="82" t="str">
        <f>Data!F195</f>
        <v>723537356</v>
      </c>
      <c r="E196" s="82" t="str">
        <f>Data!B195</f>
        <v>193</v>
      </c>
      <c r="F196" s="44" t="str">
        <f>Data!A195</f>
        <v>Ruiz- Perez, Juan</v>
      </c>
      <c r="G196" s="55" t="str">
        <f>Data!C195</f>
        <v>2/22/2017</v>
      </c>
      <c r="H196" s="56">
        <f>Data!H195</f>
        <v>44593</v>
      </c>
      <c r="I196" s="56" t="str">
        <f>Data!I195</f>
        <v>2/1/2022</v>
      </c>
      <c r="J196" s="57">
        <f>Data!J195</f>
        <v>227.6</v>
      </c>
      <c r="K196" s="58">
        <f t="shared" ca="1" si="2"/>
        <v>107</v>
      </c>
      <c r="L196" s="58">
        <f>Data!M195</f>
        <v>0</v>
      </c>
      <c r="M196" s="37" t="s">
        <v>30</v>
      </c>
      <c r="N196" s="43" t="str">
        <f>VLOOKUP(M196,Table1[#All],3,FALSE)</f>
        <v>Claim not on file. Patient is active ;</v>
      </c>
      <c r="O196" s="40" t="str">
        <f>VLOOKUP(M196,Table1[#All],4,FALSE)</f>
        <v>Payor ID &amp; Address:</v>
      </c>
      <c r="P196" s="39" t="s">
        <v>3916</v>
      </c>
      <c r="Q196" s="40" t="str">
        <f>VLOOKUP(M196,Table1[#All],5,FALSE)</f>
        <v>Fax # (If Fax Yes):</v>
      </c>
      <c r="R196" s="79">
        <v>2628343589</v>
      </c>
      <c r="S196" s="40" t="str">
        <f>VLOOKUP(M196,Table1[#All],6,FALSE)</f>
        <v>TFL in Mnths:</v>
      </c>
      <c r="T196" s="79" t="s">
        <v>4071</v>
      </c>
      <c r="U196" s="40" t="str">
        <f>VLOOKUP(M196,Table1[#All],7,FALSE)</f>
        <v>Call Ref#:</v>
      </c>
      <c r="V196" s="121" t="s">
        <v>4172</v>
      </c>
      <c r="W196" s="40" t="str">
        <f>VLOOKUP(M196,Table1[#All],8,FALSE)</f>
        <v>Cust Rep:</v>
      </c>
      <c r="X196" s="79" t="s">
        <v>4173</v>
      </c>
      <c r="Y196" s="44" t="str">
        <f>VLOOKUP(M196,Table1[#All],2,FALSE)</f>
        <v>Task Sub Pending Claims Queue</v>
      </c>
      <c r="Z196" s="59" t="str">
        <f>VLOOKUP(M196,Table1[#All],9,FALSE)</f>
        <v>Additional Notes:</v>
      </c>
      <c r="AA196" s="76" t="s">
        <v>4214</v>
      </c>
      <c r="AB196" s="76" t="s">
        <v>3697</v>
      </c>
      <c r="AC196" s="90" t="s">
        <v>185</v>
      </c>
      <c r="AD196" s="76" t="s">
        <v>177</v>
      </c>
      <c r="AE196" s="77" t="s">
        <v>3770</v>
      </c>
      <c r="AF196" s="110">
        <v>44687</v>
      </c>
      <c r="AG196" s="41" t="s">
        <v>101</v>
      </c>
    </row>
    <row r="197" spans="1:33" ht="33" hidden="1" x14ac:dyDescent="0.55000000000000004">
      <c r="A197" s="44" t="str">
        <f>Data!K196</f>
        <v>Dentaquest</v>
      </c>
      <c r="B197" s="44" t="str">
        <f>Data!L196</f>
        <v>8004177140</v>
      </c>
      <c r="C197" s="44" t="str">
        <f>Data!D196</f>
        <v>Craig, Kenley</v>
      </c>
      <c r="D197" s="82" t="str">
        <f>Data!F196</f>
        <v>BTP182W10146</v>
      </c>
      <c r="E197" s="82" t="str">
        <f>Data!B196</f>
        <v>3544</v>
      </c>
      <c r="F197" s="44" t="str">
        <f>Data!A196</f>
        <v>Craig, Kenley</v>
      </c>
      <c r="G197" s="55" t="str">
        <f>Data!C196</f>
        <v>4/15/2015</v>
      </c>
      <c r="H197" s="56">
        <f>Data!H196</f>
        <v>44586</v>
      </c>
      <c r="I197" s="56" t="str">
        <f>Data!I196</f>
        <v>1/26/2022</v>
      </c>
      <c r="J197" s="57">
        <f>Data!J196</f>
        <v>556.79999999999995</v>
      </c>
      <c r="K197" s="58">
        <f t="shared" ca="1" si="2"/>
        <v>113</v>
      </c>
      <c r="L197" s="58">
        <f>Data!M196</f>
        <v>0</v>
      </c>
      <c r="M197" s="37" t="s">
        <v>45</v>
      </c>
      <c r="N197" s="43" t="str">
        <f>VLOOKUP(M197,Table1[#All],3,FALSE)</f>
        <v>Procedure is not a covered benefit;</v>
      </c>
      <c r="O197" s="40" t="str">
        <f>VLOOKUP(M197,Table1[#All],4,FALSE)</f>
        <v xml:space="preserve">Why? </v>
      </c>
      <c r="P197" s="39"/>
      <c r="Q197" s="40" t="str">
        <f>VLOOKUP(M197,Table1[#All],5,FALSE)</f>
        <v>Call Ref#:</v>
      </c>
      <c r="R197" s="79"/>
      <c r="S197" s="40" t="str">
        <f>VLOOKUP(M197,Table1[#All],6,FALSE)</f>
        <v>Cust Rep:</v>
      </c>
      <c r="T197" s="121" t="s">
        <v>4159</v>
      </c>
      <c r="U197" s="40">
        <f>VLOOKUP(M197,Table1[#All],7,FALSE)</f>
        <v>0</v>
      </c>
      <c r="V197" s="79" t="s">
        <v>4160</v>
      </c>
      <c r="W197" s="40">
        <f>VLOOKUP(M197,Table1[#All],8,FALSE)</f>
        <v>0</v>
      </c>
      <c r="X197" s="79"/>
      <c r="Y197" s="44" t="str">
        <f>VLOOKUP(M197,Table1[#All],2,FALSE)</f>
        <v xml:space="preserve">Task Client - Denied Claim Queue </v>
      </c>
      <c r="Z197" s="59" t="str">
        <f>VLOOKUP(M197,Table1[#All],9,FALSE)</f>
        <v>Additional Notes:</v>
      </c>
      <c r="AA197" s="76" t="s">
        <v>4215</v>
      </c>
      <c r="AB197" s="76" t="s">
        <v>3697</v>
      </c>
      <c r="AC197" s="90" t="s">
        <v>115</v>
      </c>
      <c r="AD197" s="76" t="s">
        <v>177</v>
      </c>
      <c r="AE197" s="77" t="s">
        <v>4161</v>
      </c>
      <c r="AF197" s="110" t="s">
        <v>4162</v>
      </c>
      <c r="AG197" s="41" t="s">
        <v>101</v>
      </c>
    </row>
    <row r="198" spans="1:33" ht="21" hidden="1" x14ac:dyDescent="0.55000000000000004">
      <c r="A198" s="44" t="str">
        <f>Data!K197</f>
        <v>Dentaquest</v>
      </c>
      <c r="B198" s="44" t="str">
        <f>Data!L197</f>
        <v>8004177140</v>
      </c>
      <c r="C198" s="44" t="str">
        <f>Data!D197</f>
        <v xml:space="preserve">Baldwin, Shannon </v>
      </c>
      <c r="D198" s="82" t="str">
        <f>Data!F197</f>
        <v>1412773814</v>
      </c>
      <c r="E198" s="82" t="str">
        <f>Data!B197</f>
        <v>7001</v>
      </c>
      <c r="F198" s="44" t="str">
        <f>Data!A197</f>
        <v xml:space="preserve">Baldwin, Shannon </v>
      </c>
      <c r="G198" s="55" t="str">
        <f>Data!C197</f>
        <v>4/17/1997</v>
      </c>
      <c r="H198" s="56">
        <f>Data!H197</f>
        <v>44586</v>
      </c>
      <c r="I198" s="56" t="str">
        <f>Data!I197</f>
        <v>2/22/2022</v>
      </c>
      <c r="J198" s="57">
        <f>Data!J197</f>
        <v>1188</v>
      </c>
      <c r="K198" s="58">
        <f t="shared" ref="K198:K261" ca="1" si="3">TODAY()-I198</f>
        <v>86</v>
      </c>
      <c r="L198" s="58">
        <f>Data!M197</f>
        <v>0</v>
      </c>
      <c r="M198" s="37" t="s">
        <v>26</v>
      </c>
      <c r="N198" s="43" t="str">
        <f>VLOOKUP(M198,Table1[#All],3,FALSE)</f>
        <v>Note</v>
      </c>
      <c r="O198" s="40" t="str">
        <f>VLOOKUP(M198,Table1[#All],4,FALSE)</f>
        <v>Q1</v>
      </c>
      <c r="P198" s="39"/>
      <c r="Q198" s="40" t="str">
        <f>VLOOKUP(M198,Table1[#All],5,FALSE)</f>
        <v>Q2</v>
      </c>
      <c r="R198" s="79"/>
      <c r="S198" s="40" t="str">
        <f>VLOOKUP(M198,Table1[#All],6,FALSE)</f>
        <v>Q3</v>
      </c>
      <c r="T198" s="79"/>
      <c r="U198" s="40" t="str">
        <f>VLOOKUP(M198,Table1[#All],7,FALSE)</f>
        <v>Q4</v>
      </c>
      <c r="V198" s="79"/>
      <c r="W198" s="40" t="str">
        <f>VLOOKUP(M198,Table1[#All],8,FALSE)</f>
        <v>Q5</v>
      </c>
      <c r="X198" s="79"/>
      <c r="Y198" s="44" t="str">
        <f>VLOOKUP(M198,Table1[#All],2,FALSE)</f>
        <v>Action</v>
      </c>
      <c r="Z198" s="59" t="str">
        <f>VLOOKUP(M198,Table1[#All],9,FALSE)</f>
        <v>Additional Notes:</v>
      </c>
      <c r="AA198" s="76"/>
      <c r="AB198" s="76"/>
      <c r="AC198" s="90" t="s">
        <v>91</v>
      </c>
      <c r="AD198" s="76" t="s">
        <v>91</v>
      </c>
      <c r="AE198" s="77"/>
      <c r="AF198" s="77"/>
      <c r="AG198" s="41" t="s">
        <v>91</v>
      </c>
    </row>
    <row r="199" spans="1:33" ht="21" hidden="1" x14ac:dyDescent="0.55000000000000004">
      <c r="A199" s="44" t="str">
        <f>Data!K198</f>
        <v>Dentaquest</v>
      </c>
      <c r="B199" s="44" t="str">
        <f>Data!L198</f>
        <v>8004177140</v>
      </c>
      <c r="C199" s="44" t="str">
        <f>Data!D198</f>
        <v xml:space="preserve">Campos , Eddie </v>
      </c>
      <c r="D199" s="82" t="str">
        <f>Data!F198</f>
        <v>2451407921</v>
      </c>
      <c r="E199" s="82" t="str">
        <f>Data!B198</f>
        <v>8579</v>
      </c>
      <c r="F199" s="44" t="str">
        <f>Data!A198</f>
        <v xml:space="preserve">Campos , Eddie </v>
      </c>
      <c r="G199" s="55" t="str">
        <f>Data!C198</f>
        <v>3/28/2017</v>
      </c>
      <c r="H199" s="56">
        <f>Data!H198</f>
        <v>44544</v>
      </c>
      <c r="I199" s="56" t="str">
        <f>Data!I198</f>
        <v>1/17/2022</v>
      </c>
      <c r="J199" s="57">
        <f>Data!J198</f>
        <v>100</v>
      </c>
      <c r="K199" s="58">
        <f t="shared" ca="1" si="3"/>
        <v>122</v>
      </c>
      <c r="L199" s="58">
        <f>Data!M198</f>
        <v>0</v>
      </c>
      <c r="M199" s="37" t="s">
        <v>45</v>
      </c>
      <c r="N199" s="43" t="str">
        <f>VLOOKUP(M199,Table1[#All],3,FALSE)</f>
        <v>Procedure is not a covered benefit;</v>
      </c>
      <c r="O199" s="40" t="str">
        <f>VLOOKUP(M199,Table1[#All],4,FALSE)</f>
        <v xml:space="preserve">Why? </v>
      </c>
      <c r="P199" s="79" t="s">
        <v>4081</v>
      </c>
      <c r="Q199" s="40" t="str">
        <f>VLOOKUP(M199,Table1[#All],5,FALSE)</f>
        <v>Call Ref#:</v>
      </c>
      <c r="R199" s="79"/>
      <c r="S199" s="40" t="str">
        <f>VLOOKUP(M199,Table1[#All],6,FALSE)</f>
        <v>Cust Rep:</v>
      </c>
      <c r="T199" s="79" t="s">
        <v>3797</v>
      </c>
      <c r="U199" s="40">
        <f>VLOOKUP(M199,Table1[#All],7,FALSE)</f>
        <v>0</v>
      </c>
      <c r="V199" s="79"/>
      <c r="W199" s="40">
        <f>VLOOKUP(M199,Table1[#All],8,FALSE)</f>
        <v>0</v>
      </c>
      <c r="X199" s="79"/>
      <c r="Y199" s="44" t="str">
        <f>VLOOKUP(M199,Table1[#All],2,FALSE)</f>
        <v xml:space="preserve">Task Client - Denied Claim Queue </v>
      </c>
      <c r="Z199" s="59" t="str">
        <f>VLOOKUP(M199,Table1[#All],9,FALSE)</f>
        <v>Additional Notes:</v>
      </c>
      <c r="AA199" s="76" t="s">
        <v>4216</v>
      </c>
      <c r="AB199" s="76" t="s">
        <v>3697</v>
      </c>
      <c r="AC199" s="90" t="s">
        <v>115</v>
      </c>
      <c r="AD199" s="76" t="s">
        <v>177</v>
      </c>
      <c r="AE199" s="77" t="s">
        <v>4127</v>
      </c>
      <c r="AF199" s="110">
        <v>44673</v>
      </c>
      <c r="AG199" s="41" t="s">
        <v>101</v>
      </c>
    </row>
    <row r="200" spans="1:33" ht="21" hidden="1" customHeight="1" x14ac:dyDescent="0.55000000000000004">
      <c r="A200" s="44" t="str">
        <f>Data!K199</f>
        <v>Dentaquest</v>
      </c>
      <c r="B200" s="44" t="str">
        <f>Data!L199</f>
        <v>8004177140</v>
      </c>
      <c r="C200" s="44" t="str">
        <f>Data!D199</f>
        <v>Gardner, Courtney</v>
      </c>
      <c r="D200" s="82" t="str">
        <f>Data!F199</f>
        <v>6421188664</v>
      </c>
      <c r="E200" s="82" t="str">
        <f>Data!B199</f>
        <v>1427</v>
      </c>
      <c r="F200" s="44" t="str">
        <f>Data!A199</f>
        <v>Gardner, Courtney</v>
      </c>
      <c r="G200" s="55" t="str">
        <f>Data!C199</f>
        <v>4/23/1989</v>
      </c>
      <c r="H200" s="56">
        <f>Data!H199</f>
        <v>44574</v>
      </c>
      <c r="I200" s="56" t="str">
        <f>Data!I199</f>
        <v>1/14/2022</v>
      </c>
      <c r="J200" s="57">
        <f>Data!J199</f>
        <v>512.4</v>
      </c>
      <c r="K200" s="58">
        <f t="shared" ca="1" si="3"/>
        <v>125</v>
      </c>
      <c r="L200" s="58">
        <f>Data!M199</f>
        <v>0</v>
      </c>
      <c r="M200" s="37" t="s">
        <v>30</v>
      </c>
      <c r="N200" s="43" t="str">
        <f>VLOOKUP(M200,Table1[#All],3,FALSE)</f>
        <v>Claim not on file. Patient is active ;</v>
      </c>
      <c r="O200" s="40" t="str">
        <f>VLOOKUP(M200,Table1[#All],4,FALSE)</f>
        <v>Payor ID &amp; Address:</v>
      </c>
      <c r="P200" s="39" t="s">
        <v>3916</v>
      </c>
      <c r="Q200" s="40" t="str">
        <f>VLOOKUP(M200,Table1[#All],5,FALSE)</f>
        <v>Fax # (If Fax Yes):</v>
      </c>
      <c r="R200" s="79">
        <v>2628343589</v>
      </c>
      <c r="S200" s="40" t="str">
        <f>VLOOKUP(M200,Table1[#All],6,FALSE)</f>
        <v>TFL in Mnths:</v>
      </c>
      <c r="T200" s="79" t="s">
        <v>4071</v>
      </c>
      <c r="U200" s="40" t="str">
        <f>VLOOKUP(M200,Table1[#All],7,FALSE)</f>
        <v>Call Ref#:</v>
      </c>
      <c r="V200" s="79" t="s">
        <v>3916</v>
      </c>
      <c r="W200" s="40" t="str">
        <f>VLOOKUP(M200,Table1[#All],8,FALSE)</f>
        <v>Cust Rep:</v>
      </c>
      <c r="X200" s="79" t="s">
        <v>4129</v>
      </c>
      <c r="Y200" s="44" t="str">
        <f>VLOOKUP(M200,Table1[#All],2,FALSE)</f>
        <v>Task Sub Pending Claims Queue</v>
      </c>
      <c r="Z200" s="59" t="str">
        <f>VLOOKUP(M200,Table1[#All],9,FALSE)</f>
        <v>Additional Notes:</v>
      </c>
      <c r="AA200" s="128" t="s">
        <v>4128</v>
      </c>
      <c r="AB200" s="76" t="s">
        <v>3697</v>
      </c>
      <c r="AC200" s="90" t="s">
        <v>185</v>
      </c>
      <c r="AD200" s="76" t="s">
        <v>177</v>
      </c>
      <c r="AE200" s="77" t="s">
        <v>4127</v>
      </c>
      <c r="AF200" s="110">
        <v>44673</v>
      </c>
      <c r="AG200" s="41" t="s">
        <v>101</v>
      </c>
    </row>
    <row r="201" spans="1:33" ht="21" x14ac:dyDescent="0.55000000000000004">
      <c r="A201" s="44" t="str">
        <f>Data!K200</f>
        <v>Dentaquest</v>
      </c>
      <c r="B201" s="44" t="str">
        <f>Data!L200</f>
        <v>8004177140</v>
      </c>
      <c r="C201" s="44" t="str">
        <f>Data!D200</f>
        <v xml:space="preserve">Leahy, Chelsea </v>
      </c>
      <c r="D201" s="82" t="str">
        <f>Data!F200</f>
        <v>8417098682</v>
      </c>
      <c r="E201" s="82" t="str">
        <f>Data!B200</f>
        <v>8587</v>
      </c>
      <c r="F201" s="44" t="str">
        <f>Data!A200</f>
        <v xml:space="preserve">Leahy, Chelsea </v>
      </c>
      <c r="G201" s="55" t="str">
        <f>Data!C200</f>
        <v>12/15/1994</v>
      </c>
      <c r="H201" s="56">
        <f>Data!H200</f>
        <v>44551</v>
      </c>
      <c r="I201" s="56" t="str">
        <f>Data!I200</f>
        <v>1/17/2022</v>
      </c>
      <c r="J201" s="57">
        <f>Data!J200</f>
        <v>432</v>
      </c>
      <c r="K201" s="58">
        <f t="shared" ca="1" si="3"/>
        <v>122</v>
      </c>
      <c r="L201" s="58">
        <f>Data!M200</f>
        <v>0</v>
      </c>
      <c r="M201" s="37" t="s">
        <v>48</v>
      </c>
      <c r="N201" s="43" t="str">
        <f>VLOOKUP(M201,Table1[#All],3,FALSE)</f>
        <v>Primary Ins paid Max allowable;</v>
      </c>
      <c r="O201" s="40" t="str">
        <f>VLOOKUP(M201,Table1[#All],4,FALSE)</f>
        <v>Call Ref#:</v>
      </c>
      <c r="P201" s="79" t="s">
        <v>3916</v>
      </c>
      <c r="Q201" s="40" t="str">
        <f>VLOOKUP(M201,Table1[#All],5,FALSE)</f>
        <v>Cust Rep:</v>
      </c>
      <c r="R201" s="79" t="s">
        <v>4129</v>
      </c>
      <c r="S201" s="40">
        <f>VLOOKUP(M201,Table1[#All],6,FALSE)</f>
        <v>0</v>
      </c>
      <c r="T201" s="79"/>
      <c r="U201" s="40">
        <f>VLOOKUP(M201,Table1[#All],7,FALSE)</f>
        <v>0</v>
      </c>
      <c r="V201" s="79"/>
      <c r="W201" s="40">
        <f>VLOOKUP(M201,Table1[#All],8,FALSE)</f>
        <v>0</v>
      </c>
      <c r="X201" s="79"/>
      <c r="Y201" s="44" t="str">
        <f>VLOOKUP(M201,Table1[#All],2,FALSE)</f>
        <v xml:space="preserve">Task Post Pmt Queue </v>
      </c>
      <c r="Z201" s="59" t="str">
        <f>VLOOKUP(M201,Table1[#All],9,FALSE)</f>
        <v>Additional Notes:</v>
      </c>
      <c r="AA201" s="128" t="s">
        <v>4217</v>
      </c>
      <c r="AB201" s="117">
        <v>44698</v>
      </c>
      <c r="AC201" s="90" t="s">
        <v>115</v>
      </c>
      <c r="AD201" s="76" t="s">
        <v>177</v>
      </c>
      <c r="AE201" s="77" t="s">
        <v>4127</v>
      </c>
      <c r="AF201" s="110">
        <v>44673</v>
      </c>
      <c r="AG201" s="41" t="s">
        <v>100</v>
      </c>
    </row>
    <row r="202" spans="1:33" ht="42" hidden="1" x14ac:dyDescent="0.55000000000000004">
      <c r="A202" s="44" t="str">
        <f>Data!K201</f>
        <v>Dentaquest</v>
      </c>
      <c r="B202" s="44" t="str">
        <f>Data!L201</f>
        <v>8004177140</v>
      </c>
      <c r="C202" s="44" t="str">
        <f>Data!D201</f>
        <v xml:space="preserve">Villarreal , Irma </v>
      </c>
      <c r="D202" s="82" t="str">
        <f>Data!F201</f>
        <v>720528281</v>
      </c>
      <c r="E202" s="82" t="str">
        <f>Data!B201</f>
        <v>8333</v>
      </c>
      <c r="F202" s="44" t="str">
        <f>Data!A201</f>
        <v xml:space="preserve">Villarreal , Irma </v>
      </c>
      <c r="G202" s="55" t="str">
        <f>Data!C201</f>
        <v>2/24/1958</v>
      </c>
      <c r="H202" s="56">
        <f>Data!H201</f>
        <v>44548</v>
      </c>
      <c r="I202" s="56" t="str">
        <f>Data!I201</f>
        <v>12/18/2021</v>
      </c>
      <c r="J202" s="57">
        <f>Data!J201</f>
        <v>2124</v>
      </c>
      <c r="K202" s="58">
        <f t="shared" ca="1" si="3"/>
        <v>152</v>
      </c>
      <c r="L202" s="58">
        <f>Data!M201</f>
        <v>0</v>
      </c>
      <c r="M202" s="37" t="s">
        <v>30</v>
      </c>
      <c r="N202" s="43" t="str">
        <f>VLOOKUP(M202,Table1[#All],3,FALSE)</f>
        <v>Claim not on file. Patient is active ;</v>
      </c>
      <c r="O202" s="40" t="str">
        <f>VLOOKUP(M202,Table1[#All],4,FALSE)</f>
        <v>Payor ID &amp; Address:</v>
      </c>
      <c r="P202" s="39" t="s">
        <v>3916</v>
      </c>
      <c r="Q202" s="40" t="str">
        <f>VLOOKUP(M202,Table1[#All],5,FALSE)</f>
        <v>Fax # (If Fax Yes):</v>
      </c>
      <c r="R202" s="79">
        <v>2628343452</v>
      </c>
      <c r="S202" s="40" t="str">
        <f>VLOOKUP(M202,Table1[#All],6,FALSE)</f>
        <v>TFL in Mnths:</v>
      </c>
      <c r="T202" s="79" t="s">
        <v>4071</v>
      </c>
      <c r="U202" s="40" t="str">
        <f>VLOOKUP(M202,Table1[#All],7,FALSE)</f>
        <v>Call Ref#:</v>
      </c>
      <c r="V202" s="79">
        <v>202201389539</v>
      </c>
      <c r="W202" s="40" t="str">
        <f>VLOOKUP(M202,Table1[#All],8,FALSE)</f>
        <v>Cust Rep:</v>
      </c>
      <c r="X202" s="79" t="s">
        <v>4095</v>
      </c>
      <c r="Y202" s="44" t="str">
        <f>VLOOKUP(M202,Table1[#All],2,FALSE)</f>
        <v>Task Sub Pending Claims Queue</v>
      </c>
      <c r="Z202" s="59" t="str">
        <f>VLOOKUP(M202,Table1[#All],9,FALSE)</f>
        <v>Additional Notes:</v>
      </c>
      <c r="AA202" s="76" t="s">
        <v>4096</v>
      </c>
      <c r="AB202" s="76" t="s">
        <v>3697</v>
      </c>
      <c r="AC202" s="90" t="s">
        <v>185</v>
      </c>
      <c r="AD202" s="76" t="s">
        <v>177</v>
      </c>
      <c r="AE202" s="77" t="s">
        <v>3776</v>
      </c>
      <c r="AF202" s="110">
        <v>44638</v>
      </c>
      <c r="AG202" s="41" t="s">
        <v>101</v>
      </c>
    </row>
    <row r="203" spans="1:33" ht="21" hidden="1" x14ac:dyDescent="0.55000000000000004">
      <c r="A203" s="44" t="str">
        <f>Data!K202</f>
        <v>Dentaquest</v>
      </c>
      <c r="B203" s="44" t="str">
        <f>Data!L202</f>
        <v>8004177140</v>
      </c>
      <c r="C203" s="44" t="str">
        <f>Data!D202</f>
        <v>Abu Naaj, Aiman</v>
      </c>
      <c r="D203" s="82" t="str">
        <f>Data!F202</f>
        <v>719059902</v>
      </c>
      <c r="E203" s="82" t="str">
        <f>Data!B202</f>
        <v>3994</v>
      </c>
      <c r="F203" s="44" t="str">
        <f>Data!A202</f>
        <v>Abu Naaj, Aiman</v>
      </c>
      <c r="G203" s="55" t="str">
        <f>Data!C202</f>
        <v>11/13/1968</v>
      </c>
      <c r="H203" s="56">
        <f>Data!H202</f>
        <v>44537</v>
      </c>
      <c r="I203" s="56" t="str">
        <f>Data!I202</f>
        <v>12/9/2021</v>
      </c>
      <c r="J203" s="57">
        <f>Data!J202</f>
        <v>178.4</v>
      </c>
      <c r="K203" s="58">
        <f t="shared" ca="1" si="3"/>
        <v>161</v>
      </c>
      <c r="L203" s="58">
        <f>Data!M202</f>
        <v>0</v>
      </c>
      <c r="M203" s="37" t="s">
        <v>5</v>
      </c>
      <c r="N203" s="43" t="str">
        <f>VLOOKUP(M203,Table1[#All],3,FALSE)</f>
        <v>Claim Paid by EFT;</v>
      </c>
      <c r="O203" s="40" t="str">
        <f>VLOOKUP(M203,Table1[#All],4,FALSE)</f>
        <v>Issue Date:</v>
      </c>
      <c r="P203" s="38">
        <v>44547</v>
      </c>
      <c r="Q203" s="40" t="str">
        <f>VLOOKUP(M203,Table1[#All],5,FALSE)</f>
        <v>EFT#</v>
      </c>
      <c r="R203" s="79">
        <v>5407999295</v>
      </c>
      <c r="S203" s="40" t="str">
        <f>VLOOKUP(M203,Table1[#All],6,FALSE)</f>
        <v>Bulk/Sep:</v>
      </c>
      <c r="T203" s="79" t="s">
        <v>3952</v>
      </c>
      <c r="U203" s="40" t="str">
        <f>VLOOKUP(M203,Table1[#All],7,FALSE)</f>
        <v>Call Ref#:</v>
      </c>
      <c r="V203" s="79" t="s">
        <v>4078</v>
      </c>
      <c r="W203" s="40" t="str">
        <f>VLOOKUP(M203,Table1[#All],8,FALSE)</f>
        <v>Cust Rep:</v>
      </c>
      <c r="X203" s="79"/>
      <c r="Y203" s="44" t="str">
        <f>VLOOKUP(M203,Table1[#All],2,FALSE)</f>
        <v xml:space="preserve">Task Post Pmt Queue </v>
      </c>
      <c r="Z203" s="59" t="str">
        <f>VLOOKUP(M203,Table1[#All],9,FALSE)</f>
        <v>Additional Notes:</v>
      </c>
      <c r="AA203" s="76" t="s">
        <v>4094</v>
      </c>
      <c r="AB203" s="76" t="s">
        <v>3697</v>
      </c>
      <c r="AC203" s="90" t="s">
        <v>115</v>
      </c>
      <c r="AD203" s="76" t="s">
        <v>177</v>
      </c>
      <c r="AE203" s="77" t="s">
        <v>3776</v>
      </c>
      <c r="AF203" s="110">
        <v>44628</v>
      </c>
      <c r="AG203" s="41" t="s">
        <v>101</v>
      </c>
    </row>
    <row r="204" spans="1:33" ht="42" hidden="1" x14ac:dyDescent="0.55000000000000004">
      <c r="A204" s="44" t="str">
        <f>Data!K203</f>
        <v>Dentaquest</v>
      </c>
      <c r="B204" s="44" t="str">
        <f>Data!L203</f>
        <v>8004177140</v>
      </c>
      <c r="C204" s="44" t="str">
        <f>Data!D203</f>
        <v>Garcia, Michelle</v>
      </c>
      <c r="D204" s="82" t="str">
        <f>Data!F203</f>
        <v>725625027</v>
      </c>
      <c r="E204" s="82" t="str">
        <f>Data!B203</f>
        <v>7777</v>
      </c>
      <c r="F204" s="44" t="str">
        <f>Data!A203</f>
        <v>Garcia, Michelle</v>
      </c>
      <c r="G204" s="55" t="str">
        <f>Data!C203</f>
        <v>2/12/1977</v>
      </c>
      <c r="H204" s="56">
        <f>Data!H203</f>
        <v>44533</v>
      </c>
      <c r="I204" s="56" t="str">
        <f>Data!I203</f>
        <v>12/3/2021</v>
      </c>
      <c r="J204" s="57">
        <f>Data!J203</f>
        <v>0</v>
      </c>
      <c r="K204" s="58">
        <f t="shared" ca="1" si="3"/>
        <v>167</v>
      </c>
      <c r="L204" s="58">
        <f>Data!M203</f>
        <v>0</v>
      </c>
      <c r="M204" s="37" t="s">
        <v>30</v>
      </c>
      <c r="N204" s="43" t="str">
        <f>VLOOKUP(M204,Table1[#All],3,FALSE)</f>
        <v>Claim not on file. Patient is active ;</v>
      </c>
      <c r="O204" s="40" t="str">
        <f>VLOOKUP(M204,Table1[#All],4,FALSE)</f>
        <v>Payor ID &amp; Address:</v>
      </c>
      <c r="P204" s="39" t="s">
        <v>3916</v>
      </c>
      <c r="Q204" s="40" t="str">
        <f>VLOOKUP(M204,Table1[#All],5,FALSE)</f>
        <v>Fax # (If Fax Yes):</v>
      </c>
      <c r="R204" s="79">
        <v>202201166506</v>
      </c>
      <c r="S204" s="40" t="str">
        <f>VLOOKUP(M204,Table1[#All],6,FALSE)</f>
        <v>TFL in Mnths:</v>
      </c>
      <c r="T204" s="79" t="s">
        <v>4071</v>
      </c>
      <c r="U204" s="40" t="str">
        <f>VLOOKUP(M204,Table1[#All],7,FALSE)</f>
        <v>Call Ref#:</v>
      </c>
      <c r="V204" s="79">
        <v>202201166506</v>
      </c>
      <c r="W204" s="40" t="str">
        <f>VLOOKUP(M204,Table1[#All],8,FALSE)</f>
        <v>Cust Rep:</v>
      </c>
      <c r="X204" s="79" t="s">
        <v>4092</v>
      </c>
      <c r="Y204" s="44" t="str">
        <f>VLOOKUP(M204,Table1[#All],2,FALSE)</f>
        <v>Task Sub Pending Claims Queue</v>
      </c>
      <c r="Z204" s="59" t="str">
        <f>VLOOKUP(M204,Table1[#All],9,FALSE)</f>
        <v>Additional Notes:</v>
      </c>
      <c r="AA204" s="76" t="s">
        <v>4093</v>
      </c>
      <c r="AB204" s="76" t="s">
        <v>3697</v>
      </c>
      <c r="AC204" s="90" t="s">
        <v>185</v>
      </c>
      <c r="AD204" s="76" t="s">
        <v>177</v>
      </c>
      <c r="AE204" s="77" t="s">
        <v>3776</v>
      </c>
      <c r="AF204" s="110">
        <v>44628</v>
      </c>
      <c r="AG204" s="41" t="s">
        <v>101</v>
      </c>
    </row>
    <row r="205" spans="1:33" ht="21" hidden="1" x14ac:dyDescent="0.55000000000000004">
      <c r="A205" s="44" t="str">
        <f>Data!K204</f>
        <v>Dentaquest</v>
      </c>
      <c r="B205" s="44" t="str">
        <f>Data!L204</f>
        <v>8004177140</v>
      </c>
      <c r="C205" s="44" t="str">
        <f>Data!D204</f>
        <v xml:space="preserve">Villarreal , Irma </v>
      </c>
      <c r="D205" s="82" t="str">
        <f>Data!F204</f>
        <v>720528281</v>
      </c>
      <c r="E205" s="82" t="str">
        <f>Data!B204</f>
        <v>8333</v>
      </c>
      <c r="F205" s="44" t="str">
        <f>Data!A204</f>
        <v xml:space="preserve">Villarreal , Irma </v>
      </c>
      <c r="G205" s="55" t="str">
        <f>Data!C204</f>
        <v>2/24/1958</v>
      </c>
      <c r="H205" s="56">
        <f>Data!H204</f>
        <v>44530</v>
      </c>
      <c r="I205" s="56" t="str">
        <f>Data!I204</f>
        <v>11/30/2021</v>
      </c>
      <c r="J205" s="57">
        <f>Data!J204</f>
        <v>1062</v>
      </c>
      <c r="K205" s="58">
        <f t="shared" ca="1" si="3"/>
        <v>170</v>
      </c>
      <c r="L205" s="58">
        <f>Data!M204</f>
        <v>0</v>
      </c>
      <c r="M205" s="37" t="s">
        <v>5</v>
      </c>
      <c r="N205" s="43" t="str">
        <f>VLOOKUP(M205,Table1[#All],3,FALSE)</f>
        <v>Claim Paid by EFT;</v>
      </c>
      <c r="O205" s="40" t="str">
        <f>VLOOKUP(M205,Table1[#All],4,FALSE)</f>
        <v>Issue Date:</v>
      </c>
      <c r="P205" s="38">
        <v>44503</v>
      </c>
      <c r="Q205" s="40" t="str">
        <f>VLOOKUP(M205,Table1[#All],5,FALSE)</f>
        <v>EFT#</v>
      </c>
      <c r="R205" s="79">
        <v>5407963735</v>
      </c>
      <c r="S205" s="40" t="str">
        <f>VLOOKUP(M205,Table1[#All],6,FALSE)</f>
        <v>Bulk/Sep:</v>
      </c>
      <c r="T205" s="79" t="s">
        <v>3955</v>
      </c>
      <c r="U205" s="40" t="str">
        <f>VLOOKUP(M205,Table1[#All],7,FALSE)</f>
        <v>Call Ref#:</v>
      </c>
      <c r="V205" s="79" t="s">
        <v>4078</v>
      </c>
      <c r="W205" s="40" t="str">
        <f>VLOOKUP(M205,Table1[#All],8,FALSE)</f>
        <v>Cust Rep:</v>
      </c>
      <c r="X205" s="79"/>
      <c r="Y205" s="44" t="str">
        <f>VLOOKUP(M205,Table1[#All],2,FALSE)</f>
        <v xml:space="preserve">Task Post Pmt Queue </v>
      </c>
      <c r="Z205" s="59" t="str">
        <f>VLOOKUP(M205,Table1[#All],9,FALSE)</f>
        <v>Additional Notes:</v>
      </c>
      <c r="AA205" s="76" t="s">
        <v>4091</v>
      </c>
      <c r="AB205" s="76" t="s">
        <v>3697</v>
      </c>
      <c r="AC205" s="90" t="s">
        <v>115</v>
      </c>
      <c r="AD205" s="76" t="s">
        <v>177</v>
      </c>
      <c r="AE205" s="77" t="s">
        <v>3776</v>
      </c>
      <c r="AF205" s="110">
        <v>44622</v>
      </c>
      <c r="AG205" s="41" t="s">
        <v>101</v>
      </c>
    </row>
    <row r="206" spans="1:33" ht="105" hidden="1" x14ac:dyDescent="0.55000000000000004">
      <c r="A206" s="44" t="str">
        <f>Data!K205</f>
        <v>Dentaquest</v>
      </c>
      <c r="B206" s="44" t="str">
        <f>Data!L205</f>
        <v>8004177140</v>
      </c>
      <c r="C206" s="44" t="str">
        <f>Data!D205</f>
        <v xml:space="preserve">Walley , Mikayla </v>
      </c>
      <c r="D206" s="82" t="str">
        <f>Data!F205</f>
        <v>729252947</v>
      </c>
      <c r="E206" s="82" t="str">
        <f>Data!B205</f>
        <v>4685</v>
      </c>
      <c r="F206" s="44" t="str">
        <f>Data!A205</f>
        <v xml:space="preserve">Walley , Mikayla </v>
      </c>
      <c r="G206" s="55" t="str">
        <f>Data!C205</f>
        <v>11/15/2012</v>
      </c>
      <c r="H206" s="56">
        <f>Data!H205</f>
        <v>44518</v>
      </c>
      <c r="I206" s="56" t="str">
        <f>Data!I205</f>
        <v>11/30/2021</v>
      </c>
      <c r="J206" s="57">
        <f>Data!J205</f>
        <v>138</v>
      </c>
      <c r="K206" s="58">
        <f t="shared" ca="1" si="3"/>
        <v>170</v>
      </c>
      <c r="L206" s="58">
        <f>Data!M205</f>
        <v>0</v>
      </c>
      <c r="M206" s="37" t="s">
        <v>45</v>
      </c>
      <c r="N206" s="43" t="str">
        <f>VLOOKUP(M206,Table1[#All],3,FALSE)</f>
        <v>Procedure is not a covered benefit;</v>
      </c>
      <c r="O206" s="40" t="str">
        <f>VLOOKUP(M206,Table1[#All],4,FALSE)</f>
        <v xml:space="preserve">Why? </v>
      </c>
      <c r="P206" s="39" t="s">
        <v>4089</v>
      </c>
      <c r="Q206" s="40" t="str">
        <f>VLOOKUP(M206,Table1[#All],5,FALSE)</f>
        <v>Call Ref#:</v>
      </c>
      <c r="R206" s="79" t="s">
        <v>3797</v>
      </c>
      <c r="S206" s="40" t="str">
        <f>VLOOKUP(M206,Table1[#All],6,FALSE)</f>
        <v>Cust Rep:</v>
      </c>
      <c r="T206" s="79"/>
      <c r="U206" s="40">
        <f>VLOOKUP(M206,Table1[#All],7,FALSE)</f>
        <v>0</v>
      </c>
      <c r="V206" s="79"/>
      <c r="W206" s="40">
        <f>VLOOKUP(M206,Table1[#All],8,FALSE)</f>
        <v>0</v>
      </c>
      <c r="X206" s="79"/>
      <c r="Y206" s="44" t="str">
        <f>VLOOKUP(M206,Table1[#All],2,FALSE)</f>
        <v xml:space="preserve">Task Client - Denied Claim Queue </v>
      </c>
      <c r="Z206" s="59" t="str">
        <f>VLOOKUP(M206,Table1[#All],9,FALSE)</f>
        <v>Additional Notes:</v>
      </c>
      <c r="AA206" s="76" t="s">
        <v>4090</v>
      </c>
      <c r="AB206" s="76" t="s">
        <v>3697</v>
      </c>
      <c r="AC206" s="90" t="s">
        <v>115</v>
      </c>
      <c r="AD206" s="76" t="s">
        <v>177</v>
      </c>
      <c r="AE206" s="77" t="s">
        <v>3776</v>
      </c>
      <c r="AF206" s="110">
        <v>44622</v>
      </c>
      <c r="AG206" s="41" t="s">
        <v>101</v>
      </c>
    </row>
    <row r="207" spans="1:33" ht="42" hidden="1" x14ac:dyDescent="0.55000000000000004">
      <c r="A207" s="44" t="str">
        <f>Data!K206</f>
        <v>Dentaquest</v>
      </c>
      <c r="B207" s="44" t="str">
        <f>Data!L206</f>
        <v>8004177140</v>
      </c>
      <c r="C207" s="44" t="str">
        <f>Data!D206</f>
        <v>Rivera, Pedro</v>
      </c>
      <c r="D207" s="82" t="str">
        <f>Data!F206</f>
        <v>7448066978</v>
      </c>
      <c r="E207" s="82" t="str">
        <f>Data!B206</f>
        <v>4039</v>
      </c>
      <c r="F207" s="44" t="str">
        <f>Data!A206</f>
        <v>Rivera, Pedro</v>
      </c>
      <c r="G207" s="55" t="str">
        <f>Data!C206</f>
        <v>4/27/1960</v>
      </c>
      <c r="H207" s="56">
        <f>Data!H206</f>
        <v>44518</v>
      </c>
      <c r="I207" s="56" t="str">
        <f>Data!I206</f>
        <v>11/30/2021</v>
      </c>
      <c r="J207" s="57">
        <f>Data!J206</f>
        <v>216</v>
      </c>
      <c r="K207" s="58">
        <f t="shared" ca="1" si="3"/>
        <v>170</v>
      </c>
      <c r="L207" s="58">
        <f>Data!M206</f>
        <v>0</v>
      </c>
      <c r="M207" s="37" t="s">
        <v>30</v>
      </c>
      <c r="N207" s="43" t="str">
        <f>VLOOKUP(M207,Table1[#All],3,FALSE)</f>
        <v>Claim not on file. Patient is active ;</v>
      </c>
      <c r="O207" s="40" t="str">
        <f>VLOOKUP(M207,Table1[#All],4,FALSE)</f>
        <v>Payor ID &amp; Address:</v>
      </c>
      <c r="P207" s="39"/>
      <c r="Q207" s="40" t="str">
        <f>VLOOKUP(M207,Table1[#All],5,FALSE)</f>
        <v>Fax # (If Fax Yes):</v>
      </c>
      <c r="R207" s="79"/>
      <c r="S207" s="40" t="str">
        <f>VLOOKUP(M207,Table1[#All],6,FALSE)</f>
        <v>TFL in Mnths:</v>
      </c>
      <c r="T207" s="79"/>
      <c r="U207" s="40" t="str">
        <f>VLOOKUP(M207,Table1[#All],7,FALSE)</f>
        <v>Call Ref#:</v>
      </c>
      <c r="V207" s="79"/>
      <c r="W207" s="40" t="str">
        <f>VLOOKUP(M207,Table1[#All],8,FALSE)</f>
        <v>Cust Rep:</v>
      </c>
      <c r="X207" s="79"/>
      <c r="Y207" s="44" t="str">
        <f>VLOOKUP(M207,Table1[#All],2,FALSE)</f>
        <v>Task Sub Pending Claims Queue</v>
      </c>
      <c r="Z207" s="59" t="str">
        <f>VLOOKUP(M207,Table1[#All],9,FALSE)</f>
        <v>Additional Notes:</v>
      </c>
      <c r="AA207" s="76" t="s">
        <v>4088</v>
      </c>
      <c r="AB207" s="76" t="s">
        <v>3697</v>
      </c>
      <c r="AC207" s="90" t="s">
        <v>115</v>
      </c>
      <c r="AD207" s="76" t="s">
        <v>177</v>
      </c>
      <c r="AE207" s="77" t="s">
        <v>3776</v>
      </c>
      <c r="AF207" s="110">
        <v>44622</v>
      </c>
      <c r="AG207" s="41" t="s">
        <v>101</v>
      </c>
    </row>
    <row r="208" spans="1:33" ht="21" hidden="1" x14ac:dyDescent="0.55000000000000004">
      <c r="A208" s="44" t="str">
        <f>Data!K207</f>
        <v>Dentaquest</v>
      </c>
      <c r="B208" s="44" t="str">
        <f>Data!L207</f>
        <v>8004177140</v>
      </c>
      <c r="C208" s="44" t="str">
        <f>Data!D207</f>
        <v xml:space="preserve">Halbur, Valerie </v>
      </c>
      <c r="D208" s="82" t="str">
        <f>Data!F207</f>
        <v>719056699</v>
      </c>
      <c r="E208" s="82" t="str">
        <f>Data!B207</f>
        <v>4837</v>
      </c>
      <c r="F208" s="44" t="str">
        <f>Data!A207</f>
        <v xml:space="preserve">Halbur, Valerie </v>
      </c>
      <c r="G208" s="55" t="str">
        <f>Data!C207</f>
        <v>9/2/1999</v>
      </c>
      <c r="H208" s="56">
        <f>Data!H207</f>
        <v>44510</v>
      </c>
      <c r="I208" s="56" t="str">
        <f>Data!I207</f>
        <v>11/12/2021</v>
      </c>
      <c r="J208" s="57">
        <f>Data!J207</f>
        <v>266</v>
      </c>
      <c r="K208" s="58">
        <f t="shared" ca="1" si="3"/>
        <v>188</v>
      </c>
      <c r="L208" s="58">
        <f>Data!M207</f>
        <v>0</v>
      </c>
      <c r="M208" s="37" t="s">
        <v>5</v>
      </c>
      <c r="N208" s="43" t="str">
        <f>VLOOKUP(M208,Table1[#All],3,FALSE)</f>
        <v>Claim Paid by EFT;</v>
      </c>
      <c r="O208" s="40" t="str">
        <f>VLOOKUP(M208,Table1[#All],4,FALSE)</f>
        <v>Issue Date:</v>
      </c>
      <c r="P208" s="38">
        <v>44519</v>
      </c>
      <c r="Q208" s="40" t="str">
        <f>VLOOKUP(M208,Table1[#All],5,FALSE)</f>
        <v>EFT#</v>
      </c>
      <c r="R208" s="79">
        <v>5407975866</v>
      </c>
      <c r="S208" s="40" t="str">
        <f>VLOOKUP(M208,Table1[#All],6,FALSE)</f>
        <v>Bulk/Sep:</v>
      </c>
      <c r="T208" s="79" t="s">
        <v>3952</v>
      </c>
      <c r="U208" s="40" t="str">
        <f>VLOOKUP(M208,Table1[#All],7,FALSE)</f>
        <v>Call Ref#:</v>
      </c>
      <c r="V208" s="79" t="s">
        <v>4078</v>
      </c>
      <c r="W208" s="40" t="str">
        <f>VLOOKUP(M208,Table1[#All],8,FALSE)</f>
        <v>Cust Rep:</v>
      </c>
      <c r="X208" s="79"/>
      <c r="Y208" s="44" t="str">
        <f>VLOOKUP(M208,Table1[#All],2,FALSE)</f>
        <v xml:space="preserve">Task Post Pmt Queue </v>
      </c>
      <c r="Z208" s="59" t="str">
        <f>VLOOKUP(M208,Table1[#All],9,FALSE)</f>
        <v>Additional Notes:</v>
      </c>
      <c r="AA208" s="76" t="s">
        <v>4087</v>
      </c>
      <c r="AB208" s="76" t="s">
        <v>3697</v>
      </c>
      <c r="AC208" s="90" t="s">
        <v>115</v>
      </c>
      <c r="AD208" s="76" t="s">
        <v>177</v>
      </c>
      <c r="AE208" s="77" t="s">
        <v>3776</v>
      </c>
      <c r="AF208" s="110">
        <v>44622</v>
      </c>
      <c r="AG208" s="41" t="s">
        <v>101</v>
      </c>
    </row>
    <row r="209" spans="1:33" ht="21" hidden="1" x14ac:dyDescent="0.55000000000000004">
      <c r="A209" s="44" t="str">
        <f>Data!K208</f>
        <v>Dentaquest</v>
      </c>
      <c r="B209" s="44" t="str">
        <f>Data!L208</f>
        <v>8004177140</v>
      </c>
      <c r="C209" s="44" t="str">
        <f>Data!D208</f>
        <v xml:space="preserve">Burazin , Laura </v>
      </c>
      <c r="D209" s="82" t="str">
        <f>Data!F208</f>
        <v>719056986</v>
      </c>
      <c r="E209" s="82" t="str">
        <f>Data!B208</f>
        <v>8263</v>
      </c>
      <c r="F209" s="44" t="str">
        <f>Data!A208</f>
        <v xml:space="preserve">Burazin , Laura </v>
      </c>
      <c r="G209" s="55" t="str">
        <f>Data!C208</f>
        <v>1/19/1983</v>
      </c>
      <c r="H209" s="56">
        <f>Data!H208</f>
        <v>44509</v>
      </c>
      <c r="I209" s="56" t="str">
        <f>Data!I208</f>
        <v>11/12/2021</v>
      </c>
      <c r="J209" s="57">
        <f>Data!J208</f>
        <v>285.60000000000002</v>
      </c>
      <c r="K209" s="58">
        <f t="shared" ca="1" si="3"/>
        <v>188</v>
      </c>
      <c r="L209" s="58">
        <f>Data!M208</f>
        <v>0</v>
      </c>
      <c r="M209" s="37" t="s">
        <v>5</v>
      </c>
      <c r="N209" s="43" t="str">
        <f>VLOOKUP(M209,Table1[#All],3,FALSE)</f>
        <v>Claim Paid by EFT;</v>
      </c>
      <c r="O209" s="40" t="str">
        <f>VLOOKUP(M209,Table1[#All],4,FALSE)</f>
        <v>Issue Date:</v>
      </c>
      <c r="P209" s="38">
        <v>44519</v>
      </c>
      <c r="Q209" s="40" t="str">
        <f>VLOOKUP(M209,Table1[#All],5,FALSE)</f>
        <v>EFT#</v>
      </c>
      <c r="R209" s="79">
        <v>5407975866</v>
      </c>
      <c r="S209" s="40" t="str">
        <f>VLOOKUP(M209,Table1[#All],6,FALSE)</f>
        <v>Bulk/Sep:</v>
      </c>
      <c r="T209" s="79" t="s">
        <v>3952</v>
      </c>
      <c r="U209" s="40" t="str">
        <f>VLOOKUP(M209,Table1[#All],7,FALSE)</f>
        <v>Call Ref#:</v>
      </c>
      <c r="V209" s="79" t="s">
        <v>4078</v>
      </c>
      <c r="W209" s="40" t="str">
        <f>VLOOKUP(M209,Table1[#All],8,FALSE)</f>
        <v>Cust Rep:</v>
      </c>
      <c r="X209" s="79"/>
      <c r="Y209" s="44" t="str">
        <f>VLOOKUP(M209,Table1[#All],2,FALSE)</f>
        <v xml:space="preserve">Task Post Pmt Queue </v>
      </c>
      <c r="Z209" s="59" t="str">
        <f>VLOOKUP(M209,Table1[#All],9,FALSE)</f>
        <v>Additional Notes:</v>
      </c>
      <c r="AA209" s="76" t="s">
        <v>4086</v>
      </c>
      <c r="AB209" s="76" t="s">
        <v>3697</v>
      </c>
      <c r="AC209" s="90" t="s">
        <v>115</v>
      </c>
      <c r="AD209" s="76" t="s">
        <v>177</v>
      </c>
      <c r="AE209" s="77" t="s">
        <v>3776</v>
      </c>
      <c r="AF209" s="110">
        <v>44622</v>
      </c>
      <c r="AG209" s="41" t="s">
        <v>101</v>
      </c>
    </row>
    <row r="210" spans="1:33" ht="21" hidden="1" x14ac:dyDescent="0.55000000000000004">
      <c r="A210" s="44" t="str">
        <f>Data!K209</f>
        <v>Dentaquest</v>
      </c>
      <c r="B210" s="44" t="str">
        <f>Data!L209</f>
        <v>8004177140</v>
      </c>
      <c r="C210" s="44" t="str">
        <f>Data!D209</f>
        <v xml:space="preserve">Frederick Guzma , Sofia </v>
      </c>
      <c r="D210" s="82" t="str">
        <f>Data!F209</f>
        <v>724241718</v>
      </c>
      <c r="E210" s="82" t="str">
        <f>Data!B209</f>
        <v>8425</v>
      </c>
      <c r="F210" s="44" t="str">
        <f>Data!A209</f>
        <v xml:space="preserve">Frederick Guzma , Sofia </v>
      </c>
      <c r="G210" s="55" t="str">
        <f>Data!C209</f>
        <v>9/13/2017</v>
      </c>
      <c r="H210" s="56">
        <f>Data!H209</f>
        <v>44509</v>
      </c>
      <c r="I210" s="56" t="str">
        <f>Data!I209</f>
        <v>11/12/2021</v>
      </c>
      <c r="J210" s="57">
        <f>Data!J209</f>
        <v>422.8</v>
      </c>
      <c r="K210" s="58">
        <f t="shared" ca="1" si="3"/>
        <v>188</v>
      </c>
      <c r="L210" s="58">
        <f>Data!M209</f>
        <v>0</v>
      </c>
      <c r="M210" s="37" t="s">
        <v>5</v>
      </c>
      <c r="N210" s="43" t="str">
        <f>VLOOKUP(M210,Table1[#All],3,FALSE)</f>
        <v>Claim Paid by EFT;</v>
      </c>
      <c r="O210" s="40" t="str">
        <f>VLOOKUP(M210,Table1[#All],4,FALSE)</f>
        <v>Issue Date:</v>
      </c>
      <c r="P210" s="38">
        <v>44519</v>
      </c>
      <c r="Q210" s="40" t="str">
        <f>VLOOKUP(M210,Table1[#All],5,FALSE)</f>
        <v>EFT#</v>
      </c>
      <c r="R210" s="79">
        <v>5407975866</v>
      </c>
      <c r="S210" s="40" t="str">
        <f>VLOOKUP(M210,Table1[#All],6,FALSE)</f>
        <v>Bulk/Sep:</v>
      </c>
      <c r="T210" s="79" t="s">
        <v>3952</v>
      </c>
      <c r="U210" s="40" t="str">
        <f>VLOOKUP(M210,Table1[#All],7,FALSE)</f>
        <v>Call Ref#:</v>
      </c>
      <c r="V210" s="79" t="s">
        <v>4078</v>
      </c>
      <c r="W210" s="40" t="str">
        <f>VLOOKUP(M210,Table1[#All],8,FALSE)</f>
        <v>Cust Rep:</v>
      </c>
      <c r="X210" s="79"/>
      <c r="Y210" s="44" t="str">
        <f>VLOOKUP(M210,Table1[#All],2,FALSE)</f>
        <v xml:space="preserve">Task Post Pmt Queue </v>
      </c>
      <c r="Z210" s="59" t="str">
        <f>VLOOKUP(M210,Table1[#All],9,FALSE)</f>
        <v>Additional Notes:</v>
      </c>
      <c r="AA210" s="76" t="s">
        <v>4085</v>
      </c>
      <c r="AB210" s="76" t="s">
        <v>3697</v>
      </c>
      <c r="AC210" s="90" t="s">
        <v>115</v>
      </c>
      <c r="AD210" s="76" t="s">
        <v>177</v>
      </c>
      <c r="AE210" s="77" t="s">
        <v>3776</v>
      </c>
      <c r="AF210" s="110">
        <v>44622</v>
      </c>
      <c r="AG210" s="41" t="s">
        <v>101</v>
      </c>
    </row>
    <row r="211" spans="1:33" ht="21" hidden="1" x14ac:dyDescent="0.55000000000000004">
      <c r="A211" s="44" t="str">
        <f>Data!K210</f>
        <v>Dentaquest</v>
      </c>
      <c r="B211" s="44" t="str">
        <f>Data!L210</f>
        <v>8004177140</v>
      </c>
      <c r="C211" s="44" t="str">
        <f>Data!D210</f>
        <v>Turner, Neylon</v>
      </c>
      <c r="D211" s="82" t="str">
        <f>Data!F210</f>
        <v>1448546613</v>
      </c>
      <c r="E211" s="82" t="str">
        <f>Data!B210</f>
        <v>3075</v>
      </c>
      <c r="F211" s="44" t="str">
        <f>Data!A210</f>
        <v>Turner, Neylon</v>
      </c>
      <c r="G211" s="55" t="str">
        <f>Data!C210</f>
        <v>8/16/2015</v>
      </c>
      <c r="H211" s="56">
        <f>Data!H210</f>
        <v>44407</v>
      </c>
      <c r="I211" s="56" t="str">
        <f>Data!I210</f>
        <v>11/11/2021</v>
      </c>
      <c r="J211" s="57">
        <f>Data!J210</f>
        <v>278.39999999999998</v>
      </c>
      <c r="K211" s="58">
        <f t="shared" ca="1" si="3"/>
        <v>189</v>
      </c>
      <c r="L211" s="58">
        <f>Data!M210</f>
        <v>0</v>
      </c>
      <c r="M211" s="37" t="s">
        <v>5</v>
      </c>
      <c r="N211" s="43" t="str">
        <f>VLOOKUP(M211,Table1[#All],3,FALSE)</f>
        <v>Claim Paid by EFT;</v>
      </c>
      <c r="O211" s="40" t="str">
        <f>VLOOKUP(M211,Table1[#All],4,FALSE)</f>
        <v>Issue Date:</v>
      </c>
      <c r="P211" s="38">
        <v>44519</v>
      </c>
      <c r="Q211" s="40" t="str">
        <f>VLOOKUP(M211,Table1[#All],5,FALSE)</f>
        <v>EFT#</v>
      </c>
      <c r="R211" s="79">
        <v>6495157217</v>
      </c>
      <c r="S211" s="40" t="str">
        <f>VLOOKUP(M211,Table1[#All],6,FALSE)</f>
        <v>Bulk/Sep:</v>
      </c>
      <c r="T211" s="79" t="s">
        <v>3952</v>
      </c>
      <c r="U211" s="40" t="str">
        <f>VLOOKUP(M211,Table1[#All],7,FALSE)</f>
        <v>Call Ref#:</v>
      </c>
      <c r="V211" s="79" t="s">
        <v>4078</v>
      </c>
      <c r="W211" s="40" t="str">
        <f>VLOOKUP(M211,Table1[#All],8,FALSE)</f>
        <v>Cust Rep:</v>
      </c>
      <c r="X211" s="79"/>
      <c r="Y211" s="44" t="str">
        <f>VLOOKUP(M211,Table1[#All],2,FALSE)</f>
        <v xml:space="preserve">Task Post Pmt Queue </v>
      </c>
      <c r="Z211" s="59" t="str">
        <f>VLOOKUP(M211,Table1[#All],9,FALSE)</f>
        <v>Additional Notes:</v>
      </c>
      <c r="AA211" s="76" t="s">
        <v>4084</v>
      </c>
      <c r="AB211" s="76" t="s">
        <v>3697</v>
      </c>
      <c r="AC211" s="90" t="s">
        <v>115</v>
      </c>
      <c r="AD211" s="76" t="s">
        <v>177</v>
      </c>
      <c r="AE211" s="77" t="s">
        <v>3776</v>
      </c>
      <c r="AF211" s="110">
        <v>44622</v>
      </c>
      <c r="AG211" s="41" t="s">
        <v>101</v>
      </c>
    </row>
    <row r="212" spans="1:33" ht="21" hidden="1" x14ac:dyDescent="0.55000000000000004">
      <c r="A212" s="44" t="str">
        <f>Data!K211</f>
        <v>Dentaquest</v>
      </c>
      <c r="B212" s="44" t="str">
        <f>Data!L211</f>
        <v>8004177140</v>
      </c>
      <c r="C212" s="44" t="str">
        <f>Data!D211</f>
        <v>Fleifel, Noor</v>
      </c>
      <c r="D212" s="82" t="str">
        <f>Data!F211</f>
        <v>7401651173</v>
      </c>
      <c r="E212" s="82" t="str">
        <f>Data!B211</f>
        <v>7477</v>
      </c>
      <c r="F212" s="44" t="str">
        <f>Data!A211</f>
        <v>Fleifel, Noor</v>
      </c>
      <c r="G212" s="55" t="str">
        <f>Data!C211</f>
        <v>6/11/2001</v>
      </c>
      <c r="H212" s="56">
        <f>Data!H211</f>
        <v>44508</v>
      </c>
      <c r="I212" s="56" t="str">
        <f>Data!I211</f>
        <v>11/9/2021</v>
      </c>
      <c r="J212" s="57">
        <f>Data!J211</f>
        <v>243.6</v>
      </c>
      <c r="K212" s="58">
        <f t="shared" ca="1" si="3"/>
        <v>191</v>
      </c>
      <c r="L212" s="58">
        <f>Data!M211</f>
        <v>0</v>
      </c>
      <c r="M212" s="37" t="s">
        <v>5</v>
      </c>
      <c r="N212" s="43" t="str">
        <f>VLOOKUP(M212,Table1[#All],3,FALSE)</f>
        <v>Claim Paid by EFT;</v>
      </c>
      <c r="O212" s="40" t="str">
        <f>VLOOKUP(M212,Table1[#All],4,FALSE)</f>
        <v>Issue Date:</v>
      </c>
      <c r="P212" s="39"/>
      <c r="Q212" s="40" t="str">
        <f>VLOOKUP(M212,Table1[#All],5,FALSE)</f>
        <v>EFT#</v>
      </c>
      <c r="R212" s="79">
        <v>4085155714</v>
      </c>
      <c r="S212" s="40" t="str">
        <f>VLOOKUP(M212,Table1[#All],6,FALSE)</f>
        <v>Bulk/Sep:</v>
      </c>
      <c r="T212" s="79" t="s">
        <v>3952</v>
      </c>
      <c r="U212" s="40" t="str">
        <f>VLOOKUP(M212,Table1[#All],7,FALSE)</f>
        <v>Call Ref#:</v>
      </c>
      <c r="V212" s="79" t="s">
        <v>4078</v>
      </c>
      <c r="W212" s="40" t="str">
        <f>VLOOKUP(M212,Table1[#All],8,FALSE)</f>
        <v>Cust Rep:</v>
      </c>
      <c r="X212" s="79"/>
      <c r="Y212" s="44" t="str">
        <f>VLOOKUP(M212,Table1[#All],2,FALSE)</f>
        <v xml:space="preserve">Task Post Pmt Queue </v>
      </c>
      <c r="Z212" s="59" t="str">
        <f>VLOOKUP(M212,Table1[#All],9,FALSE)</f>
        <v>Additional Notes:</v>
      </c>
      <c r="AA212" s="76" t="s">
        <v>4083</v>
      </c>
      <c r="AB212" s="76" t="s">
        <v>3697</v>
      </c>
      <c r="AC212" s="90" t="s">
        <v>115</v>
      </c>
      <c r="AD212" s="76" t="s">
        <v>177</v>
      </c>
      <c r="AE212" s="77" t="s">
        <v>3776</v>
      </c>
      <c r="AF212" s="110">
        <v>44622</v>
      </c>
      <c r="AG212" s="41" t="s">
        <v>101</v>
      </c>
    </row>
    <row r="213" spans="1:33" ht="42" hidden="1" x14ac:dyDescent="0.55000000000000004">
      <c r="A213" s="44" t="str">
        <f>Data!K212</f>
        <v>Dentaquest</v>
      </c>
      <c r="B213" s="44" t="str">
        <f>Data!L212</f>
        <v>8004177140</v>
      </c>
      <c r="C213" s="44" t="str">
        <f>Data!D212</f>
        <v xml:space="preserve">Donson , Jaivion </v>
      </c>
      <c r="D213" s="82" t="str">
        <f>Data!F212</f>
        <v>723155665</v>
      </c>
      <c r="E213" s="82" t="str">
        <f>Data!B212</f>
        <v>8054</v>
      </c>
      <c r="F213" s="44" t="str">
        <f>Data!A212</f>
        <v xml:space="preserve">Donson , Jaivion </v>
      </c>
      <c r="G213" s="55" t="str">
        <f>Data!C212</f>
        <v>11/17/2016</v>
      </c>
      <c r="H213" s="56">
        <f>Data!H212</f>
        <v>44504</v>
      </c>
      <c r="I213" s="56" t="str">
        <f>Data!I212</f>
        <v>11/9/2021</v>
      </c>
      <c r="J213" s="57">
        <f>Data!J212</f>
        <v>100</v>
      </c>
      <c r="K213" s="58">
        <f t="shared" ca="1" si="3"/>
        <v>191</v>
      </c>
      <c r="L213" s="58">
        <f>Data!M212</f>
        <v>0</v>
      </c>
      <c r="M213" s="37" t="s">
        <v>20</v>
      </c>
      <c r="N213" s="43" t="str">
        <f>VLOOKUP(M213,Table1[#All],3,FALSE)</f>
        <v>Ins needs more info, need to submit;</v>
      </c>
      <c r="O213" s="40" t="str">
        <f>VLOOKUP(M213,Table1[#All],4,FALSE)</f>
        <v>Attachments/Info needed?</v>
      </c>
      <c r="P213" s="39" t="s">
        <v>4081</v>
      </c>
      <c r="Q213" s="40" t="str">
        <f>VLOOKUP(M213,Table1[#All],5,FALSE)</f>
        <v>Fax # (If Fax Yes):</v>
      </c>
      <c r="R213" s="79"/>
      <c r="S213" s="40" t="str">
        <f>VLOOKUP(M213,Table1[#All],6,FALSE)</f>
        <v>Call Ref#:</v>
      </c>
      <c r="T213" s="79"/>
      <c r="U213" s="40" t="str">
        <f>VLOOKUP(M213,Table1[#All],7,FALSE)</f>
        <v>Cust Rep:</v>
      </c>
      <c r="V213" s="79"/>
      <c r="W213" s="40">
        <f>VLOOKUP(M213,Table1[#All],8,FALSE)</f>
        <v>0</v>
      </c>
      <c r="X213" s="79"/>
      <c r="Y213" s="44" t="str">
        <f>VLOOKUP(M213,Table1[#All],2,FALSE)</f>
        <v xml:space="preserve">Task Sub Pending Claims Queue </v>
      </c>
      <c r="Z213" s="59" t="str">
        <f>VLOOKUP(M213,Table1[#All],9,FALSE)</f>
        <v>Additional Notes:</v>
      </c>
      <c r="AA213" s="76" t="s">
        <v>4082</v>
      </c>
      <c r="AB213" s="76" t="s">
        <v>3697</v>
      </c>
      <c r="AC213" s="90" t="s">
        <v>115</v>
      </c>
      <c r="AD213" s="76" t="s">
        <v>177</v>
      </c>
      <c r="AE213" s="77" t="s">
        <v>3776</v>
      </c>
      <c r="AF213" s="110">
        <v>44622</v>
      </c>
      <c r="AG213" s="41" t="s">
        <v>101</v>
      </c>
    </row>
    <row r="214" spans="1:33" ht="21" hidden="1" x14ac:dyDescent="0.55000000000000004">
      <c r="A214" s="44" t="str">
        <f>Data!K213</f>
        <v>Dentaquest</v>
      </c>
      <c r="B214" s="44" t="str">
        <f>Data!L213</f>
        <v>8004177140</v>
      </c>
      <c r="C214" s="44" t="str">
        <f>Data!D213</f>
        <v xml:space="preserve">Rivera, Angel </v>
      </c>
      <c r="D214" s="82" t="str">
        <f>Data!F213</f>
        <v>5450254059</v>
      </c>
      <c r="E214" s="82" t="str">
        <f>Data!B213</f>
        <v>7772</v>
      </c>
      <c r="F214" s="44" t="str">
        <f>Data!A213</f>
        <v xml:space="preserve">Rivera, Angel </v>
      </c>
      <c r="G214" s="55" t="str">
        <f>Data!C213</f>
        <v>8/2/2016</v>
      </c>
      <c r="H214" s="56">
        <f>Data!H213</f>
        <v>44502</v>
      </c>
      <c r="I214" s="56" t="str">
        <f>Data!I213</f>
        <v>11/8/2021</v>
      </c>
      <c r="J214" s="57">
        <f>Data!J213</f>
        <v>701.2</v>
      </c>
      <c r="K214" s="58">
        <f t="shared" ca="1" si="3"/>
        <v>192</v>
      </c>
      <c r="L214" s="58">
        <f>Data!M213</f>
        <v>0</v>
      </c>
      <c r="M214" s="37" t="s">
        <v>5</v>
      </c>
      <c r="N214" s="43" t="str">
        <f>VLOOKUP(M214,Table1[#All],3,FALSE)</f>
        <v>Claim Paid by EFT;</v>
      </c>
      <c r="O214" s="40" t="str">
        <f>VLOOKUP(M214,Table1[#All],4,FALSE)</f>
        <v>Issue Date:</v>
      </c>
      <c r="P214" s="38">
        <v>44526</v>
      </c>
      <c r="Q214" s="40" t="str">
        <f>VLOOKUP(M214,Table1[#All],5,FALSE)</f>
        <v>EFT#</v>
      </c>
      <c r="R214" s="79">
        <v>6495159573</v>
      </c>
      <c r="S214" s="40" t="str">
        <f>VLOOKUP(M214,Table1[#All],6,FALSE)</f>
        <v>Bulk/Sep:</v>
      </c>
      <c r="T214" s="79" t="s">
        <v>3952</v>
      </c>
      <c r="U214" s="40" t="str">
        <f>VLOOKUP(M214,Table1[#All],7,FALSE)</f>
        <v>Call Ref#:</v>
      </c>
      <c r="V214" s="79" t="s">
        <v>4078</v>
      </c>
      <c r="W214" s="40" t="str">
        <f>VLOOKUP(M214,Table1[#All],8,FALSE)</f>
        <v>Cust Rep:</v>
      </c>
      <c r="X214" s="79"/>
      <c r="Y214" s="44" t="str">
        <f>VLOOKUP(M214,Table1[#All],2,FALSE)</f>
        <v xml:space="preserve">Task Post Pmt Queue </v>
      </c>
      <c r="Z214" s="59" t="str">
        <f>VLOOKUP(M214,Table1[#All],9,FALSE)</f>
        <v>Additional Notes:</v>
      </c>
      <c r="AA214" s="76" t="s">
        <v>4080</v>
      </c>
      <c r="AB214" s="76" t="s">
        <v>3697</v>
      </c>
      <c r="AC214" s="90" t="s">
        <v>115</v>
      </c>
      <c r="AD214" s="76" t="s">
        <v>177</v>
      </c>
      <c r="AE214" s="77" t="s">
        <v>3776</v>
      </c>
      <c r="AF214" s="110">
        <v>44622</v>
      </c>
      <c r="AG214" s="41" t="s">
        <v>101</v>
      </c>
    </row>
    <row r="215" spans="1:33" ht="21" hidden="1" x14ac:dyDescent="0.55000000000000004">
      <c r="A215" s="44" t="str">
        <f>Data!K214</f>
        <v>Dentaquest</v>
      </c>
      <c r="B215" s="44" t="str">
        <f>Data!L214</f>
        <v>8004177140</v>
      </c>
      <c r="C215" s="44" t="str">
        <f>Data!D214</f>
        <v xml:space="preserve">Sanford , Kiyus </v>
      </c>
      <c r="D215" s="82" t="str">
        <f>Data!F214</f>
        <v>724304682</v>
      </c>
      <c r="E215" s="82" t="str">
        <f>Data!B214</f>
        <v>7056</v>
      </c>
      <c r="F215" s="44" t="str">
        <f>Data!A214</f>
        <v xml:space="preserve">Sanford , Kiyus </v>
      </c>
      <c r="G215" s="55" t="str">
        <f>Data!C214</f>
        <v>8/15/2016</v>
      </c>
      <c r="H215" s="56">
        <f>Data!H214</f>
        <v>44503</v>
      </c>
      <c r="I215" s="56" t="str">
        <f>Data!I214</f>
        <v>11/5/2021</v>
      </c>
      <c r="J215" s="57">
        <f>Data!J214</f>
        <v>326.8</v>
      </c>
      <c r="K215" s="58">
        <f t="shared" ca="1" si="3"/>
        <v>195</v>
      </c>
      <c r="L215" s="58">
        <f>Data!M214</f>
        <v>0</v>
      </c>
      <c r="M215" s="37" t="s">
        <v>5</v>
      </c>
      <c r="N215" s="43" t="str">
        <f>VLOOKUP(M215,Table1[#All],3,FALSE)</f>
        <v>Claim Paid by EFT;</v>
      </c>
      <c r="O215" s="40" t="str">
        <f>VLOOKUP(M215,Table1[#All],4,FALSE)</f>
        <v>Issue Date:</v>
      </c>
      <c r="P215" s="38">
        <v>44512</v>
      </c>
      <c r="Q215" s="40" t="str">
        <f>VLOOKUP(M215,Table1[#All],5,FALSE)</f>
        <v>EFT#</v>
      </c>
      <c r="R215" s="79">
        <v>5407969938</v>
      </c>
      <c r="S215" s="40" t="str">
        <f>VLOOKUP(M215,Table1[#All],6,FALSE)</f>
        <v>Bulk/Sep:</v>
      </c>
      <c r="T215" s="79" t="s">
        <v>3952</v>
      </c>
      <c r="U215" s="40" t="str">
        <f>VLOOKUP(M215,Table1[#All],7,FALSE)</f>
        <v>Call Ref#:</v>
      </c>
      <c r="V215" s="79" t="s">
        <v>4078</v>
      </c>
      <c r="W215" s="40" t="str">
        <f>VLOOKUP(M215,Table1[#All],8,FALSE)</f>
        <v>Cust Rep:</v>
      </c>
      <c r="X215" s="79"/>
      <c r="Y215" s="44" t="str">
        <f>VLOOKUP(M215,Table1[#All],2,FALSE)</f>
        <v xml:space="preserve">Task Post Pmt Queue </v>
      </c>
      <c r="Z215" s="59" t="str">
        <f>VLOOKUP(M215,Table1[#All],9,FALSE)</f>
        <v>Additional Notes:</v>
      </c>
      <c r="AA215" s="76" t="s">
        <v>4079</v>
      </c>
      <c r="AB215" s="76" t="s">
        <v>3697</v>
      </c>
      <c r="AC215" s="90" t="s">
        <v>115</v>
      </c>
      <c r="AD215" s="76" t="s">
        <v>177</v>
      </c>
      <c r="AE215" s="77" t="s">
        <v>3776</v>
      </c>
      <c r="AF215" s="110">
        <v>44622</v>
      </c>
      <c r="AG215" s="41" t="s">
        <v>101</v>
      </c>
    </row>
    <row r="216" spans="1:33" ht="33" hidden="1" x14ac:dyDescent="0.55000000000000004">
      <c r="A216" s="44" t="str">
        <f>Data!K215</f>
        <v>Dentaquest</v>
      </c>
      <c r="B216" s="44" t="str">
        <f>Data!L215</f>
        <v>8004177140</v>
      </c>
      <c r="C216" s="44" t="str">
        <f>Data!D215</f>
        <v xml:space="preserve">Villarreal , Irma </v>
      </c>
      <c r="D216" s="82" t="str">
        <f>Data!F215</f>
        <v>720528281</v>
      </c>
      <c r="E216" s="82" t="str">
        <f>Data!B215</f>
        <v>8333</v>
      </c>
      <c r="F216" s="44" t="str">
        <f>Data!A215</f>
        <v xml:space="preserve">Villarreal , Irma </v>
      </c>
      <c r="G216" s="55" t="str">
        <f>Data!C215</f>
        <v>2/24/1958</v>
      </c>
      <c r="H216" s="56">
        <f>Data!H215</f>
        <v>44497</v>
      </c>
      <c r="I216" s="56" t="str">
        <f>Data!I215</f>
        <v>11/2/2021</v>
      </c>
      <c r="J216" s="57">
        <f>Data!J215</f>
        <v>351.2</v>
      </c>
      <c r="K216" s="58">
        <f t="shared" ca="1" si="3"/>
        <v>198</v>
      </c>
      <c r="L216" s="58">
        <f>Data!M215</f>
        <v>0</v>
      </c>
      <c r="M216" s="37" t="s">
        <v>5</v>
      </c>
      <c r="N216" s="43" t="str">
        <f>VLOOKUP(M216,Table1[#All],3,FALSE)</f>
        <v>Claim Paid by EFT;</v>
      </c>
      <c r="O216" s="40" t="str">
        <f>VLOOKUP(M216,Table1[#All],4,FALSE)</f>
        <v>Issue Date:</v>
      </c>
      <c r="P216" s="39"/>
      <c r="Q216" s="40" t="str">
        <f>VLOOKUP(M216,Table1[#All],5,FALSE)</f>
        <v>EFT#</v>
      </c>
      <c r="R216" s="79">
        <v>5407963735</v>
      </c>
      <c r="S216" s="40" t="str">
        <f>VLOOKUP(M216,Table1[#All],6,FALSE)</f>
        <v>Bulk/Sep:</v>
      </c>
      <c r="T216" s="79" t="s">
        <v>3800</v>
      </c>
      <c r="U216" s="40" t="str">
        <f>VLOOKUP(M216,Table1[#All],7,FALSE)</f>
        <v>Call Ref#:</v>
      </c>
      <c r="V216" s="79" t="s">
        <v>4075</v>
      </c>
      <c r="W216" s="40" t="str">
        <f>VLOOKUP(M216,Table1[#All],8,FALSE)</f>
        <v>Cust Rep:</v>
      </c>
      <c r="X216" s="79" t="s">
        <v>4073</v>
      </c>
      <c r="Y216" s="44" t="str">
        <f>VLOOKUP(M216,Table1[#All],2,FALSE)</f>
        <v xml:space="preserve">Task Post Pmt Queue </v>
      </c>
      <c r="Z216" s="59" t="str">
        <f>VLOOKUP(M216,Table1[#All],9,FALSE)</f>
        <v>Additional Notes:</v>
      </c>
      <c r="AA216" s="76" t="s">
        <v>4077</v>
      </c>
      <c r="AB216" s="76" t="s">
        <v>3697</v>
      </c>
      <c r="AC216" s="90" t="s">
        <v>115</v>
      </c>
      <c r="AD216" s="76" t="s">
        <v>177</v>
      </c>
      <c r="AE216" s="77" t="s">
        <v>3770</v>
      </c>
      <c r="AF216" s="110">
        <v>44592</v>
      </c>
      <c r="AG216" s="41" t="s">
        <v>101</v>
      </c>
    </row>
    <row r="217" spans="1:33" ht="33" hidden="1" x14ac:dyDescent="0.55000000000000004">
      <c r="A217" s="44" t="str">
        <f>Data!K216</f>
        <v>Dentaquest</v>
      </c>
      <c r="B217" s="44" t="str">
        <f>Data!L216</f>
        <v>8004177140</v>
      </c>
      <c r="C217" s="44" t="str">
        <f>Data!D216</f>
        <v>De Jesus , Ariel</v>
      </c>
      <c r="D217" s="82" t="str">
        <f>Data!F216</f>
        <v>729253651</v>
      </c>
      <c r="E217" s="82" t="str">
        <f>Data!B216</f>
        <v>7387</v>
      </c>
      <c r="F217" s="44" t="str">
        <f>Data!A216</f>
        <v>De Jesus , Ariel</v>
      </c>
      <c r="G217" s="55" t="str">
        <f>Data!C216</f>
        <v>11/6/1989</v>
      </c>
      <c r="H217" s="56">
        <f>Data!H216</f>
        <v>44498</v>
      </c>
      <c r="I217" s="56" t="str">
        <f>Data!I216</f>
        <v>11/1/2021</v>
      </c>
      <c r="J217" s="57">
        <f>Data!J216</f>
        <v>818.4</v>
      </c>
      <c r="K217" s="58">
        <f t="shared" ca="1" si="3"/>
        <v>199</v>
      </c>
      <c r="L217" s="58">
        <f>Data!M216</f>
        <v>0</v>
      </c>
      <c r="M217" s="37" t="s">
        <v>5</v>
      </c>
      <c r="N217" s="43" t="str">
        <f>VLOOKUP(M217,Table1[#All],3,FALSE)</f>
        <v>Claim Paid by EFT;</v>
      </c>
      <c r="O217" s="40" t="str">
        <f>VLOOKUP(M217,Table1[#All],4,FALSE)</f>
        <v>Issue Date:</v>
      </c>
      <c r="P217" s="38">
        <v>44519</v>
      </c>
      <c r="Q217" s="40" t="str">
        <f>VLOOKUP(M217,Table1[#All],5,FALSE)</f>
        <v>EFT#</v>
      </c>
      <c r="R217" s="79">
        <v>5407975866</v>
      </c>
      <c r="S217" s="40" t="str">
        <f>VLOOKUP(M217,Table1[#All],6,FALSE)</f>
        <v>Bulk/Sep:</v>
      </c>
      <c r="T217" s="79" t="s">
        <v>3800</v>
      </c>
      <c r="U217" s="40" t="str">
        <f>VLOOKUP(M217,Table1[#All],7,FALSE)</f>
        <v>Call Ref#:</v>
      </c>
      <c r="V217" s="79" t="s">
        <v>4075</v>
      </c>
      <c r="W217" s="40" t="str">
        <f>VLOOKUP(M217,Table1[#All],8,FALSE)</f>
        <v>Cust Rep:</v>
      </c>
      <c r="X217" s="79" t="s">
        <v>4073</v>
      </c>
      <c r="Y217" s="44" t="str">
        <f>VLOOKUP(M217,Table1[#All],2,FALSE)</f>
        <v xml:space="preserve">Task Post Pmt Queue </v>
      </c>
      <c r="Z217" s="59" t="str">
        <f>VLOOKUP(M217,Table1[#All],9,FALSE)</f>
        <v>Additional Notes:</v>
      </c>
      <c r="AA217" s="76" t="s">
        <v>4076</v>
      </c>
      <c r="AB217" s="76" t="s">
        <v>3697</v>
      </c>
      <c r="AC217" s="90" t="s">
        <v>115</v>
      </c>
      <c r="AD217" s="76" t="s">
        <v>177</v>
      </c>
      <c r="AE217" s="77" t="s">
        <v>3770</v>
      </c>
      <c r="AF217" s="110">
        <v>44592</v>
      </c>
      <c r="AG217" s="41" t="s">
        <v>101</v>
      </c>
    </row>
    <row r="218" spans="1:33" ht="33" hidden="1" x14ac:dyDescent="0.55000000000000004">
      <c r="A218" s="44" t="str">
        <f>Data!K217</f>
        <v>Dentaquest</v>
      </c>
      <c r="B218" s="44" t="str">
        <f>Data!L217</f>
        <v>8004177140</v>
      </c>
      <c r="C218" s="44" t="str">
        <f>Data!D217</f>
        <v xml:space="preserve">Chavez Vasquez, Camila </v>
      </c>
      <c r="D218" s="82" t="str">
        <f>Data!F217</f>
        <v>728721171</v>
      </c>
      <c r="E218" s="82" t="str">
        <f>Data!B217</f>
        <v>4567</v>
      </c>
      <c r="F218" s="44" t="str">
        <f>Data!A217</f>
        <v xml:space="preserve">Chavez Vasquez, Camila </v>
      </c>
      <c r="G218" s="55" t="str">
        <f>Data!C217</f>
        <v>12/12/2012</v>
      </c>
      <c r="H218" s="56">
        <f>Data!H217</f>
        <v>44495</v>
      </c>
      <c r="I218" s="56" t="str">
        <f>Data!I217</f>
        <v>10/28/2021</v>
      </c>
      <c r="J218" s="57">
        <f>Data!J217</f>
        <v>1164.4000000000001</v>
      </c>
      <c r="K218" s="58">
        <f t="shared" ca="1" si="3"/>
        <v>203</v>
      </c>
      <c r="L218" s="58">
        <f>Data!M217</f>
        <v>0</v>
      </c>
      <c r="M218" s="37" t="s">
        <v>5</v>
      </c>
      <c r="N218" s="43" t="str">
        <f>VLOOKUP(M218,Table1[#All],3,FALSE)</f>
        <v>Claim Paid by EFT;</v>
      </c>
      <c r="O218" s="40" t="str">
        <f>VLOOKUP(M218,Table1[#All],4,FALSE)</f>
        <v>Issue Date:</v>
      </c>
      <c r="P218" s="38">
        <v>44505</v>
      </c>
      <c r="Q218" s="40" t="str">
        <f>VLOOKUP(M218,Table1[#All],5,FALSE)</f>
        <v>EFT#</v>
      </c>
      <c r="R218" s="79">
        <v>5407963735</v>
      </c>
      <c r="S218" s="40" t="str">
        <f>VLOOKUP(M218,Table1[#All],6,FALSE)</f>
        <v>Bulk/Sep:</v>
      </c>
      <c r="T218" s="79" t="s">
        <v>3800</v>
      </c>
      <c r="U218" s="40" t="str">
        <f>VLOOKUP(M218,Table1[#All],7,FALSE)</f>
        <v>Call Ref#:</v>
      </c>
      <c r="V218" s="79" t="s">
        <v>4067</v>
      </c>
      <c r="W218" s="40" t="str">
        <f>VLOOKUP(M218,Table1[#All],8,FALSE)</f>
        <v>Cust Rep:</v>
      </c>
      <c r="X218" s="79" t="s">
        <v>4073</v>
      </c>
      <c r="Y218" s="44" t="str">
        <f>VLOOKUP(M218,Table1[#All],2,FALSE)</f>
        <v xml:space="preserve">Task Post Pmt Queue </v>
      </c>
      <c r="Z218" s="59" t="str">
        <f>VLOOKUP(M218,Table1[#All],9,FALSE)</f>
        <v>Additional Notes:</v>
      </c>
      <c r="AA218" s="76" t="s">
        <v>4074</v>
      </c>
      <c r="AB218" s="76" t="s">
        <v>3697</v>
      </c>
      <c r="AC218" s="90" t="s">
        <v>115</v>
      </c>
      <c r="AD218" s="76" t="s">
        <v>177</v>
      </c>
      <c r="AE218" s="77" t="s">
        <v>3770</v>
      </c>
      <c r="AF218" s="110">
        <v>44587</v>
      </c>
      <c r="AG218" s="41" t="s">
        <v>101</v>
      </c>
    </row>
    <row r="219" spans="1:33" ht="42" hidden="1" x14ac:dyDescent="0.55000000000000004">
      <c r="A219" s="44" t="str">
        <f>Data!K218</f>
        <v>Dentaquest</v>
      </c>
      <c r="B219" s="44" t="str">
        <f>Data!L218</f>
        <v>8004177140</v>
      </c>
      <c r="C219" s="44" t="str">
        <f>Data!D218</f>
        <v xml:space="preserve">Zamora , Adrian </v>
      </c>
      <c r="D219" s="82" t="str">
        <f>Data!F218</f>
        <v>731734356</v>
      </c>
      <c r="E219" s="82" t="str">
        <f>Data!B218</f>
        <v>5270</v>
      </c>
      <c r="F219" s="44" t="str">
        <f>Data!A218</f>
        <v xml:space="preserve">Zamora , Adrian </v>
      </c>
      <c r="G219" s="55" t="str">
        <f>Data!C218</f>
        <v>11/30/2009</v>
      </c>
      <c r="H219" s="56">
        <f>Data!H218</f>
        <v>44105</v>
      </c>
      <c r="I219" s="56" t="str">
        <f>Data!I218</f>
        <v>10/22/2021</v>
      </c>
      <c r="J219" s="57">
        <f>Data!J218</f>
        <v>273.2</v>
      </c>
      <c r="K219" s="58">
        <f t="shared" ca="1" si="3"/>
        <v>209</v>
      </c>
      <c r="L219" s="58">
        <f>Data!M218</f>
        <v>0</v>
      </c>
      <c r="M219" s="37" t="s">
        <v>30</v>
      </c>
      <c r="N219" s="43" t="str">
        <f>VLOOKUP(M219,Table1[#All],3,FALSE)</f>
        <v>Claim not on file. Patient is active ;</v>
      </c>
      <c r="O219" s="40" t="str">
        <f>VLOOKUP(M219,Table1[#All],4,FALSE)</f>
        <v>Payor ID &amp; Address:</v>
      </c>
      <c r="P219" s="39" t="s">
        <v>3916</v>
      </c>
      <c r="Q219" s="40" t="str">
        <f>VLOOKUP(M219,Table1[#All],5,FALSE)</f>
        <v>Fax # (If Fax Yes):</v>
      </c>
      <c r="R219" s="79">
        <v>2628343589</v>
      </c>
      <c r="S219" s="40" t="str">
        <f>VLOOKUP(M219,Table1[#All],6,FALSE)</f>
        <v>TFL in Mnths:</v>
      </c>
      <c r="T219" s="79" t="s">
        <v>4071</v>
      </c>
      <c r="U219" s="40" t="str">
        <f>VLOOKUP(M219,Table1[#All],7,FALSE)</f>
        <v>Call Ref#:</v>
      </c>
      <c r="V219" s="79">
        <v>202201315472</v>
      </c>
      <c r="W219" s="40" t="str">
        <f>VLOOKUP(M219,Table1[#All],8,FALSE)</f>
        <v>Cust Rep:</v>
      </c>
      <c r="X219" s="79"/>
      <c r="Y219" s="44" t="str">
        <f>VLOOKUP(M219,Table1[#All],2,FALSE)</f>
        <v>Task Sub Pending Claims Queue</v>
      </c>
      <c r="Z219" s="59" t="str">
        <f>VLOOKUP(M219,Table1[#All],9,FALSE)</f>
        <v>Additional Notes:</v>
      </c>
      <c r="AA219" s="76" t="s">
        <v>4072</v>
      </c>
      <c r="AB219" s="76" t="s">
        <v>3697</v>
      </c>
      <c r="AC219" s="90" t="s">
        <v>185</v>
      </c>
      <c r="AD219" s="76" t="s">
        <v>177</v>
      </c>
      <c r="AE219" s="77" t="s">
        <v>3776</v>
      </c>
      <c r="AF219" s="110">
        <v>44658</v>
      </c>
      <c r="AG219" s="41" t="s">
        <v>101</v>
      </c>
    </row>
    <row r="220" spans="1:33" ht="42" hidden="1" x14ac:dyDescent="0.55000000000000004">
      <c r="A220" s="44" t="str">
        <f>Data!K219</f>
        <v>Dentaquest</v>
      </c>
      <c r="B220" s="44" t="str">
        <f>Data!L219</f>
        <v>8004177140</v>
      </c>
      <c r="C220" s="44" t="str">
        <f>Data!D219</f>
        <v xml:space="preserve">Agosto, Jessica </v>
      </c>
      <c r="D220" s="82" t="str">
        <f>Data!F219</f>
        <v>1447088719</v>
      </c>
      <c r="E220" s="82" t="str">
        <f>Data!B219</f>
        <v>4720</v>
      </c>
      <c r="F220" s="44" t="str">
        <f>Data!A219</f>
        <v xml:space="preserve">Agosto, Jessica </v>
      </c>
      <c r="G220" s="55" t="str">
        <f>Data!C219</f>
        <v>3/7/1976</v>
      </c>
      <c r="H220" s="56">
        <f>Data!H219</f>
        <v>44490</v>
      </c>
      <c r="I220" s="56" t="str">
        <f>Data!I219</f>
        <v>12/11/2021</v>
      </c>
      <c r="J220" s="57">
        <f>Data!J219</f>
        <v>61.2</v>
      </c>
      <c r="K220" s="58">
        <f t="shared" ca="1" si="3"/>
        <v>159</v>
      </c>
      <c r="L220" s="58">
        <f>Data!M219</f>
        <v>0</v>
      </c>
      <c r="M220" s="37" t="s">
        <v>45</v>
      </c>
      <c r="N220" s="43" t="str">
        <f>VLOOKUP(M220,Table1[#All],3,FALSE)</f>
        <v>Procedure is not a covered benefit;</v>
      </c>
      <c r="O220" s="40" t="str">
        <f>VLOOKUP(M220,Table1[#All],4,FALSE)</f>
        <v xml:space="preserve">Why? </v>
      </c>
      <c r="P220" s="39" t="s">
        <v>4043</v>
      </c>
      <c r="Q220" s="40" t="str">
        <f>VLOOKUP(M220,Table1[#All],5,FALSE)</f>
        <v>Call Ref#:</v>
      </c>
      <c r="R220" s="79"/>
      <c r="S220" s="40" t="str">
        <f>VLOOKUP(M220,Table1[#All],6,FALSE)</f>
        <v>Cust Rep:</v>
      </c>
      <c r="T220" s="79"/>
      <c r="U220" s="40">
        <f>VLOOKUP(M220,Table1[#All],7,FALSE)</f>
        <v>0</v>
      </c>
      <c r="V220" s="79"/>
      <c r="W220" s="40">
        <f>VLOOKUP(M220,Table1[#All],8,FALSE)</f>
        <v>0</v>
      </c>
      <c r="X220" s="79"/>
      <c r="Y220" s="44" t="str">
        <f>VLOOKUP(M220,Table1[#All],2,FALSE)</f>
        <v xml:space="preserve">Task Client - Denied Claim Queue </v>
      </c>
      <c r="Z220" s="59" t="str">
        <f>VLOOKUP(M220,Table1[#All],9,FALSE)</f>
        <v>Additional Notes:</v>
      </c>
      <c r="AA220" s="76" t="s">
        <v>4070</v>
      </c>
      <c r="AB220" s="76" t="s">
        <v>3697</v>
      </c>
      <c r="AC220" s="90" t="s">
        <v>115</v>
      </c>
      <c r="AD220" s="76" t="s">
        <v>177</v>
      </c>
      <c r="AE220" s="77" t="s">
        <v>3776</v>
      </c>
      <c r="AF220" s="110">
        <v>44638</v>
      </c>
      <c r="AG220" s="41" t="s">
        <v>101</v>
      </c>
    </row>
    <row r="221" spans="1:33" ht="63" hidden="1" x14ac:dyDescent="0.55000000000000004">
      <c r="A221" s="44" t="str">
        <f>Data!K220</f>
        <v>Dentaquest</v>
      </c>
      <c r="B221" s="44" t="str">
        <f>Data!L220</f>
        <v>8004177140</v>
      </c>
      <c r="C221" s="44" t="str">
        <f>Data!D220</f>
        <v>De Jesus , Ariel</v>
      </c>
      <c r="D221" s="82" t="str">
        <f>Data!F220</f>
        <v>729253651</v>
      </c>
      <c r="E221" s="82" t="str">
        <f>Data!B220</f>
        <v>7387</v>
      </c>
      <c r="F221" s="44" t="str">
        <f>Data!A220</f>
        <v>De Jesus , Ariel</v>
      </c>
      <c r="G221" s="55" t="str">
        <f>Data!C220</f>
        <v>11/6/1989</v>
      </c>
      <c r="H221" s="56">
        <f>Data!H220</f>
        <v>44490</v>
      </c>
      <c r="I221" s="56" t="str">
        <f>Data!I220</f>
        <v>10/22/2021</v>
      </c>
      <c r="J221" s="57">
        <f>Data!J220</f>
        <v>480</v>
      </c>
      <c r="K221" s="58">
        <f t="shared" ca="1" si="3"/>
        <v>209</v>
      </c>
      <c r="L221" s="58">
        <f>Data!M220</f>
        <v>0</v>
      </c>
      <c r="M221" s="37" t="s">
        <v>20</v>
      </c>
      <c r="N221" s="43" t="str">
        <f>VLOOKUP(M221,Table1[#All],3,FALSE)</f>
        <v>Ins needs more info, need to submit;</v>
      </c>
      <c r="O221" s="40" t="str">
        <f>VLOOKUP(M221,Table1[#All],4,FALSE)</f>
        <v>Attachments/Info needed?</v>
      </c>
      <c r="P221" s="39" t="s">
        <v>4066</v>
      </c>
      <c r="Q221" s="40" t="str">
        <f>VLOOKUP(M221,Table1[#All],5,FALSE)</f>
        <v>Fax # (If Fax Yes):</v>
      </c>
      <c r="R221" s="79"/>
      <c r="S221" s="40" t="str">
        <f>VLOOKUP(M221,Table1[#All],6,FALSE)</f>
        <v>Call Ref#:</v>
      </c>
      <c r="T221" s="79" t="s">
        <v>4067</v>
      </c>
      <c r="U221" s="40" t="str">
        <f>VLOOKUP(M221,Table1[#All],7,FALSE)</f>
        <v>Cust Rep:</v>
      </c>
      <c r="V221" s="79" t="s">
        <v>4068</v>
      </c>
      <c r="W221" s="40">
        <f>VLOOKUP(M221,Table1[#All],8,FALSE)</f>
        <v>0</v>
      </c>
      <c r="X221" s="79"/>
      <c r="Y221" s="44" t="str">
        <f>VLOOKUP(M221,Table1[#All],2,FALSE)</f>
        <v xml:space="preserve">Task Sub Pending Claims Queue </v>
      </c>
      <c r="Z221" s="59" t="str">
        <f>VLOOKUP(M221,Table1[#All],9,FALSE)</f>
        <v>Additional Notes:</v>
      </c>
      <c r="AA221" s="76" t="s">
        <v>4069</v>
      </c>
      <c r="AB221" s="76" t="s">
        <v>3697</v>
      </c>
      <c r="AC221" s="90" t="s">
        <v>115</v>
      </c>
      <c r="AD221" s="76" t="s">
        <v>177</v>
      </c>
      <c r="AE221" s="77" t="s">
        <v>3770</v>
      </c>
      <c r="AF221" s="110">
        <v>44587</v>
      </c>
      <c r="AG221" s="41" t="s">
        <v>101</v>
      </c>
    </row>
    <row r="222" spans="1:33" ht="33" hidden="1" x14ac:dyDescent="0.55000000000000004">
      <c r="A222" s="44" t="str">
        <f>Data!K221</f>
        <v>Dentaquest</v>
      </c>
      <c r="B222" s="44" t="str">
        <f>Data!L221</f>
        <v>8004177140</v>
      </c>
      <c r="C222" s="44" t="str">
        <f>Data!D221</f>
        <v xml:space="preserve">Steward, Tyauna </v>
      </c>
      <c r="D222" s="82" t="str">
        <f>Data!F221</f>
        <v>5401563957</v>
      </c>
      <c r="E222" s="82" t="str">
        <f>Data!B221</f>
        <v>8131</v>
      </c>
      <c r="F222" s="44" t="str">
        <f>Data!A221</f>
        <v xml:space="preserve">Steward, Tyauna </v>
      </c>
      <c r="G222" s="55" t="str">
        <f>Data!C221</f>
        <v>11/26/2000</v>
      </c>
      <c r="H222" s="56">
        <f>Data!H221</f>
        <v>44471</v>
      </c>
      <c r="I222" s="56" t="str">
        <f>Data!I221</f>
        <v>10/21/2021</v>
      </c>
      <c r="J222" s="57">
        <f>Data!J221</f>
        <v>332.4</v>
      </c>
      <c r="K222" s="58">
        <f t="shared" ca="1" si="3"/>
        <v>210</v>
      </c>
      <c r="L222" s="58">
        <f>Data!M221</f>
        <v>0</v>
      </c>
      <c r="M222" s="37" t="s">
        <v>5</v>
      </c>
      <c r="N222" s="43" t="str">
        <f>VLOOKUP(M222,Table1[#All],3,FALSE)</f>
        <v>Claim Paid by EFT;</v>
      </c>
      <c r="O222" s="40" t="str">
        <f>VLOOKUP(M222,Table1[#All],4,FALSE)</f>
        <v>Issue Date:</v>
      </c>
      <c r="P222" s="38">
        <v>44477</v>
      </c>
      <c r="Q222" s="40" t="str">
        <f>VLOOKUP(M222,Table1[#All],5,FALSE)</f>
        <v>EFT#</v>
      </c>
      <c r="R222" s="79">
        <v>4087945408</v>
      </c>
      <c r="S222" s="40" t="str">
        <f>VLOOKUP(M222,Table1[#All],6,FALSE)</f>
        <v>Bulk/Sep:</v>
      </c>
      <c r="T222" s="79" t="s">
        <v>3800</v>
      </c>
      <c r="U222" s="40" t="str">
        <f>VLOOKUP(M222,Table1[#All],7,FALSE)</f>
        <v>Call Ref#:</v>
      </c>
      <c r="V222" s="79" t="s">
        <v>4064</v>
      </c>
      <c r="W222" s="40" t="str">
        <f>VLOOKUP(M222,Table1[#All],8,FALSE)</f>
        <v>Cust Rep:</v>
      </c>
      <c r="X222" s="79" t="s">
        <v>4061</v>
      </c>
      <c r="Y222" s="44" t="str">
        <f>VLOOKUP(M222,Table1[#All],2,FALSE)</f>
        <v xml:space="preserve">Task Post Pmt Queue </v>
      </c>
      <c r="Z222" s="59" t="str">
        <f>VLOOKUP(M222,Table1[#All],9,FALSE)</f>
        <v>Additional Notes:</v>
      </c>
      <c r="AA222" s="76" t="s">
        <v>4065</v>
      </c>
      <c r="AB222" s="76" t="s">
        <v>3697</v>
      </c>
      <c r="AC222" s="90" t="s">
        <v>115</v>
      </c>
      <c r="AD222" s="76" t="s">
        <v>177</v>
      </c>
      <c r="AE222" s="77" t="s">
        <v>3770</v>
      </c>
      <c r="AF222" s="110">
        <v>44589</v>
      </c>
      <c r="AG222" s="41" t="s">
        <v>101</v>
      </c>
    </row>
    <row r="223" spans="1:33" ht="33" hidden="1" x14ac:dyDescent="0.55000000000000004">
      <c r="A223" s="44" t="str">
        <f>Data!K222</f>
        <v>Dentaquest</v>
      </c>
      <c r="B223" s="44" t="str">
        <f>Data!L222</f>
        <v>8004177140</v>
      </c>
      <c r="C223" s="44" t="str">
        <f>Data!D222</f>
        <v xml:space="preserve">Walker , Terry </v>
      </c>
      <c r="D223" s="82" t="str">
        <f>Data!F222</f>
        <v>729927684</v>
      </c>
      <c r="E223" s="82" t="str">
        <f>Data!B222</f>
        <v>5783</v>
      </c>
      <c r="F223" s="44" t="str">
        <f>Data!A222</f>
        <v xml:space="preserve">Walker , Terry </v>
      </c>
      <c r="G223" s="55" t="str">
        <f>Data!C222</f>
        <v>7/28/1970</v>
      </c>
      <c r="H223" s="56">
        <f>Data!H222</f>
        <v>44480</v>
      </c>
      <c r="I223" s="56" t="str">
        <f>Data!I222</f>
        <v>10/14/2021</v>
      </c>
      <c r="J223" s="57">
        <f>Data!J222</f>
        <v>332.4</v>
      </c>
      <c r="K223" s="58">
        <f t="shared" ca="1" si="3"/>
        <v>217</v>
      </c>
      <c r="L223" s="58">
        <f>Data!M222</f>
        <v>0</v>
      </c>
      <c r="M223" s="37" t="s">
        <v>5</v>
      </c>
      <c r="N223" s="43" t="str">
        <f>VLOOKUP(M223,Table1[#All],3,FALSE)</f>
        <v>Claim Paid by EFT;</v>
      </c>
      <c r="O223" s="40" t="str">
        <f>VLOOKUP(M223,Table1[#All],4,FALSE)</f>
        <v>Issue Date:</v>
      </c>
      <c r="P223" s="38">
        <v>44483</v>
      </c>
      <c r="Q223" s="40" t="str">
        <f>VLOOKUP(M223,Table1[#All],5,FALSE)</f>
        <v>EFT#</v>
      </c>
      <c r="R223" s="79">
        <v>5407951412</v>
      </c>
      <c r="S223" s="40" t="str">
        <f>VLOOKUP(M223,Table1[#All],6,FALSE)</f>
        <v>Bulk/Sep:</v>
      </c>
      <c r="T223" s="79" t="s">
        <v>3800</v>
      </c>
      <c r="U223" s="40" t="str">
        <f>VLOOKUP(M223,Table1[#All],7,FALSE)</f>
        <v>Call Ref#:</v>
      </c>
      <c r="V223" s="79" t="s">
        <v>4060</v>
      </c>
      <c r="W223" s="40" t="str">
        <f>VLOOKUP(M223,Table1[#All],8,FALSE)</f>
        <v>Cust Rep:</v>
      </c>
      <c r="X223" s="79" t="s">
        <v>4061</v>
      </c>
      <c r="Y223" s="44" t="str">
        <f>VLOOKUP(M223,Table1[#All],2,FALSE)</f>
        <v xml:space="preserve">Task Post Pmt Queue </v>
      </c>
      <c r="Z223" s="59" t="str">
        <f>VLOOKUP(M223,Table1[#All],9,FALSE)</f>
        <v>Additional Notes:</v>
      </c>
      <c r="AA223" s="76" t="s">
        <v>4062</v>
      </c>
      <c r="AB223" s="76" t="s">
        <v>3697</v>
      </c>
      <c r="AC223" s="90" t="s">
        <v>115</v>
      </c>
      <c r="AD223" s="76" t="s">
        <v>177</v>
      </c>
      <c r="AE223" s="77" t="s">
        <v>3770</v>
      </c>
      <c r="AF223" s="110">
        <v>44589</v>
      </c>
      <c r="AG223" s="41" t="s">
        <v>101</v>
      </c>
    </row>
    <row r="224" spans="1:33" ht="33" hidden="1" x14ac:dyDescent="0.55000000000000004">
      <c r="A224" s="44" t="str">
        <f>Data!K223</f>
        <v>Dentaquest</v>
      </c>
      <c r="B224" s="44" t="str">
        <f>Data!L223</f>
        <v>8004177140</v>
      </c>
      <c r="C224" s="44" t="str">
        <f>Data!D223</f>
        <v xml:space="preserve">Walker , Terry </v>
      </c>
      <c r="D224" s="82" t="str">
        <f>Data!F223</f>
        <v>729927684</v>
      </c>
      <c r="E224" s="82" t="str">
        <f>Data!B223</f>
        <v>5783</v>
      </c>
      <c r="F224" s="44" t="str">
        <f>Data!A223</f>
        <v xml:space="preserve">Walker , Terry </v>
      </c>
      <c r="G224" s="55" t="str">
        <f>Data!C223</f>
        <v>7/28/1970</v>
      </c>
      <c r="H224" s="56">
        <f>Data!H223</f>
        <v>44480</v>
      </c>
      <c r="I224" s="56" t="str">
        <f>Data!I223</f>
        <v>10/14/2021</v>
      </c>
      <c r="J224" s="57">
        <f>Data!J223</f>
        <v>88.8</v>
      </c>
      <c r="K224" s="58">
        <f t="shared" ca="1" si="3"/>
        <v>217</v>
      </c>
      <c r="L224" s="58">
        <f>Data!M223</f>
        <v>0</v>
      </c>
      <c r="M224" s="37" t="s">
        <v>5</v>
      </c>
      <c r="N224" s="43" t="str">
        <f>VLOOKUP(M224,Table1[#All],3,FALSE)</f>
        <v>Claim Paid by EFT;</v>
      </c>
      <c r="O224" s="40" t="str">
        <f>VLOOKUP(M224,Table1[#All],4,FALSE)</f>
        <v>Issue Date:</v>
      </c>
      <c r="P224" s="38">
        <v>44483</v>
      </c>
      <c r="Q224" s="40" t="str">
        <f>VLOOKUP(M224,Table1[#All],5,FALSE)</f>
        <v>EFT#</v>
      </c>
      <c r="R224" s="79">
        <v>5407951412</v>
      </c>
      <c r="S224" s="40" t="str">
        <f>VLOOKUP(M224,Table1[#All],6,FALSE)</f>
        <v>Bulk/Sep:</v>
      </c>
      <c r="T224" s="79" t="s">
        <v>3800</v>
      </c>
      <c r="U224" s="40" t="str">
        <f>VLOOKUP(M224,Table1[#All],7,FALSE)</f>
        <v>Call Ref#:</v>
      </c>
      <c r="V224" s="79" t="s">
        <v>4060</v>
      </c>
      <c r="W224" s="40" t="str">
        <f>VLOOKUP(M224,Table1[#All],8,FALSE)</f>
        <v>Cust Rep:</v>
      </c>
      <c r="X224" s="79" t="s">
        <v>4061</v>
      </c>
      <c r="Y224" s="44" t="str">
        <f>VLOOKUP(M224,Table1[#All],2,FALSE)</f>
        <v xml:space="preserve">Task Post Pmt Queue </v>
      </c>
      <c r="Z224" s="59" t="str">
        <f>VLOOKUP(M224,Table1[#All],9,FALSE)</f>
        <v>Additional Notes:</v>
      </c>
      <c r="AA224" s="76" t="s">
        <v>4063</v>
      </c>
      <c r="AB224" s="76" t="s">
        <v>3697</v>
      </c>
      <c r="AC224" s="90" t="s">
        <v>115</v>
      </c>
      <c r="AD224" s="76" t="s">
        <v>177</v>
      </c>
      <c r="AE224" s="77" t="s">
        <v>3770</v>
      </c>
      <c r="AF224" s="110">
        <v>44589</v>
      </c>
      <c r="AG224" s="41" t="s">
        <v>101</v>
      </c>
    </row>
    <row r="225" spans="1:33" ht="126" hidden="1" x14ac:dyDescent="0.55000000000000004">
      <c r="A225" s="44" t="str">
        <f>Data!K224</f>
        <v>Dentaquest</v>
      </c>
      <c r="B225" s="44" t="str">
        <f>Data!L224</f>
        <v>8004177140</v>
      </c>
      <c r="C225" s="44" t="str">
        <f>Data!D224</f>
        <v>Campos, Nalah</v>
      </c>
      <c r="D225" s="82" t="str">
        <f>Data!F224</f>
        <v>8451855181</v>
      </c>
      <c r="E225" s="82" t="str">
        <f>Data!B224</f>
        <v>7416</v>
      </c>
      <c r="F225" s="44" t="str">
        <f>Data!A224</f>
        <v>Campos, Nalah</v>
      </c>
      <c r="G225" s="55" t="str">
        <f>Data!C224</f>
        <v>7/18/2017</v>
      </c>
      <c r="H225" s="56">
        <f>Data!H224</f>
        <v>44477</v>
      </c>
      <c r="I225" s="56" t="str">
        <f>Data!I224</f>
        <v>10/11/2021</v>
      </c>
      <c r="J225" s="57">
        <f>Data!J224</f>
        <v>100</v>
      </c>
      <c r="K225" s="58">
        <f t="shared" ca="1" si="3"/>
        <v>220</v>
      </c>
      <c r="L225" s="58">
        <f>Data!M224</f>
        <v>0</v>
      </c>
      <c r="M225" s="37" t="s">
        <v>45</v>
      </c>
      <c r="N225" s="43" t="str">
        <f>VLOOKUP(M225,Table1[#All],3,FALSE)</f>
        <v>Procedure is not a covered benefit;</v>
      </c>
      <c r="O225" s="40" t="str">
        <f>VLOOKUP(M225,Table1[#All],4,FALSE)</f>
        <v xml:space="preserve">Why? </v>
      </c>
      <c r="P225" s="39" t="s">
        <v>4057</v>
      </c>
      <c r="Q225" s="40" t="str">
        <f>VLOOKUP(M225,Table1[#All],5,FALSE)</f>
        <v>Call Ref#:</v>
      </c>
      <c r="R225" s="79" t="s">
        <v>4058</v>
      </c>
      <c r="S225" s="40" t="str">
        <f>VLOOKUP(M225,Table1[#All],6,FALSE)</f>
        <v>Cust Rep:</v>
      </c>
      <c r="T225" s="79" t="s">
        <v>4053</v>
      </c>
      <c r="U225" s="40">
        <f>VLOOKUP(M225,Table1[#All],7,FALSE)</f>
        <v>0</v>
      </c>
      <c r="V225" s="79"/>
      <c r="W225" s="40">
        <f>VLOOKUP(M225,Table1[#All],8,FALSE)</f>
        <v>0</v>
      </c>
      <c r="X225" s="79"/>
      <c r="Y225" s="44" t="str">
        <f>VLOOKUP(M225,Table1[#All],2,FALSE)</f>
        <v xml:space="preserve">Task Client - Denied Claim Queue </v>
      </c>
      <c r="Z225" s="59" t="str">
        <f>VLOOKUP(M225,Table1[#All],9,FALSE)</f>
        <v>Additional Notes:</v>
      </c>
      <c r="AA225" s="76" t="s">
        <v>4059</v>
      </c>
      <c r="AB225" s="76" t="s">
        <v>3697</v>
      </c>
      <c r="AC225" s="90" t="s">
        <v>115</v>
      </c>
      <c r="AD225" s="76" t="s">
        <v>177</v>
      </c>
      <c r="AE225" s="77" t="s">
        <v>3770</v>
      </c>
      <c r="AF225" s="110">
        <v>44589</v>
      </c>
      <c r="AG225" s="41" t="s">
        <v>101</v>
      </c>
    </row>
    <row r="226" spans="1:33" ht="33" hidden="1" x14ac:dyDescent="0.55000000000000004">
      <c r="A226" s="44" t="str">
        <f>Data!K225</f>
        <v>Dentaquest</v>
      </c>
      <c r="B226" s="44" t="str">
        <f>Data!L225</f>
        <v>8004177140</v>
      </c>
      <c r="C226" s="44" t="str">
        <f>Data!D225</f>
        <v>Muslija, Sadzide</v>
      </c>
      <c r="D226" s="82" t="str">
        <f>Data!F225</f>
        <v>719437747</v>
      </c>
      <c r="E226" s="82" t="str">
        <f>Data!B225</f>
        <v>8126</v>
      </c>
      <c r="F226" s="44" t="str">
        <f>Data!A225</f>
        <v>Muslija, Sadzide</v>
      </c>
      <c r="G226" s="55" t="str">
        <f>Data!C225</f>
        <v>12/11/1953</v>
      </c>
      <c r="H226" s="56">
        <f>Data!H225</f>
        <v>44476</v>
      </c>
      <c r="I226" s="56" t="str">
        <f>Data!I225</f>
        <v>10/11/2021</v>
      </c>
      <c r="J226" s="57">
        <f>Data!J225</f>
        <v>674.4</v>
      </c>
      <c r="K226" s="58">
        <f t="shared" ca="1" si="3"/>
        <v>220</v>
      </c>
      <c r="L226" s="58">
        <f>Data!M225</f>
        <v>0</v>
      </c>
      <c r="M226" s="37" t="s">
        <v>5</v>
      </c>
      <c r="N226" s="43" t="str">
        <f>VLOOKUP(M226,Table1[#All],3,FALSE)</f>
        <v>Claim Paid by EFT;</v>
      </c>
      <c r="O226" s="40" t="str">
        <f>VLOOKUP(M226,Table1[#All],4,FALSE)</f>
        <v>Issue Date:</v>
      </c>
      <c r="P226" s="38">
        <v>44487</v>
      </c>
      <c r="Q226" s="40" t="str">
        <f>VLOOKUP(M226,Table1[#All],5,FALSE)</f>
        <v>EFT#</v>
      </c>
      <c r="R226" s="79">
        <v>5407945470</v>
      </c>
      <c r="S226" s="40" t="str">
        <f>VLOOKUP(M226,Table1[#All],6,FALSE)</f>
        <v>Bulk/Sep:</v>
      </c>
      <c r="T226" s="79" t="s">
        <v>3800</v>
      </c>
      <c r="U226" s="40" t="str">
        <f>VLOOKUP(M226,Table1[#All],7,FALSE)</f>
        <v>Call Ref#:</v>
      </c>
      <c r="V226" s="79" t="s">
        <v>4055</v>
      </c>
      <c r="W226" s="40" t="str">
        <f>VLOOKUP(M226,Table1[#All],8,FALSE)</f>
        <v>Cust Rep:</v>
      </c>
      <c r="X226" s="79" t="s">
        <v>4053</v>
      </c>
      <c r="Y226" s="44" t="str">
        <f>VLOOKUP(M226,Table1[#All],2,FALSE)</f>
        <v xml:space="preserve">Task Post Pmt Queue </v>
      </c>
      <c r="Z226" s="59" t="str">
        <f>VLOOKUP(M226,Table1[#All],9,FALSE)</f>
        <v>Additional Notes:</v>
      </c>
      <c r="AA226" s="76" t="s">
        <v>4056</v>
      </c>
      <c r="AB226" s="76" t="s">
        <v>3697</v>
      </c>
      <c r="AC226" s="90" t="s">
        <v>115</v>
      </c>
      <c r="AD226" s="76" t="s">
        <v>177</v>
      </c>
      <c r="AE226" s="77" t="s">
        <v>3770</v>
      </c>
      <c r="AF226" s="110">
        <v>44589</v>
      </c>
      <c r="AG226" s="41" t="s">
        <v>101</v>
      </c>
    </row>
    <row r="227" spans="1:33" ht="33" hidden="1" x14ac:dyDescent="0.55000000000000004">
      <c r="A227" s="44" t="str">
        <f>Data!K226</f>
        <v>Dentaquest</v>
      </c>
      <c r="B227" s="44" t="str">
        <f>Data!L226</f>
        <v>8004177140</v>
      </c>
      <c r="C227" s="44" t="str">
        <f>Data!D226</f>
        <v>Price, Terry</v>
      </c>
      <c r="D227" s="82" t="str">
        <f>Data!F226</f>
        <v>5413341555</v>
      </c>
      <c r="E227" s="82" t="str">
        <f>Data!B226</f>
        <v>1899</v>
      </c>
      <c r="F227" s="44" t="str">
        <f>Data!A226</f>
        <v>Price, Terry</v>
      </c>
      <c r="G227" s="55" t="str">
        <f>Data!C226</f>
        <v>5/10/1993</v>
      </c>
      <c r="H227" s="56">
        <f>Data!H226</f>
        <v>44448</v>
      </c>
      <c r="I227" s="56" t="str">
        <f>Data!I226</f>
        <v>9/15/2021</v>
      </c>
      <c r="J227" s="57">
        <f>Data!J226</f>
        <v>968.4</v>
      </c>
      <c r="K227" s="58">
        <f t="shared" ca="1" si="3"/>
        <v>246</v>
      </c>
      <c r="L227" s="58">
        <f>Data!M226</f>
        <v>0</v>
      </c>
      <c r="M227" s="37" t="s">
        <v>5</v>
      </c>
      <c r="N227" s="43" t="str">
        <f>VLOOKUP(M227,Table1[#All],3,FALSE)</f>
        <v>Claim Paid by EFT;</v>
      </c>
      <c r="O227" s="40" t="str">
        <f>VLOOKUP(M227,Table1[#All],4,FALSE)</f>
        <v>Issue Date:</v>
      </c>
      <c r="P227" s="38">
        <v>44515</v>
      </c>
      <c r="Q227" s="40" t="str">
        <f>VLOOKUP(M227,Table1[#All],5,FALSE)</f>
        <v>EFT#</v>
      </c>
      <c r="R227" s="79">
        <v>4085155714</v>
      </c>
      <c r="S227" s="40" t="str">
        <f>VLOOKUP(M227,Table1[#All],6,FALSE)</f>
        <v>Bulk/Sep:</v>
      </c>
      <c r="T227" s="79" t="s">
        <v>3800</v>
      </c>
      <c r="U227" s="40" t="str">
        <f>VLOOKUP(M227,Table1[#All],7,FALSE)</f>
        <v>Call Ref#:</v>
      </c>
      <c r="V227" s="79" t="s">
        <v>4052</v>
      </c>
      <c r="W227" s="40" t="str">
        <f>VLOOKUP(M227,Table1[#All],8,FALSE)</f>
        <v>Cust Rep:</v>
      </c>
      <c r="X227" s="79" t="s">
        <v>4053</v>
      </c>
      <c r="Y227" s="44" t="str">
        <f>VLOOKUP(M227,Table1[#All],2,FALSE)</f>
        <v xml:space="preserve">Task Post Pmt Queue </v>
      </c>
      <c r="Z227" s="59" t="str">
        <f>VLOOKUP(M227,Table1[#All],9,FALSE)</f>
        <v>Additional Notes:</v>
      </c>
      <c r="AA227" s="76" t="s">
        <v>4054</v>
      </c>
      <c r="AB227" s="76" t="s">
        <v>3697</v>
      </c>
      <c r="AC227" s="90" t="s">
        <v>115</v>
      </c>
      <c r="AD227" s="76" t="s">
        <v>177</v>
      </c>
      <c r="AE227" s="77" t="s">
        <v>3770</v>
      </c>
      <c r="AF227" s="110">
        <v>44589</v>
      </c>
      <c r="AG227" s="41" t="s">
        <v>101</v>
      </c>
    </row>
    <row r="228" spans="1:33" ht="33" hidden="1" x14ac:dyDescent="0.55000000000000004">
      <c r="A228" s="44" t="str">
        <f>Data!K227</f>
        <v>Dentaquest</v>
      </c>
      <c r="B228" s="44" t="str">
        <f>Data!L227</f>
        <v>8004177140</v>
      </c>
      <c r="C228" s="44" t="str">
        <f>Data!D227</f>
        <v>Fleifel, Noor</v>
      </c>
      <c r="D228" s="82" t="str">
        <f>Data!F227</f>
        <v>7401651173</v>
      </c>
      <c r="E228" s="82" t="str">
        <f>Data!B227</f>
        <v>7477</v>
      </c>
      <c r="F228" s="44" t="str">
        <f>Data!A227</f>
        <v>Fleifel, Noor</v>
      </c>
      <c r="G228" s="55" t="str">
        <f>Data!C227</f>
        <v>6/11/2001</v>
      </c>
      <c r="H228" s="56">
        <f>Data!H227</f>
        <v>44441</v>
      </c>
      <c r="I228" s="56" t="str">
        <f>Data!I227</f>
        <v>9/7/2021</v>
      </c>
      <c r="J228" s="57">
        <f>Data!J227</f>
        <v>432</v>
      </c>
      <c r="K228" s="58">
        <f t="shared" ca="1" si="3"/>
        <v>254</v>
      </c>
      <c r="L228" s="58">
        <f>Data!M227</f>
        <v>0</v>
      </c>
      <c r="M228" s="37" t="s">
        <v>5</v>
      </c>
      <c r="N228" s="43" t="str">
        <f>VLOOKUP(M228,Table1[#All],3,FALSE)</f>
        <v>Claim Paid by EFT;</v>
      </c>
      <c r="O228" s="40" t="str">
        <f>VLOOKUP(M228,Table1[#All],4,FALSE)</f>
        <v>Issue Date:</v>
      </c>
      <c r="P228" s="38">
        <v>44449</v>
      </c>
      <c r="Q228" s="40" t="str">
        <f>VLOOKUP(M228,Table1[#All],5,FALSE)</f>
        <v>EFT#</v>
      </c>
      <c r="R228" s="79">
        <v>4087914400</v>
      </c>
      <c r="S228" s="40" t="str">
        <f>VLOOKUP(M228,Table1[#All],6,FALSE)</f>
        <v>Bulk/Sep:</v>
      </c>
      <c r="T228" s="79" t="s">
        <v>3800</v>
      </c>
      <c r="U228" s="40" t="str">
        <f>VLOOKUP(M228,Table1[#All],7,FALSE)</f>
        <v>Call Ref#:</v>
      </c>
      <c r="V228" s="79" t="s">
        <v>4040</v>
      </c>
      <c r="W228" s="40" t="str">
        <f>VLOOKUP(M228,Table1[#All],8,FALSE)</f>
        <v>Cust Rep:</v>
      </c>
      <c r="X228" s="79" t="s">
        <v>4041</v>
      </c>
      <c r="Y228" s="44" t="str">
        <f>VLOOKUP(M228,Table1[#All],2,FALSE)</f>
        <v xml:space="preserve">Task Post Pmt Queue </v>
      </c>
      <c r="Z228" s="59" t="str">
        <f>VLOOKUP(M228,Table1[#All],9,FALSE)</f>
        <v>Additional Notes:</v>
      </c>
      <c r="AA228" s="76" t="s">
        <v>4051</v>
      </c>
      <c r="AB228" s="76" t="s">
        <v>3697</v>
      </c>
      <c r="AC228" s="90" t="s">
        <v>115</v>
      </c>
      <c r="AD228" s="76" t="s">
        <v>177</v>
      </c>
      <c r="AE228" s="77" t="s">
        <v>3770</v>
      </c>
      <c r="AF228" s="110">
        <v>44589</v>
      </c>
      <c r="AG228" s="41" t="s">
        <v>101</v>
      </c>
    </row>
    <row r="229" spans="1:33" ht="42" hidden="1" x14ac:dyDescent="0.55000000000000004">
      <c r="A229" s="44" t="str">
        <f>Data!K228</f>
        <v>Dentaquest</v>
      </c>
      <c r="B229" s="44" t="str">
        <f>Data!L228</f>
        <v>8004177140</v>
      </c>
      <c r="C229" s="44" t="str">
        <f>Data!D228</f>
        <v xml:space="preserve">Al Dabbeh , Mohammed </v>
      </c>
      <c r="D229" s="82" t="str">
        <f>Data!F228</f>
        <v>721767643</v>
      </c>
      <c r="E229" s="82" t="str">
        <f>Data!B228</f>
        <v>5432</v>
      </c>
      <c r="F229" s="44" t="str">
        <f>Data!A228</f>
        <v xml:space="preserve">Al Dabbeh , Mohammed </v>
      </c>
      <c r="G229" s="55" t="str">
        <f>Data!C228</f>
        <v>12/15/2015</v>
      </c>
      <c r="H229" s="56">
        <f>Data!H228</f>
        <v>44427</v>
      </c>
      <c r="I229" s="56" t="str">
        <f>Data!I228</f>
        <v>8/23/2021</v>
      </c>
      <c r="J229" s="57">
        <f>Data!J228</f>
        <v>278.39999999999998</v>
      </c>
      <c r="K229" s="58">
        <f t="shared" ca="1" si="3"/>
        <v>269</v>
      </c>
      <c r="L229" s="58">
        <f>Data!M228</f>
        <v>0</v>
      </c>
      <c r="M229" s="37" t="s">
        <v>45</v>
      </c>
      <c r="N229" s="43" t="str">
        <f>VLOOKUP(M229,Table1[#All],3,FALSE)</f>
        <v>Procedure is not a covered benefit;</v>
      </c>
      <c r="O229" s="40" t="str">
        <f>VLOOKUP(M229,Table1[#All],4,FALSE)</f>
        <v xml:space="preserve">Why? </v>
      </c>
      <c r="P229" s="39" t="s">
        <v>4049</v>
      </c>
      <c r="Q229" s="40" t="str">
        <f>VLOOKUP(M229,Table1[#All],5,FALSE)</f>
        <v>Call Ref#:</v>
      </c>
      <c r="R229" s="79" t="s">
        <v>4040</v>
      </c>
      <c r="S229" s="40" t="str">
        <f>VLOOKUP(M229,Table1[#All],6,FALSE)</f>
        <v>Cust Rep:</v>
      </c>
      <c r="T229" s="79" t="s">
        <v>4041</v>
      </c>
      <c r="U229" s="40">
        <f>VLOOKUP(M229,Table1[#All],7,FALSE)</f>
        <v>0</v>
      </c>
      <c r="V229" s="79"/>
      <c r="W229" s="40">
        <f>VLOOKUP(M229,Table1[#All],8,FALSE)</f>
        <v>0</v>
      </c>
      <c r="X229" s="79"/>
      <c r="Y229" s="44" t="str">
        <f>VLOOKUP(M229,Table1[#All],2,FALSE)</f>
        <v xml:space="preserve">Task Client - Denied Claim Queue </v>
      </c>
      <c r="Z229" s="59" t="str">
        <f>VLOOKUP(M229,Table1[#All],9,FALSE)</f>
        <v>Additional Notes:</v>
      </c>
      <c r="AA229" s="76" t="s">
        <v>4050</v>
      </c>
      <c r="AB229" s="76" t="s">
        <v>3697</v>
      </c>
      <c r="AC229" s="90" t="s">
        <v>115</v>
      </c>
      <c r="AD229" s="76" t="s">
        <v>177</v>
      </c>
      <c r="AE229" s="77" t="s">
        <v>3770</v>
      </c>
      <c r="AF229" s="110">
        <v>44589</v>
      </c>
      <c r="AG229" s="41" t="s">
        <v>101</v>
      </c>
    </row>
    <row r="230" spans="1:33" ht="33" hidden="1" x14ac:dyDescent="0.55000000000000004">
      <c r="A230" s="44" t="str">
        <f>Data!K229</f>
        <v>Dentaquest</v>
      </c>
      <c r="B230" s="44" t="str">
        <f>Data!L229</f>
        <v>8004177140</v>
      </c>
      <c r="C230" s="44" t="str">
        <f>Data!D229</f>
        <v>Zwickey , Carly</v>
      </c>
      <c r="D230" s="82" t="str">
        <f>Data!F229</f>
        <v>730728189</v>
      </c>
      <c r="E230" s="82" t="str">
        <f>Data!B229</f>
        <v>7482</v>
      </c>
      <c r="F230" s="44" t="str">
        <f>Data!A229</f>
        <v>Zwickey , Carly</v>
      </c>
      <c r="G230" s="55" t="str">
        <f>Data!C229</f>
        <v>4/26/2001</v>
      </c>
      <c r="H230" s="56">
        <f>Data!H229</f>
        <v>44407</v>
      </c>
      <c r="I230" s="56" t="str">
        <f>Data!I229</f>
        <v>8/6/2021</v>
      </c>
      <c r="J230" s="57">
        <f>Data!J229</f>
        <v>332.4</v>
      </c>
      <c r="K230" s="58">
        <f t="shared" ca="1" si="3"/>
        <v>286</v>
      </c>
      <c r="L230" s="58">
        <f>Data!M229</f>
        <v>0</v>
      </c>
      <c r="M230" s="37" t="s">
        <v>5</v>
      </c>
      <c r="N230" s="43" t="str">
        <f>VLOOKUP(M230,Table1[#All],3,FALSE)</f>
        <v>Claim Paid by EFT;</v>
      </c>
      <c r="O230" s="40" t="str">
        <f>VLOOKUP(M230,Table1[#All],4,FALSE)</f>
        <v>Issue Date:</v>
      </c>
      <c r="P230" s="38">
        <v>44421</v>
      </c>
      <c r="Q230" s="40" t="str">
        <f>VLOOKUP(M230,Table1[#All],5,FALSE)</f>
        <v>EFT#</v>
      </c>
      <c r="R230" s="79">
        <v>5407889760</v>
      </c>
      <c r="S230" s="40" t="str">
        <f>VLOOKUP(M230,Table1[#All],6,FALSE)</f>
        <v>Bulk/Sep:</v>
      </c>
      <c r="T230" s="79" t="s">
        <v>3800</v>
      </c>
      <c r="U230" s="40" t="str">
        <f>VLOOKUP(M230,Table1[#All],7,FALSE)</f>
        <v>Call Ref#:</v>
      </c>
      <c r="V230" s="79" t="s">
        <v>4040</v>
      </c>
      <c r="W230" s="40" t="str">
        <f>VLOOKUP(M230,Table1[#All],8,FALSE)</f>
        <v>Cust Rep:</v>
      </c>
      <c r="X230" s="79" t="s">
        <v>4041</v>
      </c>
      <c r="Y230" s="44" t="str">
        <f>VLOOKUP(M230,Table1[#All],2,FALSE)</f>
        <v xml:space="preserve">Task Post Pmt Queue </v>
      </c>
      <c r="Z230" s="59" t="str">
        <f>VLOOKUP(M230,Table1[#All],9,FALSE)</f>
        <v>Additional Notes:</v>
      </c>
      <c r="AA230" s="76" t="s">
        <v>4048</v>
      </c>
      <c r="AB230" s="76" t="s">
        <v>3697</v>
      </c>
      <c r="AC230" s="90" t="s">
        <v>115</v>
      </c>
      <c r="AD230" s="76" t="s">
        <v>177</v>
      </c>
      <c r="AE230" s="77" t="s">
        <v>3770</v>
      </c>
      <c r="AF230" s="110">
        <v>44589</v>
      </c>
      <c r="AG230" s="41" t="s">
        <v>101</v>
      </c>
    </row>
    <row r="231" spans="1:33" ht="33" hidden="1" x14ac:dyDescent="0.55000000000000004">
      <c r="A231" s="44" t="str">
        <f>Data!K230</f>
        <v>Dentaquest</v>
      </c>
      <c r="B231" s="44" t="str">
        <f>Data!L230</f>
        <v>8004177140</v>
      </c>
      <c r="C231" s="44" t="str">
        <f>Data!D230</f>
        <v>Fleifel, Noor</v>
      </c>
      <c r="D231" s="82" t="str">
        <f>Data!F230</f>
        <v>7401651173</v>
      </c>
      <c r="E231" s="82" t="str">
        <f>Data!B230</f>
        <v>7477</v>
      </c>
      <c r="F231" s="44" t="str">
        <f>Data!A230</f>
        <v>Fleifel, Noor</v>
      </c>
      <c r="G231" s="55" t="str">
        <f>Data!C230</f>
        <v>6/11/2001</v>
      </c>
      <c r="H231" s="56">
        <f>Data!H230</f>
        <v>44403</v>
      </c>
      <c r="I231" s="56" t="str">
        <f>Data!I230</f>
        <v>7/29/2021</v>
      </c>
      <c r="J231" s="57">
        <f>Data!J230</f>
        <v>466.8</v>
      </c>
      <c r="K231" s="58">
        <f t="shared" ca="1" si="3"/>
        <v>294</v>
      </c>
      <c r="L231" s="58">
        <f>Data!M230</f>
        <v>0</v>
      </c>
      <c r="M231" s="37" t="s">
        <v>5</v>
      </c>
      <c r="N231" s="43" t="str">
        <f>VLOOKUP(M231,Table1[#All],3,FALSE)</f>
        <v>Claim Paid by EFT;</v>
      </c>
      <c r="O231" s="40" t="str">
        <f>VLOOKUP(M231,Table1[#All],4,FALSE)</f>
        <v>Issue Date:</v>
      </c>
      <c r="P231" s="38">
        <v>44414</v>
      </c>
      <c r="Q231" s="40" t="str">
        <f>VLOOKUP(M231,Table1[#All],5,FALSE)</f>
        <v>EFT#</v>
      </c>
      <c r="R231" s="79">
        <v>4087883319</v>
      </c>
      <c r="S231" s="40" t="str">
        <f>VLOOKUP(M231,Table1[#All],6,FALSE)</f>
        <v>Bulk/Sep:</v>
      </c>
      <c r="T231" s="79" t="s">
        <v>3962</v>
      </c>
      <c r="U231" s="40" t="str">
        <f>VLOOKUP(M231,Table1[#All],7,FALSE)</f>
        <v>Call Ref#:</v>
      </c>
      <c r="V231" s="79" t="s">
        <v>4040</v>
      </c>
      <c r="W231" s="40" t="str">
        <f>VLOOKUP(M231,Table1[#All],8,FALSE)</f>
        <v>Cust Rep:</v>
      </c>
      <c r="X231" s="79" t="s">
        <v>4041</v>
      </c>
      <c r="Y231" s="44" t="str">
        <f>VLOOKUP(M231,Table1[#All],2,FALSE)</f>
        <v xml:space="preserve">Task Post Pmt Queue </v>
      </c>
      <c r="Z231" s="59" t="str">
        <f>VLOOKUP(M231,Table1[#All],9,FALSE)</f>
        <v>Additional Notes:</v>
      </c>
      <c r="AA231" s="76" t="s">
        <v>4047</v>
      </c>
      <c r="AB231" s="76" t="s">
        <v>3697</v>
      </c>
      <c r="AC231" s="90" t="s">
        <v>115</v>
      </c>
      <c r="AD231" s="76" t="s">
        <v>177</v>
      </c>
      <c r="AE231" s="77" t="s">
        <v>3770</v>
      </c>
      <c r="AF231" s="110">
        <v>44589</v>
      </c>
      <c r="AG231" s="41" t="s">
        <v>101</v>
      </c>
    </row>
    <row r="232" spans="1:33" ht="42" hidden="1" x14ac:dyDescent="0.55000000000000004">
      <c r="A232" s="44" t="str">
        <f>Data!K231</f>
        <v>Dentaquest</v>
      </c>
      <c r="B232" s="44" t="str">
        <f>Data!L231</f>
        <v>8004177140</v>
      </c>
      <c r="C232" s="44" t="str">
        <f>Data!D231</f>
        <v>Wynne, John</v>
      </c>
      <c r="D232" s="82" t="str">
        <f>Data!F231</f>
        <v>730948868</v>
      </c>
      <c r="E232" s="82" t="str">
        <f>Data!B231</f>
        <v>7489</v>
      </c>
      <c r="F232" s="44" t="str">
        <f>Data!A231</f>
        <v>Wynne, John</v>
      </c>
      <c r="G232" s="55" t="str">
        <f>Data!C231</f>
        <v>3/24/1965</v>
      </c>
      <c r="H232" s="56">
        <f>Data!H231</f>
        <v>44400</v>
      </c>
      <c r="I232" s="56" t="str">
        <f>Data!I231</f>
        <v>8/6/2021</v>
      </c>
      <c r="J232" s="57">
        <f>Data!J231</f>
        <v>2014.8</v>
      </c>
      <c r="K232" s="58">
        <f t="shared" ca="1" si="3"/>
        <v>286</v>
      </c>
      <c r="L232" s="58">
        <f>Data!M231</f>
        <v>0</v>
      </c>
      <c r="M232" s="37" t="s">
        <v>20</v>
      </c>
      <c r="N232" s="43" t="str">
        <f>VLOOKUP(M232,Table1[#All],3,FALSE)</f>
        <v>Ins needs more info, need to submit;</v>
      </c>
      <c r="O232" s="40" t="str">
        <f>VLOOKUP(M232,Table1[#All],4,FALSE)</f>
        <v>Attachments/Info needed?</v>
      </c>
      <c r="P232" s="38" t="s">
        <v>4043</v>
      </c>
      <c r="Q232" s="40" t="str">
        <f>VLOOKUP(M232,Table1[#All],5,FALSE)</f>
        <v>Fax # (If Fax Yes):</v>
      </c>
      <c r="R232" s="79"/>
      <c r="S232" s="40" t="str">
        <f>VLOOKUP(M232,Table1[#All],6,FALSE)</f>
        <v>Call Ref#:</v>
      </c>
      <c r="T232" s="79" t="s">
        <v>4044</v>
      </c>
      <c r="U232" s="40" t="str">
        <f>VLOOKUP(M232,Table1[#All],7,FALSE)</f>
        <v>Cust Rep:</v>
      </c>
      <c r="V232" s="79" t="s">
        <v>4045</v>
      </c>
      <c r="W232" s="40">
        <f>VLOOKUP(M232,Table1[#All],8,FALSE)</f>
        <v>0</v>
      </c>
      <c r="X232" s="79"/>
      <c r="Y232" s="44" t="str">
        <f>VLOOKUP(M232,Table1[#All],2,FALSE)</f>
        <v xml:space="preserve">Task Sub Pending Claims Queue </v>
      </c>
      <c r="Z232" s="59" t="str">
        <f>VLOOKUP(M232,Table1[#All],9,FALSE)</f>
        <v>Additional Notes:</v>
      </c>
      <c r="AA232" s="76" t="s">
        <v>4046</v>
      </c>
      <c r="AB232" s="76" t="s">
        <v>3697</v>
      </c>
      <c r="AC232" s="90" t="s">
        <v>115</v>
      </c>
      <c r="AD232" s="76" t="s">
        <v>177</v>
      </c>
      <c r="AE232" s="77" t="s">
        <v>3770</v>
      </c>
      <c r="AF232" s="110">
        <v>44589</v>
      </c>
      <c r="AG232" s="41" t="s">
        <v>101</v>
      </c>
    </row>
    <row r="233" spans="1:33" ht="33" hidden="1" x14ac:dyDescent="0.55000000000000004">
      <c r="A233" s="44" t="str">
        <f>Data!K232</f>
        <v>Dentaquest</v>
      </c>
      <c r="B233" s="44" t="str">
        <f>Data!L232</f>
        <v>8004177140</v>
      </c>
      <c r="C233" s="44" t="str">
        <f>Data!D232</f>
        <v>Fleifel, Noor</v>
      </c>
      <c r="D233" s="82" t="str">
        <f>Data!F232</f>
        <v>7401651173</v>
      </c>
      <c r="E233" s="82" t="str">
        <f>Data!B232</f>
        <v>7477</v>
      </c>
      <c r="F233" s="44" t="str">
        <f>Data!A232</f>
        <v>Fleifel, Noor</v>
      </c>
      <c r="G233" s="55" t="str">
        <f>Data!C232</f>
        <v>6/11/2001</v>
      </c>
      <c r="H233" s="56">
        <f>Data!H232</f>
        <v>44384</v>
      </c>
      <c r="I233" s="56" t="str">
        <f>Data!I232</f>
        <v>7/12/2021</v>
      </c>
      <c r="J233" s="57">
        <f>Data!J232</f>
        <v>838.8</v>
      </c>
      <c r="K233" s="58">
        <f t="shared" ca="1" si="3"/>
        <v>311</v>
      </c>
      <c r="L233" s="58">
        <f>Data!M232</f>
        <v>0</v>
      </c>
      <c r="M233" s="37" t="s">
        <v>5</v>
      </c>
      <c r="N233" s="43" t="str">
        <f>VLOOKUP(M233,Table1[#All],3,FALSE)</f>
        <v>Claim Paid by EFT;</v>
      </c>
      <c r="O233" s="40" t="str">
        <f>VLOOKUP(M233,Table1[#All],4,FALSE)</f>
        <v>Issue Date:</v>
      </c>
      <c r="P233" s="38">
        <v>44400</v>
      </c>
      <c r="Q233" s="40" t="str">
        <f>VLOOKUP(M233,Table1[#All],5,FALSE)</f>
        <v>EFT#</v>
      </c>
      <c r="R233" s="79">
        <v>4087871027</v>
      </c>
      <c r="S233" s="40" t="str">
        <f>VLOOKUP(M233,Table1[#All],6,FALSE)</f>
        <v>Bulk/Sep:</v>
      </c>
      <c r="T233" s="79" t="s">
        <v>3800</v>
      </c>
      <c r="U233" s="40" t="str">
        <f>VLOOKUP(M233,Table1[#All],7,FALSE)</f>
        <v>Call Ref#:</v>
      </c>
      <c r="V233" s="79" t="s">
        <v>4040</v>
      </c>
      <c r="W233" s="40" t="str">
        <f>VLOOKUP(M233,Table1[#All],8,FALSE)</f>
        <v>Cust Rep:</v>
      </c>
      <c r="X233" s="79" t="s">
        <v>4041</v>
      </c>
      <c r="Y233" s="44" t="str">
        <f>VLOOKUP(M233,Table1[#All],2,FALSE)</f>
        <v xml:space="preserve">Task Post Pmt Queue </v>
      </c>
      <c r="Z233" s="59" t="str">
        <f>VLOOKUP(M233,Table1[#All],9,FALSE)</f>
        <v>Additional Notes:</v>
      </c>
      <c r="AA233" s="76" t="s">
        <v>4042</v>
      </c>
      <c r="AB233" s="76" t="s">
        <v>3697</v>
      </c>
      <c r="AC233" s="90" t="s">
        <v>115</v>
      </c>
      <c r="AD233" s="76" t="s">
        <v>177</v>
      </c>
      <c r="AE233" s="77" t="s">
        <v>3770</v>
      </c>
      <c r="AF233" s="110">
        <v>44589</v>
      </c>
      <c r="AG233" s="41" t="s">
        <v>101</v>
      </c>
    </row>
    <row r="234" spans="1:33" ht="21" hidden="1" x14ac:dyDescent="0.55000000000000004">
      <c r="A234" s="44" t="str">
        <f>Data!K233</f>
        <v>DPOW-CCHP</v>
      </c>
      <c r="B234" s="44" t="str">
        <f>Data!L233</f>
        <v>4143899880</v>
      </c>
      <c r="C234" s="44" t="str">
        <f>Data!D233</f>
        <v>Henges , Robert</v>
      </c>
      <c r="D234" s="82" t="str">
        <f>Data!F233</f>
        <v>6400608061</v>
      </c>
      <c r="E234" s="82" t="str">
        <f>Data!B233</f>
        <v>8747</v>
      </c>
      <c r="F234" s="44" t="str">
        <f>Data!A233</f>
        <v>Henges , Robert</v>
      </c>
      <c r="G234" s="55" t="str">
        <f>Data!C233</f>
        <v>5/31/1987</v>
      </c>
      <c r="H234" s="56">
        <f>Data!H233</f>
        <v>44652</v>
      </c>
      <c r="I234" s="56" t="str">
        <f>Data!I233</f>
        <v>4/4/2022</v>
      </c>
      <c r="J234" s="57">
        <f>Data!J233</f>
        <v>480</v>
      </c>
      <c r="K234" s="58">
        <f t="shared" ca="1" si="3"/>
        <v>45</v>
      </c>
      <c r="L234" s="58">
        <f>Data!M233</f>
        <v>0</v>
      </c>
      <c r="M234" s="37" t="s">
        <v>26</v>
      </c>
      <c r="N234" s="43" t="str">
        <f>VLOOKUP(M234,Table1[#All],3,FALSE)</f>
        <v>Note</v>
      </c>
      <c r="O234" s="40" t="str">
        <f>VLOOKUP(M234,Table1[#All],4,FALSE)</f>
        <v>Q1</v>
      </c>
      <c r="P234" s="39"/>
      <c r="Q234" s="40" t="str">
        <f>VLOOKUP(M234,Table1[#All],5,FALSE)</f>
        <v>Q2</v>
      </c>
      <c r="R234" s="79"/>
      <c r="S234" s="40" t="str">
        <f>VLOOKUP(M234,Table1[#All],6,FALSE)</f>
        <v>Q3</v>
      </c>
      <c r="T234" s="79"/>
      <c r="U234" s="40" t="str">
        <f>VLOOKUP(M234,Table1[#All],7,FALSE)</f>
        <v>Q4</v>
      </c>
      <c r="V234" s="79"/>
      <c r="W234" s="40" t="str">
        <f>VLOOKUP(M234,Table1[#All],8,FALSE)</f>
        <v>Q5</v>
      </c>
      <c r="X234" s="79"/>
      <c r="Y234" s="44" t="str">
        <f>VLOOKUP(M234,Table1[#All],2,FALSE)</f>
        <v>Action</v>
      </c>
      <c r="Z234" s="59" t="str">
        <f>VLOOKUP(M234,Table1[#All],9,FALSE)</f>
        <v>Additional Notes:</v>
      </c>
      <c r="AA234" s="76"/>
      <c r="AB234" s="76"/>
      <c r="AC234" s="90" t="s">
        <v>91</v>
      </c>
      <c r="AD234" s="76" t="s">
        <v>91</v>
      </c>
      <c r="AE234" s="77"/>
      <c r="AF234" s="77"/>
      <c r="AG234" s="41" t="s">
        <v>91</v>
      </c>
    </row>
    <row r="235" spans="1:33" ht="21" hidden="1" x14ac:dyDescent="0.55000000000000004">
      <c r="A235" s="44" t="str">
        <f>Data!K234</f>
        <v>DPOW-CCHP</v>
      </c>
      <c r="B235" s="44" t="str">
        <f>Data!L234</f>
        <v>4143899880</v>
      </c>
      <c r="C235" s="44" t="str">
        <f>Data!D234</f>
        <v>Grigg, Melissa</v>
      </c>
      <c r="D235" s="82" t="str">
        <f>Data!F234</f>
        <v>5411538751</v>
      </c>
      <c r="E235" s="82" t="str">
        <f>Data!B234</f>
        <v>9424</v>
      </c>
      <c r="F235" s="44" t="str">
        <f>Data!A234</f>
        <v>Grigg, Melissa</v>
      </c>
      <c r="G235" s="55" t="str">
        <f>Data!C234</f>
        <v>7/27/1979</v>
      </c>
      <c r="H235" s="56">
        <f>Data!H234</f>
        <v>44652</v>
      </c>
      <c r="I235" s="56" t="str">
        <f>Data!I234</f>
        <v>4/4/2022</v>
      </c>
      <c r="J235" s="57">
        <f>Data!J234</f>
        <v>88.8</v>
      </c>
      <c r="K235" s="58">
        <f t="shared" ca="1" si="3"/>
        <v>45</v>
      </c>
      <c r="L235" s="58">
        <f>Data!M234</f>
        <v>0</v>
      </c>
      <c r="M235" s="37" t="s">
        <v>26</v>
      </c>
      <c r="N235" s="43" t="str">
        <f>VLOOKUP(M235,Table1[#All],3,FALSE)</f>
        <v>Note</v>
      </c>
      <c r="O235" s="40" t="str">
        <f>VLOOKUP(M235,Table1[#All],4,FALSE)</f>
        <v>Q1</v>
      </c>
      <c r="P235" s="39"/>
      <c r="Q235" s="40" t="str">
        <f>VLOOKUP(M235,Table1[#All],5,FALSE)</f>
        <v>Q2</v>
      </c>
      <c r="R235" s="79"/>
      <c r="S235" s="40" t="str">
        <f>VLOOKUP(M235,Table1[#All],6,FALSE)</f>
        <v>Q3</v>
      </c>
      <c r="T235" s="79"/>
      <c r="U235" s="40" t="str">
        <f>VLOOKUP(M235,Table1[#All],7,FALSE)</f>
        <v>Q4</v>
      </c>
      <c r="V235" s="79"/>
      <c r="W235" s="40" t="str">
        <f>VLOOKUP(M235,Table1[#All],8,FALSE)</f>
        <v>Q5</v>
      </c>
      <c r="X235" s="79"/>
      <c r="Y235" s="44" t="str">
        <f>VLOOKUP(M235,Table1[#All],2,FALSE)</f>
        <v>Action</v>
      </c>
      <c r="Z235" s="59" t="str">
        <f>VLOOKUP(M235,Table1[#All],9,FALSE)</f>
        <v>Additional Notes:</v>
      </c>
      <c r="AA235" s="76"/>
      <c r="AB235" s="76"/>
      <c r="AC235" s="90" t="s">
        <v>91</v>
      </c>
      <c r="AD235" s="76" t="s">
        <v>91</v>
      </c>
      <c r="AE235" s="77"/>
      <c r="AF235" s="77"/>
      <c r="AG235" s="41" t="s">
        <v>91</v>
      </c>
    </row>
    <row r="236" spans="1:33" ht="21" hidden="1" x14ac:dyDescent="0.55000000000000004">
      <c r="A236" s="44" t="str">
        <f>Data!K235</f>
        <v>DPOW-CCHP</v>
      </c>
      <c r="B236" s="44" t="str">
        <f>Data!L235</f>
        <v>4143899880</v>
      </c>
      <c r="C236" s="44" t="str">
        <f>Data!D235</f>
        <v>Crespo Rosa , Jetziell</v>
      </c>
      <c r="D236" s="82" t="str">
        <f>Data!F235</f>
        <v>9453639192</v>
      </c>
      <c r="E236" s="82" t="str">
        <f>Data!B235</f>
        <v>8673</v>
      </c>
      <c r="F236" s="44" t="str">
        <f>Data!A235</f>
        <v>Crespo Rosa , Jetziell</v>
      </c>
      <c r="G236" s="55" t="str">
        <f>Data!C235</f>
        <v>3/14/2014</v>
      </c>
      <c r="H236" s="56">
        <f>Data!H235</f>
        <v>44652</v>
      </c>
      <c r="I236" s="56" t="str">
        <f>Data!I235</f>
        <v>4/4/2022</v>
      </c>
      <c r="J236" s="57">
        <f>Data!J235</f>
        <v>453.2</v>
      </c>
      <c r="K236" s="58">
        <f t="shared" ca="1" si="3"/>
        <v>45</v>
      </c>
      <c r="L236" s="58">
        <f>Data!M235</f>
        <v>0</v>
      </c>
      <c r="M236" s="37" t="s">
        <v>26</v>
      </c>
      <c r="N236" s="43" t="str">
        <f>VLOOKUP(M236,Table1[#All],3,FALSE)</f>
        <v>Note</v>
      </c>
      <c r="O236" s="40" t="str">
        <f>VLOOKUP(M236,Table1[#All],4,FALSE)</f>
        <v>Q1</v>
      </c>
      <c r="P236" s="39"/>
      <c r="Q236" s="40" t="str">
        <f>VLOOKUP(M236,Table1[#All],5,FALSE)</f>
        <v>Q2</v>
      </c>
      <c r="R236" s="79"/>
      <c r="S236" s="40" t="str">
        <f>VLOOKUP(M236,Table1[#All],6,FALSE)</f>
        <v>Q3</v>
      </c>
      <c r="T236" s="79"/>
      <c r="U236" s="40" t="str">
        <f>VLOOKUP(M236,Table1[#All],7,FALSE)</f>
        <v>Q4</v>
      </c>
      <c r="V236" s="79"/>
      <c r="W236" s="40" t="str">
        <f>VLOOKUP(M236,Table1[#All],8,FALSE)</f>
        <v>Q5</v>
      </c>
      <c r="X236" s="79"/>
      <c r="Y236" s="44" t="str">
        <f>VLOOKUP(M236,Table1[#All],2,FALSE)</f>
        <v>Action</v>
      </c>
      <c r="Z236" s="59" t="str">
        <f>VLOOKUP(M236,Table1[#All],9,FALSE)</f>
        <v>Additional Notes:</v>
      </c>
      <c r="AA236" s="76"/>
      <c r="AB236" s="76"/>
      <c r="AC236" s="90" t="s">
        <v>91</v>
      </c>
      <c r="AD236" s="76" t="s">
        <v>91</v>
      </c>
      <c r="AE236" s="77"/>
      <c r="AF236" s="77"/>
      <c r="AG236" s="41" t="s">
        <v>91</v>
      </c>
    </row>
    <row r="237" spans="1:33" ht="21" hidden="1" x14ac:dyDescent="0.55000000000000004">
      <c r="A237" s="44" t="str">
        <f>Data!K236</f>
        <v>DPOW-CCHP</v>
      </c>
      <c r="B237" s="44" t="str">
        <f>Data!L236</f>
        <v>4143899880</v>
      </c>
      <c r="C237" s="44" t="str">
        <f>Data!D236</f>
        <v>Hidalgo Rosa  , Jeryel</v>
      </c>
      <c r="D237" s="82" t="str">
        <f>Data!F236</f>
        <v>8455938382</v>
      </c>
      <c r="E237" s="82" t="str">
        <f>Data!B236</f>
        <v>4331</v>
      </c>
      <c r="F237" s="44" t="str">
        <f>Data!A236</f>
        <v>Hidalgo Rosa  , Jeryel</v>
      </c>
      <c r="G237" s="55" t="str">
        <f>Data!C236</f>
        <v>3/9/2004</v>
      </c>
      <c r="H237" s="56">
        <f>Data!H236</f>
        <v>44652</v>
      </c>
      <c r="I237" s="56" t="str">
        <f>Data!I236</f>
        <v>4/4/2022</v>
      </c>
      <c r="J237" s="57">
        <f>Data!J236</f>
        <v>542</v>
      </c>
      <c r="K237" s="58">
        <f t="shared" ca="1" si="3"/>
        <v>45</v>
      </c>
      <c r="L237" s="58">
        <f>Data!M236</f>
        <v>0</v>
      </c>
      <c r="M237" s="37" t="s">
        <v>26</v>
      </c>
      <c r="N237" s="43" t="str">
        <f>VLOOKUP(M237,Table1[#All],3,FALSE)</f>
        <v>Note</v>
      </c>
      <c r="O237" s="40" t="str">
        <f>VLOOKUP(M237,Table1[#All],4,FALSE)</f>
        <v>Q1</v>
      </c>
      <c r="P237" s="39"/>
      <c r="Q237" s="40" t="str">
        <f>VLOOKUP(M237,Table1[#All],5,FALSE)</f>
        <v>Q2</v>
      </c>
      <c r="R237" s="79"/>
      <c r="S237" s="40" t="str">
        <f>VLOOKUP(M237,Table1[#All],6,FALSE)</f>
        <v>Q3</v>
      </c>
      <c r="T237" s="79"/>
      <c r="U237" s="40" t="str">
        <f>VLOOKUP(M237,Table1[#All],7,FALSE)</f>
        <v>Q4</v>
      </c>
      <c r="V237" s="79"/>
      <c r="W237" s="40" t="str">
        <f>VLOOKUP(M237,Table1[#All],8,FALSE)</f>
        <v>Q5</v>
      </c>
      <c r="X237" s="79"/>
      <c r="Y237" s="44" t="str">
        <f>VLOOKUP(M237,Table1[#All],2,FALSE)</f>
        <v>Action</v>
      </c>
      <c r="Z237" s="59" t="str">
        <f>VLOOKUP(M237,Table1[#All],9,FALSE)</f>
        <v>Additional Notes:</v>
      </c>
      <c r="AA237" s="76"/>
      <c r="AB237" s="76"/>
      <c r="AC237" s="90" t="s">
        <v>91</v>
      </c>
      <c r="AD237" s="76" t="s">
        <v>91</v>
      </c>
      <c r="AE237" s="77"/>
      <c r="AF237" s="77"/>
      <c r="AG237" s="41" t="s">
        <v>91</v>
      </c>
    </row>
    <row r="238" spans="1:33" ht="21" hidden="1" x14ac:dyDescent="0.55000000000000004">
      <c r="A238" s="44" t="str">
        <f>Data!K237</f>
        <v>DPOW-CCHP</v>
      </c>
      <c r="B238" s="44" t="str">
        <f>Data!L237</f>
        <v>4143899880</v>
      </c>
      <c r="C238" s="44" t="str">
        <f>Data!D237</f>
        <v xml:space="preserve">ROSA , CINDY </v>
      </c>
      <c r="D238" s="82" t="str">
        <f>Data!F237</f>
        <v>0453638309</v>
      </c>
      <c r="E238" s="82" t="str">
        <f>Data!B237</f>
        <v>4269</v>
      </c>
      <c r="F238" s="44" t="str">
        <f>Data!A237</f>
        <v xml:space="preserve">ROSA , CINDY </v>
      </c>
      <c r="G238" s="55" t="str">
        <f>Data!C237</f>
        <v>6/29/1986</v>
      </c>
      <c r="H238" s="56">
        <f>Data!H237</f>
        <v>44652</v>
      </c>
      <c r="I238" s="56" t="str">
        <f>Data!I237</f>
        <v>4/4/2022</v>
      </c>
      <c r="J238" s="57">
        <f>Data!J237</f>
        <v>266</v>
      </c>
      <c r="K238" s="58">
        <f t="shared" ca="1" si="3"/>
        <v>45</v>
      </c>
      <c r="L238" s="58">
        <f>Data!M237</f>
        <v>0</v>
      </c>
      <c r="M238" s="37" t="s">
        <v>26</v>
      </c>
      <c r="N238" s="43" t="str">
        <f>VLOOKUP(M238,Table1[#All],3,FALSE)</f>
        <v>Note</v>
      </c>
      <c r="O238" s="40" t="str">
        <f>VLOOKUP(M238,Table1[#All],4,FALSE)</f>
        <v>Q1</v>
      </c>
      <c r="P238" s="39"/>
      <c r="Q238" s="40" t="str">
        <f>VLOOKUP(M238,Table1[#All],5,FALSE)</f>
        <v>Q2</v>
      </c>
      <c r="R238" s="79"/>
      <c r="S238" s="40" t="str">
        <f>VLOOKUP(M238,Table1[#All],6,FALSE)</f>
        <v>Q3</v>
      </c>
      <c r="T238" s="79"/>
      <c r="U238" s="40" t="str">
        <f>VLOOKUP(M238,Table1[#All],7,FALSE)</f>
        <v>Q4</v>
      </c>
      <c r="V238" s="79"/>
      <c r="W238" s="40" t="str">
        <f>VLOOKUP(M238,Table1[#All],8,FALSE)</f>
        <v>Q5</v>
      </c>
      <c r="X238" s="79"/>
      <c r="Y238" s="44" t="str">
        <f>VLOOKUP(M238,Table1[#All],2,FALSE)</f>
        <v>Action</v>
      </c>
      <c r="Z238" s="59" t="str">
        <f>VLOOKUP(M238,Table1[#All],9,FALSE)</f>
        <v>Additional Notes:</v>
      </c>
      <c r="AA238" s="76"/>
      <c r="AB238" s="76"/>
      <c r="AC238" s="90" t="s">
        <v>91</v>
      </c>
      <c r="AD238" s="76" t="s">
        <v>91</v>
      </c>
      <c r="AE238" s="77"/>
      <c r="AF238" s="77"/>
      <c r="AG238" s="41" t="s">
        <v>91</v>
      </c>
    </row>
    <row r="239" spans="1:33" ht="21" hidden="1" x14ac:dyDescent="0.55000000000000004">
      <c r="A239" s="44" t="str">
        <f>Data!K238</f>
        <v>DPOW-CCHP</v>
      </c>
      <c r="B239" s="44" t="str">
        <f>Data!L238</f>
        <v>4143899880</v>
      </c>
      <c r="C239" s="44" t="str">
        <f>Data!D238</f>
        <v>Lehmann, Chelsea</v>
      </c>
      <c r="D239" s="82" t="str">
        <f>Data!F238</f>
        <v>2414990520</v>
      </c>
      <c r="E239" s="82" t="str">
        <f>Data!B238</f>
        <v>9243</v>
      </c>
      <c r="F239" s="44" t="str">
        <f>Data!A238</f>
        <v>Lehmann, Chelsea</v>
      </c>
      <c r="G239" s="55" t="str">
        <f>Data!C238</f>
        <v>6/17/1990</v>
      </c>
      <c r="H239" s="56">
        <f>Data!H238</f>
        <v>44652</v>
      </c>
      <c r="I239" s="56" t="str">
        <f>Data!I238</f>
        <v>4/4/2022</v>
      </c>
      <c r="J239" s="57">
        <f>Data!J238</f>
        <v>304.8</v>
      </c>
      <c r="K239" s="58">
        <f t="shared" ca="1" si="3"/>
        <v>45</v>
      </c>
      <c r="L239" s="58">
        <f>Data!M238</f>
        <v>0</v>
      </c>
      <c r="M239" s="37" t="s">
        <v>26</v>
      </c>
      <c r="N239" s="43" t="str">
        <f>VLOOKUP(M239,Table1[#All],3,FALSE)</f>
        <v>Note</v>
      </c>
      <c r="O239" s="40" t="str">
        <f>VLOOKUP(M239,Table1[#All],4,FALSE)</f>
        <v>Q1</v>
      </c>
      <c r="P239" s="39"/>
      <c r="Q239" s="40" t="str">
        <f>VLOOKUP(M239,Table1[#All],5,FALSE)</f>
        <v>Q2</v>
      </c>
      <c r="R239" s="79"/>
      <c r="S239" s="40" t="str">
        <f>VLOOKUP(M239,Table1[#All],6,FALSE)</f>
        <v>Q3</v>
      </c>
      <c r="T239" s="79"/>
      <c r="U239" s="40" t="str">
        <f>VLOOKUP(M239,Table1[#All],7,FALSE)</f>
        <v>Q4</v>
      </c>
      <c r="V239" s="79"/>
      <c r="W239" s="40" t="str">
        <f>VLOOKUP(M239,Table1[#All],8,FALSE)</f>
        <v>Q5</v>
      </c>
      <c r="X239" s="79"/>
      <c r="Y239" s="44" t="str">
        <f>VLOOKUP(M239,Table1[#All],2,FALSE)</f>
        <v>Action</v>
      </c>
      <c r="Z239" s="59" t="str">
        <f>VLOOKUP(M239,Table1[#All],9,FALSE)</f>
        <v>Additional Notes:</v>
      </c>
      <c r="AA239" s="76"/>
      <c r="AB239" s="76"/>
      <c r="AC239" s="90" t="s">
        <v>91</v>
      </c>
      <c r="AD239" s="76" t="s">
        <v>91</v>
      </c>
      <c r="AE239" s="77"/>
      <c r="AF239" s="77"/>
      <c r="AG239" s="41" t="s">
        <v>91</v>
      </c>
    </row>
    <row r="240" spans="1:33" ht="21" hidden="1" x14ac:dyDescent="0.55000000000000004">
      <c r="A240" s="44" t="str">
        <f>Data!K239</f>
        <v>DPOW-CCHP</v>
      </c>
      <c r="B240" s="44" t="str">
        <f>Data!L239</f>
        <v>4143899880</v>
      </c>
      <c r="C240" s="44" t="str">
        <f>Data!D239</f>
        <v>Mcginnity, Ariel</v>
      </c>
      <c r="D240" s="82" t="str">
        <f>Data!F239</f>
        <v>3428534433</v>
      </c>
      <c r="E240" s="82" t="str">
        <f>Data!B239</f>
        <v>9313</v>
      </c>
      <c r="F240" s="44" t="str">
        <f>Data!A239</f>
        <v>Mcginnity, Ariel</v>
      </c>
      <c r="G240" s="55" t="str">
        <f>Data!C239</f>
        <v>12/27/2006</v>
      </c>
      <c r="H240" s="56">
        <f>Data!H239</f>
        <v>44652</v>
      </c>
      <c r="I240" s="56" t="str">
        <f>Data!I239</f>
        <v>4/4/2022</v>
      </c>
      <c r="J240" s="57">
        <f>Data!J239</f>
        <v>688.4</v>
      </c>
      <c r="K240" s="58">
        <f t="shared" ca="1" si="3"/>
        <v>45</v>
      </c>
      <c r="L240" s="58">
        <f>Data!M239</f>
        <v>0</v>
      </c>
      <c r="M240" s="37" t="s">
        <v>26</v>
      </c>
      <c r="N240" s="43" t="str">
        <f>VLOOKUP(M240,Table1[#All],3,FALSE)</f>
        <v>Note</v>
      </c>
      <c r="O240" s="40" t="str">
        <f>VLOOKUP(M240,Table1[#All],4,FALSE)</f>
        <v>Q1</v>
      </c>
      <c r="P240" s="39"/>
      <c r="Q240" s="40" t="str">
        <f>VLOOKUP(M240,Table1[#All],5,FALSE)</f>
        <v>Q2</v>
      </c>
      <c r="R240" s="79"/>
      <c r="S240" s="40" t="str">
        <f>VLOOKUP(M240,Table1[#All],6,FALSE)</f>
        <v>Q3</v>
      </c>
      <c r="T240" s="79"/>
      <c r="U240" s="40" t="str">
        <f>VLOOKUP(M240,Table1[#All],7,FALSE)</f>
        <v>Q4</v>
      </c>
      <c r="V240" s="79"/>
      <c r="W240" s="40" t="str">
        <f>VLOOKUP(M240,Table1[#All],8,FALSE)</f>
        <v>Q5</v>
      </c>
      <c r="X240" s="79"/>
      <c r="Y240" s="44" t="str">
        <f>VLOOKUP(M240,Table1[#All],2,FALSE)</f>
        <v>Action</v>
      </c>
      <c r="Z240" s="59" t="str">
        <f>VLOOKUP(M240,Table1[#All],9,FALSE)</f>
        <v>Additional Notes:</v>
      </c>
      <c r="AA240" s="76"/>
      <c r="AB240" s="76"/>
      <c r="AC240" s="90" t="s">
        <v>91</v>
      </c>
      <c r="AD240" s="76" t="s">
        <v>91</v>
      </c>
      <c r="AE240" s="77"/>
      <c r="AF240" s="77"/>
      <c r="AG240" s="41" t="s">
        <v>91</v>
      </c>
    </row>
    <row r="241" spans="1:33" ht="21" hidden="1" x14ac:dyDescent="0.55000000000000004">
      <c r="A241" s="44" t="str">
        <f>Data!K240</f>
        <v>DPOW-CCHP</v>
      </c>
      <c r="B241" s="44" t="str">
        <f>Data!L240</f>
        <v>4143899880</v>
      </c>
      <c r="C241" s="44" t="str">
        <f>Data!D240</f>
        <v xml:space="preserve">Jabbar, Seriya </v>
      </c>
      <c r="D241" s="82" t="str">
        <f>Data!F240</f>
        <v>0451334205</v>
      </c>
      <c r="E241" s="82" t="str">
        <f>Data!B240</f>
        <v>8925</v>
      </c>
      <c r="F241" s="44" t="str">
        <f>Data!A240</f>
        <v xml:space="preserve">Jabbar, Seriya </v>
      </c>
      <c r="G241" s="55" t="str">
        <f>Data!C240</f>
        <v>3/19/2017</v>
      </c>
      <c r="H241" s="56">
        <f>Data!H240</f>
        <v>44650</v>
      </c>
      <c r="I241" s="56" t="str">
        <f>Data!I240</f>
        <v>3/31/2022</v>
      </c>
      <c r="J241" s="57">
        <f>Data!J240</f>
        <v>634</v>
      </c>
      <c r="K241" s="58">
        <f t="shared" ca="1" si="3"/>
        <v>49</v>
      </c>
      <c r="L241" s="58">
        <f>Data!M240</f>
        <v>0</v>
      </c>
      <c r="M241" s="37" t="s">
        <v>26</v>
      </c>
      <c r="N241" s="43" t="str">
        <f>VLOOKUP(M241,Table1[#All],3,FALSE)</f>
        <v>Note</v>
      </c>
      <c r="O241" s="40" t="str">
        <f>VLOOKUP(M241,Table1[#All],4,FALSE)</f>
        <v>Q1</v>
      </c>
      <c r="P241" s="39"/>
      <c r="Q241" s="40" t="str">
        <f>VLOOKUP(M241,Table1[#All],5,FALSE)</f>
        <v>Q2</v>
      </c>
      <c r="R241" s="79"/>
      <c r="S241" s="40" t="str">
        <f>VLOOKUP(M241,Table1[#All],6,FALSE)</f>
        <v>Q3</v>
      </c>
      <c r="T241" s="79"/>
      <c r="U241" s="40" t="str">
        <f>VLOOKUP(M241,Table1[#All],7,FALSE)</f>
        <v>Q4</v>
      </c>
      <c r="V241" s="79"/>
      <c r="W241" s="40" t="str">
        <f>VLOOKUP(M241,Table1[#All],8,FALSE)</f>
        <v>Q5</v>
      </c>
      <c r="X241" s="79"/>
      <c r="Y241" s="44" t="str">
        <f>VLOOKUP(M241,Table1[#All],2,FALSE)</f>
        <v>Action</v>
      </c>
      <c r="Z241" s="59" t="str">
        <f>VLOOKUP(M241,Table1[#All],9,FALSE)</f>
        <v>Additional Notes:</v>
      </c>
      <c r="AA241" s="76"/>
      <c r="AB241" s="76"/>
      <c r="AC241" s="90" t="s">
        <v>91</v>
      </c>
      <c r="AD241" s="76" t="s">
        <v>91</v>
      </c>
      <c r="AE241" s="77"/>
      <c r="AF241" s="77"/>
      <c r="AG241" s="41" t="s">
        <v>91</v>
      </c>
    </row>
    <row r="242" spans="1:33" ht="21" hidden="1" x14ac:dyDescent="0.55000000000000004">
      <c r="A242" s="44" t="str">
        <f>Data!K241</f>
        <v>DPOW-CCHP</v>
      </c>
      <c r="B242" s="44" t="str">
        <f>Data!L241</f>
        <v>4143899880</v>
      </c>
      <c r="C242" s="44" t="str">
        <f>Data!D241</f>
        <v>Bogdala , Mark</v>
      </c>
      <c r="D242" s="82" t="str">
        <f>Data!F241</f>
        <v>8443867884</v>
      </c>
      <c r="E242" s="82" t="str">
        <f>Data!B241</f>
        <v>9377</v>
      </c>
      <c r="F242" s="44" t="str">
        <f>Data!A241</f>
        <v>Bogdala , Mark</v>
      </c>
      <c r="G242" s="55" t="str">
        <f>Data!C241</f>
        <v>9/19/1988</v>
      </c>
      <c r="H242" s="56">
        <f>Data!H241</f>
        <v>44649</v>
      </c>
      <c r="I242" s="56" t="str">
        <f>Data!I241</f>
        <v>3/30/2022</v>
      </c>
      <c r="J242" s="57">
        <f>Data!J241</f>
        <v>715.2</v>
      </c>
      <c r="K242" s="58">
        <f t="shared" ca="1" si="3"/>
        <v>50</v>
      </c>
      <c r="L242" s="58">
        <f>Data!M241</f>
        <v>0</v>
      </c>
      <c r="M242" s="37" t="s">
        <v>26</v>
      </c>
      <c r="N242" s="43" t="str">
        <f>VLOOKUP(M242,Table1[#All],3,FALSE)</f>
        <v>Note</v>
      </c>
      <c r="O242" s="40" t="str">
        <f>VLOOKUP(M242,Table1[#All],4,FALSE)</f>
        <v>Q1</v>
      </c>
      <c r="P242" s="39"/>
      <c r="Q242" s="40" t="str">
        <f>VLOOKUP(M242,Table1[#All],5,FALSE)</f>
        <v>Q2</v>
      </c>
      <c r="R242" s="79"/>
      <c r="S242" s="40" t="str">
        <f>VLOOKUP(M242,Table1[#All],6,FALSE)</f>
        <v>Q3</v>
      </c>
      <c r="T242" s="79"/>
      <c r="U242" s="40" t="str">
        <f>VLOOKUP(M242,Table1[#All],7,FALSE)</f>
        <v>Q4</v>
      </c>
      <c r="V242" s="79"/>
      <c r="W242" s="40" t="str">
        <f>VLOOKUP(M242,Table1[#All],8,FALSE)</f>
        <v>Q5</v>
      </c>
      <c r="X242" s="79"/>
      <c r="Y242" s="44" t="str">
        <f>VLOOKUP(M242,Table1[#All],2,FALSE)</f>
        <v>Action</v>
      </c>
      <c r="Z242" s="59" t="str">
        <f>VLOOKUP(M242,Table1[#All],9,FALSE)</f>
        <v>Additional Notes:</v>
      </c>
      <c r="AA242" s="76"/>
      <c r="AB242" s="76"/>
      <c r="AC242" s="90" t="s">
        <v>91</v>
      </c>
      <c r="AD242" s="76" t="s">
        <v>91</v>
      </c>
      <c r="AE242" s="77"/>
      <c r="AF242" s="77"/>
      <c r="AG242" s="41" t="s">
        <v>91</v>
      </c>
    </row>
    <row r="243" spans="1:33" ht="21" hidden="1" x14ac:dyDescent="0.55000000000000004">
      <c r="A243" s="44" t="str">
        <f>Data!K242</f>
        <v>DPOW-CCHP</v>
      </c>
      <c r="B243" s="44" t="str">
        <f>Data!L242</f>
        <v>4143899880</v>
      </c>
      <c r="C243" s="44" t="str">
        <f>Data!D242</f>
        <v>Rand, Jennifer</v>
      </c>
      <c r="D243" s="82" t="str">
        <f>Data!F242</f>
        <v>6417182266</v>
      </c>
      <c r="E243" s="82" t="str">
        <f>Data!B242</f>
        <v>7182</v>
      </c>
      <c r="F243" s="44" t="str">
        <f>Data!A242</f>
        <v>Rand, Jennifer</v>
      </c>
      <c r="G243" s="55" t="str">
        <f>Data!C242</f>
        <v>8/19/1974</v>
      </c>
      <c r="H243" s="56">
        <f>Data!H242</f>
        <v>44649</v>
      </c>
      <c r="I243" s="56" t="str">
        <f>Data!I242</f>
        <v>3/30/2022</v>
      </c>
      <c r="J243" s="57">
        <f>Data!J242</f>
        <v>108.8</v>
      </c>
      <c r="K243" s="58">
        <f t="shared" ca="1" si="3"/>
        <v>50</v>
      </c>
      <c r="L243" s="58">
        <f>Data!M242</f>
        <v>0</v>
      </c>
      <c r="M243" s="37" t="s">
        <v>26</v>
      </c>
      <c r="N243" s="43" t="str">
        <f>VLOOKUP(M243,Table1[#All],3,FALSE)</f>
        <v>Note</v>
      </c>
      <c r="O243" s="40" t="str">
        <f>VLOOKUP(M243,Table1[#All],4,FALSE)</f>
        <v>Q1</v>
      </c>
      <c r="P243" s="39"/>
      <c r="Q243" s="40" t="str">
        <f>VLOOKUP(M243,Table1[#All],5,FALSE)</f>
        <v>Q2</v>
      </c>
      <c r="R243" s="79"/>
      <c r="S243" s="40" t="str">
        <f>VLOOKUP(M243,Table1[#All],6,FALSE)</f>
        <v>Q3</v>
      </c>
      <c r="T243" s="79"/>
      <c r="U243" s="40" t="str">
        <f>VLOOKUP(M243,Table1[#All],7,FALSE)</f>
        <v>Q4</v>
      </c>
      <c r="V243" s="79"/>
      <c r="W243" s="40" t="str">
        <f>VLOOKUP(M243,Table1[#All],8,FALSE)</f>
        <v>Q5</v>
      </c>
      <c r="X243" s="79"/>
      <c r="Y243" s="44" t="str">
        <f>VLOOKUP(M243,Table1[#All],2,FALSE)</f>
        <v>Action</v>
      </c>
      <c r="Z243" s="59" t="str">
        <f>VLOOKUP(M243,Table1[#All],9,FALSE)</f>
        <v>Additional Notes:</v>
      </c>
      <c r="AA243" s="76"/>
      <c r="AB243" s="76"/>
      <c r="AC243" s="90" t="s">
        <v>91</v>
      </c>
      <c r="AD243" s="76" t="s">
        <v>91</v>
      </c>
      <c r="AE243" s="77"/>
      <c r="AF243" s="77"/>
      <c r="AG243" s="41" t="s">
        <v>91</v>
      </c>
    </row>
    <row r="244" spans="1:33" ht="21" hidden="1" x14ac:dyDescent="0.55000000000000004">
      <c r="A244" s="44" t="str">
        <f>Data!K243</f>
        <v>DPOW-CCHP</v>
      </c>
      <c r="B244" s="44" t="str">
        <f>Data!L243</f>
        <v>4143899880</v>
      </c>
      <c r="C244" s="44" t="str">
        <f>Data!D243</f>
        <v>Daniels, Allison</v>
      </c>
      <c r="D244" s="82" t="str">
        <f>Data!F243</f>
        <v>1453191518</v>
      </c>
      <c r="E244" s="82" t="str">
        <f>Data!B243</f>
        <v>1597</v>
      </c>
      <c r="F244" s="44" t="str">
        <f>Data!A243</f>
        <v>Daniels, Allison</v>
      </c>
      <c r="G244" s="55" t="str">
        <f>Data!C243</f>
        <v>3/24/1994</v>
      </c>
      <c r="H244" s="56">
        <f>Data!H243</f>
        <v>44649</v>
      </c>
      <c r="I244" s="56" t="str">
        <f>Data!I243</f>
        <v>3/30/2022</v>
      </c>
      <c r="J244" s="57">
        <f>Data!J243</f>
        <v>347.6</v>
      </c>
      <c r="K244" s="58">
        <f t="shared" ca="1" si="3"/>
        <v>50</v>
      </c>
      <c r="L244" s="58">
        <f>Data!M243</f>
        <v>0</v>
      </c>
      <c r="M244" s="37" t="s">
        <v>26</v>
      </c>
      <c r="N244" s="43" t="str">
        <f>VLOOKUP(M244,Table1[#All],3,FALSE)</f>
        <v>Note</v>
      </c>
      <c r="O244" s="40" t="str">
        <f>VLOOKUP(M244,Table1[#All],4,FALSE)</f>
        <v>Q1</v>
      </c>
      <c r="P244" s="39"/>
      <c r="Q244" s="40" t="str">
        <f>VLOOKUP(M244,Table1[#All],5,FALSE)</f>
        <v>Q2</v>
      </c>
      <c r="R244" s="79"/>
      <c r="S244" s="40" t="str">
        <f>VLOOKUP(M244,Table1[#All],6,FALSE)</f>
        <v>Q3</v>
      </c>
      <c r="T244" s="79"/>
      <c r="U244" s="40" t="str">
        <f>VLOOKUP(M244,Table1[#All],7,FALSE)</f>
        <v>Q4</v>
      </c>
      <c r="V244" s="79"/>
      <c r="W244" s="40" t="str">
        <f>VLOOKUP(M244,Table1[#All],8,FALSE)</f>
        <v>Q5</v>
      </c>
      <c r="X244" s="79"/>
      <c r="Y244" s="44" t="str">
        <f>VLOOKUP(M244,Table1[#All],2,FALSE)</f>
        <v>Action</v>
      </c>
      <c r="Z244" s="59" t="str">
        <f>VLOOKUP(M244,Table1[#All],9,FALSE)</f>
        <v>Additional Notes:</v>
      </c>
      <c r="AA244" s="76"/>
      <c r="AB244" s="76"/>
      <c r="AC244" s="90" t="s">
        <v>91</v>
      </c>
      <c r="AD244" s="76" t="s">
        <v>91</v>
      </c>
      <c r="AE244" s="77"/>
      <c r="AF244" s="77"/>
      <c r="AG244" s="41" t="s">
        <v>91</v>
      </c>
    </row>
    <row r="245" spans="1:33" ht="21" hidden="1" x14ac:dyDescent="0.55000000000000004">
      <c r="A245" s="44" t="str">
        <f>Data!K244</f>
        <v>DPOW-CCHP</v>
      </c>
      <c r="B245" s="44" t="str">
        <f>Data!L244</f>
        <v>4143899880</v>
      </c>
      <c r="C245" s="44" t="str">
        <f>Data!D244</f>
        <v>Crespo, Melanie</v>
      </c>
      <c r="D245" s="82" t="str">
        <f>Data!F244</f>
        <v>6429042669</v>
      </c>
      <c r="E245" s="82" t="str">
        <f>Data!B244</f>
        <v>9154</v>
      </c>
      <c r="F245" s="44" t="str">
        <f>Data!A244</f>
        <v>Crespo, Melanie</v>
      </c>
      <c r="G245" s="55" t="str">
        <f>Data!C244</f>
        <v>7/31/2007</v>
      </c>
      <c r="H245" s="56">
        <f>Data!H244</f>
        <v>44646</v>
      </c>
      <c r="I245" s="56" t="str">
        <f>Data!I244</f>
        <v>3/28/2022</v>
      </c>
      <c r="J245" s="57">
        <f>Data!J244</f>
        <v>294.8</v>
      </c>
      <c r="K245" s="58">
        <f t="shared" ca="1" si="3"/>
        <v>52</v>
      </c>
      <c r="L245" s="58">
        <f>Data!M244</f>
        <v>0</v>
      </c>
      <c r="M245" s="37" t="s">
        <v>26</v>
      </c>
      <c r="N245" s="43" t="str">
        <f>VLOOKUP(M245,Table1[#All],3,FALSE)</f>
        <v>Note</v>
      </c>
      <c r="O245" s="40" t="str">
        <f>VLOOKUP(M245,Table1[#All],4,FALSE)</f>
        <v>Q1</v>
      </c>
      <c r="P245" s="39"/>
      <c r="Q245" s="40" t="str">
        <f>VLOOKUP(M245,Table1[#All],5,FALSE)</f>
        <v>Q2</v>
      </c>
      <c r="R245" s="79"/>
      <c r="S245" s="40" t="str">
        <f>VLOOKUP(M245,Table1[#All],6,FALSE)</f>
        <v>Q3</v>
      </c>
      <c r="T245" s="79"/>
      <c r="U245" s="40" t="str">
        <f>VLOOKUP(M245,Table1[#All],7,FALSE)</f>
        <v>Q4</v>
      </c>
      <c r="V245" s="79"/>
      <c r="W245" s="40" t="str">
        <f>VLOOKUP(M245,Table1[#All],8,FALSE)</f>
        <v>Q5</v>
      </c>
      <c r="X245" s="79"/>
      <c r="Y245" s="44" t="str">
        <f>VLOOKUP(M245,Table1[#All],2,FALSE)</f>
        <v>Action</v>
      </c>
      <c r="Z245" s="59" t="str">
        <f>VLOOKUP(M245,Table1[#All],9,FALSE)</f>
        <v>Additional Notes:</v>
      </c>
      <c r="AA245" s="76"/>
      <c r="AB245" s="76"/>
      <c r="AC245" s="90" t="s">
        <v>91</v>
      </c>
      <c r="AD245" s="76" t="s">
        <v>91</v>
      </c>
      <c r="AE245" s="77"/>
      <c r="AF245" s="77"/>
      <c r="AG245" s="41" t="s">
        <v>91</v>
      </c>
    </row>
    <row r="246" spans="1:33" ht="21" hidden="1" x14ac:dyDescent="0.55000000000000004">
      <c r="A246" s="44" t="str">
        <f>Data!K245</f>
        <v>DPOW-CCHP</v>
      </c>
      <c r="B246" s="44" t="str">
        <f>Data!L245</f>
        <v>4143899880</v>
      </c>
      <c r="C246" s="44" t="str">
        <f>Data!D245</f>
        <v xml:space="preserve">Crespo, Clarissa </v>
      </c>
      <c r="D246" s="82" t="str">
        <f>Data!F245</f>
        <v>7429042678</v>
      </c>
      <c r="E246" s="82" t="str">
        <f>Data!B245</f>
        <v>9156</v>
      </c>
      <c r="F246" s="44" t="str">
        <f>Data!A245</f>
        <v xml:space="preserve">Crespo, Clarissa </v>
      </c>
      <c r="G246" s="55" t="str">
        <f>Data!C245</f>
        <v>7/31/2007</v>
      </c>
      <c r="H246" s="56">
        <f>Data!H245</f>
        <v>44646</v>
      </c>
      <c r="I246" s="56" t="str">
        <f>Data!I245</f>
        <v>3/28/2022</v>
      </c>
      <c r="J246" s="57">
        <f>Data!J245</f>
        <v>294.8</v>
      </c>
      <c r="K246" s="58">
        <f t="shared" ca="1" si="3"/>
        <v>52</v>
      </c>
      <c r="L246" s="58">
        <f>Data!M245</f>
        <v>0</v>
      </c>
      <c r="M246" s="37" t="s">
        <v>26</v>
      </c>
      <c r="N246" s="43" t="str">
        <f>VLOOKUP(M246,Table1[#All],3,FALSE)</f>
        <v>Note</v>
      </c>
      <c r="O246" s="40" t="str">
        <f>VLOOKUP(M246,Table1[#All],4,FALSE)</f>
        <v>Q1</v>
      </c>
      <c r="P246" s="39"/>
      <c r="Q246" s="40" t="str">
        <f>VLOOKUP(M246,Table1[#All],5,FALSE)</f>
        <v>Q2</v>
      </c>
      <c r="R246" s="79"/>
      <c r="S246" s="40" t="str">
        <f>VLOOKUP(M246,Table1[#All],6,FALSE)</f>
        <v>Q3</v>
      </c>
      <c r="T246" s="79"/>
      <c r="U246" s="40" t="str">
        <f>VLOOKUP(M246,Table1[#All],7,FALSE)</f>
        <v>Q4</v>
      </c>
      <c r="V246" s="79"/>
      <c r="W246" s="40" t="str">
        <f>VLOOKUP(M246,Table1[#All],8,FALSE)</f>
        <v>Q5</v>
      </c>
      <c r="X246" s="79"/>
      <c r="Y246" s="44" t="str">
        <f>VLOOKUP(M246,Table1[#All],2,FALSE)</f>
        <v>Action</v>
      </c>
      <c r="Z246" s="59" t="str">
        <f>VLOOKUP(M246,Table1[#All],9,FALSE)</f>
        <v>Additional Notes:</v>
      </c>
      <c r="AA246" s="76"/>
      <c r="AB246" s="76"/>
      <c r="AC246" s="90" t="s">
        <v>91</v>
      </c>
      <c r="AD246" s="76" t="s">
        <v>91</v>
      </c>
      <c r="AE246" s="77"/>
      <c r="AF246" s="77"/>
      <c r="AG246" s="41" t="s">
        <v>91</v>
      </c>
    </row>
    <row r="247" spans="1:33" ht="21" hidden="1" x14ac:dyDescent="0.55000000000000004">
      <c r="A247" s="44" t="str">
        <f>Data!K246</f>
        <v>DPOW-CCHP</v>
      </c>
      <c r="B247" s="44" t="str">
        <f>Data!L246</f>
        <v>4143899880</v>
      </c>
      <c r="C247" s="44" t="str">
        <f>Data!D246</f>
        <v xml:space="preserve">Moore , Sarah </v>
      </c>
      <c r="D247" s="82" t="str">
        <f>Data!F246</f>
        <v>0438495705</v>
      </c>
      <c r="E247" s="82" t="str">
        <f>Data!B246</f>
        <v>9176</v>
      </c>
      <c r="F247" s="44" t="str">
        <f>Data!A246</f>
        <v xml:space="preserve">Moore , Sarah </v>
      </c>
      <c r="G247" s="55" t="str">
        <f>Data!C246</f>
        <v>8/31/1991</v>
      </c>
      <c r="H247" s="56">
        <f>Data!H246</f>
        <v>44645</v>
      </c>
      <c r="I247" s="56" t="str">
        <f>Data!I246</f>
        <v>3/28/2022</v>
      </c>
      <c r="J247" s="57">
        <f>Data!J246</f>
        <v>138</v>
      </c>
      <c r="K247" s="58">
        <f t="shared" ca="1" si="3"/>
        <v>52</v>
      </c>
      <c r="L247" s="58">
        <f>Data!M246</f>
        <v>0</v>
      </c>
      <c r="M247" s="37" t="s">
        <v>26</v>
      </c>
      <c r="N247" s="43" t="str">
        <f>VLOOKUP(M247,Table1[#All],3,FALSE)</f>
        <v>Note</v>
      </c>
      <c r="O247" s="40" t="str">
        <f>VLOOKUP(M247,Table1[#All],4,FALSE)</f>
        <v>Q1</v>
      </c>
      <c r="P247" s="39"/>
      <c r="Q247" s="40" t="str">
        <f>VLOOKUP(M247,Table1[#All],5,FALSE)</f>
        <v>Q2</v>
      </c>
      <c r="R247" s="79"/>
      <c r="S247" s="40" t="str">
        <f>VLOOKUP(M247,Table1[#All],6,FALSE)</f>
        <v>Q3</v>
      </c>
      <c r="T247" s="79"/>
      <c r="U247" s="40" t="str">
        <f>VLOOKUP(M247,Table1[#All],7,FALSE)</f>
        <v>Q4</v>
      </c>
      <c r="V247" s="79"/>
      <c r="W247" s="40" t="str">
        <f>VLOOKUP(M247,Table1[#All],8,FALSE)</f>
        <v>Q5</v>
      </c>
      <c r="X247" s="79"/>
      <c r="Y247" s="44" t="str">
        <f>VLOOKUP(M247,Table1[#All],2,FALSE)</f>
        <v>Action</v>
      </c>
      <c r="Z247" s="59" t="str">
        <f>VLOOKUP(M247,Table1[#All],9,FALSE)</f>
        <v>Additional Notes:</v>
      </c>
      <c r="AA247" s="76"/>
      <c r="AB247" s="76"/>
      <c r="AC247" s="90" t="s">
        <v>91</v>
      </c>
      <c r="AD247" s="76" t="s">
        <v>91</v>
      </c>
      <c r="AE247" s="77"/>
      <c r="AF247" s="77"/>
      <c r="AG247" s="41" t="s">
        <v>91</v>
      </c>
    </row>
    <row r="248" spans="1:33" ht="21" hidden="1" x14ac:dyDescent="0.55000000000000004">
      <c r="A248" s="44" t="str">
        <f>Data!K247</f>
        <v>DPOW-CCHP</v>
      </c>
      <c r="B248" s="44" t="str">
        <f>Data!L247</f>
        <v>4143899880</v>
      </c>
      <c r="C248" s="44" t="str">
        <f>Data!D247</f>
        <v xml:space="preserve">Uribe, Olimpia </v>
      </c>
      <c r="D248" s="82" t="str">
        <f>Data!F247</f>
        <v>9403073390</v>
      </c>
      <c r="E248" s="82" t="str">
        <f>Data!B247</f>
        <v>9357</v>
      </c>
      <c r="F248" s="44" t="str">
        <f>Data!A247</f>
        <v xml:space="preserve">Uribe, Olimpia </v>
      </c>
      <c r="G248" s="55" t="str">
        <f>Data!C247</f>
        <v>1/5/1971</v>
      </c>
      <c r="H248" s="56">
        <f>Data!H247</f>
        <v>44645</v>
      </c>
      <c r="I248" s="56" t="str">
        <f>Data!I247</f>
        <v>3/28/2022</v>
      </c>
      <c r="J248" s="57">
        <f>Data!J247</f>
        <v>332.4</v>
      </c>
      <c r="K248" s="58">
        <f t="shared" ca="1" si="3"/>
        <v>52</v>
      </c>
      <c r="L248" s="58">
        <f>Data!M247</f>
        <v>0</v>
      </c>
      <c r="M248" s="37" t="s">
        <v>26</v>
      </c>
      <c r="N248" s="43" t="str">
        <f>VLOOKUP(M248,Table1[#All],3,FALSE)</f>
        <v>Note</v>
      </c>
      <c r="O248" s="40" t="str">
        <f>VLOOKUP(M248,Table1[#All],4,FALSE)</f>
        <v>Q1</v>
      </c>
      <c r="P248" s="39"/>
      <c r="Q248" s="40" t="str">
        <f>VLOOKUP(M248,Table1[#All],5,FALSE)</f>
        <v>Q2</v>
      </c>
      <c r="R248" s="79"/>
      <c r="S248" s="40" t="str">
        <f>VLOOKUP(M248,Table1[#All],6,FALSE)</f>
        <v>Q3</v>
      </c>
      <c r="T248" s="79"/>
      <c r="U248" s="40" t="str">
        <f>VLOOKUP(M248,Table1[#All],7,FALSE)</f>
        <v>Q4</v>
      </c>
      <c r="V248" s="79"/>
      <c r="W248" s="40" t="str">
        <f>VLOOKUP(M248,Table1[#All],8,FALSE)</f>
        <v>Q5</v>
      </c>
      <c r="X248" s="79"/>
      <c r="Y248" s="44" t="str">
        <f>VLOOKUP(M248,Table1[#All],2,FALSE)</f>
        <v>Action</v>
      </c>
      <c r="Z248" s="59" t="str">
        <f>VLOOKUP(M248,Table1[#All],9,FALSE)</f>
        <v>Additional Notes:</v>
      </c>
      <c r="AA248" s="76"/>
      <c r="AB248" s="76"/>
      <c r="AC248" s="90" t="s">
        <v>91</v>
      </c>
      <c r="AD248" s="76" t="s">
        <v>91</v>
      </c>
      <c r="AE248" s="77"/>
      <c r="AF248" s="77"/>
      <c r="AG248" s="41" t="s">
        <v>91</v>
      </c>
    </row>
    <row r="249" spans="1:33" ht="21" hidden="1" x14ac:dyDescent="0.55000000000000004">
      <c r="A249" s="44" t="str">
        <f>Data!K248</f>
        <v>DPOW-CCHP</v>
      </c>
      <c r="B249" s="44" t="str">
        <f>Data!L248</f>
        <v>4143899880</v>
      </c>
      <c r="C249" s="44" t="str">
        <f>Data!D248</f>
        <v xml:space="preserve">ROMO, CRISTINA </v>
      </c>
      <c r="D249" s="82" t="str">
        <f>Data!F248</f>
        <v>7411002771</v>
      </c>
      <c r="E249" s="82" t="str">
        <f>Data!B248</f>
        <v>3645</v>
      </c>
      <c r="F249" s="44" t="str">
        <f>Data!A248</f>
        <v xml:space="preserve">ROMO, CRISTINA </v>
      </c>
      <c r="G249" s="55" t="str">
        <f>Data!C248</f>
        <v>5/21/1993</v>
      </c>
      <c r="H249" s="56">
        <f>Data!H248</f>
        <v>44645</v>
      </c>
      <c r="I249" s="56" t="str">
        <f>Data!I248</f>
        <v>3/28/2022</v>
      </c>
      <c r="J249" s="57">
        <f>Data!J248</f>
        <v>374.4</v>
      </c>
      <c r="K249" s="58">
        <f t="shared" ca="1" si="3"/>
        <v>52</v>
      </c>
      <c r="L249" s="58">
        <f>Data!M248</f>
        <v>0</v>
      </c>
      <c r="M249" s="37" t="s">
        <v>26</v>
      </c>
      <c r="N249" s="43" t="str">
        <f>VLOOKUP(M249,Table1[#All],3,FALSE)</f>
        <v>Note</v>
      </c>
      <c r="O249" s="40" t="str">
        <f>VLOOKUP(M249,Table1[#All],4,FALSE)</f>
        <v>Q1</v>
      </c>
      <c r="P249" s="39"/>
      <c r="Q249" s="40" t="str">
        <f>VLOOKUP(M249,Table1[#All],5,FALSE)</f>
        <v>Q2</v>
      </c>
      <c r="R249" s="79"/>
      <c r="S249" s="40" t="str">
        <f>VLOOKUP(M249,Table1[#All],6,FALSE)</f>
        <v>Q3</v>
      </c>
      <c r="T249" s="79"/>
      <c r="U249" s="40" t="str">
        <f>VLOOKUP(M249,Table1[#All],7,FALSE)</f>
        <v>Q4</v>
      </c>
      <c r="V249" s="79"/>
      <c r="W249" s="40" t="str">
        <f>VLOOKUP(M249,Table1[#All],8,FALSE)</f>
        <v>Q5</v>
      </c>
      <c r="X249" s="79"/>
      <c r="Y249" s="44" t="str">
        <f>VLOOKUP(M249,Table1[#All],2,FALSE)</f>
        <v>Action</v>
      </c>
      <c r="Z249" s="59" t="str">
        <f>VLOOKUP(M249,Table1[#All],9,FALSE)</f>
        <v>Additional Notes:</v>
      </c>
      <c r="AA249" s="76"/>
      <c r="AB249" s="76"/>
      <c r="AC249" s="90" t="s">
        <v>91</v>
      </c>
      <c r="AD249" s="76" t="s">
        <v>91</v>
      </c>
      <c r="AE249" s="77"/>
      <c r="AF249" s="77"/>
      <c r="AG249" s="41" t="s">
        <v>91</v>
      </c>
    </row>
    <row r="250" spans="1:33" ht="21" hidden="1" x14ac:dyDescent="0.55000000000000004">
      <c r="A250" s="44" t="str">
        <f>Data!K249</f>
        <v>DPOW-CCHP</v>
      </c>
      <c r="B250" s="44" t="str">
        <f>Data!L249</f>
        <v>4143899880</v>
      </c>
      <c r="C250" s="44" t="str">
        <f>Data!D249</f>
        <v xml:space="preserve">Lynch, Miricle </v>
      </c>
      <c r="D250" s="82" t="str">
        <f>Data!F249</f>
        <v>9413032297</v>
      </c>
      <c r="E250" s="82" t="str">
        <f>Data!B249</f>
        <v>6000</v>
      </c>
      <c r="F250" s="44" t="str">
        <f>Data!A249</f>
        <v xml:space="preserve">Lynch, Miricle </v>
      </c>
      <c r="G250" s="55" t="str">
        <f>Data!C249</f>
        <v>12/30/1997</v>
      </c>
      <c r="H250" s="56">
        <f>Data!H249</f>
        <v>44645</v>
      </c>
      <c r="I250" s="56" t="str">
        <f>Data!I249</f>
        <v>3/28/2022</v>
      </c>
      <c r="J250" s="57">
        <f>Data!J249</f>
        <v>116.4</v>
      </c>
      <c r="K250" s="58">
        <f t="shared" ca="1" si="3"/>
        <v>52</v>
      </c>
      <c r="L250" s="58">
        <f>Data!M249</f>
        <v>0</v>
      </c>
      <c r="M250" s="37" t="s">
        <v>26</v>
      </c>
      <c r="N250" s="43" t="str">
        <f>VLOOKUP(M250,Table1[#All],3,FALSE)</f>
        <v>Note</v>
      </c>
      <c r="O250" s="40" t="str">
        <f>VLOOKUP(M250,Table1[#All],4,FALSE)</f>
        <v>Q1</v>
      </c>
      <c r="P250" s="39"/>
      <c r="Q250" s="40" t="str">
        <f>VLOOKUP(M250,Table1[#All],5,FALSE)</f>
        <v>Q2</v>
      </c>
      <c r="R250" s="79"/>
      <c r="S250" s="40" t="str">
        <f>VLOOKUP(M250,Table1[#All],6,FALSE)</f>
        <v>Q3</v>
      </c>
      <c r="T250" s="79"/>
      <c r="U250" s="40" t="str">
        <f>VLOOKUP(M250,Table1[#All],7,FALSE)</f>
        <v>Q4</v>
      </c>
      <c r="V250" s="79"/>
      <c r="W250" s="40" t="str">
        <f>VLOOKUP(M250,Table1[#All],8,FALSE)</f>
        <v>Q5</v>
      </c>
      <c r="X250" s="79"/>
      <c r="Y250" s="44" t="str">
        <f>VLOOKUP(M250,Table1[#All],2,FALSE)</f>
        <v>Action</v>
      </c>
      <c r="Z250" s="59" t="str">
        <f>VLOOKUP(M250,Table1[#All],9,FALSE)</f>
        <v>Additional Notes:</v>
      </c>
      <c r="AA250" s="76"/>
      <c r="AB250" s="76"/>
      <c r="AC250" s="90" t="s">
        <v>91</v>
      </c>
      <c r="AD250" s="76" t="s">
        <v>91</v>
      </c>
      <c r="AE250" s="77"/>
      <c r="AF250" s="77"/>
      <c r="AG250" s="41" t="s">
        <v>91</v>
      </c>
    </row>
    <row r="251" spans="1:33" ht="21" hidden="1" x14ac:dyDescent="0.55000000000000004">
      <c r="A251" s="44" t="str">
        <f>Data!K250</f>
        <v>DPOW-CCHP</v>
      </c>
      <c r="B251" s="44" t="str">
        <f>Data!L250</f>
        <v>4143899880</v>
      </c>
      <c r="C251" s="44" t="str">
        <f>Data!D250</f>
        <v xml:space="preserve">Bogdala , Olivia </v>
      </c>
      <c r="D251" s="82" t="str">
        <f>Data!F250</f>
        <v>7456769877</v>
      </c>
      <c r="E251" s="82" t="str">
        <f>Data!B250</f>
        <v>9170</v>
      </c>
      <c r="F251" s="44" t="str">
        <f>Data!A250</f>
        <v xml:space="preserve">Bogdala , Olivia </v>
      </c>
      <c r="G251" s="55" t="str">
        <f>Data!C250</f>
        <v>10/13/2020</v>
      </c>
      <c r="H251" s="56">
        <f>Data!H250</f>
        <v>44645</v>
      </c>
      <c r="I251" s="56" t="str">
        <f>Data!I250</f>
        <v>3/28/2022</v>
      </c>
      <c r="J251" s="57">
        <f>Data!J250</f>
        <v>166.8</v>
      </c>
      <c r="K251" s="58">
        <f t="shared" ca="1" si="3"/>
        <v>52</v>
      </c>
      <c r="L251" s="58">
        <f>Data!M250</f>
        <v>0</v>
      </c>
      <c r="M251" s="37" t="s">
        <v>26</v>
      </c>
      <c r="N251" s="43" t="str">
        <f>VLOOKUP(M251,Table1[#All],3,FALSE)</f>
        <v>Note</v>
      </c>
      <c r="O251" s="40" t="str">
        <f>VLOOKUP(M251,Table1[#All],4,FALSE)</f>
        <v>Q1</v>
      </c>
      <c r="P251" s="39"/>
      <c r="Q251" s="40" t="str">
        <f>VLOOKUP(M251,Table1[#All],5,FALSE)</f>
        <v>Q2</v>
      </c>
      <c r="R251" s="79"/>
      <c r="S251" s="40" t="str">
        <f>VLOOKUP(M251,Table1[#All],6,FALSE)</f>
        <v>Q3</v>
      </c>
      <c r="T251" s="79"/>
      <c r="U251" s="40" t="str">
        <f>VLOOKUP(M251,Table1[#All],7,FALSE)</f>
        <v>Q4</v>
      </c>
      <c r="V251" s="79"/>
      <c r="W251" s="40" t="str">
        <f>VLOOKUP(M251,Table1[#All],8,FALSE)</f>
        <v>Q5</v>
      </c>
      <c r="X251" s="79"/>
      <c r="Y251" s="44" t="str">
        <f>VLOOKUP(M251,Table1[#All],2,FALSE)</f>
        <v>Action</v>
      </c>
      <c r="Z251" s="59" t="str">
        <f>VLOOKUP(M251,Table1[#All],9,FALSE)</f>
        <v>Additional Notes:</v>
      </c>
      <c r="AA251" s="76"/>
      <c r="AB251" s="76"/>
      <c r="AC251" s="90" t="s">
        <v>91</v>
      </c>
      <c r="AD251" s="76" t="s">
        <v>91</v>
      </c>
      <c r="AE251" s="77"/>
      <c r="AF251" s="77"/>
      <c r="AG251" s="41" t="s">
        <v>91</v>
      </c>
    </row>
    <row r="252" spans="1:33" ht="21" hidden="1" x14ac:dyDescent="0.55000000000000004">
      <c r="A252" s="44" t="str">
        <f>Data!K251</f>
        <v>DPOW-CCHP</v>
      </c>
      <c r="B252" s="44" t="str">
        <f>Data!L251</f>
        <v>4143899880</v>
      </c>
      <c r="C252" s="44" t="str">
        <f>Data!D251</f>
        <v xml:space="preserve">Bogdala, Luke </v>
      </c>
      <c r="D252" s="82" t="str">
        <f>Data!F251</f>
        <v>0443816000</v>
      </c>
      <c r="E252" s="82" t="str">
        <f>Data!B251</f>
        <v>9171</v>
      </c>
      <c r="F252" s="44" t="str">
        <f>Data!A251</f>
        <v xml:space="preserve">Bogdala, Luke </v>
      </c>
      <c r="G252" s="55" t="str">
        <f>Data!C251</f>
        <v>3/19/2013</v>
      </c>
      <c r="H252" s="56">
        <f>Data!H251</f>
        <v>44645</v>
      </c>
      <c r="I252" s="56" t="str">
        <f>Data!I251</f>
        <v>3/28/2022</v>
      </c>
      <c r="J252" s="57">
        <f>Data!J251</f>
        <v>453.2</v>
      </c>
      <c r="K252" s="58">
        <f t="shared" ca="1" si="3"/>
        <v>52</v>
      </c>
      <c r="L252" s="58">
        <f>Data!M251</f>
        <v>0</v>
      </c>
      <c r="M252" s="37" t="s">
        <v>26</v>
      </c>
      <c r="N252" s="43" t="str">
        <f>VLOOKUP(M252,Table1[#All],3,FALSE)</f>
        <v>Note</v>
      </c>
      <c r="O252" s="40" t="str">
        <f>VLOOKUP(M252,Table1[#All],4,FALSE)</f>
        <v>Q1</v>
      </c>
      <c r="P252" s="39"/>
      <c r="Q252" s="40" t="str">
        <f>VLOOKUP(M252,Table1[#All],5,FALSE)</f>
        <v>Q2</v>
      </c>
      <c r="R252" s="79"/>
      <c r="S252" s="40" t="str">
        <f>VLOOKUP(M252,Table1[#All],6,FALSE)</f>
        <v>Q3</v>
      </c>
      <c r="T252" s="79"/>
      <c r="U252" s="40" t="str">
        <f>VLOOKUP(M252,Table1[#All],7,FALSE)</f>
        <v>Q4</v>
      </c>
      <c r="V252" s="79"/>
      <c r="W252" s="40" t="str">
        <f>VLOOKUP(M252,Table1[#All],8,FALSE)</f>
        <v>Q5</v>
      </c>
      <c r="X252" s="79"/>
      <c r="Y252" s="44" t="str">
        <f>VLOOKUP(M252,Table1[#All],2,FALSE)</f>
        <v>Action</v>
      </c>
      <c r="Z252" s="59" t="str">
        <f>VLOOKUP(M252,Table1[#All],9,FALSE)</f>
        <v>Additional Notes:</v>
      </c>
      <c r="AA252" s="76"/>
      <c r="AB252" s="76"/>
      <c r="AC252" s="90" t="s">
        <v>91</v>
      </c>
      <c r="AD252" s="76" t="s">
        <v>91</v>
      </c>
      <c r="AE252" s="77"/>
      <c r="AF252" s="77"/>
      <c r="AG252" s="41" t="s">
        <v>91</v>
      </c>
    </row>
    <row r="253" spans="1:33" ht="21" hidden="1" x14ac:dyDescent="0.55000000000000004">
      <c r="A253" s="44" t="str">
        <f>Data!K252</f>
        <v>DPOW-CCHP</v>
      </c>
      <c r="B253" s="44" t="str">
        <f>Data!L252</f>
        <v>4143899880</v>
      </c>
      <c r="C253" s="44" t="str">
        <f>Data!D252</f>
        <v>Szeklinski, Cheralynn</v>
      </c>
      <c r="D253" s="82" t="str">
        <f>Data!F252</f>
        <v>2400837929</v>
      </c>
      <c r="E253" s="82" t="str">
        <f>Data!B252</f>
        <v>9305</v>
      </c>
      <c r="F253" s="44" t="str">
        <f>Data!A252</f>
        <v>Szeklinski, Cheralynn</v>
      </c>
      <c r="G253" s="55" t="str">
        <f>Data!C252</f>
        <v>6/7/1995</v>
      </c>
      <c r="H253" s="56">
        <f>Data!H252</f>
        <v>44645</v>
      </c>
      <c r="I253" s="56" t="str">
        <f>Data!I252</f>
        <v>3/28/2022</v>
      </c>
      <c r="J253" s="57">
        <f>Data!J252</f>
        <v>539.6</v>
      </c>
      <c r="K253" s="58">
        <f t="shared" ca="1" si="3"/>
        <v>52</v>
      </c>
      <c r="L253" s="58">
        <f>Data!M252</f>
        <v>0</v>
      </c>
      <c r="M253" s="37" t="s">
        <v>26</v>
      </c>
      <c r="N253" s="43" t="str">
        <f>VLOOKUP(M253,Table1[#All],3,FALSE)</f>
        <v>Note</v>
      </c>
      <c r="O253" s="40" t="str">
        <f>VLOOKUP(M253,Table1[#All],4,FALSE)</f>
        <v>Q1</v>
      </c>
      <c r="P253" s="39"/>
      <c r="Q253" s="40" t="str">
        <f>VLOOKUP(M253,Table1[#All],5,FALSE)</f>
        <v>Q2</v>
      </c>
      <c r="R253" s="79"/>
      <c r="S253" s="40" t="str">
        <f>VLOOKUP(M253,Table1[#All],6,FALSE)</f>
        <v>Q3</v>
      </c>
      <c r="T253" s="79"/>
      <c r="U253" s="40" t="str">
        <f>VLOOKUP(M253,Table1[#All],7,FALSE)</f>
        <v>Q4</v>
      </c>
      <c r="V253" s="79"/>
      <c r="W253" s="40" t="str">
        <f>VLOOKUP(M253,Table1[#All],8,FALSE)</f>
        <v>Q5</v>
      </c>
      <c r="X253" s="79"/>
      <c r="Y253" s="44" t="str">
        <f>VLOOKUP(M253,Table1[#All],2,FALSE)</f>
        <v>Action</v>
      </c>
      <c r="Z253" s="59" t="str">
        <f>VLOOKUP(M253,Table1[#All],9,FALSE)</f>
        <v>Additional Notes:</v>
      </c>
      <c r="AA253" s="76"/>
      <c r="AB253" s="76"/>
      <c r="AC253" s="90" t="s">
        <v>91</v>
      </c>
      <c r="AD253" s="76" t="s">
        <v>91</v>
      </c>
      <c r="AE253" s="77"/>
      <c r="AF253" s="77"/>
      <c r="AG253" s="41" t="s">
        <v>91</v>
      </c>
    </row>
    <row r="254" spans="1:33" ht="21" hidden="1" x14ac:dyDescent="0.55000000000000004">
      <c r="A254" s="44" t="str">
        <f>Data!K253</f>
        <v>DPOW-CCHP</v>
      </c>
      <c r="B254" s="44" t="str">
        <f>Data!L253</f>
        <v>4143899880</v>
      </c>
      <c r="C254" s="44" t="str">
        <f>Data!D253</f>
        <v xml:space="preserve">Swiatkowski, Lorna </v>
      </c>
      <c r="D254" s="82" t="str">
        <f>Data!F253</f>
        <v>0408563907</v>
      </c>
      <c r="E254" s="82" t="str">
        <f>Data!B253</f>
        <v>4183</v>
      </c>
      <c r="F254" s="44" t="str">
        <f>Data!A253</f>
        <v xml:space="preserve">Swiatkowski, Lorna </v>
      </c>
      <c r="G254" s="55" t="str">
        <f>Data!C253</f>
        <v>11/4/2000</v>
      </c>
      <c r="H254" s="56">
        <f>Data!H253</f>
        <v>44644</v>
      </c>
      <c r="I254" s="56" t="str">
        <f>Data!I253</f>
        <v>3/25/2022</v>
      </c>
      <c r="J254" s="57">
        <f>Data!J253</f>
        <v>266</v>
      </c>
      <c r="K254" s="58">
        <f t="shared" ca="1" si="3"/>
        <v>55</v>
      </c>
      <c r="L254" s="58">
        <f>Data!M253</f>
        <v>0</v>
      </c>
      <c r="M254" s="37" t="s">
        <v>26</v>
      </c>
      <c r="N254" s="43" t="str">
        <f>VLOOKUP(M254,Table1[#All],3,FALSE)</f>
        <v>Note</v>
      </c>
      <c r="O254" s="40" t="str">
        <f>VLOOKUP(M254,Table1[#All],4,FALSE)</f>
        <v>Q1</v>
      </c>
      <c r="P254" s="39"/>
      <c r="Q254" s="40" t="str">
        <f>VLOOKUP(M254,Table1[#All],5,FALSE)</f>
        <v>Q2</v>
      </c>
      <c r="R254" s="79"/>
      <c r="S254" s="40" t="str">
        <f>VLOOKUP(M254,Table1[#All],6,FALSE)</f>
        <v>Q3</v>
      </c>
      <c r="T254" s="79"/>
      <c r="U254" s="40" t="str">
        <f>VLOOKUP(M254,Table1[#All],7,FALSE)</f>
        <v>Q4</v>
      </c>
      <c r="V254" s="79"/>
      <c r="W254" s="40" t="str">
        <f>VLOOKUP(M254,Table1[#All],8,FALSE)</f>
        <v>Q5</v>
      </c>
      <c r="X254" s="79"/>
      <c r="Y254" s="44" t="str">
        <f>VLOOKUP(M254,Table1[#All],2,FALSE)</f>
        <v>Action</v>
      </c>
      <c r="Z254" s="59" t="str">
        <f>VLOOKUP(M254,Table1[#All],9,FALSE)</f>
        <v>Additional Notes:</v>
      </c>
      <c r="AA254" s="76"/>
      <c r="AB254" s="76"/>
      <c r="AC254" s="90" t="s">
        <v>91</v>
      </c>
      <c r="AD254" s="76" t="s">
        <v>91</v>
      </c>
      <c r="AE254" s="77"/>
      <c r="AF254" s="77"/>
      <c r="AG254" s="41" t="s">
        <v>91</v>
      </c>
    </row>
    <row r="255" spans="1:33" ht="21" hidden="1" x14ac:dyDescent="0.55000000000000004">
      <c r="A255" s="44" t="str">
        <f>Data!K254</f>
        <v>DPOW-CCHP</v>
      </c>
      <c r="B255" s="44" t="str">
        <f>Data!L254</f>
        <v>4143899880</v>
      </c>
      <c r="C255" s="44" t="str">
        <f>Data!D254</f>
        <v>Caldoza, Eden</v>
      </c>
      <c r="D255" s="82" t="str">
        <f>Data!F254</f>
        <v>4454387249</v>
      </c>
      <c r="E255" s="82" t="str">
        <f>Data!B254</f>
        <v>3807</v>
      </c>
      <c r="F255" s="44" t="str">
        <f>Data!A254</f>
        <v>Caldoza, Eden</v>
      </c>
      <c r="G255" s="55" t="str">
        <f>Data!C254</f>
        <v>1/31/2014</v>
      </c>
      <c r="H255" s="56">
        <f>Data!H254</f>
        <v>44644</v>
      </c>
      <c r="I255" s="56" t="str">
        <f>Data!I254</f>
        <v>3/25/2022</v>
      </c>
      <c r="J255" s="57">
        <f>Data!J254</f>
        <v>227.6</v>
      </c>
      <c r="K255" s="58">
        <f t="shared" ca="1" si="3"/>
        <v>55</v>
      </c>
      <c r="L255" s="58">
        <f>Data!M254</f>
        <v>0</v>
      </c>
      <c r="M255" s="37" t="s">
        <v>26</v>
      </c>
      <c r="N255" s="43" t="str">
        <f>VLOOKUP(M255,Table1[#All],3,FALSE)</f>
        <v>Note</v>
      </c>
      <c r="O255" s="40" t="str">
        <f>VLOOKUP(M255,Table1[#All],4,FALSE)</f>
        <v>Q1</v>
      </c>
      <c r="P255" s="39"/>
      <c r="Q255" s="40" t="str">
        <f>VLOOKUP(M255,Table1[#All],5,FALSE)</f>
        <v>Q2</v>
      </c>
      <c r="R255" s="79"/>
      <c r="S255" s="40" t="str">
        <f>VLOOKUP(M255,Table1[#All],6,FALSE)</f>
        <v>Q3</v>
      </c>
      <c r="T255" s="79"/>
      <c r="U255" s="40" t="str">
        <f>VLOOKUP(M255,Table1[#All],7,FALSE)</f>
        <v>Q4</v>
      </c>
      <c r="V255" s="79"/>
      <c r="W255" s="40" t="str">
        <f>VLOOKUP(M255,Table1[#All],8,FALSE)</f>
        <v>Q5</v>
      </c>
      <c r="X255" s="79"/>
      <c r="Y255" s="44" t="str">
        <f>VLOOKUP(M255,Table1[#All],2,FALSE)</f>
        <v>Action</v>
      </c>
      <c r="Z255" s="59" t="str">
        <f>VLOOKUP(M255,Table1[#All],9,FALSE)</f>
        <v>Additional Notes:</v>
      </c>
      <c r="AA255" s="76"/>
      <c r="AB255" s="76"/>
      <c r="AC255" s="90" t="s">
        <v>91</v>
      </c>
      <c r="AD255" s="76" t="s">
        <v>91</v>
      </c>
      <c r="AE255" s="77"/>
      <c r="AF255" s="77"/>
      <c r="AG255" s="41" t="s">
        <v>91</v>
      </c>
    </row>
    <row r="256" spans="1:33" ht="21" hidden="1" x14ac:dyDescent="0.55000000000000004">
      <c r="A256" s="44" t="str">
        <f>Data!K255</f>
        <v>DPOW-CCHP</v>
      </c>
      <c r="B256" s="44" t="str">
        <f>Data!L255</f>
        <v>4143899880</v>
      </c>
      <c r="C256" s="44" t="str">
        <f>Data!D255</f>
        <v xml:space="preserve">Hassan , Nur Fatimah </v>
      </c>
      <c r="D256" s="82" t="str">
        <f>Data!F255</f>
        <v>1448754313</v>
      </c>
      <c r="E256" s="82" t="str">
        <f>Data!B255</f>
        <v>8855</v>
      </c>
      <c r="F256" s="44" t="str">
        <f>Data!A255</f>
        <v xml:space="preserve">Hassan , Nur Fatimah </v>
      </c>
      <c r="G256" s="55" t="str">
        <f>Data!C255</f>
        <v>1/1/1988</v>
      </c>
      <c r="H256" s="56">
        <f>Data!H255</f>
        <v>44644</v>
      </c>
      <c r="I256" s="56" t="str">
        <f>Data!I255</f>
        <v>3/25/2022</v>
      </c>
      <c r="J256" s="57">
        <f>Data!J255</f>
        <v>480</v>
      </c>
      <c r="K256" s="58">
        <f t="shared" ca="1" si="3"/>
        <v>55</v>
      </c>
      <c r="L256" s="58">
        <f>Data!M255</f>
        <v>0</v>
      </c>
      <c r="M256" s="37" t="s">
        <v>26</v>
      </c>
      <c r="N256" s="43" t="str">
        <f>VLOOKUP(M256,Table1[#All],3,FALSE)</f>
        <v>Note</v>
      </c>
      <c r="O256" s="40" t="str">
        <f>VLOOKUP(M256,Table1[#All],4,FALSE)</f>
        <v>Q1</v>
      </c>
      <c r="P256" s="39"/>
      <c r="Q256" s="40" t="str">
        <f>VLOOKUP(M256,Table1[#All],5,FALSE)</f>
        <v>Q2</v>
      </c>
      <c r="R256" s="79"/>
      <c r="S256" s="40" t="str">
        <f>VLOOKUP(M256,Table1[#All],6,FALSE)</f>
        <v>Q3</v>
      </c>
      <c r="T256" s="79"/>
      <c r="U256" s="40" t="str">
        <f>VLOOKUP(M256,Table1[#All],7,FALSE)</f>
        <v>Q4</v>
      </c>
      <c r="V256" s="79"/>
      <c r="W256" s="40" t="str">
        <f>VLOOKUP(M256,Table1[#All],8,FALSE)</f>
        <v>Q5</v>
      </c>
      <c r="X256" s="79"/>
      <c r="Y256" s="44" t="str">
        <f>VLOOKUP(M256,Table1[#All],2,FALSE)</f>
        <v>Action</v>
      </c>
      <c r="Z256" s="59" t="str">
        <f>VLOOKUP(M256,Table1[#All],9,FALSE)</f>
        <v>Additional Notes:</v>
      </c>
      <c r="AA256" s="76"/>
      <c r="AB256" s="76"/>
      <c r="AC256" s="90" t="s">
        <v>91</v>
      </c>
      <c r="AD256" s="76" t="s">
        <v>91</v>
      </c>
      <c r="AE256" s="77"/>
      <c r="AF256" s="77"/>
      <c r="AG256" s="41" t="s">
        <v>91</v>
      </c>
    </row>
    <row r="257" spans="1:33" ht="21" hidden="1" x14ac:dyDescent="0.55000000000000004">
      <c r="A257" s="44" t="str">
        <f>Data!K256</f>
        <v>DPOW-CCHP</v>
      </c>
      <c r="B257" s="44" t="str">
        <f>Data!L256</f>
        <v>4143899880</v>
      </c>
      <c r="C257" s="44" t="str">
        <f>Data!D256</f>
        <v>Caldoza, Eliana</v>
      </c>
      <c r="D257" s="82" t="str">
        <f>Data!F256</f>
        <v>8443969881</v>
      </c>
      <c r="E257" s="82" t="str">
        <f>Data!B256</f>
        <v>3802</v>
      </c>
      <c r="F257" s="44" t="str">
        <f>Data!A256</f>
        <v>Caldoza, Eliana</v>
      </c>
      <c r="G257" s="55" t="str">
        <f>Data!C256</f>
        <v>7/10/2011</v>
      </c>
      <c r="H257" s="56">
        <f>Data!H256</f>
        <v>44644</v>
      </c>
      <c r="I257" s="56" t="str">
        <f>Data!I256</f>
        <v>3/25/2022</v>
      </c>
      <c r="J257" s="57">
        <f>Data!J256</f>
        <v>227.6</v>
      </c>
      <c r="K257" s="58">
        <f t="shared" ca="1" si="3"/>
        <v>55</v>
      </c>
      <c r="L257" s="58">
        <f>Data!M256</f>
        <v>0</v>
      </c>
      <c r="M257" s="37" t="s">
        <v>26</v>
      </c>
      <c r="N257" s="43" t="str">
        <f>VLOOKUP(M257,Table1[#All],3,FALSE)</f>
        <v>Note</v>
      </c>
      <c r="O257" s="40" t="str">
        <f>VLOOKUP(M257,Table1[#All],4,FALSE)</f>
        <v>Q1</v>
      </c>
      <c r="P257" s="39"/>
      <c r="Q257" s="40" t="str">
        <f>VLOOKUP(M257,Table1[#All],5,FALSE)</f>
        <v>Q2</v>
      </c>
      <c r="R257" s="79"/>
      <c r="S257" s="40" t="str">
        <f>VLOOKUP(M257,Table1[#All],6,FALSE)</f>
        <v>Q3</v>
      </c>
      <c r="T257" s="79"/>
      <c r="U257" s="40" t="str">
        <f>VLOOKUP(M257,Table1[#All],7,FALSE)</f>
        <v>Q4</v>
      </c>
      <c r="V257" s="79"/>
      <c r="W257" s="40" t="str">
        <f>VLOOKUP(M257,Table1[#All],8,FALSE)</f>
        <v>Q5</v>
      </c>
      <c r="X257" s="79"/>
      <c r="Y257" s="44" t="str">
        <f>VLOOKUP(M257,Table1[#All],2,FALSE)</f>
        <v>Action</v>
      </c>
      <c r="Z257" s="59" t="str">
        <f>VLOOKUP(M257,Table1[#All],9,FALSE)</f>
        <v>Additional Notes:</v>
      </c>
      <c r="AA257" s="76"/>
      <c r="AB257" s="76"/>
      <c r="AC257" s="90" t="s">
        <v>91</v>
      </c>
      <c r="AD257" s="76" t="s">
        <v>91</v>
      </c>
      <c r="AE257" s="77"/>
      <c r="AF257" s="77"/>
      <c r="AG257" s="41" t="s">
        <v>91</v>
      </c>
    </row>
    <row r="258" spans="1:33" ht="21" hidden="1" x14ac:dyDescent="0.55000000000000004">
      <c r="A258" s="44" t="str">
        <f>Data!K257</f>
        <v>DPOW-CCHP</v>
      </c>
      <c r="B258" s="44" t="str">
        <f>Data!L257</f>
        <v>4143899880</v>
      </c>
      <c r="C258" s="44" t="str">
        <f>Data!D257</f>
        <v xml:space="preserve">Black, Janessa </v>
      </c>
      <c r="D258" s="82" t="str">
        <f>Data!F257</f>
        <v>7400846973</v>
      </c>
      <c r="E258" s="82" t="str">
        <f>Data!B257</f>
        <v>6797</v>
      </c>
      <c r="F258" s="44" t="str">
        <f>Data!A257</f>
        <v xml:space="preserve">Black, Janessa </v>
      </c>
      <c r="G258" s="55" t="str">
        <f>Data!C257</f>
        <v>6/27/1995</v>
      </c>
      <c r="H258" s="56">
        <f>Data!H257</f>
        <v>44617</v>
      </c>
      <c r="I258" s="56" t="str">
        <f>Data!I257</f>
        <v>3/24/2022</v>
      </c>
      <c r="J258" s="57">
        <f>Data!J257</f>
        <v>240</v>
      </c>
      <c r="K258" s="58">
        <f t="shared" ca="1" si="3"/>
        <v>56</v>
      </c>
      <c r="L258" s="58">
        <f>Data!M257</f>
        <v>0</v>
      </c>
      <c r="M258" s="37" t="s">
        <v>26</v>
      </c>
      <c r="N258" s="43" t="str">
        <f>VLOOKUP(M258,Table1[#All],3,FALSE)</f>
        <v>Note</v>
      </c>
      <c r="O258" s="40" t="str">
        <f>VLOOKUP(M258,Table1[#All],4,FALSE)</f>
        <v>Q1</v>
      </c>
      <c r="P258" s="39"/>
      <c r="Q258" s="40" t="str">
        <f>VLOOKUP(M258,Table1[#All],5,FALSE)</f>
        <v>Q2</v>
      </c>
      <c r="R258" s="79"/>
      <c r="S258" s="40" t="str">
        <f>VLOOKUP(M258,Table1[#All],6,FALSE)</f>
        <v>Q3</v>
      </c>
      <c r="T258" s="79"/>
      <c r="U258" s="40" t="str">
        <f>VLOOKUP(M258,Table1[#All],7,FALSE)</f>
        <v>Q4</v>
      </c>
      <c r="V258" s="79"/>
      <c r="W258" s="40" t="str">
        <f>VLOOKUP(M258,Table1[#All],8,FALSE)</f>
        <v>Q5</v>
      </c>
      <c r="X258" s="79"/>
      <c r="Y258" s="44" t="str">
        <f>VLOOKUP(M258,Table1[#All],2,FALSE)</f>
        <v>Action</v>
      </c>
      <c r="Z258" s="59" t="str">
        <f>VLOOKUP(M258,Table1[#All],9,FALSE)</f>
        <v>Additional Notes:</v>
      </c>
      <c r="AA258" s="76"/>
      <c r="AB258" s="76"/>
      <c r="AC258" s="90" t="s">
        <v>91</v>
      </c>
      <c r="AD258" s="76" t="s">
        <v>91</v>
      </c>
      <c r="AE258" s="77"/>
      <c r="AF258" s="77"/>
      <c r="AG258" s="41" t="s">
        <v>91</v>
      </c>
    </row>
    <row r="259" spans="1:33" ht="21" hidden="1" x14ac:dyDescent="0.55000000000000004">
      <c r="A259" s="44" t="str">
        <f>Data!K258</f>
        <v>DPOW-CCHP</v>
      </c>
      <c r="B259" s="44" t="str">
        <f>Data!L258</f>
        <v>4143899880</v>
      </c>
      <c r="C259" s="44" t="str">
        <f>Data!D258</f>
        <v>Fattah, Nizar</v>
      </c>
      <c r="D259" s="82" t="str">
        <f>Data!F258</f>
        <v>3442334136</v>
      </c>
      <c r="E259" s="82" t="str">
        <f>Data!B258</f>
        <v>2028</v>
      </c>
      <c r="F259" s="44" t="str">
        <f>Data!A258</f>
        <v>Fattah, Nizar</v>
      </c>
      <c r="G259" s="55" t="str">
        <f>Data!C258</f>
        <v>3/5/1970</v>
      </c>
      <c r="H259" s="56">
        <f>Data!H258</f>
        <v>44643</v>
      </c>
      <c r="I259" s="56" t="str">
        <f>Data!I258</f>
        <v>3/24/2022</v>
      </c>
      <c r="J259" s="57">
        <f>Data!J258</f>
        <v>149.6</v>
      </c>
      <c r="K259" s="58">
        <f t="shared" ca="1" si="3"/>
        <v>56</v>
      </c>
      <c r="L259" s="58">
        <f>Data!M258</f>
        <v>0</v>
      </c>
      <c r="M259" s="37" t="s">
        <v>26</v>
      </c>
      <c r="N259" s="43" t="str">
        <f>VLOOKUP(M259,Table1[#All],3,FALSE)</f>
        <v>Note</v>
      </c>
      <c r="O259" s="40" t="str">
        <f>VLOOKUP(M259,Table1[#All],4,FALSE)</f>
        <v>Q1</v>
      </c>
      <c r="P259" s="39"/>
      <c r="Q259" s="40" t="str">
        <f>VLOOKUP(M259,Table1[#All],5,FALSE)</f>
        <v>Q2</v>
      </c>
      <c r="R259" s="79"/>
      <c r="S259" s="40" t="str">
        <f>VLOOKUP(M259,Table1[#All],6,FALSE)</f>
        <v>Q3</v>
      </c>
      <c r="T259" s="79"/>
      <c r="U259" s="40" t="str">
        <f>VLOOKUP(M259,Table1[#All],7,FALSE)</f>
        <v>Q4</v>
      </c>
      <c r="V259" s="79"/>
      <c r="W259" s="40" t="str">
        <f>VLOOKUP(M259,Table1[#All],8,FALSE)</f>
        <v>Q5</v>
      </c>
      <c r="X259" s="79"/>
      <c r="Y259" s="44" t="str">
        <f>VLOOKUP(M259,Table1[#All],2,FALSE)</f>
        <v>Action</v>
      </c>
      <c r="Z259" s="59" t="str">
        <f>VLOOKUP(M259,Table1[#All],9,FALSE)</f>
        <v>Additional Notes:</v>
      </c>
      <c r="AA259" s="76"/>
      <c r="AB259" s="76"/>
      <c r="AC259" s="90" t="s">
        <v>91</v>
      </c>
      <c r="AD259" s="76" t="s">
        <v>91</v>
      </c>
      <c r="AE259" s="77"/>
      <c r="AF259" s="77"/>
      <c r="AG259" s="41" t="s">
        <v>91</v>
      </c>
    </row>
    <row r="260" spans="1:33" ht="21" hidden="1" x14ac:dyDescent="0.55000000000000004">
      <c r="A260" s="44" t="str">
        <f>Data!K259</f>
        <v>DPOW-CCHP</v>
      </c>
      <c r="B260" s="44" t="str">
        <f>Data!L259</f>
        <v>4143899880</v>
      </c>
      <c r="C260" s="44" t="str">
        <f>Data!D259</f>
        <v xml:space="preserve">Mcginnity, Penelope </v>
      </c>
      <c r="D260" s="82" t="str">
        <f>Data!F259</f>
        <v>6443361661</v>
      </c>
      <c r="E260" s="82" t="str">
        <f>Data!B259</f>
        <v>9312</v>
      </c>
      <c r="F260" s="44" t="str">
        <f>Data!A259</f>
        <v xml:space="preserve">Mcginnity, Penelope </v>
      </c>
      <c r="G260" s="55" t="str">
        <f>Data!C259</f>
        <v>12/19/2012</v>
      </c>
      <c r="H260" s="56">
        <f>Data!H259</f>
        <v>44643</v>
      </c>
      <c r="I260" s="56" t="str">
        <f>Data!I259</f>
        <v>3/24/2022</v>
      </c>
      <c r="J260" s="57">
        <f>Data!J259</f>
        <v>238</v>
      </c>
      <c r="K260" s="58">
        <f t="shared" ca="1" si="3"/>
        <v>56</v>
      </c>
      <c r="L260" s="58">
        <f>Data!M259</f>
        <v>0</v>
      </c>
      <c r="M260" s="37" t="s">
        <v>26</v>
      </c>
      <c r="N260" s="43" t="str">
        <f>VLOOKUP(M260,Table1[#All],3,FALSE)</f>
        <v>Note</v>
      </c>
      <c r="O260" s="40" t="str">
        <f>VLOOKUP(M260,Table1[#All],4,FALSE)</f>
        <v>Q1</v>
      </c>
      <c r="P260" s="39"/>
      <c r="Q260" s="40" t="str">
        <f>VLOOKUP(M260,Table1[#All],5,FALSE)</f>
        <v>Q2</v>
      </c>
      <c r="R260" s="79"/>
      <c r="S260" s="40" t="str">
        <f>VLOOKUP(M260,Table1[#All],6,FALSE)</f>
        <v>Q3</v>
      </c>
      <c r="T260" s="79"/>
      <c r="U260" s="40" t="str">
        <f>VLOOKUP(M260,Table1[#All],7,FALSE)</f>
        <v>Q4</v>
      </c>
      <c r="V260" s="79"/>
      <c r="W260" s="40" t="str">
        <f>VLOOKUP(M260,Table1[#All],8,FALSE)</f>
        <v>Q5</v>
      </c>
      <c r="X260" s="79"/>
      <c r="Y260" s="44" t="str">
        <f>VLOOKUP(M260,Table1[#All],2,FALSE)</f>
        <v>Action</v>
      </c>
      <c r="Z260" s="59" t="str">
        <f>VLOOKUP(M260,Table1[#All],9,FALSE)</f>
        <v>Additional Notes:</v>
      </c>
      <c r="AA260" s="76"/>
      <c r="AB260" s="76"/>
      <c r="AC260" s="90" t="s">
        <v>91</v>
      </c>
      <c r="AD260" s="76" t="s">
        <v>91</v>
      </c>
      <c r="AE260" s="77"/>
      <c r="AF260" s="77"/>
      <c r="AG260" s="41" t="s">
        <v>91</v>
      </c>
    </row>
    <row r="261" spans="1:33" ht="21" hidden="1" x14ac:dyDescent="0.55000000000000004">
      <c r="A261" s="44" t="str">
        <f>Data!K260</f>
        <v>DPOW-CCHP</v>
      </c>
      <c r="B261" s="44" t="str">
        <f>Data!L260</f>
        <v>4143899880</v>
      </c>
      <c r="C261" s="44" t="str">
        <f>Data!D260</f>
        <v xml:space="preserve">Kassim, Osman </v>
      </c>
      <c r="D261" s="82" t="str">
        <f>Data!F260</f>
        <v>8453443289</v>
      </c>
      <c r="E261" s="82" t="str">
        <f>Data!B260</f>
        <v>9339</v>
      </c>
      <c r="F261" s="44" t="str">
        <f>Data!A260</f>
        <v xml:space="preserve">Kassim, Osman </v>
      </c>
      <c r="G261" s="55" t="str">
        <f>Data!C260</f>
        <v>5/16/1962</v>
      </c>
      <c r="H261" s="56">
        <f>Data!H260</f>
        <v>44643</v>
      </c>
      <c r="I261" s="56" t="str">
        <f>Data!I260</f>
        <v>3/24/2022</v>
      </c>
      <c r="J261" s="57">
        <f>Data!J260</f>
        <v>751.2</v>
      </c>
      <c r="K261" s="58">
        <f t="shared" ca="1" si="3"/>
        <v>56</v>
      </c>
      <c r="L261" s="58">
        <f>Data!M260</f>
        <v>0</v>
      </c>
      <c r="M261" s="37" t="s">
        <v>26</v>
      </c>
      <c r="N261" s="43" t="str">
        <f>VLOOKUP(M261,Table1[#All],3,FALSE)</f>
        <v>Note</v>
      </c>
      <c r="O261" s="40" t="str">
        <f>VLOOKUP(M261,Table1[#All],4,FALSE)</f>
        <v>Q1</v>
      </c>
      <c r="P261" s="39"/>
      <c r="Q261" s="40" t="str">
        <f>VLOOKUP(M261,Table1[#All],5,FALSE)</f>
        <v>Q2</v>
      </c>
      <c r="R261" s="79"/>
      <c r="S261" s="40" t="str">
        <f>VLOOKUP(M261,Table1[#All],6,FALSE)</f>
        <v>Q3</v>
      </c>
      <c r="T261" s="79"/>
      <c r="U261" s="40" t="str">
        <f>VLOOKUP(M261,Table1[#All],7,FALSE)</f>
        <v>Q4</v>
      </c>
      <c r="V261" s="79"/>
      <c r="W261" s="40" t="str">
        <f>VLOOKUP(M261,Table1[#All],8,FALSE)</f>
        <v>Q5</v>
      </c>
      <c r="X261" s="79"/>
      <c r="Y261" s="44" t="str">
        <f>VLOOKUP(M261,Table1[#All],2,FALSE)</f>
        <v>Action</v>
      </c>
      <c r="Z261" s="59" t="str">
        <f>VLOOKUP(M261,Table1[#All],9,FALSE)</f>
        <v>Additional Notes:</v>
      </c>
      <c r="AA261" s="76"/>
      <c r="AB261" s="76"/>
      <c r="AC261" s="90" t="s">
        <v>91</v>
      </c>
      <c r="AD261" s="76" t="s">
        <v>91</v>
      </c>
      <c r="AE261" s="77"/>
      <c r="AF261" s="77"/>
      <c r="AG261" s="41" t="s">
        <v>91</v>
      </c>
    </row>
    <row r="262" spans="1:33" ht="21" hidden="1" x14ac:dyDescent="0.55000000000000004">
      <c r="A262" s="44" t="str">
        <f>Data!K261</f>
        <v>DPOW-CCHP</v>
      </c>
      <c r="B262" s="44" t="str">
        <f>Data!L261</f>
        <v>4143899880</v>
      </c>
      <c r="C262" s="44" t="str">
        <f>Data!D261</f>
        <v>Mcclendon, Kayla</v>
      </c>
      <c r="D262" s="82" t="str">
        <f>Data!F261</f>
        <v>0421163500</v>
      </c>
      <c r="E262" s="82" t="str">
        <f>Data!B261</f>
        <v>7281</v>
      </c>
      <c r="F262" s="44" t="str">
        <f>Data!A261</f>
        <v>Mcclendon, Kayla</v>
      </c>
      <c r="G262" s="55" t="str">
        <f>Data!C261</f>
        <v>3/29/1991</v>
      </c>
      <c r="H262" s="56">
        <f>Data!H261</f>
        <v>44643</v>
      </c>
      <c r="I262" s="56" t="str">
        <f>Data!I261</f>
        <v>3/24/2022</v>
      </c>
      <c r="J262" s="57">
        <f>Data!J261</f>
        <v>61.2</v>
      </c>
      <c r="K262" s="58">
        <f t="shared" ref="K262:K325" ca="1" si="4">TODAY()-I262</f>
        <v>56</v>
      </c>
      <c r="L262" s="58">
        <f>Data!M261</f>
        <v>0</v>
      </c>
      <c r="M262" s="37" t="s">
        <v>26</v>
      </c>
      <c r="N262" s="43" t="str">
        <f>VLOOKUP(M262,Table1[#All],3,FALSE)</f>
        <v>Note</v>
      </c>
      <c r="O262" s="40" t="str">
        <f>VLOOKUP(M262,Table1[#All],4,FALSE)</f>
        <v>Q1</v>
      </c>
      <c r="P262" s="39"/>
      <c r="Q262" s="40" t="str">
        <f>VLOOKUP(M262,Table1[#All],5,FALSE)</f>
        <v>Q2</v>
      </c>
      <c r="R262" s="79"/>
      <c r="S262" s="40" t="str">
        <f>VLOOKUP(M262,Table1[#All],6,FALSE)</f>
        <v>Q3</v>
      </c>
      <c r="T262" s="79"/>
      <c r="U262" s="40" t="str">
        <f>VLOOKUP(M262,Table1[#All],7,FALSE)</f>
        <v>Q4</v>
      </c>
      <c r="V262" s="79"/>
      <c r="W262" s="40" t="str">
        <f>VLOOKUP(M262,Table1[#All],8,FALSE)</f>
        <v>Q5</v>
      </c>
      <c r="X262" s="79"/>
      <c r="Y262" s="44" t="str">
        <f>VLOOKUP(M262,Table1[#All],2,FALSE)</f>
        <v>Action</v>
      </c>
      <c r="Z262" s="59" t="str">
        <f>VLOOKUP(M262,Table1[#All],9,FALSE)</f>
        <v>Additional Notes:</v>
      </c>
      <c r="AA262" s="76"/>
      <c r="AB262" s="76"/>
      <c r="AC262" s="90" t="s">
        <v>91</v>
      </c>
      <c r="AD262" s="76" t="s">
        <v>91</v>
      </c>
      <c r="AE262" s="77"/>
      <c r="AF262" s="77"/>
      <c r="AG262" s="41" t="s">
        <v>91</v>
      </c>
    </row>
    <row r="263" spans="1:33" ht="21" hidden="1" x14ac:dyDescent="0.55000000000000004">
      <c r="A263" s="44" t="str">
        <f>Data!K262</f>
        <v>DPOW-CCHP</v>
      </c>
      <c r="B263" s="44" t="str">
        <f>Data!L262</f>
        <v>4143899880</v>
      </c>
      <c r="C263" s="44" t="str">
        <f>Data!D262</f>
        <v>Burgos, Leticia</v>
      </c>
      <c r="D263" s="82" t="str">
        <f>Data!F262</f>
        <v>4445570842</v>
      </c>
      <c r="E263" s="82" t="str">
        <f>Data!B262</f>
        <v>1902</v>
      </c>
      <c r="F263" s="44" t="str">
        <f>Data!A262</f>
        <v>Burgos, Leticia</v>
      </c>
      <c r="G263" s="55" t="str">
        <f>Data!C262</f>
        <v>2/16/2014</v>
      </c>
      <c r="H263" s="56">
        <f>Data!H262</f>
        <v>44643</v>
      </c>
      <c r="I263" s="56" t="str">
        <f>Data!I262</f>
        <v>3/24/2022</v>
      </c>
      <c r="J263" s="57">
        <f>Data!J262</f>
        <v>227.6</v>
      </c>
      <c r="K263" s="58">
        <f t="shared" ca="1" si="4"/>
        <v>56</v>
      </c>
      <c r="L263" s="58">
        <f>Data!M262</f>
        <v>0</v>
      </c>
      <c r="M263" s="37" t="s">
        <v>26</v>
      </c>
      <c r="N263" s="43" t="str">
        <f>VLOOKUP(M263,Table1[#All],3,FALSE)</f>
        <v>Note</v>
      </c>
      <c r="O263" s="40" t="str">
        <f>VLOOKUP(M263,Table1[#All],4,FALSE)</f>
        <v>Q1</v>
      </c>
      <c r="P263" s="39"/>
      <c r="Q263" s="40" t="str">
        <f>VLOOKUP(M263,Table1[#All],5,FALSE)</f>
        <v>Q2</v>
      </c>
      <c r="R263" s="79"/>
      <c r="S263" s="40" t="str">
        <f>VLOOKUP(M263,Table1[#All],6,FALSE)</f>
        <v>Q3</v>
      </c>
      <c r="T263" s="79"/>
      <c r="U263" s="40" t="str">
        <f>VLOOKUP(M263,Table1[#All],7,FALSE)</f>
        <v>Q4</v>
      </c>
      <c r="V263" s="79"/>
      <c r="W263" s="40" t="str">
        <f>VLOOKUP(M263,Table1[#All],8,FALSE)</f>
        <v>Q5</v>
      </c>
      <c r="X263" s="79"/>
      <c r="Y263" s="44" t="str">
        <f>VLOOKUP(M263,Table1[#All],2,FALSE)</f>
        <v>Action</v>
      </c>
      <c r="Z263" s="59" t="str">
        <f>VLOOKUP(M263,Table1[#All],9,FALSE)</f>
        <v>Additional Notes:</v>
      </c>
      <c r="AA263" s="76"/>
      <c r="AB263" s="76"/>
      <c r="AC263" s="90" t="s">
        <v>91</v>
      </c>
      <c r="AD263" s="76" t="s">
        <v>91</v>
      </c>
      <c r="AE263" s="77"/>
      <c r="AF263" s="77"/>
      <c r="AG263" s="41" t="s">
        <v>91</v>
      </c>
    </row>
    <row r="264" spans="1:33" ht="21" hidden="1" x14ac:dyDescent="0.55000000000000004">
      <c r="A264" s="44" t="str">
        <f>Data!K263</f>
        <v>DPOW-CCHP</v>
      </c>
      <c r="B264" s="44" t="str">
        <f>Data!L263</f>
        <v>4143899880</v>
      </c>
      <c r="C264" s="44" t="str">
        <f>Data!D263</f>
        <v xml:space="preserve">Oneill, Summer </v>
      </c>
      <c r="D264" s="82" t="str">
        <f>Data!F263</f>
        <v>8402278485</v>
      </c>
      <c r="E264" s="82" t="str">
        <f>Data!B263</f>
        <v>8028</v>
      </c>
      <c r="F264" s="44" t="str">
        <f>Data!A263</f>
        <v xml:space="preserve">Oneill, Summer </v>
      </c>
      <c r="G264" s="55" t="str">
        <f>Data!C263</f>
        <v>9/8/2004</v>
      </c>
      <c r="H264" s="56">
        <f>Data!H263</f>
        <v>44643</v>
      </c>
      <c r="I264" s="56" t="str">
        <f>Data!I263</f>
        <v>3/24/2022</v>
      </c>
      <c r="J264" s="57">
        <f>Data!J263</f>
        <v>266</v>
      </c>
      <c r="K264" s="58">
        <f t="shared" ca="1" si="4"/>
        <v>56</v>
      </c>
      <c r="L264" s="58">
        <f>Data!M263</f>
        <v>0</v>
      </c>
      <c r="M264" s="37" t="s">
        <v>26</v>
      </c>
      <c r="N264" s="43" t="str">
        <f>VLOOKUP(M264,Table1[#All],3,FALSE)</f>
        <v>Note</v>
      </c>
      <c r="O264" s="40" t="str">
        <f>VLOOKUP(M264,Table1[#All],4,FALSE)</f>
        <v>Q1</v>
      </c>
      <c r="P264" s="39"/>
      <c r="Q264" s="40" t="str">
        <f>VLOOKUP(M264,Table1[#All],5,FALSE)</f>
        <v>Q2</v>
      </c>
      <c r="R264" s="79"/>
      <c r="S264" s="40" t="str">
        <f>VLOOKUP(M264,Table1[#All],6,FALSE)</f>
        <v>Q3</v>
      </c>
      <c r="T264" s="79"/>
      <c r="U264" s="40" t="str">
        <f>VLOOKUP(M264,Table1[#All],7,FALSE)</f>
        <v>Q4</v>
      </c>
      <c r="V264" s="79"/>
      <c r="W264" s="40" t="str">
        <f>VLOOKUP(M264,Table1[#All],8,FALSE)</f>
        <v>Q5</v>
      </c>
      <c r="X264" s="79"/>
      <c r="Y264" s="44" t="str">
        <f>VLOOKUP(M264,Table1[#All],2,FALSE)</f>
        <v>Action</v>
      </c>
      <c r="Z264" s="59" t="str">
        <f>VLOOKUP(M264,Table1[#All],9,FALSE)</f>
        <v>Additional Notes:</v>
      </c>
      <c r="AA264" s="76"/>
      <c r="AB264" s="76"/>
      <c r="AC264" s="90" t="s">
        <v>91</v>
      </c>
      <c r="AD264" s="76" t="s">
        <v>91</v>
      </c>
      <c r="AE264" s="77"/>
      <c r="AF264" s="77"/>
      <c r="AG264" s="41" t="s">
        <v>91</v>
      </c>
    </row>
    <row r="265" spans="1:33" ht="21" hidden="1" x14ac:dyDescent="0.55000000000000004">
      <c r="A265" s="44" t="str">
        <f>Data!K264</f>
        <v>DPOW-CCHP</v>
      </c>
      <c r="B265" s="44" t="str">
        <f>Data!L264</f>
        <v>4143899880</v>
      </c>
      <c r="C265" s="44" t="str">
        <f>Data!D264</f>
        <v xml:space="preserve">Hess, Heather </v>
      </c>
      <c r="D265" s="82" t="str">
        <f>Data!F264</f>
        <v>0435773704</v>
      </c>
      <c r="E265" s="82" t="str">
        <f>Data!B264</f>
        <v>9323</v>
      </c>
      <c r="F265" s="44" t="str">
        <f>Data!A264</f>
        <v xml:space="preserve">Hess, Heather </v>
      </c>
      <c r="G265" s="55" t="str">
        <f>Data!C264</f>
        <v>10/25/1986</v>
      </c>
      <c r="H265" s="56">
        <f>Data!H264</f>
        <v>44643</v>
      </c>
      <c r="I265" s="56" t="str">
        <f>Data!I264</f>
        <v>3/24/2022</v>
      </c>
      <c r="J265" s="57">
        <f>Data!J264</f>
        <v>446.4</v>
      </c>
      <c r="K265" s="58">
        <f t="shared" ca="1" si="4"/>
        <v>56</v>
      </c>
      <c r="L265" s="58">
        <f>Data!M264</f>
        <v>0</v>
      </c>
      <c r="M265" s="37" t="s">
        <v>26</v>
      </c>
      <c r="N265" s="43" t="str">
        <f>VLOOKUP(M265,Table1[#All],3,FALSE)</f>
        <v>Note</v>
      </c>
      <c r="O265" s="40" t="str">
        <f>VLOOKUP(M265,Table1[#All],4,FALSE)</f>
        <v>Q1</v>
      </c>
      <c r="P265" s="39"/>
      <c r="Q265" s="40" t="str">
        <f>VLOOKUP(M265,Table1[#All],5,FALSE)</f>
        <v>Q2</v>
      </c>
      <c r="R265" s="79"/>
      <c r="S265" s="40" t="str">
        <f>VLOOKUP(M265,Table1[#All],6,FALSE)</f>
        <v>Q3</v>
      </c>
      <c r="T265" s="79"/>
      <c r="U265" s="40" t="str">
        <f>VLOOKUP(M265,Table1[#All],7,FALSE)</f>
        <v>Q4</v>
      </c>
      <c r="V265" s="79"/>
      <c r="W265" s="40" t="str">
        <f>VLOOKUP(M265,Table1[#All],8,FALSE)</f>
        <v>Q5</v>
      </c>
      <c r="X265" s="79"/>
      <c r="Y265" s="44" t="str">
        <f>VLOOKUP(M265,Table1[#All],2,FALSE)</f>
        <v>Action</v>
      </c>
      <c r="Z265" s="59" t="str">
        <f>VLOOKUP(M265,Table1[#All],9,FALSE)</f>
        <v>Additional Notes:</v>
      </c>
      <c r="AA265" s="76"/>
      <c r="AB265" s="76"/>
      <c r="AC265" s="90" t="s">
        <v>91</v>
      </c>
      <c r="AD265" s="76" t="s">
        <v>91</v>
      </c>
      <c r="AE265" s="77"/>
      <c r="AF265" s="77"/>
      <c r="AG265" s="41" t="s">
        <v>91</v>
      </c>
    </row>
    <row r="266" spans="1:33" ht="21" hidden="1" x14ac:dyDescent="0.55000000000000004">
      <c r="A266" s="44" t="str">
        <f>Data!K265</f>
        <v>DPOW-CCHP</v>
      </c>
      <c r="B266" s="44" t="str">
        <f>Data!L265</f>
        <v>4143899880</v>
      </c>
      <c r="C266" s="44" t="str">
        <f>Data!D265</f>
        <v xml:space="preserve">Lynch, Miricle </v>
      </c>
      <c r="D266" s="82" t="str">
        <f>Data!F265</f>
        <v>9413032297</v>
      </c>
      <c r="E266" s="82" t="str">
        <f>Data!B265</f>
        <v>6000</v>
      </c>
      <c r="F266" s="44" t="str">
        <f>Data!A265</f>
        <v xml:space="preserve">Lynch, Miricle </v>
      </c>
      <c r="G266" s="55" t="str">
        <f>Data!C265</f>
        <v>12/30/1997</v>
      </c>
      <c r="H266" s="56">
        <f>Data!H265</f>
        <v>44642</v>
      </c>
      <c r="I266" s="56" t="str">
        <f>Data!I265</f>
        <v>3/23/2022</v>
      </c>
      <c r="J266" s="57">
        <f>Data!J265</f>
        <v>402.8</v>
      </c>
      <c r="K266" s="58">
        <f t="shared" ca="1" si="4"/>
        <v>57</v>
      </c>
      <c r="L266" s="58">
        <f>Data!M265</f>
        <v>0</v>
      </c>
      <c r="M266" s="37" t="s">
        <v>26</v>
      </c>
      <c r="N266" s="43" t="str">
        <f>VLOOKUP(M266,Table1[#All],3,FALSE)</f>
        <v>Note</v>
      </c>
      <c r="O266" s="40" t="str">
        <f>VLOOKUP(M266,Table1[#All],4,FALSE)</f>
        <v>Q1</v>
      </c>
      <c r="P266" s="39"/>
      <c r="Q266" s="40" t="str">
        <f>VLOOKUP(M266,Table1[#All],5,FALSE)</f>
        <v>Q2</v>
      </c>
      <c r="R266" s="79"/>
      <c r="S266" s="40" t="str">
        <f>VLOOKUP(M266,Table1[#All],6,FALSE)</f>
        <v>Q3</v>
      </c>
      <c r="T266" s="79"/>
      <c r="U266" s="40" t="str">
        <f>VLOOKUP(M266,Table1[#All],7,FALSE)</f>
        <v>Q4</v>
      </c>
      <c r="V266" s="79"/>
      <c r="W266" s="40" t="str">
        <f>VLOOKUP(M266,Table1[#All],8,FALSE)</f>
        <v>Q5</v>
      </c>
      <c r="X266" s="79"/>
      <c r="Y266" s="44" t="str">
        <f>VLOOKUP(M266,Table1[#All],2,FALSE)</f>
        <v>Action</v>
      </c>
      <c r="Z266" s="59" t="str">
        <f>VLOOKUP(M266,Table1[#All],9,FALSE)</f>
        <v>Additional Notes:</v>
      </c>
      <c r="AA266" s="76"/>
      <c r="AB266" s="76"/>
      <c r="AC266" s="90" t="s">
        <v>91</v>
      </c>
      <c r="AD266" s="76" t="s">
        <v>91</v>
      </c>
      <c r="AE266" s="77"/>
      <c r="AF266" s="77"/>
      <c r="AG266" s="41" t="s">
        <v>91</v>
      </c>
    </row>
    <row r="267" spans="1:33" ht="21" hidden="1" x14ac:dyDescent="0.55000000000000004">
      <c r="A267" s="44" t="str">
        <f>Data!K266</f>
        <v>DPOW-CCHP</v>
      </c>
      <c r="B267" s="44" t="str">
        <f>Data!L266</f>
        <v>4143899880</v>
      </c>
      <c r="C267" s="44" t="str">
        <f>Data!D266</f>
        <v>Sconzert, Jada</v>
      </c>
      <c r="D267" s="82" t="str">
        <f>Data!F266</f>
        <v>8438892086</v>
      </c>
      <c r="E267" s="82" t="str">
        <f>Data!B266</f>
        <v>7981</v>
      </c>
      <c r="F267" s="44" t="str">
        <f>Data!A266</f>
        <v>Sconzert, Jada</v>
      </c>
      <c r="G267" s="55" t="str">
        <f>Data!C266</f>
        <v>8/1/2010</v>
      </c>
      <c r="H267" s="56">
        <f>Data!H266</f>
        <v>44642</v>
      </c>
      <c r="I267" s="56" t="str">
        <f>Data!I266</f>
        <v>3/23/2022</v>
      </c>
      <c r="J267" s="57">
        <f>Data!J266</f>
        <v>227.6</v>
      </c>
      <c r="K267" s="58">
        <f t="shared" ca="1" si="4"/>
        <v>57</v>
      </c>
      <c r="L267" s="58">
        <f>Data!M266</f>
        <v>0</v>
      </c>
      <c r="M267" s="37" t="s">
        <v>26</v>
      </c>
      <c r="N267" s="43" t="str">
        <f>VLOOKUP(M267,Table1[#All],3,FALSE)</f>
        <v>Note</v>
      </c>
      <c r="O267" s="40" t="str">
        <f>VLOOKUP(M267,Table1[#All],4,FALSE)</f>
        <v>Q1</v>
      </c>
      <c r="P267" s="39"/>
      <c r="Q267" s="40" t="str">
        <f>VLOOKUP(M267,Table1[#All],5,FALSE)</f>
        <v>Q2</v>
      </c>
      <c r="R267" s="79"/>
      <c r="S267" s="40" t="str">
        <f>VLOOKUP(M267,Table1[#All],6,FALSE)</f>
        <v>Q3</v>
      </c>
      <c r="T267" s="79"/>
      <c r="U267" s="40" t="str">
        <f>VLOOKUP(M267,Table1[#All],7,FALSE)</f>
        <v>Q4</v>
      </c>
      <c r="V267" s="79"/>
      <c r="W267" s="40" t="str">
        <f>VLOOKUP(M267,Table1[#All],8,FALSE)</f>
        <v>Q5</v>
      </c>
      <c r="X267" s="79"/>
      <c r="Y267" s="44" t="str">
        <f>VLOOKUP(M267,Table1[#All],2,FALSE)</f>
        <v>Action</v>
      </c>
      <c r="Z267" s="59" t="str">
        <f>VLOOKUP(M267,Table1[#All],9,FALSE)</f>
        <v>Additional Notes:</v>
      </c>
      <c r="AA267" s="76"/>
      <c r="AB267" s="76"/>
      <c r="AC267" s="90" t="s">
        <v>91</v>
      </c>
      <c r="AD267" s="76" t="s">
        <v>91</v>
      </c>
      <c r="AE267" s="77"/>
      <c r="AF267" s="77"/>
      <c r="AG267" s="41" t="s">
        <v>91</v>
      </c>
    </row>
    <row r="268" spans="1:33" ht="21" hidden="1" x14ac:dyDescent="0.55000000000000004">
      <c r="A268" s="44" t="str">
        <f>Data!K267</f>
        <v>DPOW-CCHP</v>
      </c>
      <c r="B268" s="44" t="str">
        <f>Data!L267</f>
        <v>4143899880</v>
      </c>
      <c r="C268" s="44" t="str">
        <f>Data!D267</f>
        <v>MUSTAFA, ADAMARIS</v>
      </c>
      <c r="D268" s="82" t="str">
        <f>Data!F267</f>
        <v>8415299184</v>
      </c>
      <c r="E268" s="82" t="str">
        <f>Data!B267</f>
        <v>3710</v>
      </c>
      <c r="F268" s="44" t="str">
        <f>Data!A267</f>
        <v>MUSTAFA, ADAMARIS</v>
      </c>
      <c r="G268" s="55" t="str">
        <f>Data!C267</f>
        <v>12/17/1998</v>
      </c>
      <c r="H268" s="56">
        <f>Data!H267</f>
        <v>44642</v>
      </c>
      <c r="I268" s="56" t="str">
        <f>Data!I267</f>
        <v>3/23/2022</v>
      </c>
      <c r="J268" s="57">
        <f>Data!J267</f>
        <v>61.2</v>
      </c>
      <c r="K268" s="58">
        <f t="shared" ca="1" si="4"/>
        <v>57</v>
      </c>
      <c r="L268" s="58">
        <f>Data!M267</f>
        <v>0</v>
      </c>
      <c r="M268" s="37" t="s">
        <v>26</v>
      </c>
      <c r="N268" s="43" t="str">
        <f>VLOOKUP(M268,Table1[#All],3,FALSE)</f>
        <v>Note</v>
      </c>
      <c r="O268" s="40" t="str">
        <f>VLOOKUP(M268,Table1[#All],4,FALSE)</f>
        <v>Q1</v>
      </c>
      <c r="P268" s="39"/>
      <c r="Q268" s="40" t="str">
        <f>VLOOKUP(M268,Table1[#All],5,FALSE)</f>
        <v>Q2</v>
      </c>
      <c r="R268" s="79"/>
      <c r="S268" s="40" t="str">
        <f>VLOOKUP(M268,Table1[#All],6,FALSE)</f>
        <v>Q3</v>
      </c>
      <c r="T268" s="79"/>
      <c r="U268" s="40" t="str">
        <f>VLOOKUP(M268,Table1[#All],7,FALSE)</f>
        <v>Q4</v>
      </c>
      <c r="V268" s="79"/>
      <c r="W268" s="40" t="str">
        <f>VLOOKUP(M268,Table1[#All],8,FALSE)</f>
        <v>Q5</v>
      </c>
      <c r="X268" s="79"/>
      <c r="Y268" s="44" t="str">
        <f>VLOOKUP(M268,Table1[#All],2,FALSE)</f>
        <v>Action</v>
      </c>
      <c r="Z268" s="59" t="str">
        <f>VLOOKUP(M268,Table1[#All],9,FALSE)</f>
        <v>Additional Notes:</v>
      </c>
      <c r="AA268" s="76"/>
      <c r="AB268" s="76"/>
      <c r="AC268" s="90" t="s">
        <v>91</v>
      </c>
      <c r="AD268" s="76" t="s">
        <v>91</v>
      </c>
      <c r="AE268" s="77"/>
      <c r="AF268" s="77"/>
      <c r="AG268" s="41" t="s">
        <v>91</v>
      </c>
    </row>
    <row r="269" spans="1:33" ht="21" hidden="1" x14ac:dyDescent="0.55000000000000004">
      <c r="A269" s="44" t="str">
        <f>Data!K268</f>
        <v>DPOW-CCHP</v>
      </c>
      <c r="B269" s="44" t="str">
        <f>Data!L268</f>
        <v>4143899880</v>
      </c>
      <c r="C269" s="44" t="str">
        <f>Data!D268</f>
        <v xml:space="preserve">Pintor , Elayna </v>
      </c>
      <c r="D269" s="82" t="str">
        <f>Data!F268</f>
        <v>0434789208</v>
      </c>
      <c r="E269" s="82" t="str">
        <f>Data!B268</f>
        <v>9118</v>
      </c>
      <c r="F269" s="44" t="str">
        <f>Data!A268</f>
        <v xml:space="preserve">Pintor , Elayna </v>
      </c>
      <c r="G269" s="55" t="str">
        <f>Data!C268</f>
        <v>11/21/1989</v>
      </c>
      <c r="H269" s="56">
        <f>Data!H268</f>
        <v>44642</v>
      </c>
      <c r="I269" s="56" t="str">
        <f>Data!I268</f>
        <v>3/23/2022</v>
      </c>
      <c r="J269" s="57">
        <f>Data!J268</f>
        <v>188.4</v>
      </c>
      <c r="K269" s="58">
        <f t="shared" ca="1" si="4"/>
        <v>57</v>
      </c>
      <c r="L269" s="58">
        <f>Data!M268</f>
        <v>0</v>
      </c>
      <c r="M269" s="37" t="s">
        <v>26</v>
      </c>
      <c r="N269" s="43" t="str">
        <f>VLOOKUP(M269,Table1[#All],3,FALSE)</f>
        <v>Note</v>
      </c>
      <c r="O269" s="40" t="str">
        <f>VLOOKUP(M269,Table1[#All],4,FALSE)</f>
        <v>Q1</v>
      </c>
      <c r="P269" s="39"/>
      <c r="Q269" s="40" t="str">
        <f>VLOOKUP(M269,Table1[#All],5,FALSE)</f>
        <v>Q2</v>
      </c>
      <c r="R269" s="79"/>
      <c r="S269" s="40" t="str">
        <f>VLOOKUP(M269,Table1[#All],6,FALSE)</f>
        <v>Q3</v>
      </c>
      <c r="T269" s="79"/>
      <c r="U269" s="40" t="str">
        <f>VLOOKUP(M269,Table1[#All],7,FALSE)</f>
        <v>Q4</v>
      </c>
      <c r="V269" s="79"/>
      <c r="W269" s="40" t="str">
        <f>VLOOKUP(M269,Table1[#All],8,FALSE)</f>
        <v>Q5</v>
      </c>
      <c r="X269" s="79"/>
      <c r="Y269" s="44" t="str">
        <f>VLOOKUP(M269,Table1[#All],2,FALSE)</f>
        <v>Action</v>
      </c>
      <c r="Z269" s="59" t="str">
        <f>VLOOKUP(M269,Table1[#All],9,FALSE)</f>
        <v>Additional Notes:</v>
      </c>
      <c r="AA269" s="76"/>
      <c r="AB269" s="76"/>
      <c r="AC269" s="90" t="s">
        <v>91</v>
      </c>
      <c r="AD269" s="76" t="s">
        <v>91</v>
      </c>
      <c r="AE269" s="77"/>
      <c r="AF269" s="77"/>
      <c r="AG269" s="41" t="s">
        <v>91</v>
      </c>
    </row>
    <row r="270" spans="1:33" ht="21" hidden="1" x14ac:dyDescent="0.55000000000000004">
      <c r="A270" s="44" t="str">
        <f>Data!K269</f>
        <v>DPOW-CCHP</v>
      </c>
      <c r="B270" s="44" t="str">
        <f>Data!L269</f>
        <v>4143899880</v>
      </c>
      <c r="C270" s="44" t="str">
        <f>Data!D269</f>
        <v xml:space="preserve">Mcginnity, Penelope </v>
      </c>
      <c r="D270" s="82" t="str">
        <f>Data!F269</f>
        <v>6443361661</v>
      </c>
      <c r="E270" s="82" t="str">
        <f>Data!B269</f>
        <v>9312</v>
      </c>
      <c r="F270" s="44" t="str">
        <f>Data!A269</f>
        <v xml:space="preserve">Mcginnity, Penelope </v>
      </c>
      <c r="G270" s="55" t="str">
        <f>Data!C269</f>
        <v>12/19/2012</v>
      </c>
      <c r="H270" s="56">
        <f>Data!H269</f>
        <v>44641</v>
      </c>
      <c r="I270" s="56" t="str">
        <f>Data!I269</f>
        <v>3/22/2022</v>
      </c>
      <c r="J270" s="57">
        <f>Data!J269</f>
        <v>256.39999999999998</v>
      </c>
      <c r="K270" s="58">
        <f t="shared" ca="1" si="4"/>
        <v>58</v>
      </c>
      <c r="L270" s="58">
        <f>Data!M269</f>
        <v>0</v>
      </c>
      <c r="M270" s="37" t="s">
        <v>26</v>
      </c>
      <c r="N270" s="43" t="str">
        <f>VLOOKUP(M270,Table1[#All],3,FALSE)</f>
        <v>Note</v>
      </c>
      <c r="O270" s="40" t="str">
        <f>VLOOKUP(M270,Table1[#All],4,FALSE)</f>
        <v>Q1</v>
      </c>
      <c r="P270" s="39"/>
      <c r="Q270" s="40" t="str">
        <f>VLOOKUP(M270,Table1[#All],5,FALSE)</f>
        <v>Q2</v>
      </c>
      <c r="R270" s="79"/>
      <c r="S270" s="40" t="str">
        <f>VLOOKUP(M270,Table1[#All],6,FALSE)</f>
        <v>Q3</v>
      </c>
      <c r="T270" s="79"/>
      <c r="U270" s="40" t="str">
        <f>VLOOKUP(M270,Table1[#All],7,FALSE)</f>
        <v>Q4</v>
      </c>
      <c r="V270" s="79"/>
      <c r="W270" s="40" t="str">
        <f>VLOOKUP(M270,Table1[#All],8,FALSE)</f>
        <v>Q5</v>
      </c>
      <c r="X270" s="79"/>
      <c r="Y270" s="44" t="str">
        <f>VLOOKUP(M270,Table1[#All],2,FALSE)</f>
        <v>Action</v>
      </c>
      <c r="Z270" s="59" t="str">
        <f>VLOOKUP(M270,Table1[#All],9,FALSE)</f>
        <v>Additional Notes:</v>
      </c>
      <c r="AA270" s="76"/>
      <c r="AB270" s="76"/>
      <c r="AC270" s="90" t="s">
        <v>91</v>
      </c>
      <c r="AD270" s="76" t="s">
        <v>91</v>
      </c>
      <c r="AE270" s="77"/>
      <c r="AF270" s="77"/>
      <c r="AG270" s="41" t="s">
        <v>91</v>
      </c>
    </row>
    <row r="271" spans="1:33" ht="21" hidden="1" x14ac:dyDescent="0.55000000000000004">
      <c r="A271" s="44" t="str">
        <f>Data!K270</f>
        <v>DPOW-CCHP</v>
      </c>
      <c r="B271" s="44" t="str">
        <f>Data!L270</f>
        <v>4143899880</v>
      </c>
      <c r="C271" s="44" t="str">
        <f>Data!D270</f>
        <v xml:space="preserve">TELFORD, LARONDA </v>
      </c>
      <c r="D271" s="82" t="str">
        <f>Data!F270</f>
        <v>2416980025</v>
      </c>
      <c r="E271" s="82" t="str">
        <f>Data!B270</f>
        <v>3276</v>
      </c>
      <c r="F271" s="44" t="str">
        <f>Data!A270</f>
        <v xml:space="preserve">TELFORD, LARONDA </v>
      </c>
      <c r="G271" s="55" t="str">
        <f>Data!C270</f>
        <v>7/31/1993</v>
      </c>
      <c r="H271" s="56">
        <f>Data!H270</f>
        <v>44641</v>
      </c>
      <c r="I271" s="56" t="str">
        <f>Data!I270</f>
        <v>3/22/2022</v>
      </c>
      <c r="J271" s="57">
        <f>Data!J270</f>
        <v>1339.2</v>
      </c>
      <c r="K271" s="58">
        <f t="shared" ca="1" si="4"/>
        <v>58</v>
      </c>
      <c r="L271" s="58">
        <f>Data!M270</f>
        <v>0</v>
      </c>
      <c r="M271" s="37" t="s">
        <v>26</v>
      </c>
      <c r="N271" s="43" t="str">
        <f>VLOOKUP(M271,Table1[#All],3,FALSE)</f>
        <v>Note</v>
      </c>
      <c r="O271" s="40" t="str">
        <f>VLOOKUP(M271,Table1[#All],4,FALSE)</f>
        <v>Q1</v>
      </c>
      <c r="P271" s="39"/>
      <c r="Q271" s="40" t="str">
        <f>VLOOKUP(M271,Table1[#All],5,FALSE)</f>
        <v>Q2</v>
      </c>
      <c r="R271" s="79"/>
      <c r="S271" s="40" t="str">
        <f>VLOOKUP(M271,Table1[#All],6,FALSE)</f>
        <v>Q3</v>
      </c>
      <c r="T271" s="79"/>
      <c r="U271" s="40" t="str">
        <f>VLOOKUP(M271,Table1[#All],7,FALSE)</f>
        <v>Q4</v>
      </c>
      <c r="V271" s="79"/>
      <c r="W271" s="40" t="str">
        <f>VLOOKUP(M271,Table1[#All],8,FALSE)</f>
        <v>Q5</v>
      </c>
      <c r="X271" s="79"/>
      <c r="Y271" s="44" t="str">
        <f>VLOOKUP(M271,Table1[#All],2,FALSE)</f>
        <v>Action</v>
      </c>
      <c r="Z271" s="59" t="str">
        <f>VLOOKUP(M271,Table1[#All],9,FALSE)</f>
        <v>Additional Notes:</v>
      </c>
      <c r="AA271" s="76"/>
      <c r="AB271" s="76"/>
      <c r="AC271" s="90" t="s">
        <v>91</v>
      </c>
      <c r="AD271" s="76" t="s">
        <v>91</v>
      </c>
      <c r="AE271" s="77"/>
      <c r="AF271" s="77"/>
      <c r="AG271" s="41" t="s">
        <v>91</v>
      </c>
    </row>
    <row r="272" spans="1:33" ht="21" hidden="1" x14ac:dyDescent="0.55000000000000004">
      <c r="A272" s="44" t="str">
        <f>Data!K271</f>
        <v>DPOW-CCHP</v>
      </c>
      <c r="B272" s="44" t="str">
        <f>Data!L271</f>
        <v>4143899880</v>
      </c>
      <c r="C272" s="44" t="str">
        <f>Data!D271</f>
        <v>Becker , David</v>
      </c>
      <c r="D272" s="82" t="str">
        <f>Data!F271</f>
        <v>7453071577</v>
      </c>
      <c r="E272" s="82" t="str">
        <f>Data!B271</f>
        <v>9315</v>
      </c>
      <c r="F272" s="44" t="str">
        <f>Data!A271</f>
        <v>Becker , David</v>
      </c>
      <c r="G272" s="55" t="str">
        <f>Data!C271</f>
        <v>4/16/2018</v>
      </c>
      <c r="H272" s="56">
        <f>Data!H271</f>
        <v>44641</v>
      </c>
      <c r="I272" s="56" t="str">
        <f>Data!I271</f>
        <v>3/22/2022</v>
      </c>
      <c r="J272" s="57">
        <f>Data!J271</f>
        <v>166.8</v>
      </c>
      <c r="K272" s="58">
        <f t="shared" ca="1" si="4"/>
        <v>58</v>
      </c>
      <c r="L272" s="58">
        <f>Data!M271</f>
        <v>0</v>
      </c>
      <c r="M272" s="37" t="s">
        <v>26</v>
      </c>
      <c r="N272" s="43" t="str">
        <f>VLOOKUP(M272,Table1[#All],3,FALSE)</f>
        <v>Note</v>
      </c>
      <c r="O272" s="40" t="str">
        <f>VLOOKUP(M272,Table1[#All],4,FALSE)</f>
        <v>Q1</v>
      </c>
      <c r="P272" s="39"/>
      <c r="Q272" s="40" t="str">
        <f>VLOOKUP(M272,Table1[#All],5,FALSE)</f>
        <v>Q2</v>
      </c>
      <c r="R272" s="79"/>
      <c r="S272" s="40" t="str">
        <f>VLOOKUP(M272,Table1[#All],6,FALSE)</f>
        <v>Q3</v>
      </c>
      <c r="T272" s="79"/>
      <c r="U272" s="40" t="str">
        <f>VLOOKUP(M272,Table1[#All],7,FALSE)</f>
        <v>Q4</v>
      </c>
      <c r="V272" s="79"/>
      <c r="W272" s="40" t="str">
        <f>VLOOKUP(M272,Table1[#All],8,FALSE)</f>
        <v>Q5</v>
      </c>
      <c r="X272" s="79"/>
      <c r="Y272" s="44" t="str">
        <f>VLOOKUP(M272,Table1[#All],2,FALSE)</f>
        <v>Action</v>
      </c>
      <c r="Z272" s="59" t="str">
        <f>VLOOKUP(M272,Table1[#All],9,FALSE)</f>
        <v>Additional Notes:</v>
      </c>
      <c r="AA272" s="76"/>
      <c r="AB272" s="76"/>
      <c r="AC272" s="90" t="s">
        <v>91</v>
      </c>
      <c r="AD272" s="76" t="s">
        <v>91</v>
      </c>
      <c r="AE272" s="77"/>
      <c r="AF272" s="77"/>
      <c r="AG272" s="41" t="s">
        <v>91</v>
      </c>
    </row>
    <row r="273" spans="1:33" ht="21" hidden="1" x14ac:dyDescent="0.55000000000000004">
      <c r="A273" s="44" t="str">
        <f>Data!K272</f>
        <v>DPOW-CCHP</v>
      </c>
      <c r="B273" s="44" t="str">
        <f>Data!L272</f>
        <v>4143899880</v>
      </c>
      <c r="C273" s="44" t="str">
        <f>Data!D272</f>
        <v xml:space="preserve">Mcginnty , Theodore </v>
      </c>
      <c r="D273" s="82" t="str">
        <f>Data!F272</f>
        <v>9439694599</v>
      </c>
      <c r="E273" s="82" t="str">
        <f>Data!B272</f>
        <v>9314</v>
      </c>
      <c r="F273" s="44" t="str">
        <f>Data!A272</f>
        <v xml:space="preserve">Mcginnty , Theodore </v>
      </c>
      <c r="G273" s="55" t="str">
        <f>Data!C272</f>
        <v>12/20/2010</v>
      </c>
      <c r="H273" s="56">
        <f>Data!H272</f>
        <v>44641</v>
      </c>
      <c r="I273" s="56" t="str">
        <f>Data!I272</f>
        <v>3/22/2022</v>
      </c>
      <c r="J273" s="57">
        <f>Data!J272</f>
        <v>256.39999999999998</v>
      </c>
      <c r="K273" s="58">
        <f t="shared" ca="1" si="4"/>
        <v>58</v>
      </c>
      <c r="L273" s="58">
        <f>Data!M272</f>
        <v>0</v>
      </c>
      <c r="M273" s="37" t="s">
        <v>26</v>
      </c>
      <c r="N273" s="43" t="str">
        <f>VLOOKUP(M273,Table1[#All],3,FALSE)</f>
        <v>Note</v>
      </c>
      <c r="O273" s="40" t="str">
        <f>VLOOKUP(M273,Table1[#All],4,FALSE)</f>
        <v>Q1</v>
      </c>
      <c r="P273" s="39"/>
      <c r="Q273" s="40" t="str">
        <f>VLOOKUP(M273,Table1[#All],5,FALSE)</f>
        <v>Q2</v>
      </c>
      <c r="R273" s="79"/>
      <c r="S273" s="40" t="str">
        <f>VLOOKUP(M273,Table1[#All],6,FALSE)</f>
        <v>Q3</v>
      </c>
      <c r="T273" s="79"/>
      <c r="U273" s="40" t="str">
        <f>VLOOKUP(M273,Table1[#All],7,FALSE)</f>
        <v>Q4</v>
      </c>
      <c r="V273" s="79"/>
      <c r="W273" s="40" t="str">
        <f>VLOOKUP(M273,Table1[#All],8,FALSE)</f>
        <v>Q5</v>
      </c>
      <c r="X273" s="79"/>
      <c r="Y273" s="44" t="str">
        <f>VLOOKUP(M273,Table1[#All],2,FALSE)</f>
        <v>Action</v>
      </c>
      <c r="Z273" s="59" t="str">
        <f>VLOOKUP(M273,Table1[#All],9,FALSE)</f>
        <v>Additional Notes:</v>
      </c>
      <c r="AA273" s="76"/>
      <c r="AB273" s="76"/>
      <c r="AC273" s="90" t="s">
        <v>91</v>
      </c>
      <c r="AD273" s="76" t="s">
        <v>91</v>
      </c>
      <c r="AE273" s="77"/>
      <c r="AF273" s="77"/>
      <c r="AG273" s="41" t="s">
        <v>91</v>
      </c>
    </row>
    <row r="274" spans="1:33" ht="21" hidden="1" x14ac:dyDescent="0.55000000000000004">
      <c r="A274" s="44" t="str">
        <f>Data!K273</f>
        <v>DPOW-CCHP</v>
      </c>
      <c r="B274" s="44" t="str">
        <f>Data!L273</f>
        <v>4143899880</v>
      </c>
      <c r="C274" s="44" t="str">
        <f>Data!D273</f>
        <v xml:space="preserve">Kaur , Khushwant </v>
      </c>
      <c r="D274" s="82" t="str">
        <f>Data!F273</f>
        <v>6448685961</v>
      </c>
      <c r="E274" s="82" t="str">
        <f>Data!B273</f>
        <v>9091</v>
      </c>
      <c r="F274" s="44" t="str">
        <f>Data!A273</f>
        <v xml:space="preserve">Kaur , Khushwant </v>
      </c>
      <c r="G274" s="55" t="str">
        <f>Data!C273</f>
        <v>6/8/1957</v>
      </c>
      <c r="H274" s="56">
        <f>Data!H273</f>
        <v>44639</v>
      </c>
      <c r="I274" s="56" t="str">
        <f>Data!I273</f>
        <v>3/21/2022</v>
      </c>
      <c r="J274" s="57">
        <f>Data!J273</f>
        <v>966</v>
      </c>
      <c r="K274" s="58">
        <f t="shared" ca="1" si="4"/>
        <v>59</v>
      </c>
      <c r="L274" s="58">
        <f>Data!M273</f>
        <v>0</v>
      </c>
      <c r="M274" s="37" t="s">
        <v>26</v>
      </c>
      <c r="N274" s="43" t="str">
        <f>VLOOKUP(M274,Table1[#All],3,FALSE)</f>
        <v>Note</v>
      </c>
      <c r="O274" s="40" t="str">
        <f>VLOOKUP(M274,Table1[#All],4,FALSE)</f>
        <v>Q1</v>
      </c>
      <c r="P274" s="39"/>
      <c r="Q274" s="40" t="str">
        <f>VLOOKUP(M274,Table1[#All],5,FALSE)</f>
        <v>Q2</v>
      </c>
      <c r="R274" s="79"/>
      <c r="S274" s="40" t="str">
        <f>VLOOKUP(M274,Table1[#All],6,FALSE)</f>
        <v>Q3</v>
      </c>
      <c r="T274" s="79"/>
      <c r="U274" s="40" t="str">
        <f>VLOOKUP(M274,Table1[#All],7,FALSE)</f>
        <v>Q4</v>
      </c>
      <c r="V274" s="79"/>
      <c r="W274" s="40" t="str">
        <f>VLOOKUP(M274,Table1[#All],8,FALSE)</f>
        <v>Q5</v>
      </c>
      <c r="X274" s="79"/>
      <c r="Y274" s="44" t="str">
        <f>VLOOKUP(M274,Table1[#All],2,FALSE)</f>
        <v>Action</v>
      </c>
      <c r="Z274" s="59" t="str">
        <f>VLOOKUP(M274,Table1[#All],9,FALSE)</f>
        <v>Additional Notes:</v>
      </c>
      <c r="AA274" s="76"/>
      <c r="AB274" s="76"/>
      <c r="AC274" s="90" t="s">
        <v>91</v>
      </c>
      <c r="AD274" s="76" t="s">
        <v>91</v>
      </c>
      <c r="AE274" s="77"/>
      <c r="AF274" s="77"/>
      <c r="AG274" s="41" t="s">
        <v>91</v>
      </c>
    </row>
    <row r="275" spans="1:33" ht="21" hidden="1" x14ac:dyDescent="0.55000000000000004">
      <c r="A275" s="44" t="str">
        <f>Data!K274</f>
        <v>DPOW-CCHP</v>
      </c>
      <c r="B275" s="44" t="str">
        <f>Data!L274</f>
        <v>4143899880</v>
      </c>
      <c r="C275" s="44" t="str">
        <f>Data!D274</f>
        <v>Gonzalez, Alicia</v>
      </c>
      <c r="D275" s="82" t="str">
        <f>Data!F274</f>
        <v>3413481436</v>
      </c>
      <c r="E275" s="82" t="str">
        <f>Data!B274</f>
        <v>9290</v>
      </c>
      <c r="F275" s="44" t="str">
        <f>Data!A274</f>
        <v>Gonzalez, Alicia</v>
      </c>
      <c r="G275" s="55" t="str">
        <f>Data!C274</f>
        <v>7/12/2002</v>
      </c>
      <c r="H275" s="56">
        <f>Data!H274</f>
        <v>44639</v>
      </c>
      <c r="I275" s="56" t="str">
        <f>Data!I274</f>
        <v>3/21/2022</v>
      </c>
      <c r="J275" s="57">
        <f>Data!J274</f>
        <v>1905.2</v>
      </c>
      <c r="K275" s="58">
        <f t="shared" ca="1" si="4"/>
        <v>59</v>
      </c>
      <c r="L275" s="58">
        <f>Data!M274</f>
        <v>0</v>
      </c>
      <c r="M275" s="37" t="s">
        <v>26</v>
      </c>
      <c r="N275" s="43" t="str">
        <f>VLOOKUP(M275,Table1[#All],3,FALSE)</f>
        <v>Note</v>
      </c>
      <c r="O275" s="40" t="str">
        <f>VLOOKUP(M275,Table1[#All],4,FALSE)</f>
        <v>Q1</v>
      </c>
      <c r="P275" s="39"/>
      <c r="Q275" s="40" t="str">
        <f>VLOOKUP(M275,Table1[#All],5,FALSE)</f>
        <v>Q2</v>
      </c>
      <c r="R275" s="79"/>
      <c r="S275" s="40" t="str">
        <f>VLOOKUP(M275,Table1[#All],6,FALSE)</f>
        <v>Q3</v>
      </c>
      <c r="T275" s="79"/>
      <c r="U275" s="40" t="str">
        <f>VLOOKUP(M275,Table1[#All],7,FALSE)</f>
        <v>Q4</v>
      </c>
      <c r="V275" s="79"/>
      <c r="W275" s="40" t="str">
        <f>VLOOKUP(M275,Table1[#All],8,FALSE)</f>
        <v>Q5</v>
      </c>
      <c r="X275" s="79"/>
      <c r="Y275" s="44" t="str">
        <f>VLOOKUP(M275,Table1[#All],2,FALSE)</f>
        <v>Action</v>
      </c>
      <c r="Z275" s="59" t="str">
        <f>VLOOKUP(M275,Table1[#All],9,FALSE)</f>
        <v>Additional Notes:</v>
      </c>
      <c r="AA275" s="76"/>
      <c r="AB275" s="76"/>
      <c r="AC275" s="90" t="s">
        <v>91</v>
      </c>
      <c r="AD275" s="76" t="s">
        <v>91</v>
      </c>
      <c r="AE275" s="77"/>
      <c r="AF275" s="77"/>
      <c r="AG275" s="41" t="s">
        <v>91</v>
      </c>
    </row>
    <row r="276" spans="1:33" ht="21" hidden="1" x14ac:dyDescent="0.55000000000000004">
      <c r="A276" s="44" t="str">
        <f>Data!K275</f>
        <v>DPOW-CCHP</v>
      </c>
      <c r="B276" s="44" t="str">
        <f>Data!L275</f>
        <v>4143899880</v>
      </c>
      <c r="C276" s="44" t="str">
        <f>Data!D275</f>
        <v xml:space="preserve">Miro, Aria </v>
      </c>
      <c r="D276" s="82" t="str">
        <f>Data!F275</f>
        <v>2451421223</v>
      </c>
      <c r="E276" s="82" t="str">
        <f>Data!B275</f>
        <v>6822</v>
      </c>
      <c r="F276" s="44" t="str">
        <f>Data!A275</f>
        <v xml:space="preserve">Miro, Aria </v>
      </c>
      <c r="G276" s="55" t="str">
        <f>Data!C275</f>
        <v>4/6/2017</v>
      </c>
      <c r="H276" s="56">
        <f>Data!H275</f>
        <v>44638</v>
      </c>
      <c r="I276" s="56" t="str">
        <f>Data!I275</f>
        <v>3/21/2022</v>
      </c>
      <c r="J276" s="57">
        <f>Data!J275</f>
        <v>227.6</v>
      </c>
      <c r="K276" s="58">
        <f t="shared" ca="1" si="4"/>
        <v>59</v>
      </c>
      <c r="L276" s="58">
        <f>Data!M275</f>
        <v>0</v>
      </c>
      <c r="M276" s="37" t="s">
        <v>26</v>
      </c>
      <c r="N276" s="43" t="str">
        <f>VLOOKUP(M276,Table1[#All],3,FALSE)</f>
        <v>Note</v>
      </c>
      <c r="O276" s="40" t="str">
        <f>VLOOKUP(M276,Table1[#All],4,FALSE)</f>
        <v>Q1</v>
      </c>
      <c r="P276" s="39"/>
      <c r="Q276" s="40" t="str">
        <f>VLOOKUP(M276,Table1[#All],5,FALSE)</f>
        <v>Q2</v>
      </c>
      <c r="R276" s="79"/>
      <c r="S276" s="40" t="str">
        <f>VLOOKUP(M276,Table1[#All],6,FALSE)</f>
        <v>Q3</v>
      </c>
      <c r="T276" s="79"/>
      <c r="U276" s="40" t="str">
        <f>VLOOKUP(M276,Table1[#All],7,FALSE)</f>
        <v>Q4</v>
      </c>
      <c r="V276" s="79"/>
      <c r="W276" s="40" t="str">
        <f>VLOOKUP(M276,Table1[#All],8,FALSE)</f>
        <v>Q5</v>
      </c>
      <c r="X276" s="79"/>
      <c r="Y276" s="44" t="str">
        <f>VLOOKUP(M276,Table1[#All],2,FALSE)</f>
        <v>Action</v>
      </c>
      <c r="Z276" s="59" t="str">
        <f>VLOOKUP(M276,Table1[#All],9,FALSE)</f>
        <v>Additional Notes:</v>
      </c>
      <c r="AA276" s="76"/>
      <c r="AB276" s="76"/>
      <c r="AC276" s="90" t="s">
        <v>91</v>
      </c>
      <c r="AD276" s="76" t="s">
        <v>91</v>
      </c>
      <c r="AE276" s="77"/>
      <c r="AF276" s="77"/>
      <c r="AG276" s="41" t="s">
        <v>91</v>
      </c>
    </row>
    <row r="277" spans="1:33" ht="21" hidden="1" x14ac:dyDescent="0.55000000000000004">
      <c r="A277" s="44" t="str">
        <f>Data!K276</f>
        <v>DPOW-CCHP</v>
      </c>
      <c r="B277" s="44" t="str">
        <f>Data!L276</f>
        <v>4143899880</v>
      </c>
      <c r="C277" s="44" t="str">
        <f>Data!D276</f>
        <v xml:space="preserve">Hassan , Nur Fatimah </v>
      </c>
      <c r="D277" s="82" t="str">
        <f>Data!F276</f>
        <v>1448754313</v>
      </c>
      <c r="E277" s="82" t="str">
        <f>Data!B276</f>
        <v>8855</v>
      </c>
      <c r="F277" s="44" t="str">
        <f>Data!A276</f>
        <v xml:space="preserve">Hassan , Nur Fatimah </v>
      </c>
      <c r="G277" s="55" t="str">
        <f>Data!C276</f>
        <v>1/1/1988</v>
      </c>
      <c r="H277" s="56">
        <f>Data!H276</f>
        <v>44637</v>
      </c>
      <c r="I277" s="56" t="str">
        <f>Data!I276</f>
        <v>3/18/2022</v>
      </c>
      <c r="J277" s="57">
        <f>Data!J276</f>
        <v>660</v>
      </c>
      <c r="K277" s="58">
        <f t="shared" ca="1" si="4"/>
        <v>62</v>
      </c>
      <c r="L277" s="58">
        <f>Data!M276</f>
        <v>0</v>
      </c>
      <c r="M277" s="37" t="s">
        <v>26</v>
      </c>
      <c r="N277" s="43" t="str">
        <f>VLOOKUP(M277,Table1[#All],3,FALSE)</f>
        <v>Note</v>
      </c>
      <c r="O277" s="40" t="str">
        <f>VLOOKUP(M277,Table1[#All],4,FALSE)</f>
        <v>Q1</v>
      </c>
      <c r="P277" s="39"/>
      <c r="Q277" s="40" t="str">
        <f>VLOOKUP(M277,Table1[#All],5,FALSE)</f>
        <v>Q2</v>
      </c>
      <c r="R277" s="79"/>
      <c r="S277" s="40" t="str">
        <f>VLOOKUP(M277,Table1[#All],6,FALSE)</f>
        <v>Q3</v>
      </c>
      <c r="T277" s="79"/>
      <c r="U277" s="40" t="str">
        <f>VLOOKUP(M277,Table1[#All],7,FALSE)</f>
        <v>Q4</v>
      </c>
      <c r="V277" s="79"/>
      <c r="W277" s="40" t="str">
        <f>VLOOKUP(M277,Table1[#All],8,FALSE)</f>
        <v>Q5</v>
      </c>
      <c r="X277" s="79"/>
      <c r="Y277" s="44" t="str">
        <f>VLOOKUP(M277,Table1[#All],2,FALSE)</f>
        <v>Action</v>
      </c>
      <c r="Z277" s="59" t="str">
        <f>VLOOKUP(M277,Table1[#All],9,FALSE)</f>
        <v>Additional Notes:</v>
      </c>
      <c r="AA277" s="76"/>
      <c r="AB277" s="76"/>
      <c r="AC277" s="90" t="s">
        <v>91</v>
      </c>
      <c r="AD277" s="76" t="s">
        <v>91</v>
      </c>
      <c r="AE277" s="77"/>
      <c r="AF277" s="77"/>
      <c r="AG277" s="41" t="s">
        <v>91</v>
      </c>
    </row>
    <row r="278" spans="1:33" ht="21" hidden="1" x14ac:dyDescent="0.55000000000000004">
      <c r="A278" s="44" t="str">
        <f>Data!K277</f>
        <v>DPOW-CCHP</v>
      </c>
      <c r="B278" s="44" t="str">
        <f>Data!L277</f>
        <v>4143899880</v>
      </c>
      <c r="C278" s="44" t="str">
        <f>Data!D277</f>
        <v>KIRSOP, WENDY</v>
      </c>
      <c r="D278" s="82" t="str">
        <f>Data!F277</f>
        <v>7447685771</v>
      </c>
      <c r="E278" s="82" t="str">
        <f>Data!B277</f>
        <v>750</v>
      </c>
      <c r="F278" s="44" t="str">
        <f>Data!A277</f>
        <v>KIRSOP, WENDY</v>
      </c>
      <c r="G278" s="55" t="str">
        <f>Data!C277</f>
        <v>5/11/1980</v>
      </c>
      <c r="H278" s="56">
        <f>Data!H277</f>
        <v>44637</v>
      </c>
      <c r="I278" s="56" t="str">
        <f>Data!I277</f>
        <v>3/18/2022</v>
      </c>
      <c r="J278" s="57">
        <f>Data!J277</f>
        <v>88.8</v>
      </c>
      <c r="K278" s="58">
        <f t="shared" ca="1" si="4"/>
        <v>62</v>
      </c>
      <c r="L278" s="58">
        <f>Data!M277</f>
        <v>0</v>
      </c>
      <c r="M278" s="37" t="s">
        <v>26</v>
      </c>
      <c r="N278" s="43" t="str">
        <f>VLOOKUP(M278,Table1[#All],3,FALSE)</f>
        <v>Note</v>
      </c>
      <c r="O278" s="40" t="str">
        <f>VLOOKUP(M278,Table1[#All],4,FALSE)</f>
        <v>Q1</v>
      </c>
      <c r="P278" s="39"/>
      <c r="Q278" s="40" t="str">
        <f>VLOOKUP(M278,Table1[#All],5,FALSE)</f>
        <v>Q2</v>
      </c>
      <c r="R278" s="79"/>
      <c r="S278" s="40" t="str">
        <f>VLOOKUP(M278,Table1[#All],6,FALSE)</f>
        <v>Q3</v>
      </c>
      <c r="T278" s="79"/>
      <c r="U278" s="40" t="str">
        <f>VLOOKUP(M278,Table1[#All],7,FALSE)</f>
        <v>Q4</v>
      </c>
      <c r="V278" s="79"/>
      <c r="W278" s="40" t="str">
        <f>VLOOKUP(M278,Table1[#All],8,FALSE)</f>
        <v>Q5</v>
      </c>
      <c r="X278" s="79"/>
      <c r="Y278" s="44" t="str">
        <f>VLOOKUP(M278,Table1[#All],2,FALSE)</f>
        <v>Action</v>
      </c>
      <c r="Z278" s="59" t="str">
        <f>VLOOKUP(M278,Table1[#All],9,FALSE)</f>
        <v>Additional Notes:</v>
      </c>
      <c r="AA278" s="76"/>
      <c r="AB278" s="76"/>
      <c r="AC278" s="90" t="s">
        <v>91</v>
      </c>
      <c r="AD278" s="76" t="s">
        <v>91</v>
      </c>
      <c r="AE278" s="77"/>
      <c r="AF278" s="77"/>
      <c r="AG278" s="41" t="s">
        <v>91</v>
      </c>
    </row>
    <row r="279" spans="1:33" ht="21" hidden="1" x14ac:dyDescent="0.55000000000000004">
      <c r="A279" s="44" t="str">
        <f>Data!K278</f>
        <v>DPOW-CCHP</v>
      </c>
      <c r="B279" s="44" t="str">
        <f>Data!L278</f>
        <v>4143899880</v>
      </c>
      <c r="C279" s="44" t="str">
        <f>Data!D278</f>
        <v>Chon, Natalie</v>
      </c>
      <c r="D279" s="82" t="str">
        <f>Data!F278</f>
        <v>4426177545</v>
      </c>
      <c r="E279" s="82" t="str">
        <f>Data!B278</f>
        <v>1005</v>
      </c>
      <c r="F279" s="44" t="str">
        <f>Data!A278</f>
        <v>Chon, Natalie</v>
      </c>
      <c r="G279" s="55" t="str">
        <f>Data!C278</f>
        <v>6/21/2006</v>
      </c>
      <c r="H279" s="56">
        <f>Data!H278</f>
        <v>44637</v>
      </c>
      <c r="I279" s="56" t="str">
        <f>Data!I278</f>
        <v>3/18/2022</v>
      </c>
      <c r="J279" s="57">
        <f>Data!J278</f>
        <v>266</v>
      </c>
      <c r="K279" s="58">
        <f t="shared" ca="1" si="4"/>
        <v>62</v>
      </c>
      <c r="L279" s="58">
        <f>Data!M278</f>
        <v>0</v>
      </c>
      <c r="M279" s="37" t="s">
        <v>26</v>
      </c>
      <c r="N279" s="43" t="str">
        <f>VLOOKUP(M279,Table1[#All],3,FALSE)</f>
        <v>Note</v>
      </c>
      <c r="O279" s="40" t="str">
        <f>VLOOKUP(M279,Table1[#All],4,FALSE)</f>
        <v>Q1</v>
      </c>
      <c r="P279" s="39"/>
      <c r="Q279" s="40" t="str">
        <f>VLOOKUP(M279,Table1[#All],5,FALSE)</f>
        <v>Q2</v>
      </c>
      <c r="R279" s="79"/>
      <c r="S279" s="40" t="str">
        <f>VLOOKUP(M279,Table1[#All],6,FALSE)</f>
        <v>Q3</v>
      </c>
      <c r="T279" s="79"/>
      <c r="U279" s="40" t="str">
        <f>VLOOKUP(M279,Table1[#All],7,FALSE)</f>
        <v>Q4</v>
      </c>
      <c r="V279" s="79"/>
      <c r="W279" s="40" t="str">
        <f>VLOOKUP(M279,Table1[#All],8,FALSE)</f>
        <v>Q5</v>
      </c>
      <c r="X279" s="79"/>
      <c r="Y279" s="44" t="str">
        <f>VLOOKUP(M279,Table1[#All],2,FALSE)</f>
        <v>Action</v>
      </c>
      <c r="Z279" s="59" t="str">
        <f>VLOOKUP(M279,Table1[#All],9,FALSE)</f>
        <v>Additional Notes:</v>
      </c>
      <c r="AA279" s="76"/>
      <c r="AB279" s="76"/>
      <c r="AC279" s="90" t="s">
        <v>91</v>
      </c>
      <c r="AD279" s="76" t="s">
        <v>91</v>
      </c>
      <c r="AE279" s="77"/>
      <c r="AF279" s="77"/>
      <c r="AG279" s="41" t="s">
        <v>91</v>
      </c>
    </row>
    <row r="280" spans="1:33" ht="21" hidden="1" x14ac:dyDescent="0.55000000000000004">
      <c r="A280" s="44" t="str">
        <f>Data!K279</f>
        <v>DPOW-CCHP</v>
      </c>
      <c r="B280" s="44" t="str">
        <f>Data!L279</f>
        <v>4143899880</v>
      </c>
      <c r="C280" s="44" t="str">
        <f>Data!D279</f>
        <v>Dahadha  Hying , Laura</v>
      </c>
      <c r="D280" s="82" t="str">
        <f>Data!F279</f>
        <v>7401182475</v>
      </c>
      <c r="E280" s="82" t="str">
        <f>Data!B279</f>
        <v>9263</v>
      </c>
      <c r="F280" s="44" t="str">
        <f>Data!A279</f>
        <v>Dahadha  Hying , Laura</v>
      </c>
      <c r="G280" s="55" t="str">
        <f>Data!C279</f>
        <v>6/29/1984</v>
      </c>
      <c r="H280" s="56">
        <f>Data!H279</f>
        <v>44637</v>
      </c>
      <c r="I280" s="56" t="str">
        <f>Data!I279</f>
        <v>3/18/2022</v>
      </c>
      <c r="J280" s="57">
        <f>Data!J279</f>
        <v>466.8</v>
      </c>
      <c r="K280" s="58">
        <f t="shared" ca="1" si="4"/>
        <v>62</v>
      </c>
      <c r="L280" s="58">
        <f>Data!M279</f>
        <v>0</v>
      </c>
      <c r="M280" s="37" t="s">
        <v>26</v>
      </c>
      <c r="N280" s="43" t="str">
        <f>VLOOKUP(M280,Table1[#All],3,FALSE)</f>
        <v>Note</v>
      </c>
      <c r="O280" s="40" t="str">
        <f>VLOOKUP(M280,Table1[#All],4,FALSE)</f>
        <v>Q1</v>
      </c>
      <c r="P280" s="39"/>
      <c r="Q280" s="40" t="str">
        <f>VLOOKUP(M280,Table1[#All],5,FALSE)</f>
        <v>Q2</v>
      </c>
      <c r="R280" s="79"/>
      <c r="S280" s="40" t="str">
        <f>VLOOKUP(M280,Table1[#All],6,FALSE)</f>
        <v>Q3</v>
      </c>
      <c r="T280" s="79"/>
      <c r="U280" s="40" t="str">
        <f>VLOOKUP(M280,Table1[#All],7,FALSE)</f>
        <v>Q4</v>
      </c>
      <c r="V280" s="79"/>
      <c r="W280" s="40" t="str">
        <f>VLOOKUP(M280,Table1[#All],8,FALSE)</f>
        <v>Q5</v>
      </c>
      <c r="X280" s="79"/>
      <c r="Y280" s="44" t="str">
        <f>VLOOKUP(M280,Table1[#All],2,FALSE)</f>
        <v>Action</v>
      </c>
      <c r="Z280" s="59" t="str">
        <f>VLOOKUP(M280,Table1[#All],9,FALSE)</f>
        <v>Additional Notes:</v>
      </c>
      <c r="AA280" s="76"/>
      <c r="AB280" s="76"/>
      <c r="AC280" s="90" t="s">
        <v>91</v>
      </c>
      <c r="AD280" s="76" t="s">
        <v>91</v>
      </c>
      <c r="AE280" s="77"/>
      <c r="AF280" s="77"/>
      <c r="AG280" s="41" t="s">
        <v>91</v>
      </c>
    </row>
    <row r="281" spans="1:33" ht="21" hidden="1" x14ac:dyDescent="0.55000000000000004">
      <c r="A281" s="44" t="str">
        <f>Data!K280</f>
        <v>DPOW-CCHP</v>
      </c>
      <c r="B281" s="44" t="str">
        <f>Data!L280</f>
        <v>4143899880</v>
      </c>
      <c r="C281" s="44" t="str">
        <f>Data!D280</f>
        <v xml:space="preserve">Mueller , Aubrey </v>
      </c>
      <c r="D281" s="82" t="str">
        <f>Data!F280</f>
        <v>1443810614</v>
      </c>
      <c r="E281" s="82" t="str">
        <f>Data!B280</f>
        <v>4621</v>
      </c>
      <c r="F281" s="44" t="str">
        <f>Data!A280</f>
        <v xml:space="preserve">Mueller , Aubrey </v>
      </c>
      <c r="G281" s="55" t="str">
        <f>Data!C280</f>
        <v>10/9/2012</v>
      </c>
      <c r="H281" s="56">
        <f>Data!H280</f>
        <v>44637</v>
      </c>
      <c r="I281" s="56" t="str">
        <f>Data!I280</f>
        <v>3/18/2022</v>
      </c>
      <c r="J281" s="57">
        <f>Data!J280</f>
        <v>432</v>
      </c>
      <c r="K281" s="58">
        <f t="shared" ca="1" si="4"/>
        <v>62</v>
      </c>
      <c r="L281" s="58">
        <f>Data!M280</f>
        <v>0</v>
      </c>
      <c r="M281" s="37" t="s">
        <v>26</v>
      </c>
      <c r="N281" s="43" t="str">
        <f>VLOOKUP(M281,Table1[#All],3,FALSE)</f>
        <v>Note</v>
      </c>
      <c r="O281" s="40" t="str">
        <f>VLOOKUP(M281,Table1[#All],4,FALSE)</f>
        <v>Q1</v>
      </c>
      <c r="P281" s="39"/>
      <c r="Q281" s="40" t="str">
        <f>VLOOKUP(M281,Table1[#All],5,FALSE)</f>
        <v>Q2</v>
      </c>
      <c r="R281" s="79"/>
      <c r="S281" s="40" t="str">
        <f>VLOOKUP(M281,Table1[#All],6,FALSE)</f>
        <v>Q3</v>
      </c>
      <c r="T281" s="79"/>
      <c r="U281" s="40" t="str">
        <f>VLOOKUP(M281,Table1[#All],7,FALSE)</f>
        <v>Q4</v>
      </c>
      <c r="V281" s="79"/>
      <c r="W281" s="40" t="str">
        <f>VLOOKUP(M281,Table1[#All],8,FALSE)</f>
        <v>Q5</v>
      </c>
      <c r="X281" s="79"/>
      <c r="Y281" s="44" t="str">
        <f>VLOOKUP(M281,Table1[#All],2,FALSE)</f>
        <v>Action</v>
      </c>
      <c r="Z281" s="59" t="str">
        <f>VLOOKUP(M281,Table1[#All],9,FALSE)</f>
        <v>Additional Notes:</v>
      </c>
      <c r="AA281" s="76"/>
      <c r="AB281" s="76"/>
      <c r="AC281" s="90" t="s">
        <v>91</v>
      </c>
      <c r="AD281" s="76" t="s">
        <v>91</v>
      </c>
      <c r="AE281" s="77"/>
      <c r="AF281" s="77"/>
      <c r="AG281" s="41" t="s">
        <v>91</v>
      </c>
    </row>
    <row r="282" spans="1:33" ht="21" hidden="1" x14ac:dyDescent="0.55000000000000004">
      <c r="A282" s="44" t="str">
        <f>Data!K281</f>
        <v>DPOW-CCHP</v>
      </c>
      <c r="B282" s="44" t="str">
        <f>Data!L281</f>
        <v>4143899880</v>
      </c>
      <c r="C282" s="44" t="str">
        <f>Data!D281</f>
        <v>Chon, Lianna</v>
      </c>
      <c r="D282" s="82" t="str">
        <f>Data!F281</f>
        <v>9441754595</v>
      </c>
      <c r="E282" s="82" t="str">
        <f>Data!B281</f>
        <v>1004</v>
      </c>
      <c r="F282" s="44" t="str">
        <f>Data!A281</f>
        <v>Chon, Lianna</v>
      </c>
      <c r="G282" s="55" t="str">
        <f>Data!C281</f>
        <v>2/5/2012</v>
      </c>
      <c r="H282" s="56">
        <f>Data!H281</f>
        <v>44637</v>
      </c>
      <c r="I282" s="56" t="str">
        <f>Data!I281</f>
        <v>3/18/2022</v>
      </c>
      <c r="J282" s="57">
        <f>Data!J281</f>
        <v>227.6</v>
      </c>
      <c r="K282" s="58">
        <f t="shared" ca="1" si="4"/>
        <v>62</v>
      </c>
      <c r="L282" s="58">
        <f>Data!M281</f>
        <v>0</v>
      </c>
      <c r="M282" s="37" t="s">
        <v>26</v>
      </c>
      <c r="N282" s="43" t="str">
        <f>VLOOKUP(M282,Table1[#All],3,FALSE)</f>
        <v>Note</v>
      </c>
      <c r="O282" s="40" t="str">
        <f>VLOOKUP(M282,Table1[#All],4,FALSE)</f>
        <v>Q1</v>
      </c>
      <c r="P282" s="39"/>
      <c r="Q282" s="40" t="str">
        <f>VLOOKUP(M282,Table1[#All],5,FALSE)</f>
        <v>Q2</v>
      </c>
      <c r="R282" s="79"/>
      <c r="S282" s="40" t="str">
        <f>VLOOKUP(M282,Table1[#All],6,FALSE)</f>
        <v>Q3</v>
      </c>
      <c r="T282" s="79"/>
      <c r="U282" s="40" t="str">
        <f>VLOOKUP(M282,Table1[#All],7,FALSE)</f>
        <v>Q4</v>
      </c>
      <c r="V282" s="79"/>
      <c r="W282" s="40" t="str">
        <f>VLOOKUP(M282,Table1[#All],8,FALSE)</f>
        <v>Q5</v>
      </c>
      <c r="X282" s="79"/>
      <c r="Y282" s="44" t="str">
        <f>VLOOKUP(M282,Table1[#All],2,FALSE)</f>
        <v>Action</v>
      </c>
      <c r="Z282" s="59" t="str">
        <f>VLOOKUP(M282,Table1[#All],9,FALSE)</f>
        <v>Additional Notes:</v>
      </c>
      <c r="AA282" s="76"/>
      <c r="AB282" s="76"/>
      <c r="AC282" s="90" t="s">
        <v>91</v>
      </c>
      <c r="AD282" s="76" t="s">
        <v>91</v>
      </c>
      <c r="AE282" s="77"/>
      <c r="AF282" s="77"/>
      <c r="AG282" s="41" t="s">
        <v>91</v>
      </c>
    </row>
    <row r="283" spans="1:33" ht="21" hidden="1" x14ac:dyDescent="0.55000000000000004">
      <c r="A283" s="44" t="str">
        <f>Data!K282</f>
        <v>DPOW-CCHP</v>
      </c>
      <c r="B283" s="44" t="str">
        <f>Data!L282</f>
        <v>4143899880</v>
      </c>
      <c r="C283" s="44" t="str">
        <f>Data!D282</f>
        <v>THLADI , MAH</v>
      </c>
      <c r="D283" s="82" t="str">
        <f>Data!F282</f>
        <v>3453380631</v>
      </c>
      <c r="E283" s="82" t="str">
        <f>Data!B282</f>
        <v>4989</v>
      </c>
      <c r="F283" s="44" t="str">
        <f>Data!A282</f>
        <v>THLADI , MAH</v>
      </c>
      <c r="G283" s="55" t="str">
        <f>Data!C282</f>
        <v>11/12/1984</v>
      </c>
      <c r="H283" s="56">
        <f>Data!H282</f>
        <v>44632</v>
      </c>
      <c r="I283" s="56" t="str">
        <f>Data!I282</f>
        <v>3/15/2022</v>
      </c>
      <c r="J283" s="57">
        <f>Data!J282</f>
        <v>133.19999999999999</v>
      </c>
      <c r="K283" s="58">
        <f t="shared" ca="1" si="4"/>
        <v>65</v>
      </c>
      <c r="L283" s="58">
        <f>Data!M282</f>
        <v>0</v>
      </c>
      <c r="M283" s="37" t="s">
        <v>26</v>
      </c>
      <c r="N283" s="43" t="str">
        <f>VLOOKUP(M283,Table1[#All],3,FALSE)</f>
        <v>Note</v>
      </c>
      <c r="O283" s="40" t="str">
        <f>VLOOKUP(M283,Table1[#All],4,FALSE)</f>
        <v>Q1</v>
      </c>
      <c r="P283" s="39"/>
      <c r="Q283" s="40" t="str">
        <f>VLOOKUP(M283,Table1[#All],5,FALSE)</f>
        <v>Q2</v>
      </c>
      <c r="R283" s="79"/>
      <c r="S283" s="40" t="str">
        <f>VLOOKUP(M283,Table1[#All],6,FALSE)</f>
        <v>Q3</v>
      </c>
      <c r="T283" s="79"/>
      <c r="U283" s="40" t="str">
        <f>VLOOKUP(M283,Table1[#All],7,FALSE)</f>
        <v>Q4</v>
      </c>
      <c r="V283" s="79"/>
      <c r="W283" s="40" t="str">
        <f>VLOOKUP(M283,Table1[#All],8,FALSE)</f>
        <v>Q5</v>
      </c>
      <c r="X283" s="79"/>
      <c r="Y283" s="44" t="str">
        <f>VLOOKUP(M283,Table1[#All],2,FALSE)</f>
        <v>Action</v>
      </c>
      <c r="Z283" s="59" t="str">
        <f>VLOOKUP(M283,Table1[#All],9,FALSE)</f>
        <v>Additional Notes:</v>
      </c>
      <c r="AA283" s="76"/>
      <c r="AB283" s="76"/>
      <c r="AC283" s="90" t="s">
        <v>91</v>
      </c>
      <c r="AD283" s="76" t="s">
        <v>91</v>
      </c>
      <c r="AE283" s="77"/>
      <c r="AF283" s="77"/>
      <c r="AG283" s="41" t="s">
        <v>91</v>
      </c>
    </row>
    <row r="284" spans="1:33" ht="21" hidden="1" x14ac:dyDescent="0.55000000000000004">
      <c r="A284" s="44" t="str">
        <f>Data!K283</f>
        <v>DPOW-CCHP</v>
      </c>
      <c r="B284" s="44" t="str">
        <f>Data!L283</f>
        <v>4143899880</v>
      </c>
      <c r="C284" s="44" t="str">
        <f>Data!D283</f>
        <v>Mueller , Abigail</v>
      </c>
      <c r="D284" s="82" t="str">
        <f>Data!F283</f>
        <v>3449842935</v>
      </c>
      <c r="E284" s="82" t="str">
        <f>Data!B283</f>
        <v>4622</v>
      </c>
      <c r="F284" s="44" t="str">
        <f>Data!A283</f>
        <v>Mueller , Abigail</v>
      </c>
      <c r="G284" s="55" t="str">
        <f>Data!C283</f>
        <v>5/8/2016</v>
      </c>
      <c r="H284" s="56">
        <f>Data!H283</f>
        <v>44624</v>
      </c>
      <c r="I284" s="56" t="str">
        <f>Data!I283</f>
        <v>3/7/2022</v>
      </c>
      <c r="J284" s="57">
        <f>Data!J283</f>
        <v>227.6</v>
      </c>
      <c r="K284" s="58">
        <f t="shared" ca="1" si="4"/>
        <v>73</v>
      </c>
      <c r="L284" s="58">
        <f>Data!M283</f>
        <v>0</v>
      </c>
      <c r="M284" s="37" t="s">
        <v>26</v>
      </c>
      <c r="N284" s="43" t="str">
        <f>VLOOKUP(M284,Table1[#All],3,FALSE)</f>
        <v>Note</v>
      </c>
      <c r="O284" s="40" t="str">
        <f>VLOOKUP(M284,Table1[#All],4,FALSE)</f>
        <v>Q1</v>
      </c>
      <c r="P284" s="39"/>
      <c r="Q284" s="40" t="str">
        <f>VLOOKUP(M284,Table1[#All],5,FALSE)</f>
        <v>Q2</v>
      </c>
      <c r="R284" s="79"/>
      <c r="S284" s="40" t="str">
        <f>VLOOKUP(M284,Table1[#All],6,FALSE)</f>
        <v>Q3</v>
      </c>
      <c r="T284" s="79"/>
      <c r="U284" s="40" t="str">
        <f>VLOOKUP(M284,Table1[#All],7,FALSE)</f>
        <v>Q4</v>
      </c>
      <c r="V284" s="79"/>
      <c r="W284" s="40" t="str">
        <f>VLOOKUP(M284,Table1[#All],8,FALSE)</f>
        <v>Q5</v>
      </c>
      <c r="X284" s="79"/>
      <c r="Y284" s="44" t="str">
        <f>VLOOKUP(M284,Table1[#All],2,FALSE)</f>
        <v>Action</v>
      </c>
      <c r="Z284" s="59" t="str">
        <f>VLOOKUP(M284,Table1[#All],9,FALSE)</f>
        <v>Additional Notes:</v>
      </c>
      <c r="AA284" s="76"/>
      <c r="AB284" s="76"/>
      <c r="AC284" s="90" t="s">
        <v>91</v>
      </c>
      <c r="AD284" s="76" t="s">
        <v>91</v>
      </c>
      <c r="AE284" s="77"/>
      <c r="AF284" s="77"/>
      <c r="AG284" s="41" t="s">
        <v>91</v>
      </c>
    </row>
    <row r="285" spans="1:33" ht="21" hidden="1" x14ac:dyDescent="0.55000000000000004">
      <c r="A285" s="44" t="str">
        <f>Data!K284</f>
        <v>DPOW-CCHP</v>
      </c>
      <c r="B285" s="44" t="str">
        <f>Data!L284</f>
        <v>4143899880</v>
      </c>
      <c r="C285" s="44" t="str">
        <f>Data!D284</f>
        <v xml:space="preserve">Mueller , Aubrey </v>
      </c>
      <c r="D285" s="82" t="str">
        <f>Data!F284</f>
        <v>1443810614</v>
      </c>
      <c r="E285" s="82" t="str">
        <f>Data!B284</f>
        <v>4621</v>
      </c>
      <c r="F285" s="44" t="str">
        <f>Data!A284</f>
        <v xml:space="preserve">Mueller , Aubrey </v>
      </c>
      <c r="G285" s="55" t="str">
        <f>Data!C284</f>
        <v>10/9/2012</v>
      </c>
      <c r="H285" s="56">
        <f>Data!H284</f>
        <v>44624</v>
      </c>
      <c r="I285" s="56" t="str">
        <f>Data!I284</f>
        <v>3/7/2022</v>
      </c>
      <c r="J285" s="57">
        <f>Data!J284</f>
        <v>227.6</v>
      </c>
      <c r="K285" s="58">
        <f t="shared" ca="1" si="4"/>
        <v>73</v>
      </c>
      <c r="L285" s="58">
        <f>Data!M284</f>
        <v>0</v>
      </c>
      <c r="M285" s="37" t="s">
        <v>26</v>
      </c>
      <c r="N285" s="43" t="str">
        <f>VLOOKUP(M285,Table1[#All],3,FALSE)</f>
        <v>Note</v>
      </c>
      <c r="O285" s="40" t="str">
        <f>VLOOKUP(M285,Table1[#All],4,FALSE)</f>
        <v>Q1</v>
      </c>
      <c r="P285" s="39"/>
      <c r="Q285" s="40" t="str">
        <f>VLOOKUP(M285,Table1[#All],5,FALSE)</f>
        <v>Q2</v>
      </c>
      <c r="R285" s="79"/>
      <c r="S285" s="40" t="str">
        <f>VLOOKUP(M285,Table1[#All],6,FALSE)</f>
        <v>Q3</v>
      </c>
      <c r="T285" s="79"/>
      <c r="U285" s="40" t="str">
        <f>VLOOKUP(M285,Table1[#All],7,FALSE)</f>
        <v>Q4</v>
      </c>
      <c r="V285" s="79"/>
      <c r="W285" s="40" t="str">
        <f>VLOOKUP(M285,Table1[#All],8,FALSE)</f>
        <v>Q5</v>
      </c>
      <c r="X285" s="79"/>
      <c r="Y285" s="44" t="str">
        <f>VLOOKUP(M285,Table1[#All],2,FALSE)</f>
        <v>Action</v>
      </c>
      <c r="Z285" s="59" t="str">
        <f>VLOOKUP(M285,Table1[#All],9,FALSE)</f>
        <v>Additional Notes:</v>
      </c>
      <c r="AA285" s="76"/>
      <c r="AB285" s="76"/>
      <c r="AC285" s="90" t="s">
        <v>91</v>
      </c>
      <c r="AD285" s="76" t="s">
        <v>91</v>
      </c>
      <c r="AE285" s="77"/>
      <c r="AF285" s="77"/>
      <c r="AG285" s="41" t="s">
        <v>91</v>
      </c>
    </row>
    <row r="286" spans="1:33" ht="21" hidden="1" x14ac:dyDescent="0.55000000000000004">
      <c r="A286" s="44" t="str">
        <f>Data!K285</f>
        <v>DPOW-CCHP</v>
      </c>
      <c r="B286" s="44" t="str">
        <f>Data!L285</f>
        <v>4143899880</v>
      </c>
      <c r="C286" s="44" t="str">
        <f>Data!D285</f>
        <v xml:space="preserve">Duldulao , Amy </v>
      </c>
      <c r="D286" s="82" t="str">
        <f>Data!F285</f>
        <v>4423120143</v>
      </c>
      <c r="E286" s="82" t="str">
        <f>Data!B285</f>
        <v>3227</v>
      </c>
      <c r="F286" s="44" t="str">
        <f>Data!A285</f>
        <v xml:space="preserve">Duldulao , Amy </v>
      </c>
      <c r="G286" s="55" t="str">
        <f>Data!C285</f>
        <v>1/11/1970</v>
      </c>
      <c r="H286" s="56">
        <f>Data!H285</f>
        <v>44621</v>
      </c>
      <c r="I286" s="56" t="str">
        <f>Data!I285</f>
        <v>3/2/2022</v>
      </c>
      <c r="J286" s="57">
        <f>Data!J285</f>
        <v>61.2</v>
      </c>
      <c r="K286" s="58">
        <f t="shared" ca="1" si="4"/>
        <v>78</v>
      </c>
      <c r="L286" s="58">
        <f>Data!M285</f>
        <v>0</v>
      </c>
      <c r="M286" s="37" t="s">
        <v>26</v>
      </c>
      <c r="N286" s="43" t="str">
        <f>VLOOKUP(M286,Table1[#All],3,FALSE)</f>
        <v>Note</v>
      </c>
      <c r="O286" s="40" t="str">
        <f>VLOOKUP(M286,Table1[#All],4,FALSE)</f>
        <v>Q1</v>
      </c>
      <c r="P286" s="39"/>
      <c r="Q286" s="40" t="str">
        <f>VLOOKUP(M286,Table1[#All],5,FALSE)</f>
        <v>Q2</v>
      </c>
      <c r="R286" s="79"/>
      <c r="S286" s="40" t="str">
        <f>VLOOKUP(M286,Table1[#All],6,FALSE)</f>
        <v>Q3</v>
      </c>
      <c r="T286" s="79"/>
      <c r="U286" s="40" t="str">
        <f>VLOOKUP(M286,Table1[#All],7,FALSE)</f>
        <v>Q4</v>
      </c>
      <c r="V286" s="79"/>
      <c r="W286" s="40" t="str">
        <f>VLOOKUP(M286,Table1[#All],8,FALSE)</f>
        <v>Q5</v>
      </c>
      <c r="X286" s="79"/>
      <c r="Y286" s="44" t="str">
        <f>VLOOKUP(M286,Table1[#All],2,FALSE)</f>
        <v>Action</v>
      </c>
      <c r="Z286" s="59" t="str">
        <f>VLOOKUP(M286,Table1[#All],9,FALSE)</f>
        <v>Additional Notes:</v>
      </c>
      <c r="AA286" s="76"/>
      <c r="AB286" s="76"/>
      <c r="AC286" s="90" t="s">
        <v>91</v>
      </c>
      <c r="AD286" s="76" t="s">
        <v>91</v>
      </c>
      <c r="AE286" s="77"/>
      <c r="AF286" s="77"/>
      <c r="AG286" s="41" t="s">
        <v>91</v>
      </c>
    </row>
    <row r="287" spans="1:33" ht="21" hidden="1" x14ac:dyDescent="0.55000000000000004">
      <c r="A287" s="44" t="str">
        <f>Data!K286</f>
        <v>DPOW-CCHP</v>
      </c>
      <c r="B287" s="44" t="str">
        <f>Data!L286</f>
        <v>4143899880</v>
      </c>
      <c r="C287" s="44" t="str">
        <f>Data!D286</f>
        <v xml:space="preserve">Malik, Adeel </v>
      </c>
      <c r="D287" s="82" t="str">
        <f>Data!F286</f>
        <v>7439176472</v>
      </c>
      <c r="E287" s="82" t="str">
        <f>Data!B286</f>
        <v>7855</v>
      </c>
      <c r="F287" s="44" t="str">
        <f>Data!A286</f>
        <v xml:space="preserve">Malik, Adeel </v>
      </c>
      <c r="G287" s="55" t="str">
        <f>Data!C286</f>
        <v>5/17/1979</v>
      </c>
      <c r="H287" s="56">
        <f>Data!H286</f>
        <v>44440</v>
      </c>
      <c r="I287" s="56" t="str">
        <f>Data!I286</f>
        <v>3/11/2022</v>
      </c>
      <c r="J287" s="57">
        <f>Data!J286</f>
        <v>378</v>
      </c>
      <c r="K287" s="58">
        <f t="shared" ca="1" si="4"/>
        <v>69</v>
      </c>
      <c r="L287" s="58">
        <f>Data!M286</f>
        <v>0</v>
      </c>
      <c r="M287" s="37" t="s">
        <v>26</v>
      </c>
      <c r="N287" s="43" t="str">
        <f>VLOOKUP(M287,Table1[#All],3,FALSE)</f>
        <v>Note</v>
      </c>
      <c r="O287" s="40" t="str">
        <f>VLOOKUP(M287,Table1[#All],4,FALSE)</f>
        <v>Q1</v>
      </c>
      <c r="P287" s="39"/>
      <c r="Q287" s="40" t="str">
        <f>VLOOKUP(M287,Table1[#All],5,FALSE)</f>
        <v>Q2</v>
      </c>
      <c r="R287" s="79"/>
      <c r="S287" s="40" t="str">
        <f>VLOOKUP(M287,Table1[#All],6,FALSE)</f>
        <v>Q3</v>
      </c>
      <c r="T287" s="79"/>
      <c r="U287" s="40" t="str">
        <f>VLOOKUP(M287,Table1[#All],7,FALSE)</f>
        <v>Q4</v>
      </c>
      <c r="V287" s="79"/>
      <c r="W287" s="40" t="str">
        <f>VLOOKUP(M287,Table1[#All],8,FALSE)</f>
        <v>Q5</v>
      </c>
      <c r="X287" s="79"/>
      <c r="Y287" s="44" t="str">
        <f>VLOOKUP(M287,Table1[#All],2,FALSE)</f>
        <v>Action</v>
      </c>
      <c r="Z287" s="59" t="str">
        <f>VLOOKUP(M287,Table1[#All],9,FALSE)</f>
        <v>Additional Notes:</v>
      </c>
      <c r="AA287" s="76"/>
      <c r="AB287" s="76"/>
      <c r="AC287" s="90" t="s">
        <v>91</v>
      </c>
      <c r="AD287" s="76" t="s">
        <v>91</v>
      </c>
      <c r="AE287" s="77"/>
      <c r="AF287" s="77"/>
      <c r="AG287" s="41" t="s">
        <v>91</v>
      </c>
    </row>
    <row r="288" spans="1:33" ht="21" hidden="1" x14ac:dyDescent="0.55000000000000004">
      <c r="A288" s="44" t="str">
        <f>Data!K287</f>
        <v>DPOW-CCHP</v>
      </c>
      <c r="B288" s="44" t="str">
        <f>Data!L287</f>
        <v>4143899880</v>
      </c>
      <c r="C288" s="44" t="str">
        <f>Data!D287</f>
        <v>Kaur Jr, Sandeep</v>
      </c>
      <c r="D288" s="82" t="str">
        <f>Data!F287</f>
        <v>0448978202</v>
      </c>
      <c r="E288" s="82" t="str">
        <f>Data!B287</f>
        <v>7306</v>
      </c>
      <c r="F288" s="44" t="str">
        <f>Data!A287</f>
        <v>Kaur Jr, Sandeep</v>
      </c>
      <c r="G288" s="55" t="str">
        <f>Data!C287</f>
        <v>8/6/2009</v>
      </c>
      <c r="H288" s="56">
        <f>Data!H287</f>
        <v>44604</v>
      </c>
      <c r="I288" s="56" t="str">
        <f>Data!I287</f>
        <v>2/23/2022</v>
      </c>
      <c r="J288" s="57">
        <f>Data!J287</f>
        <v>80.400000000000006</v>
      </c>
      <c r="K288" s="58">
        <f t="shared" ca="1" si="4"/>
        <v>85</v>
      </c>
      <c r="L288" s="58">
        <f>Data!M287</f>
        <v>0</v>
      </c>
      <c r="M288" s="37" t="s">
        <v>26</v>
      </c>
      <c r="N288" s="43" t="str">
        <f>VLOOKUP(M288,Table1[#All],3,FALSE)</f>
        <v>Note</v>
      </c>
      <c r="O288" s="40" t="str">
        <f>VLOOKUP(M288,Table1[#All],4,FALSE)</f>
        <v>Q1</v>
      </c>
      <c r="P288" s="39"/>
      <c r="Q288" s="40" t="str">
        <f>VLOOKUP(M288,Table1[#All],5,FALSE)</f>
        <v>Q2</v>
      </c>
      <c r="R288" s="79"/>
      <c r="S288" s="40" t="str">
        <f>VLOOKUP(M288,Table1[#All],6,FALSE)</f>
        <v>Q3</v>
      </c>
      <c r="T288" s="79"/>
      <c r="U288" s="40" t="str">
        <f>VLOOKUP(M288,Table1[#All],7,FALSE)</f>
        <v>Q4</v>
      </c>
      <c r="V288" s="79"/>
      <c r="W288" s="40" t="str">
        <f>VLOOKUP(M288,Table1[#All],8,FALSE)</f>
        <v>Q5</v>
      </c>
      <c r="X288" s="79"/>
      <c r="Y288" s="44" t="str">
        <f>VLOOKUP(M288,Table1[#All],2,FALSE)</f>
        <v>Action</v>
      </c>
      <c r="Z288" s="59" t="str">
        <f>VLOOKUP(M288,Table1[#All],9,FALSE)</f>
        <v>Additional Notes:</v>
      </c>
      <c r="AA288" s="76"/>
      <c r="AB288" s="76"/>
      <c r="AC288" s="90" t="s">
        <v>91</v>
      </c>
      <c r="AD288" s="76" t="s">
        <v>91</v>
      </c>
      <c r="AE288" s="77"/>
      <c r="AF288" s="77"/>
      <c r="AG288" s="41" t="s">
        <v>91</v>
      </c>
    </row>
    <row r="289" spans="1:33" ht="21" hidden="1" x14ac:dyDescent="0.55000000000000004">
      <c r="A289" s="44" t="str">
        <f>Data!K288</f>
        <v>DPOW-CCHP</v>
      </c>
      <c r="B289" s="44" t="str">
        <f>Data!L288</f>
        <v>4143899880</v>
      </c>
      <c r="C289" s="44" t="str">
        <f>Data!D288</f>
        <v xml:space="preserve">Carey, Stephanie </v>
      </c>
      <c r="D289" s="82" t="str">
        <f>Data!F288</f>
        <v>1421500311</v>
      </c>
      <c r="E289" s="82" t="str">
        <f>Data!B288</f>
        <v>6902</v>
      </c>
      <c r="F289" s="44" t="str">
        <f>Data!A288</f>
        <v xml:space="preserve">Carey, Stephanie </v>
      </c>
      <c r="G289" s="55" t="str">
        <f>Data!C288</f>
        <v>11/30/1982</v>
      </c>
      <c r="H289" s="56">
        <f>Data!H288</f>
        <v>44603</v>
      </c>
      <c r="I289" s="56" t="str">
        <f>Data!I288</f>
        <v>2/23/2022</v>
      </c>
      <c r="J289" s="57">
        <f>Data!J288</f>
        <v>61.2</v>
      </c>
      <c r="K289" s="58">
        <f t="shared" ca="1" si="4"/>
        <v>85</v>
      </c>
      <c r="L289" s="58">
        <f>Data!M288</f>
        <v>0</v>
      </c>
      <c r="M289" s="37" t="s">
        <v>26</v>
      </c>
      <c r="N289" s="43" t="str">
        <f>VLOOKUP(M289,Table1[#All],3,FALSE)</f>
        <v>Note</v>
      </c>
      <c r="O289" s="40" t="str">
        <f>VLOOKUP(M289,Table1[#All],4,FALSE)</f>
        <v>Q1</v>
      </c>
      <c r="P289" s="39"/>
      <c r="Q289" s="40" t="str">
        <f>VLOOKUP(M289,Table1[#All],5,FALSE)</f>
        <v>Q2</v>
      </c>
      <c r="R289" s="79"/>
      <c r="S289" s="40" t="str">
        <f>VLOOKUP(M289,Table1[#All],6,FALSE)</f>
        <v>Q3</v>
      </c>
      <c r="T289" s="79"/>
      <c r="U289" s="40" t="str">
        <f>VLOOKUP(M289,Table1[#All],7,FALSE)</f>
        <v>Q4</v>
      </c>
      <c r="V289" s="79"/>
      <c r="W289" s="40" t="str">
        <f>VLOOKUP(M289,Table1[#All],8,FALSE)</f>
        <v>Q5</v>
      </c>
      <c r="X289" s="79"/>
      <c r="Y289" s="44" t="str">
        <f>VLOOKUP(M289,Table1[#All],2,FALSE)</f>
        <v>Action</v>
      </c>
      <c r="Z289" s="59" t="str">
        <f>VLOOKUP(M289,Table1[#All],9,FALSE)</f>
        <v>Additional Notes:</v>
      </c>
      <c r="AA289" s="76"/>
      <c r="AB289" s="76"/>
      <c r="AC289" s="90" t="s">
        <v>91</v>
      </c>
      <c r="AD289" s="76" t="s">
        <v>91</v>
      </c>
      <c r="AE289" s="77"/>
      <c r="AF289" s="77"/>
      <c r="AG289" s="41" t="s">
        <v>91</v>
      </c>
    </row>
    <row r="290" spans="1:33" ht="21" hidden="1" x14ac:dyDescent="0.55000000000000004">
      <c r="A290" s="44" t="str">
        <f>Data!K289</f>
        <v>DPOW-CCHP</v>
      </c>
      <c r="B290" s="44" t="str">
        <f>Data!L289</f>
        <v>4143899880</v>
      </c>
      <c r="C290" s="44" t="str">
        <f>Data!D289</f>
        <v>Zettelmeier, Justin</v>
      </c>
      <c r="D290" s="82" t="str">
        <f>Data!F289</f>
        <v>8430379584</v>
      </c>
      <c r="E290" s="82" t="str">
        <f>Data!B289</f>
        <v>4131</v>
      </c>
      <c r="F290" s="44" t="str">
        <f>Data!A289</f>
        <v>Zettelmeier, Justin</v>
      </c>
      <c r="G290" s="55" t="str">
        <f>Data!C289</f>
        <v>5/3/2008</v>
      </c>
      <c r="H290" s="56">
        <f>Data!H289</f>
        <v>44608</v>
      </c>
      <c r="I290" s="56" t="str">
        <f>Data!I289</f>
        <v>2/23/2022</v>
      </c>
      <c r="J290" s="57">
        <f>Data!J289</f>
        <v>27.6</v>
      </c>
      <c r="K290" s="58">
        <f t="shared" ca="1" si="4"/>
        <v>85</v>
      </c>
      <c r="L290" s="58">
        <f>Data!M289</f>
        <v>0</v>
      </c>
      <c r="M290" s="37" t="s">
        <v>26</v>
      </c>
      <c r="N290" s="43" t="str">
        <f>VLOOKUP(M290,Table1[#All],3,FALSE)</f>
        <v>Note</v>
      </c>
      <c r="O290" s="40" t="str">
        <f>VLOOKUP(M290,Table1[#All],4,FALSE)</f>
        <v>Q1</v>
      </c>
      <c r="P290" s="39"/>
      <c r="Q290" s="40" t="str">
        <f>VLOOKUP(M290,Table1[#All],5,FALSE)</f>
        <v>Q2</v>
      </c>
      <c r="R290" s="79"/>
      <c r="S290" s="40" t="str">
        <f>VLOOKUP(M290,Table1[#All],6,FALSE)</f>
        <v>Q3</v>
      </c>
      <c r="T290" s="79"/>
      <c r="U290" s="40" t="str">
        <f>VLOOKUP(M290,Table1[#All],7,FALSE)</f>
        <v>Q4</v>
      </c>
      <c r="V290" s="79"/>
      <c r="W290" s="40" t="str">
        <f>VLOOKUP(M290,Table1[#All],8,FALSE)</f>
        <v>Q5</v>
      </c>
      <c r="X290" s="79"/>
      <c r="Y290" s="44" t="str">
        <f>VLOOKUP(M290,Table1[#All],2,FALSE)</f>
        <v>Action</v>
      </c>
      <c r="Z290" s="59" t="str">
        <f>VLOOKUP(M290,Table1[#All],9,FALSE)</f>
        <v>Additional Notes:</v>
      </c>
      <c r="AA290" s="76"/>
      <c r="AB290" s="76"/>
      <c r="AC290" s="90" t="s">
        <v>91</v>
      </c>
      <c r="AD290" s="76" t="s">
        <v>91</v>
      </c>
      <c r="AE290" s="77"/>
      <c r="AF290" s="77"/>
      <c r="AG290" s="41" t="s">
        <v>91</v>
      </c>
    </row>
    <row r="291" spans="1:33" ht="21" hidden="1" x14ac:dyDescent="0.55000000000000004">
      <c r="A291" s="44" t="str">
        <f>Data!K290</f>
        <v>DPOW-CCHP</v>
      </c>
      <c r="B291" s="44" t="str">
        <f>Data!L290</f>
        <v>4143899880</v>
      </c>
      <c r="C291" s="44" t="str">
        <f>Data!D290</f>
        <v>Hoffmann, Shawn</v>
      </c>
      <c r="D291" s="82" t="str">
        <f>Data!F290</f>
        <v>7430235077</v>
      </c>
      <c r="E291" s="82" t="str">
        <f>Data!B290</f>
        <v>6019</v>
      </c>
      <c r="F291" s="44" t="str">
        <f>Data!A290</f>
        <v>Hoffmann, Shawn</v>
      </c>
      <c r="G291" s="55" t="str">
        <f>Data!C290</f>
        <v>4/4/2008</v>
      </c>
      <c r="H291" s="56">
        <f>Data!H290</f>
        <v>44585</v>
      </c>
      <c r="I291" s="56" t="str">
        <f>Data!I290</f>
        <v>2/23/2022</v>
      </c>
      <c r="J291" s="57">
        <f>Data!J290</f>
        <v>58.8</v>
      </c>
      <c r="K291" s="58">
        <f t="shared" ca="1" si="4"/>
        <v>85</v>
      </c>
      <c r="L291" s="58">
        <f>Data!M290</f>
        <v>0</v>
      </c>
      <c r="M291" s="37" t="s">
        <v>26</v>
      </c>
      <c r="N291" s="43" t="str">
        <f>VLOOKUP(M291,Table1[#All],3,FALSE)</f>
        <v>Note</v>
      </c>
      <c r="O291" s="40" t="str">
        <f>VLOOKUP(M291,Table1[#All],4,FALSE)</f>
        <v>Q1</v>
      </c>
      <c r="P291" s="39"/>
      <c r="Q291" s="40" t="str">
        <f>VLOOKUP(M291,Table1[#All],5,FALSE)</f>
        <v>Q2</v>
      </c>
      <c r="R291" s="79"/>
      <c r="S291" s="40" t="str">
        <f>VLOOKUP(M291,Table1[#All],6,FALSE)</f>
        <v>Q3</v>
      </c>
      <c r="T291" s="79"/>
      <c r="U291" s="40" t="str">
        <f>VLOOKUP(M291,Table1[#All],7,FALSE)</f>
        <v>Q4</v>
      </c>
      <c r="V291" s="79"/>
      <c r="W291" s="40" t="str">
        <f>VLOOKUP(M291,Table1[#All],8,FALSE)</f>
        <v>Q5</v>
      </c>
      <c r="X291" s="79"/>
      <c r="Y291" s="44" t="str">
        <f>VLOOKUP(M291,Table1[#All],2,FALSE)</f>
        <v>Action</v>
      </c>
      <c r="Z291" s="59" t="str">
        <f>VLOOKUP(M291,Table1[#All],9,FALSE)</f>
        <v>Additional Notes:</v>
      </c>
      <c r="AA291" s="76"/>
      <c r="AB291" s="76"/>
      <c r="AC291" s="90" t="s">
        <v>91</v>
      </c>
      <c r="AD291" s="76" t="s">
        <v>91</v>
      </c>
      <c r="AE291" s="77"/>
      <c r="AF291" s="77"/>
      <c r="AG291" s="41" t="s">
        <v>91</v>
      </c>
    </row>
    <row r="292" spans="1:33" ht="21" hidden="1" x14ac:dyDescent="0.55000000000000004">
      <c r="A292" s="44" t="str">
        <f>Data!K291</f>
        <v>DPOW-CCHP</v>
      </c>
      <c r="B292" s="44" t="str">
        <f>Data!L291</f>
        <v>4143899880</v>
      </c>
      <c r="C292" s="44" t="str">
        <f>Data!D291</f>
        <v>Rodriguez Herre, Isabela</v>
      </c>
      <c r="D292" s="82" t="str">
        <f>Data!F291</f>
        <v>3435892536</v>
      </c>
      <c r="E292" s="82" t="str">
        <f>Data!B291</f>
        <v>4383</v>
      </c>
      <c r="F292" s="44" t="str">
        <f>Data!A291</f>
        <v>Rodriguez Herre, Isabela</v>
      </c>
      <c r="G292" s="55" t="str">
        <f>Data!C291</f>
        <v>4/2/2009</v>
      </c>
      <c r="H292" s="56">
        <f>Data!H291</f>
        <v>44583</v>
      </c>
      <c r="I292" s="56" t="str">
        <f>Data!I291</f>
        <v>2/23/2022</v>
      </c>
      <c r="J292" s="57">
        <f>Data!J291</f>
        <v>80.400000000000006</v>
      </c>
      <c r="K292" s="58">
        <f t="shared" ca="1" si="4"/>
        <v>85</v>
      </c>
      <c r="L292" s="58">
        <f>Data!M291</f>
        <v>0</v>
      </c>
      <c r="M292" s="37" t="s">
        <v>26</v>
      </c>
      <c r="N292" s="43" t="str">
        <f>VLOOKUP(M292,Table1[#All],3,FALSE)</f>
        <v>Note</v>
      </c>
      <c r="O292" s="40" t="str">
        <f>VLOOKUP(M292,Table1[#All],4,FALSE)</f>
        <v>Q1</v>
      </c>
      <c r="P292" s="39"/>
      <c r="Q292" s="40" t="str">
        <f>VLOOKUP(M292,Table1[#All],5,FALSE)</f>
        <v>Q2</v>
      </c>
      <c r="R292" s="79"/>
      <c r="S292" s="40" t="str">
        <f>VLOOKUP(M292,Table1[#All],6,FALSE)</f>
        <v>Q3</v>
      </c>
      <c r="T292" s="79"/>
      <c r="U292" s="40" t="str">
        <f>VLOOKUP(M292,Table1[#All],7,FALSE)</f>
        <v>Q4</v>
      </c>
      <c r="V292" s="79"/>
      <c r="W292" s="40" t="str">
        <f>VLOOKUP(M292,Table1[#All],8,FALSE)</f>
        <v>Q5</v>
      </c>
      <c r="X292" s="79"/>
      <c r="Y292" s="44" t="str">
        <f>VLOOKUP(M292,Table1[#All],2,FALSE)</f>
        <v>Action</v>
      </c>
      <c r="Z292" s="59" t="str">
        <f>VLOOKUP(M292,Table1[#All],9,FALSE)</f>
        <v>Additional Notes:</v>
      </c>
      <c r="AA292" s="76"/>
      <c r="AB292" s="76"/>
      <c r="AC292" s="90" t="s">
        <v>91</v>
      </c>
      <c r="AD292" s="76" t="s">
        <v>91</v>
      </c>
      <c r="AE292" s="77"/>
      <c r="AF292" s="77"/>
      <c r="AG292" s="41" t="s">
        <v>91</v>
      </c>
    </row>
    <row r="293" spans="1:33" ht="21" hidden="1" x14ac:dyDescent="0.55000000000000004">
      <c r="A293" s="44" t="str">
        <f>Data!K292</f>
        <v>DPOW-CCHP</v>
      </c>
      <c r="B293" s="44" t="str">
        <f>Data!L292</f>
        <v>4143899880</v>
      </c>
      <c r="C293" s="44" t="str">
        <f>Data!D292</f>
        <v>Anderson, Audrey</v>
      </c>
      <c r="D293" s="82" t="str">
        <f>Data!F292</f>
        <v>5402763852</v>
      </c>
      <c r="E293" s="82" t="str">
        <f>Data!B292</f>
        <v>8442</v>
      </c>
      <c r="F293" s="44" t="str">
        <f>Data!A292</f>
        <v>Anderson, Audrey</v>
      </c>
      <c r="G293" s="55" t="str">
        <f>Data!C292</f>
        <v>5/2/1974</v>
      </c>
      <c r="H293" s="56">
        <f>Data!H292</f>
        <v>44610</v>
      </c>
      <c r="I293" s="56" t="str">
        <f>Data!I292</f>
        <v>3/25/2022</v>
      </c>
      <c r="J293" s="57">
        <f>Data!J292</f>
        <v>82.8</v>
      </c>
      <c r="K293" s="58">
        <f t="shared" ca="1" si="4"/>
        <v>55</v>
      </c>
      <c r="L293" s="58">
        <f>Data!M292</f>
        <v>0</v>
      </c>
      <c r="M293" s="37" t="s">
        <v>26</v>
      </c>
      <c r="N293" s="43" t="str">
        <f>VLOOKUP(M293,Table1[#All],3,FALSE)</f>
        <v>Note</v>
      </c>
      <c r="O293" s="40" t="str">
        <f>VLOOKUP(M293,Table1[#All],4,FALSE)</f>
        <v>Q1</v>
      </c>
      <c r="P293" s="39"/>
      <c r="Q293" s="40" t="str">
        <f>VLOOKUP(M293,Table1[#All],5,FALSE)</f>
        <v>Q2</v>
      </c>
      <c r="R293" s="79"/>
      <c r="S293" s="40" t="str">
        <f>VLOOKUP(M293,Table1[#All],6,FALSE)</f>
        <v>Q3</v>
      </c>
      <c r="T293" s="79"/>
      <c r="U293" s="40" t="str">
        <f>VLOOKUP(M293,Table1[#All],7,FALSE)</f>
        <v>Q4</v>
      </c>
      <c r="V293" s="79"/>
      <c r="W293" s="40" t="str">
        <f>VLOOKUP(M293,Table1[#All],8,FALSE)</f>
        <v>Q5</v>
      </c>
      <c r="X293" s="79"/>
      <c r="Y293" s="44" t="str">
        <f>VLOOKUP(M293,Table1[#All],2,FALSE)</f>
        <v>Action</v>
      </c>
      <c r="Z293" s="59" t="str">
        <f>VLOOKUP(M293,Table1[#All],9,FALSE)</f>
        <v>Additional Notes:</v>
      </c>
      <c r="AA293" s="76"/>
      <c r="AB293" s="76"/>
      <c r="AC293" s="90" t="s">
        <v>91</v>
      </c>
      <c r="AD293" s="76" t="s">
        <v>91</v>
      </c>
      <c r="AE293" s="77"/>
      <c r="AF293" s="77"/>
      <c r="AG293" s="41" t="s">
        <v>91</v>
      </c>
    </row>
    <row r="294" spans="1:33" ht="21" hidden="1" x14ac:dyDescent="0.55000000000000004">
      <c r="A294" s="44" t="str">
        <f>Data!K293</f>
        <v>DPOW-CCHP</v>
      </c>
      <c r="B294" s="44" t="str">
        <f>Data!L293</f>
        <v>4143899880</v>
      </c>
      <c r="C294" s="44" t="str">
        <f>Data!D293</f>
        <v xml:space="preserve">Mcgowan, Refoncia </v>
      </c>
      <c r="D294" s="82" t="str">
        <f>Data!F293</f>
        <v>0423477005</v>
      </c>
      <c r="E294" s="82" t="str">
        <f>Data!B293</f>
        <v>8439</v>
      </c>
      <c r="F294" s="44" t="str">
        <f>Data!A293</f>
        <v xml:space="preserve">Mcgowan, Refoncia </v>
      </c>
      <c r="G294" s="55" t="str">
        <f>Data!C293</f>
        <v>1/24/2005</v>
      </c>
      <c r="H294" s="56">
        <f>Data!H293</f>
        <v>44536</v>
      </c>
      <c r="I294" s="56" t="str">
        <f>Data!I293</f>
        <v>2/22/2022</v>
      </c>
      <c r="J294" s="57">
        <f>Data!J293</f>
        <v>408.8</v>
      </c>
      <c r="K294" s="58">
        <f t="shared" ca="1" si="4"/>
        <v>86</v>
      </c>
      <c r="L294" s="58">
        <f>Data!M293</f>
        <v>0</v>
      </c>
      <c r="M294" s="37" t="s">
        <v>26</v>
      </c>
      <c r="N294" s="43" t="str">
        <f>VLOOKUP(M294,Table1[#All],3,FALSE)</f>
        <v>Note</v>
      </c>
      <c r="O294" s="40" t="str">
        <f>VLOOKUP(M294,Table1[#All],4,FALSE)</f>
        <v>Q1</v>
      </c>
      <c r="P294" s="39"/>
      <c r="Q294" s="40" t="str">
        <f>VLOOKUP(M294,Table1[#All],5,FALSE)</f>
        <v>Q2</v>
      </c>
      <c r="R294" s="79"/>
      <c r="S294" s="40" t="str">
        <f>VLOOKUP(M294,Table1[#All],6,FALSE)</f>
        <v>Q3</v>
      </c>
      <c r="T294" s="79"/>
      <c r="U294" s="40" t="str">
        <f>VLOOKUP(M294,Table1[#All],7,FALSE)</f>
        <v>Q4</v>
      </c>
      <c r="V294" s="79"/>
      <c r="W294" s="40" t="str">
        <f>VLOOKUP(M294,Table1[#All],8,FALSE)</f>
        <v>Q5</v>
      </c>
      <c r="X294" s="79"/>
      <c r="Y294" s="44" t="str">
        <f>VLOOKUP(M294,Table1[#All],2,FALSE)</f>
        <v>Action</v>
      </c>
      <c r="Z294" s="59" t="str">
        <f>VLOOKUP(M294,Table1[#All],9,FALSE)</f>
        <v>Additional Notes:</v>
      </c>
      <c r="AA294" s="76"/>
      <c r="AB294" s="76"/>
      <c r="AC294" s="90" t="s">
        <v>91</v>
      </c>
      <c r="AD294" s="76" t="s">
        <v>91</v>
      </c>
      <c r="AE294" s="77"/>
      <c r="AF294" s="77"/>
      <c r="AG294" s="41" t="s">
        <v>91</v>
      </c>
    </row>
    <row r="295" spans="1:33" ht="21" hidden="1" x14ac:dyDescent="0.55000000000000004">
      <c r="A295" s="44" t="str">
        <f>Data!K294</f>
        <v>DPOW-CCHP</v>
      </c>
      <c r="B295" s="44" t="str">
        <f>Data!L294</f>
        <v>4143899880</v>
      </c>
      <c r="C295" s="44" t="str">
        <f>Data!D294</f>
        <v>Cosme, Joseline</v>
      </c>
      <c r="D295" s="82" t="str">
        <f>Data!F294</f>
        <v>0408290307</v>
      </c>
      <c r="E295" s="82" t="str">
        <f>Data!B294</f>
        <v>4682</v>
      </c>
      <c r="F295" s="44" t="str">
        <f>Data!A294</f>
        <v>Cosme, Joseline</v>
      </c>
      <c r="G295" s="55" t="str">
        <f>Data!C294</f>
        <v>10/15/1998</v>
      </c>
      <c r="H295" s="56">
        <f>Data!H294</f>
        <v>44533</v>
      </c>
      <c r="I295" s="56" t="str">
        <f>Data!I294</f>
        <v>2/16/2022</v>
      </c>
      <c r="J295" s="57">
        <f>Data!J294</f>
        <v>80.400000000000006</v>
      </c>
      <c r="K295" s="58">
        <f t="shared" ca="1" si="4"/>
        <v>92</v>
      </c>
      <c r="L295" s="58">
        <f>Data!M294</f>
        <v>0</v>
      </c>
      <c r="M295" s="37" t="s">
        <v>26</v>
      </c>
      <c r="N295" s="43" t="str">
        <f>VLOOKUP(M295,Table1[#All],3,FALSE)</f>
        <v>Note</v>
      </c>
      <c r="O295" s="40" t="str">
        <f>VLOOKUP(M295,Table1[#All],4,FALSE)</f>
        <v>Q1</v>
      </c>
      <c r="P295" s="39"/>
      <c r="Q295" s="40" t="str">
        <f>VLOOKUP(M295,Table1[#All],5,FALSE)</f>
        <v>Q2</v>
      </c>
      <c r="R295" s="79"/>
      <c r="S295" s="40" t="str">
        <f>VLOOKUP(M295,Table1[#All],6,FALSE)</f>
        <v>Q3</v>
      </c>
      <c r="T295" s="79"/>
      <c r="U295" s="40" t="str">
        <f>VLOOKUP(M295,Table1[#All],7,FALSE)</f>
        <v>Q4</v>
      </c>
      <c r="V295" s="79"/>
      <c r="W295" s="40" t="str">
        <f>VLOOKUP(M295,Table1[#All],8,FALSE)</f>
        <v>Q5</v>
      </c>
      <c r="X295" s="79"/>
      <c r="Y295" s="44" t="str">
        <f>VLOOKUP(M295,Table1[#All],2,FALSE)</f>
        <v>Action</v>
      </c>
      <c r="Z295" s="59" t="str">
        <f>VLOOKUP(M295,Table1[#All],9,FALSE)</f>
        <v>Additional Notes:</v>
      </c>
      <c r="AA295" s="76"/>
      <c r="AB295" s="76"/>
      <c r="AC295" s="90" t="s">
        <v>91</v>
      </c>
      <c r="AD295" s="76" t="s">
        <v>91</v>
      </c>
      <c r="AE295" s="77"/>
      <c r="AF295" s="77"/>
      <c r="AG295" s="41" t="s">
        <v>91</v>
      </c>
    </row>
    <row r="296" spans="1:33" ht="21" hidden="1" x14ac:dyDescent="0.55000000000000004">
      <c r="A296" s="44" t="str">
        <f>Data!K295</f>
        <v>DPOW-CCHP</v>
      </c>
      <c r="B296" s="44" t="str">
        <f>Data!L295</f>
        <v>4143899880</v>
      </c>
      <c r="C296" s="44" t="str">
        <f>Data!D295</f>
        <v>Coleman , Cedric</v>
      </c>
      <c r="D296" s="82" t="str">
        <f>Data!F295</f>
        <v>7430653871</v>
      </c>
      <c r="E296" s="82" t="str">
        <f>Data!B295</f>
        <v>8973</v>
      </c>
      <c r="F296" s="44" t="str">
        <f>Data!A295</f>
        <v>Coleman , Cedric</v>
      </c>
      <c r="G296" s="55" t="str">
        <f>Data!C295</f>
        <v>6/20/1962</v>
      </c>
      <c r="H296" s="56">
        <f>Data!H295</f>
        <v>44603</v>
      </c>
      <c r="I296" s="56" t="str">
        <f>Data!I295</f>
        <v>2/25/2022</v>
      </c>
      <c r="J296" s="57">
        <f>Data!J295</f>
        <v>82.8</v>
      </c>
      <c r="K296" s="58">
        <f t="shared" ca="1" si="4"/>
        <v>83</v>
      </c>
      <c r="L296" s="58">
        <f>Data!M295</f>
        <v>0</v>
      </c>
      <c r="M296" s="37" t="s">
        <v>26</v>
      </c>
      <c r="N296" s="43" t="str">
        <f>VLOOKUP(M296,Table1[#All],3,FALSE)</f>
        <v>Note</v>
      </c>
      <c r="O296" s="40" t="str">
        <f>VLOOKUP(M296,Table1[#All],4,FALSE)</f>
        <v>Q1</v>
      </c>
      <c r="P296" s="39"/>
      <c r="Q296" s="40" t="str">
        <f>VLOOKUP(M296,Table1[#All],5,FALSE)</f>
        <v>Q2</v>
      </c>
      <c r="R296" s="79"/>
      <c r="S296" s="40" t="str">
        <f>VLOOKUP(M296,Table1[#All],6,FALSE)</f>
        <v>Q3</v>
      </c>
      <c r="T296" s="79"/>
      <c r="U296" s="40" t="str">
        <f>VLOOKUP(M296,Table1[#All],7,FALSE)</f>
        <v>Q4</v>
      </c>
      <c r="V296" s="79"/>
      <c r="W296" s="40" t="str">
        <f>VLOOKUP(M296,Table1[#All],8,FALSE)</f>
        <v>Q5</v>
      </c>
      <c r="X296" s="79"/>
      <c r="Y296" s="44" t="str">
        <f>VLOOKUP(M296,Table1[#All],2,FALSE)</f>
        <v>Action</v>
      </c>
      <c r="Z296" s="59" t="str">
        <f>VLOOKUP(M296,Table1[#All],9,FALSE)</f>
        <v>Additional Notes:</v>
      </c>
      <c r="AA296" s="76"/>
      <c r="AB296" s="76"/>
      <c r="AC296" s="90" t="s">
        <v>91</v>
      </c>
      <c r="AD296" s="76" t="s">
        <v>91</v>
      </c>
      <c r="AE296" s="77"/>
      <c r="AF296" s="77"/>
      <c r="AG296" s="41" t="s">
        <v>91</v>
      </c>
    </row>
    <row r="297" spans="1:33" ht="21" hidden="1" x14ac:dyDescent="0.55000000000000004">
      <c r="A297" s="44" t="str">
        <f>Data!K296</f>
        <v>DPOW-CCHP</v>
      </c>
      <c r="B297" s="44" t="str">
        <f>Data!L296</f>
        <v>4143899880</v>
      </c>
      <c r="C297" s="44" t="str">
        <f>Data!D296</f>
        <v xml:space="preserve">Magdaleno, Martin </v>
      </c>
      <c r="D297" s="82" t="str">
        <f>Data!F296</f>
        <v>4426198241</v>
      </c>
      <c r="E297" s="82" t="str">
        <f>Data!B296</f>
        <v>9051</v>
      </c>
      <c r="F297" s="44" t="str">
        <f>Data!A296</f>
        <v xml:space="preserve">Magdaleno, Martin </v>
      </c>
      <c r="G297" s="55" t="str">
        <f>Data!C296</f>
        <v>3/13/1986</v>
      </c>
      <c r="H297" s="56">
        <f>Data!H296</f>
        <v>44603</v>
      </c>
      <c r="I297" s="56" t="str">
        <f>Data!I296</f>
        <v>2/15/2022</v>
      </c>
      <c r="J297" s="57">
        <f>Data!J296</f>
        <v>481.2</v>
      </c>
      <c r="K297" s="58">
        <f t="shared" ca="1" si="4"/>
        <v>93</v>
      </c>
      <c r="L297" s="58">
        <f>Data!M296</f>
        <v>0</v>
      </c>
      <c r="M297" s="37" t="s">
        <v>26</v>
      </c>
      <c r="N297" s="43" t="str">
        <f>VLOOKUP(M297,Table1[#All],3,FALSE)</f>
        <v>Note</v>
      </c>
      <c r="O297" s="40" t="str">
        <f>VLOOKUP(M297,Table1[#All],4,FALSE)</f>
        <v>Q1</v>
      </c>
      <c r="P297" s="39"/>
      <c r="Q297" s="40" t="str">
        <f>VLOOKUP(M297,Table1[#All],5,FALSE)</f>
        <v>Q2</v>
      </c>
      <c r="R297" s="79"/>
      <c r="S297" s="40" t="str">
        <f>VLOOKUP(M297,Table1[#All],6,FALSE)</f>
        <v>Q3</v>
      </c>
      <c r="T297" s="79"/>
      <c r="U297" s="40" t="str">
        <f>VLOOKUP(M297,Table1[#All],7,FALSE)</f>
        <v>Q4</v>
      </c>
      <c r="V297" s="79"/>
      <c r="W297" s="40" t="str">
        <f>VLOOKUP(M297,Table1[#All],8,FALSE)</f>
        <v>Q5</v>
      </c>
      <c r="X297" s="79"/>
      <c r="Y297" s="44" t="str">
        <f>VLOOKUP(M297,Table1[#All],2,FALSE)</f>
        <v>Action</v>
      </c>
      <c r="Z297" s="59" t="str">
        <f>VLOOKUP(M297,Table1[#All],9,FALSE)</f>
        <v>Additional Notes:</v>
      </c>
      <c r="AA297" s="76"/>
      <c r="AB297" s="76"/>
      <c r="AC297" s="90" t="s">
        <v>91</v>
      </c>
      <c r="AD297" s="76" t="s">
        <v>91</v>
      </c>
      <c r="AE297" s="77"/>
      <c r="AF297" s="77"/>
      <c r="AG297" s="41" t="s">
        <v>91</v>
      </c>
    </row>
    <row r="298" spans="1:33" ht="21" hidden="1" x14ac:dyDescent="0.55000000000000004">
      <c r="A298" s="44" t="str">
        <f>Data!K297</f>
        <v>DPOW-CCHP</v>
      </c>
      <c r="B298" s="44" t="str">
        <f>Data!L297</f>
        <v>4143899880</v>
      </c>
      <c r="C298" s="44" t="str">
        <f>Data!D297</f>
        <v xml:space="preserve">Duldulao , Mya </v>
      </c>
      <c r="D298" s="82" t="str">
        <f>Data!F297</f>
        <v>7423120171</v>
      </c>
      <c r="E298" s="82" t="str">
        <f>Data!B297</f>
        <v>8851</v>
      </c>
      <c r="F298" s="44" t="str">
        <f>Data!A297</f>
        <v xml:space="preserve">Duldulao , Mya </v>
      </c>
      <c r="G298" s="55" t="str">
        <f>Data!C297</f>
        <v>12/18/2000</v>
      </c>
      <c r="H298" s="56">
        <f>Data!H297</f>
        <v>44578</v>
      </c>
      <c r="I298" s="56" t="str">
        <f>Data!I297</f>
        <v>2/10/2022</v>
      </c>
      <c r="J298" s="57">
        <f>Data!J297</f>
        <v>261.2</v>
      </c>
      <c r="K298" s="58">
        <f t="shared" ca="1" si="4"/>
        <v>98</v>
      </c>
      <c r="L298" s="58">
        <f>Data!M297</f>
        <v>0</v>
      </c>
      <c r="M298" s="37" t="s">
        <v>26</v>
      </c>
      <c r="N298" s="43" t="str">
        <f>VLOOKUP(M298,Table1[#All],3,FALSE)</f>
        <v>Note</v>
      </c>
      <c r="O298" s="40" t="str">
        <f>VLOOKUP(M298,Table1[#All],4,FALSE)</f>
        <v>Q1</v>
      </c>
      <c r="P298" s="39"/>
      <c r="Q298" s="40" t="str">
        <f>VLOOKUP(M298,Table1[#All],5,FALSE)</f>
        <v>Q2</v>
      </c>
      <c r="R298" s="79"/>
      <c r="S298" s="40" t="str">
        <f>VLOOKUP(M298,Table1[#All],6,FALSE)</f>
        <v>Q3</v>
      </c>
      <c r="T298" s="79"/>
      <c r="U298" s="40" t="str">
        <f>VLOOKUP(M298,Table1[#All],7,FALSE)</f>
        <v>Q4</v>
      </c>
      <c r="V298" s="79"/>
      <c r="W298" s="40" t="str">
        <f>VLOOKUP(M298,Table1[#All],8,FALSE)</f>
        <v>Q5</v>
      </c>
      <c r="X298" s="79"/>
      <c r="Y298" s="44" t="str">
        <f>VLOOKUP(M298,Table1[#All],2,FALSE)</f>
        <v>Action</v>
      </c>
      <c r="Z298" s="59" t="str">
        <f>VLOOKUP(M298,Table1[#All],9,FALSE)</f>
        <v>Additional Notes:</v>
      </c>
      <c r="AA298" s="76"/>
      <c r="AB298" s="76"/>
      <c r="AC298" s="90" t="s">
        <v>91</v>
      </c>
      <c r="AD298" s="76" t="s">
        <v>91</v>
      </c>
      <c r="AE298" s="77"/>
      <c r="AF298" s="77"/>
      <c r="AG298" s="41" t="s">
        <v>91</v>
      </c>
    </row>
    <row r="299" spans="1:33" ht="21" hidden="1" x14ac:dyDescent="0.55000000000000004">
      <c r="A299" s="44" t="str">
        <f>Data!K298</f>
        <v>DPOW-CCHP</v>
      </c>
      <c r="B299" s="44" t="str">
        <f>Data!L298</f>
        <v>4143899880</v>
      </c>
      <c r="C299" s="44" t="str">
        <f>Data!D298</f>
        <v xml:space="preserve">Garcia, Zelia </v>
      </c>
      <c r="D299" s="82" t="str">
        <f>Data!F298</f>
        <v>9408488091</v>
      </c>
      <c r="E299" s="82" t="str">
        <f>Data!B298</f>
        <v>8984</v>
      </c>
      <c r="F299" s="44" t="str">
        <f>Data!A298</f>
        <v xml:space="preserve">Garcia, Zelia </v>
      </c>
      <c r="G299" s="55" t="str">
        <f>Data!C298</f>
        <v>2/28/1996</v>
      </c>
      <c r="H299" s="56">
        <f>Data!H298</f>
        <v>44603</v>
      </c>
      <c r="I299" s="56" t="str">
        <f>Data!I298</f>
        <v>2/11/2022</v>
      </c>
      <c r="J299" s="57">
        <f>Data!J298</f>
        <v>88.8</v>
      </c>
      <c r="K299" s="58">
        <f t="shared" ca="1" si="4"/>
        <v>97</v>
      </c>
      <c r="L299" s="58">
        <f>Data!M298</f>
        <v>0</v>
      </c>
      <c r="M299" s="37" t="s">
        <v>26</v>
      </c>
      <c r="N299" s="43" t="str">
        <f>VLOOKUP(M299,Table1[#All],3,FALSE)</f>
        <v>Note</v>
      </c>
      <c r="O299" s="40" t="str">
        <f>VLOOKUP(M299,Table1[#All],4,FALSE)</f>
        <v>Q1</v>
      </c>
      <c r="P299" s="39"/>
      <c r="Q299" s="40" t="str">
        <f>VLOOKUP(M299,Table1[#All],5,FALSE)</f>
        <v>Q2</v>
      </c>
      <c r="R299" s="79"/>
      <c r="S299" s="40" t="str">
        <f>VLOOKUP(M299,Table1[#All],6,FALSE)</f>
        <v>Q3</v>
      </c>
      <c r="T299" s="79"/>
      <c r="U299" s="40" t="str">
        <f>VLOOKUP(M299,Table1[#All],7,FALSE)</f>
        <v>Q4</v>
      </c>
      <c r="V299" s="79"/>
      <c r="W299" s="40" t="str">
        <f>VLOOKUP(M299,Table1[#All],8,FALSE)</f>
        <v>Q5</v>
      </c>
      <c r="X299" s="79"/>
      <c r="Y299" s="44" t="str">
        <f>VLOOKUP(M299,Table1[#All],2,FALSE)</f>
        <v>Action</v>
      </c>
      <c r="Z299" s="59" t="str">
        <f>VLOOKUP(M299,Table1[#All],9,FALSE)</f>
        <v>Additional Notes:</v>
      </c>
      <c r="AA299" s="76"/>
      <c r="AB299" s="76"/>
      <c r="AC299" s="90" t="s">
        <v>91</v>
      </c>
      <c r="AD299" s="76" t="s">
        <v>91</v>
      </c>
      <c r="AE299" s="77"/>
      <c r="AF299" s="77"/>
      <c r="AG299" s="41" t="s">
        <v>91</v>
      </c>
    </row>
    <row r="300" spans="1:33" ht="21" hidden="1" x14ac:dyDescent="0.55000000000000004">
      <c r="A300" s="44" t="str">
        <f>Data!K299</f>
        <v>DPOW-CCHP</v>
      </c>
      <c r="B300" s="44" t="str">
        <f>Data!L299</f>
        <v>4143899880</v>
      </c>
      <c r="C300" s="44" t="str">
        <f>Data!D299</f>
        <v xml:space="preserve">Boclair , Makayla </v>
      </c>
      <c r="D300" s="82" t="str">
        <f>Data!F299</f>
        <v>0415200709</v>
      </c>
      <c r="E300" s="82" t="str">
        <f>Data!B299</f>
        <v>8835</v>
      </c>
      <c r="F300" s="44" t="str">
        <f>Data!A299</f>
        <v xml:space="preserve">Boclair , Makayla </v>
      </c>
      <c r="G300" s="55" t="str">
        <f>Data!C299</f>
        <v>3/3/1998</v>
      </c>
      <c r="H300" s="56">
        <f>Data!H299</f>
        <v>44580</v>
      </c>
      <c r="I300" s="56" t="str">
        <f>Data!I299</f>
        <v>2/11/2022</v>
      </c>
      <c r="J300" s="57">
        <f>Data!J299</f>
        <v>332.4</v>
      </c>
      <c r="K300" s="58">
        <f t="shared" ca="1" si="4"/>
        <v>97</v>
      </c>
      <c r="L300" s="58">
        <f>Data!M299</f>
        <v>0</v>
      </c>
      <c r="M300" s="37" t="s">
        <v>26</v>
      </c>
      <c r="N300" s="43" t="str">
        <f>VLOOKUP(M300,Table1[#All],3,FALSE)</f>
        <v>Note</v>
      </c>
      <c r="O300" s="40" t="str">
        <f>VLOOKUP(M300,Table1[#All],4,FALSE)</f>
        <v>Q1</v>
      </c>
      <c r="P300" s="39"/>
      <c r="Q300" s="40" t="str">
        <f>VLOOKUP(M300,Table1[#All],5,FALSE)</f>
        <v>Q2</v>
      </c>
      <c r="R300" s="79"/>
      <c r="S300" s="40" t="str">
        <f>VLOOKUP(M300,Table1[#All],6,FALSE)</f>
        <v>Q3</v>
      </c>
      <c r="T300" s="79"/>
      <c r="U300" s="40" t="str">
        <f>VLOOKUP(M300,Table1[#All],7,FALSE)</f>
        <v>Q4</v>
      </c>
      <c r="V300" s="79"/>
      <c r="W300" s="40" t="str">
        <f>VLOOKUP(M300,Table1[#All],8,FALSE)</f>
        <v>Q5</v>
      </c>
      <c r="X300" s="79"/>
      <c r="Y300" s="44" t="str">
        <f>VLOOKUP(M300,Table1[#All],2,FALSE)</f>
        <v>Action</v>
      </c>
      <c r="Z300" s="59" t="str">
        <f>VLOOKUP(M300,Table1[#All],9,FALSE)</f>
        <v>Additional Notes:</v>
      </c>
      <c r="AA300" s="76"/>
      <c r="AB300" s="76"/>
      <c r="AC300" s="90" t="s">
        <v>91</v>
      </c>
      <c r="AD300" s="76" t="s">
        <v>91</v>
      </c>
      <c r="AE300" s="77"/>
      <c r="AF300" s="77"/>
      <c r="AG300" s="41" t="s">
        <v>91</v>
      </c>
    </row>
    <row r="301" spans="1:33" ht="21" hidden="1" x14ac:dyDescent="0.55000000000000004">
      <c r="A301" s="44" t="str">
        <f>Data!K300</f>
        <v>DPOW-CCHP</v>
      </c>
      <c r="B301" s="44" t="str">
        <f>Data!L300</f>
        <v>4143899880</v>
      </c>
      <c r="C301" s="44" t="str">
        <f>Data!D300</f>
        <v xml:space="preserve">Beltran , Andrew </v>
      </c>
      <c r="D301" s="82" t="str">
        <f>Data!F300</f>
        <v>2439268828</v>
      </c>
      <c r="E301" s="82" t="str">
        <f>Data!B300</f>
        <v>2372</v>
      </c>
      <c r="F301" s="44" t="str">
        <f>Data!A300</f>
        <v xml:space="preserve">Beltran , Andrew </v>
      </c>
      <c r="G301" s="55" t="str">
        <f>Data!C300</f>
        <v>10/6/2010</v>
      </c>
      <c r="H301" s="56">
        <f>Data!H300</f>
        <v>44578</v>
      </c>
      <c r="I301" s="56" t="str">
        <f>Data!I300</f>
        <v>2/11/2022</v>
      </c>
      <c r="J301" s="57">
        <f>Data!J300</f>
        <v>227.6</v>
      </c>
      <c r="K301" s="58">
        <f t="shared" ca="1" si="4"/>
        <v>97</v>
      </c>
      <c r="L301" s="58">
        <f>Data!M300</f>
        <v>0</v>
      </c>
      <c r="M301" s="37" t="s">
        <v>26</v>
      </c>
      <c r="N301" s="43" t="str">
        <f>VLOOKUP(M301,Table1[#All],3,FALSE)</f>
        <v>Note</v>
      </c>
      <c r="O301" s="40" t="str">
        <f>VLOOKUP(M301,Table1[#All],4,FALSE)</f>
        <v>Q1</v>
      </c>
      <c r="P301" s="39"/>
      <c r="Q301" s="40" t="str">
        <f>VLOOKUP(M301,Table1[#All],5,FALSE)</f>
        <v>Q2</v>
      </c>
      <c r="R301" s="79"/>
      <c r="S301" s="40" t="str">
        <f>VLOOKUP(M301,Table1[#All],6,FALSE)</f>
        <v>Q3</v>
      </c>
      <c r="T301" s="79"/>
      <c r="U301" s="40" t="str">
        <f>VLOOKUP(M301,Table1[#All],7,FALSE)</f>
        <v>Q4</v>
      </c>
      <c r="V301" s="79"/>
      <c r="W301" s="40" t="str">
        <f>VLOOKUP(M301,Table1[#All],8,FALSE)</f>
        <v>Q5</v>
      </c>
      <c r="X301" s="79"/>
      <c r="Y301" s="44" t="str">
        <f>VLOOKUP(M301,Table1[#All],2,FALSE)</f>
        <v>Action</v>
      </c>
      <c r="Z301" s="59" t="str">
        <f>VLOOKUP(M301,Table1[#All],9,FALSE)</f>
        <v>Additional Notes:</v>
      </c>
      <c r="AA301" s="76"/>
      <c r="AB301" s="76"/>
      <c r="AC301" s="90" t="s">
        <v>91</v>
      </c>
      <c r="AD301" s="76" t="s">
        <v>91</v>
      </c>
      <c r="AE301" s="77"/>
      <c r="AF301" s="77"/>
      <c r="AG301" s="41" t="s">
        <v>91</v>
      </c>
    </row>
    <row r="302" spans="1:33" ht="21" hidden="1" x14ac:dyDescent="0.55000000000000004">
      <c r="A302" s="44" t="str">
        <f>Data!K301</f>
        <v>DPOW-CCHP</v>
      </c>
      <c r="B302" s="44" t="str">
        <f>Data!L301</f>
        <v>4143899880</v>
      </c>
      <c r="C302" s="44" t="str">
        <f>Data!D301</f>
        <v xml:space="preserve">Luevano Torres , Shadenny </v>
      </c>
      <c r="D302" s="82" t="str">
        <f>Data!F301</f>
        <v>0443360901</v>
      </c>
      <c r="E302" s="82" t="str">
        <f>Data!B301</f>
        <v>4785</v>
      </c>
      <c r="F302" s="44" t="str">
        <f>Data!A301</f>
        <v xml:space="preserve">Luevano Torres , Shadenny </v>
      </c>
      <c r="G302" s="55" t="str">
        <f>Data!C301</f>
        <v>12/16/2012</v>
      </c>
      <c r="H302" s="56">
        <f>Data!H301</f>
        <v>44580</v>
      </c>
      <c r="I302" s="56" t="str">
        <f>Data!I301</f>
        <v>1/20/2022</v>
      </c>
      <c r="J302" s="57">
        <f>Data!J301</f>
        <v>61.2</v>
      </c>
      <c r="K302" s="58">
        <f t="shared" ca="1" si="4"/>
        <v>119</v>
      </c>
      <c r="L302" s="58">
        <f>Data!M301</f>
        <v>0</v>
      </c>
      <c r="M302" s="37" t="s">
        <v>26</v>
      </c>
      <c r="N302" s="43" t="str">
        <f>VLOOKUP(M302,Table1[#All],3,FALSE)</f>
        <v>Note</v>
      </c>
      <c r="O302" s="40" t="str">
        <f>VLOOKUP(M302,Table1[#All],4,FALSE)</f>
        <v>Q1</v>
      </c>
      <c r="P302" s="39"/>
      <c r="Q302" s="40" t="str">
        <f>VLOOKUP(M302,Table1[#All],5,FALSE)</f>
        <v>Q2</v>
      </c>
      <c r="R302" s="79"/>
      <c r="S302" s="40" t="str">
        <f>VLOOKUP(M302,Table1[#All],6,FALSE)</f>
        <v>Q3</v>
      </c>
      <c r="T302" s="79"/>
      <c r="U302" s="40" t="str">
        <f>VLOOKUP(M302,Table1[#All],7,FALSE)</f>
        <v>Q4</v>
      </c>
      <c r="V302" s="79"/>
      <c r="W302" s="40" t="str">
        <f>VLOOKUP(M302,Table1[#All],8,FALSE)</f>
        <v>Q5</v>
      </c>
      <c r="X302" s="79"/>
      <c r="Y302" s="44" t="str">
        <f>VLOOKUP(M302,Table1[#All],2,FALSE)</f>
        <v>Action</v>
      </c>
      <c r="Z302" s="59" t="str">
        <f>VLOOKUP(M302,Table1[#All],9,FALSE)</f>
        <v>Additional Notes:</v>
      </c>
      <c r="AA302" s="76"/>
      <c r="AB302" s="76"/>
      <c r="AC302" s="90" t="s">
        <v>91</v>
      </c>
      <c r="AD302" s="76" t="s">
        <v>91</v>
      </c>
      <c r="AE302" s="77"/>
      <c r="AF302" s="77"/>
      <c r="AG302" s="41" t="s">
        <v>91</v>
      </c>
    </row>
    <row r="303" spans="1:33" ht="21" hidden="1" x14ac:dyDescent="0.55000000000000004">
      <c r="A303" s="44" t="str">
        <f>Data!K302</f>
        <v>DPOW-CCHP</v>
      </c>
      <c r="B303" s="44" t="str">
        <f>Data!L302</f>
        <v>4143899880</v>
      </c>
      <c r="C303" s="44" t="str">
        <f>Data!D302</f>
        <v>Bills, Kyzion</v>
      </c>
      <c r="D303" s="82" t="str">
        <f>Data!F302</f>
        <v>2428925423</v>
      </c>
      <c r="E303" s="82" t="str">
        <f>Data!B302</f>
        <v>4289</v>
      </c>
      <c r="F303" s="44" t="str">
        <f>Data!A302</f>
        <v>Bills, Kyzion</v>
      </c>
      <c r="G303" s="55" t="str">
        <f>Data!C302</f>
        <v>6/3/2007</v>
      </c>
      <c r="H303" s="56">
        <f>Data!H302</f>
        <v>44579</v>
      </c>
      <c r="I303" s="56" t="str">
        <f>Data!I302</f>
        <v>1/19/2022</v>
      </c>
      <c r="J303" s="57">
        <f>Data!J302</f>
        <v>266</v>
      </c>
      <c r="K303" s="58">
        <f t="shared" ca="1" si="4"/>
        <v>120</v>
      </c>
      <c r="L303" s="58">
        <f>Data!M302</f>
        <v>0</v>
      </c>
      <c r="M303" s="37" t="s">
        <v>5</v>
      </c>
      <c r="N303" s="43" t="str">
        <f>VLOOKUP(M303,Table1[#All],3,FALSE)</f>
        <v>Claim Paid by EFT;</v>
      </c>
      <c r="O303" s="40" t="str">
        <f>VLOOKUP(M303,Table1[#All],4,FALSE)</f>
        <v>Issue Date:</v>
      </c>
      <c r="P303" s="39" t="s">
        <v>3852</v>
      </c>
      <c r="Q303" s="40" t="str">
        <f>VLOOKUP(M303,Table1[#All],5,FALSE)</f>
        <v>EFT#</v>
      </c>
      <c r="R303" s="79" t="s">
        <v>3852</v>
      </c>
      <c r="S303" s="40" t="str">
        <f>VLOOKUP(M303,Table1[#All],6,FALSE)</f>
        <v>Bulk/Sep:</v>
      </c>
      <c r="T303" s="79" t="s">
        <v>3797</v>
      </c>
      <c r="U303" s="40" t="str">
        <f>VLOOKUP(M303,Table1[#All],7,FALSE)</f>
        <v>Call Ref#:</v>
      </c>
      <c r="V303" s="79"/>
      <c r="W303" s="40" t="str">
        <f>VLOOKUP(M303,Table1[#All],8,FALSE)</f>
        <v>Cust Rep:</v>
      </c>
      <c r="X303" s="79"/>
      <c r="Y303" s="44" t="str">
        <f>VLOOKUP(M303,Table1[#All],2,FALSE)</f>
        <v xml:space="preserve">Task Post Pmt Queue </v>
      </c>
      <c r="Z303" s="59" t="str">
        <f>VLOOKUP(M303,Table1[#All],9,FALSE)</f>
        <v>Additional Notes:</v>
      </c>
      <c r="AA303" s="76" t="s">
        <v>4148</v>
      </c>
      <c r="AB303" s="76" t="s">
        <v>3957</v>
      </c>
      <c r="AC303" s="90" t="s">
        <v>115</v>
      </c>
      <c r="AD303" s="76" t="s">
        <v>177</v>
      </c>
      <c r="AE303" s="77" t="s">
        <v>4127</v>
      </c>
      <c r="AF303" s="110">
        <v>44679</v>
      </c>
      <c r="AG303" s="41" t="s">
        <v>97</v>
      </c>
    </row>
    <row r="304" spans="1:33" ht="21" hidden="1" x14ac:dyDescent="0.55000000000000004">
      <c r="A304" s="44" t="str">
        <f>Data!K303</f>
        <v>DPOW-CCHP</v>
      </c>
      <c r="B304" s="44" t="str">
        <f>Data!L303</f>
        <v>4143899880</v>
      </c>
      <c r="C304" s="44" t="str">
        <f>Data!D303</f>
        <v>BU, AH</v>
      </c>
      <c r="D304" s="82" t="str">
        <f>Data!F303</f>
        <v>3446219731</v>
      </c>
      <c r="E304" s="82" t="str">
        <f>Data!B303</f>
        <v>7310</v>
      </c>
      <c r="F304" s="44" t="str">
        <f>Data!A303</f>
        <v>BU, AH</v>
      </c>
      <c r="G304" s="55" t="str">
        <f>Data!C303</f>
        <v>4/24/1972</v>
      </c>
      <c r="H304" s="56">
        <f>Data!H303</f>
        <v>44579</v>
      </c>
      <c r="I304" s="56" t="str">
        <f>Data!I303</f>
        <v>1/19/2022</v>
      </c>
      <c r="J304" s="57">
        <f>Data!J303</f>
        <v>226.8</v>
      </c>
      <c r="K304" s="58">
        <f t="shared" ca="1" si="4"/>
        <v>120</v>
      </c>
      <c r="L304" s="58">
        <f>Data!M303</f>
        <v>0</v>
      </c>
      <c r="M304" s="37" t="s">
        <v>26</v>
      </c>
      <c r="N304" s="43" t="str">
        <f>VLOOKUP(M304,Table1[#All],3,FALSE)</f>
        <v>Note</v>
      </c>
      <c r="O304" s="40" t="str">
        <f>VLOOKUP(M304,Table1[#All],4,FALSE)</f>
        <v>Q1</v>
      </c>
      <c r="P304" s="39"/>
      <c r="Q304" s="40" t="str">
        <f>VLOOKUP(M304,Table1[#All],5,FALSE)</f>
        <v>Q2</v>
      </c>
      <c r="R304" s="79"/>
      <c r="S304" s="40" t="str">
        <f>VLOOKUP(M304,Table1[#All],6,FALSE)</f>
        <v>Q3</v>
      </c>
      <c r="T304" s="79"/>
      <c r="U304" s="40" t="str">
        <f>VLOOKUP(M304,Table1[#All],7,FALSE)</f>
        <v>Q4</v>
      </c>
      <c r="V304" s="79"/>
      <c r="W304" s="40" t="str">
        <f>VLOOKUP(M304,Table1[#All],8,FALSE)</f>
        <v>Q5</v>
      </c>
      <c r="X304" s="79"/>
      <c r="Y304" s="44" t="str">
        <f>VLOOKUP(M304,Table1[#All],2,FALSE)</f>
        <v>Action</v>
      </c>
      <c r="Z304" s="59" t="str">
        <f>VLOOKUP(M304,Table1[#All],9,FALSE)</f>
        <v>Additional Notes:</v>
      </c>
      <c r="AA304" s="76"/>
      <c r="AB304" s="76"/>
      <c r="AC304" s="90" t="s">
        <v>91</v>
      </c>
      <c r="AD304" s="76" t="s">
        <v>91</v>
      </c>
      <c r="AE304" s="77"/>
      <c r="AF304" s="77"/>
      <c r="AG304" s="41" t="s">
        <v>91</v>
      </c>
    </row>
    <row r="305" spans="1:33" ht="21" hidden="1" x14ac:dyDescent="0.55000000000000004">
      <c r="A305" s="44" t="str">
        <f>Data!K304</f>
        <v>DPOW-CCHP</v>
      </c>
      <c r="B305" s="44" t="str">
        <f>Data!L304</f>
        <v>4143899880</v>
      </c>
      <c r="C305" s="44" t="str">
        <f>Data!D304</f>
        <v xml:space="preserve">Dundon, Kody </v>
      </c>
      <c r="D305" s="82" t="str">
        <f>Data!F304</f>
        <v>8418778784</v>
      </c>
      <c r="E305" s="82" t="str">
        <f>Data!B304</f>
        <v>7759</v>
      </c>
      <c r="F305" s="44" t="str">
        <f>Data!A304</f>
        <v xml:space="preserve">Dundon, Kody </v>
      </c>
      <c r="G305" s="55" t="str">
        <f>Data!C304</f>
        <v>12/30/1991</v>
      </c>
      <c r="H305" s="56">
        <f>Data!H304</f>
        <v>44579</v>
      </c>
      <c r="I305" s="56" t="str">
        <f>Data!I304</f>
        <v>1/19/2022</v>
      </c>
      <c r="J305" s="57">
        <f>Data!J304</f>
        <v>860.4</v>
      </c>
      <c r="K305" s="58">
        <f t="shared" ca="1" si="4"/>
        <v>120</v>
      </c>
      <c r="L305" s="58">
        <f>Data!M304</f>
        <v>0</v>
      </c>
      <c r="M305" s="37" t="s">
        <v>26</v>
      </c>
      <c r="N305" s="43" t="str">
        <f>VLOOKUP(M305,Table1[#All],3,FALSE)</f>
        <v>Note</v>
      </c>
      <c r="O305" s="40" t="str">
        <f>VLOOKUP(M305,Table1[#All],4,FALSE)</f>
        <v>Q1</v>
      </c>
      <c r="P305" s="39"/>
      <c r="Q305" s="40" t="str">
        <f>VLOOKUP(M305,Table1[#All],5,FALSE)</f>
        <v>Q2</v>
      </c>
      <c r="R305" s="79"/>
      <c r="S305" s="40" t="str">
        <f>VLOOKUP(M305,Table1[#All],6,FALSE)</f>
        <v>Q3</v>
      </c>
      <c r="T305" s="79"/>
      <c r="U305" s="40" t="str">
        <f>VLOOKUP(M305,Table1[#All],7,FALSE)</f>
        <v>Q4</v>
      </c>
      <c r="V305" s="79"/>
      <c r="W305" s="40" t="str">
        <f>VLOOKUP(M305,Table1[#All],8,FALSE)</f>
        <v>Q5</v>
      </c>
      <c r="X305" s="79"/>
      <c r="Y305" s="44" t="str">
        <f>VLOOKUP(M305,Table1[#All],2,FALSE)</f>
        <v>Action</v>
      </c>
      <c r="Z305" s="59" t="str">
        <f>VLOOKUP(M305,Table1[#All],9,FALSE)</f>
        <v>Additional Notes:</v>
      </c>
      <c r="AA305" s="76"/>
      <c r="AB305" s="76"/>
      <c r="AC305" s="90" t="s">
        <v>91</v>
      </c>
      <c r="AD305" s="76" t="s">
        <v>91</v>
      </c>
      <c r="AE305" s="77"/>
      <c r="AF305" s="77"/>
      <c r="AG305" s="41" t="s">
        <v>91</v>
      </c>
    </row>
    <row r="306" spans="1:33" ht="21" hidden="1" x14ac:dyDescent="0.55000000000000004">
      <c r="A306" s="44" t="str">
        <f>Data!K305</f>
        <v>DPOW-CCHP</v>
      </c>
      <c r="B306" s="44" t="str">
        <f>Data!L305</f>
        <v>4143899880</v>
      </c>
      <c r="C306" s="44" t="str">
        <f>Data!D305</f>
        <v>Estupinan Perez, Alexia</v>
      </c>
      <c r="D306" s="82" t="str">
        <f>Data!F305</f>
        <v>2443439321</v>
      </c>
      <c r="E306" s="82" t="str">
        <f>Data!B305</f>
        <v>8738</v>
      </c>
      <c r="F306" s="44" t="str">
        <f>Data!A305</f>
        <v>Estupinan Perez, Alexia</v>
      </c>
      <c r="G306" s="55" t="str">
        <f>Data!C305</f>
        <v>1/7/2013</v>
      </c>
      <c r="H306" s="56">
        <f>Data!H305</f>
        <v>44575</v>
      </c>
      <c r="I306" s="56" t="str">
        <f>Data!I305</f>
        <v>1/19/2022</v>
      </c>
      <c r="J306" s="57">
        <f>Data!J305</f>
        <v>748</v>
      </c>
      <c r="K306" s="58">
        <f t="shared" ca="1" si="4"/>
        <v>120</v>
      </c>
      <c r="L306" s="58">
        <f>Data!M305</f>
        <v>0</v>
      </c>
      <c r="M306" s="37" t="s">
        <v>26</v>
      </c>
      <c r="N306" s="43" t="str">
        <f>VLOOKUP(M306,Table1[#All],3,FALSE)</f>
        <v>Note</v>
      </c>
      <c r="O306" s="40" t="str">
        <f>VLOOKUP(M306,Table1[#All],4,FALSE)</f>
        <v>Q1</v>
      </c>
      <c r="P306" s="39"/>
      <c r="Q306" s="40" t="str">
        <f>VLOOKUP(M306,Table1[#All],5,FALSE)</f>
        <v>Q2</v>
      </c>
      <c r="R306" s="79"/>
      <c r="S306" s="40" t="str">
        <f>VLOOKUP(M306,Table1[#All],6,FALSE)</f>
        <v>Q3</v>
      </c>
      <c r="T306" s="79"/>
      <c r="U306" s="40" t="str">
        <f>VLOOKUP(M306,Table1[#All],7,FALSE)</f>
        <v>Q4</v>
      </c>
      <c r="V306" s="79"/>
      <c r="W306" s="40" t="str">
        <f>VLOOKUP(M306,Table1[#All],8,FALSE)</f>
        <v>Q5</v>
      </c>
      <c r="X306" s="79"/>
      <c r="Y306" s="44" t="str">
        <f>VLOOKUP(M306,Table1[#All],2,FALSE)</f>
        <v>Action</v>
      </c>
      <c r="Z306" s="59" t="str">
        <f>VLOOKUP(M306,Table1[#All],9,FALSE)</f>
        <v>Additional Notes:</v>
      </c>
      <c r="AA306" s="76"/>
      <c r="AB306" s="76"/>
      <c r="AC306" s="90" t="s">
        <v>91</v>
      </c>
      <c r="AD306" s="76" t="s">
        <v>91</v>
      </c>
      <c r="AE306" s="77"/>
      <c r="AF306" s="77"/>
      <c r="AG306" s="41" t="s">
        <v>91</v>
      </c>
    </row>
    <row r="307" spans="1:33" ht="21" hidden="1" x14ac:dyDescent="0.55000000000000004">
      <c r="A307" s="44" t="str">
        <f>Data!K306</f>
        <v>DPOW-CCHP</v>
      </c>
      <c r="B307" s="44" t="str">
        <f>Data!L306</f>
        <v>4143899880</v>
      </c>
      <c r="C307" s="44" t="str">
        <f>Data!D306</f>
        <v>Ramirez, Wendy</v>
      </c>
      <c r="D307" s="82" t="str">
        <f>Data!F306</f>
        <v>0425873501</v>
      </c>
      <c r="E307" s="82" t="str">
        <f>Data!B306</f>
        <v>1349</v>
      </c>
      <c r="F307" s="44" t="str">
        <f>Data!A306</f>
        <v>Ramirez, Wendy</v>
      </c>
      <c r="G307" s="55" t="str">
        <f>Data!C306</f>
        <v>5/12/2006</v>
      </c>
      <c r="H307" s="56">
        <f>Data!H306</f>
        <v>44578</v>
      </c>
      <c r="I307" s="56" t="str">
        <f>Data!I306</f>
        <v>1/19/2022</v>
      </c>
      <c r="J307" s="57">
        <f>Data!J306</f>
        <v>266</v>
      </c>
      <c r="K307" s="58">
        <f t="shared" ca="1" si="4"/>
        <v>120</v>
      </c>
      <c r="L307" s="58">
        <f>Data!M306</f>
        <v>0</v>
      </c>
      <c r="M307" s="37" t="s">
        <v>26</v>
      </c>
      <c r="N307" s="43" t="str">
        <f>VLOOKUP(M307,Table1[#All],3,FALSE)</f>
        <v>Note</v>
      </c>
      <c r="O307" s="40" t="str">
        <f>VLOOKUP(M307,Table1[#All],4,FALSE)</f>
        <v>Q1</v>
      </c>
      <c r="P307" s="39"/>
      <c r="Q307" s="40" t="str">
        <f>VLOOKUP(M307,Table1[#All],5,FALSE)</f>
        <v>Q2</v>
      </c>
      <c r="R307" s="79"/>
      <c r="S307" s="40" t="str">
        <f>VLOOKUP(M307,Table1[#All],6,FALSE)</f>
        <v>Q3</v>
      </c>
      <c r="T307" s="79"/>
      <c r="U307" s="40" t="str">
        <f>VLOOKUP(M307,Table1[#All],7,FALSE)</f>
        <v>Q4</v>
      </c>
      <c r="V307" s="79"/>
      <c r="W307" s="40" t="str">
        <f>VLOOKUP(M307,Table1[#All],8,FALSE)</f>
        <v>Q5</v>
      </c>
      <c r="X307" s="79"/>
      <c r="Y307" s="44" t="str">
        <f>VLOOKUP(M307,Table1[#All],2,FALSE)</f>
        <v>Action</v>
      </c>
      <c r="Z307" s="59" t="str">
        <f>VLOOKUP(M307,Table1[#All],9,FALSE)</f>
        <v>Additional Notes:</v>
      </c>
      <c r="AA307" s="76"/>
      <c r="AB307" s="76"/>
      <c r="AC307" s="90" t="s">
        <v>91</v>
      </c>
      <c r="AD307" s="76" t="s">
        <v>91</v>
      </c>
      <c r="AE307" s="77"/>
      <c r="AF307" s="77"/>
      <c r="AG307" s="41" t="s">
        <v>91</v>
      </c>
    </row>
    <row r="308" spans="1:33" ht="21" hidden="1" x14ac:dyDescent="0.55000000000000004">
      <c r="A308" s="44" t="str">
        <f>Data!K307</f>
        <v>DPOW-CCHP</v>
      </c>
      <c r="B308" s="44" t="str">
        <f>Data!L307</f>
        <v>4143899880</v>
      </c>
      <c r="C308" s="44" t="str">
        <f>Data!D307</f>
        <v xml:space="preserve">Potis , Kion </v>
      </c>
      <c r="D308" s="82" t="str">
        <f>Data!F307</f>
        <v>8447709281</v>
      </c>
      <c r="E308" s="82" t="str">
        <f>Data!B307</f>
        <v>8761</v>
      </c>
      <c r="F308" s="44" t="str">
        <f>Data!A307</f>
        <v xml:space="preserve">Potis , Kion </v>
      </c>
      <c r="G308" s="55" t="str">
        <f>Data!C307</f>
        <v>2/14/2015</v>
      </c>
      <c r="H308" s="56">
        <f>Data!H307</f>
        <v>44576</v>
      </c>
      <c r="I308" s="56" t="str">
        <f>Data!I307</f>
        <v>1/17/2022</v>
      </c>
      <c r="J308" s="57">
        <f>Data!J307</f>
        <v>453.2</v>
      </c>
      <c r="K308" s="58">
        <f t="shared" ca="1" si="4"/>
        <v>122</v>
      </c>
      <c r="L308" s="58">
        <f>Data!M307</f>
        <v>0</v>
      </c>
      <c r="M308" s="37" t="s">
        <v>26</v>
      </c>
      <c r="N308" s="43" t="str">
        <f>VLOOKUP(M308,Table1[#All],3,FALSE)</f>
        <v>Note</v>
      </c>
      <c r="O308" s="40" t="str">
        <f>VLOOKUP(M308,Table1[#All],4,FALSE)</f>
        <v>Q1</v>
      </c>
      <c r="P308" s="39"/>
      <c r="Q308" s="40" t="str">
        <f>VLOOKUP(M308,Table1[#All],5,FALSE)</f>
        <v>Q2</v>
      </c>
      <c r="R308" s="79"/>
      <c r="S308" s="40" t="str">
        <f>VLOOKUP(M308,Table1[#All],6,FALSE)</f>
        <v>Q3</v>
      </c>
      <c r="T308" s="79"/>
      <c r="U308" s="40" t="str">
        <f>VLOOKUP(M308,Table1[#All],7,FALSE)</f>
        <v>Q4</v>
      </c>
      <c r="V308" s="79"/>
      <c r="W308" s="40" t="str">
        <f>VLOOKUP(M308,Table1[#All],8,FALSE)</f>
        <v>Q5</v>
      </c>
      <c r="X308" s="79"/>
      <c r="Y308" s="44" t="str">
        <f>VLOOKUP(M308,Table1[#All],2,FALSE)</f>
        <v>Action</v>
      </c>
      <c r="Z308" s="59" t="str">
        <f>VLOOKUP(M308,Table1[#All],9,FALSE)</f>
        <v>Additional Notes:</v>
      </c>
      <c r="AA308" s="76"/>
      <c r="AB308" s="76"/>
      <c r="AC308" s="90" t="s">
        <v>91</v>
      </c>
      <c r="AD308" s="76" t="s">
        <v>91</v>
      </c>
      <c r="AE308" s="77"/>
      <c r="AF308" s="77"/>
      <c r="AG308" s="41" t="s">
        <v>91</v>
      </c>
    </row>
    <row r="309" spans="1:33" ht="21" hidden="1" x14ac:dyDescent="0.55000000000000004">
      <c r="A309" s="44" t="str">
        <f>Data!K308</f>
        <v>DPOW-CCHP</v>
      </c>
      <c r="B309" s="44" t="str">
        <f>Data!L308</f>
        <v>4143899880</v>
      </c>
      <c r="C309" s="44" t="str">
        <f>Data!D308</f>
        <v>Galaviz Rueda, Ximena</v>
      </c>
      <c r="D309" s="82" t="str">
        <f>Data!F308</f>
        <v>8454168982</v>
      </c>
      <c r="E309" s="82" t="str">
        <f>Data!B308</f>
        <v>4414</v>
      </c>
      <c r="F309" s="44" t="str">
        <f>Data!A308</f>
        <v>Galaviz Rueda, Ximena</v>
      </c>
      <c r="G309" s="55" t="str">
        <f>Data!C308</f>
        <v>12/27/2018</v>
      </c>
      <c r="H309" s="56">
        <f>Data!H308</f>
        <v>44576</v>
      </c>
      <c r="I309" s="56" t="str">
        <f>Data!I308</f>
        <v>1/17/2022</v>
      </c>
      <c r="J309" s="57">
        <f>Data!J308</f>
        <v>138</v>
      </c>
      <c r="K309" s="58">
        <f t="shared" ca="1" si="4"/>
        <v>122</v>
      </c>
      <c r="L309" s="58">
        <f>Data!M308</f>
        <v>0</v>
      </c>
      <c r="M309" s="37" t="s">
        <v>26</v>
      </c>
      <c r="N309" s="43" t="str">
        <f>VLOOKUP(M309,Table1[#All],3,FALSE)</f>
        <v>Note</v>
      </c>
      <c r="O309" s="40" t="str">
        <f>VLOOKUP(M309,Table1[#All],4,FALSE)</f>
        <v>Q1</v>
      </c>
      <c r="P309" s="39"/>
      <c r="Q309" s="40" t="str">
        <f>VLOOKUP(M309,Table1[#All],5,FALSE)</f>
        <v>Q2</v>
      </c>
      <c r="R309" s="79"/>
      <c r="S309" s="40" t="str">
        <f>VLOOKUP(M309,Table1[#All],6,FALSE)</f>
        <v>Q3</v>
      </c>
      <c r="T309" s="79"/>
      <c r="U309" s="40" t="str">
        <f>VLOOKUP(M309,Table1[#All],7,FALSE)</f>
        <v>Q4</v>
      </c>
      <c r="V309" s="79"/>
      <c r="W309" s="40" t="str">
        <f>VLOOKUP(M309,Table1[#All],8,FALSE)</f>
        <v>Q5</v>
      </c>
      <c r="X309" s="79"/>
      <c r="Y309" s="44" t="str">
        <f>VLOOKUP(M309,Table1[#All],2,FALSE)</f>
        <v>Action</v>
      </c>
      <c r="Z309" s="59" t="str">
        <f>VLOOKUP(M309,Table1[#All],9,FALSE)</f>
        <v>Additional Notes:</v>
      </c>
      <c r="AA309" s="76"/>
      <c r="AB309" s="76"/>
      <c r="AC309" s="90" t="s">
        <v>91</v>
      </c>
      <c r="AD309" s="76" t="s">
        <v>91</v>
      </c>
      <c r="AE309" s="77"/>
      <c r="AF309" s="77"/>
      <c r="AG309" s="41" t="s">
        <v>91</v>
      </c>
    </row>
    <row r="310" spans="1:33" ht="21" hidden="1" x14ac:dyDescent="0.55000000000000004">
      <c r="A310" s="44" t="str">
        <f>Data!K309</f>
        <v>DPOW-CCHP</v>
      </c>
      <c r="B310" s="44" t="str">
        <f>Data!L309</f>
        <v>4143899880</v>
      </c>
      <c r="C310" s="44" t="str">
        <f>Data!D309</f>
        <v xml:space="preserve">Potis, Kieja </v>
      </c>
      <c r="D310" s="82" t="str">
        <f>Data!F309</f>
        <v>6442860761</v>
      </c>
      <c r="E310" s="82" t="str">
        <f>Data!B309</f>
        <v>8760</v>
      </c>
      <c r="F310" s="44" t="str">
        <f>Data!A309</f>
        <v xml:space="preserve">Potis, Kieja </v>
      </c>
      <c r="G310" s="55" t="str">
        <f>Data!C309</f>
        <v>9/25/2012</v>
      </c>
      <c r="H310" s="56">
        <f>Data!H309</f>
        <v>44576</v>
      </c>
      <c r="I310" s="56" t="str">
        <f>Data!I309</f>
        <v>1/17/2022</v>
      </c>
      <c r="J310" s="57">
        <f>Data!J309</f>
        <v>470</v>
      </c>
      <c r="K310" s="58">
        <f t="shared" ca="1" si="4"/>
        <v>122</v>
      </c>
      <c r="L310" s="58">
        <f>Data!M309</f>
        <v>0</v>
      </c>
      <c r="M310" s="37" t="s">
        <v>26</v>
      </c>
      <c r="N310" s="43" t="str">
        <f>VLOOKUP(M310,Table1[#All],3,FALSE)</f>
        <v>Note</v>
      </c>
      <c r="O310" s="40" t="str">
        <f>VLOOKUP(M310,Table1[#All],4,FALSE)</f>
        <v>Q1</v>
      </c>
      <c r="P310" s="39"/>
      <c r="Q310" s="40" t="str">
        <f>VLOOKUP(M310,Table1[#All],5,FALSE)</f>
        <v>Q2</v>
      </c>
      <c r="R310" s="79"/>
      <c r="S310" s="40" t="str">
        <f>VLOOKUP(M310,Table1[#All],6,FALSE)</f>
        <v>Q3</v>
      </c>
      <c r="T310" s="79"/>
      <c r="U310" s="40" t="str">
        <f>VLOOKUP(M310,Table1[#All],7,FALSE)</f>
        <v>Q4</v>
      </c>
      <c r="V310" s="79"/>
      <c r="W310" s="40" t="str">
        <f>VLOOKUP(M310,Table1[#All],8,FALSE)</f>
        <v>Q5</v>
      </c>
      <c r="X310" s="79"/>
      <c r="Y310" s="44" t="str">
        <f>VLOOKUP(M310,Table1[#All],2,FALSE)</f>
        <v>Action</v>
      </c>
      <c r="Z310" s="59" t="str">
        <f>VLOOKUP(M310,Table1[#All],9,FALSE)</f>
        <v>Additional Notes:</v>
      </c>
      <c r="AA310" s="76"/>
      <c r="AB310" s="76"/>
      <c r="AC310" s="90" t="s">
        <v>91</v>
      </c>
      <c r="AD310" s="76" t="s">
        <v>91</v>
      </c>
      <c r="AE310" s="77"/>
      <c r="AF310" s="77"/>
      <c r="AG310" s="41" t="s">
        <v>91</v>
      </c>
    </row>
    <row r="311" spans="1:33" ht="21" hidden="1" x14ac:dyDescent="0.55000000000000004">
      <c r="A311" s="44" t="str">
        <f>Data!K310</f>
        <v>DPOW-CCHP</v>
      </c>
      <c r="B311" s="44" t="str">
        <f>Data!L310</f>
        <v>4143899880</v>
      </c>
      <c r="C311" s="44" t="str">
        <f>Data!D310</f>
        <v>Cleveland , Deja</v>
      </c>
      <c r="D311" s="82" t="str">
        <f>Data!F310</f>
        <v>8407255181</v>
      </c>
      <c r="E311" s="82" t="str">
        <f>Data!B310</f>
        <v>8758</v>
      </c>
      <c r="F311" s="44" t="str">
        <f>Data!A310</f>
        <v>Cleveland , Deja</v>
      </c>
      <c r="G311" s="55" t="str">
        <f>Data!C310</f>
        <v>11/9/1989</v>
      </c>
      <c r="H311" s="56">
        <f>Data!H310</f>
        <v>44576</v>
      </c>
      <c r="I311" s="56" t="str">
        <f>Data!I310</f>
        <v>1/17/2022</v>
      </c>
      <c r="J311" s="57">
        <f>Data!J310</f>
        <v>294.8</v>
      </c>
      <c r="K311" s="58">
        <f t="shared" ca="1" si="4"/>
        <v>122</v>
      </c>
      <c r="L311" s="58">
        <f>Data!M310</f>
        <v>0</v>
      </c>
      <c r="M311" s="37" t="s">
        <v>26</v>
      </c>
      <c r="N311" s="43" t="str">
        <f>VLOOKUP(M311,Table1[#All],3,FALSE)</f>
        <v>Note</v>
      </c>
      <c r="O311" s="40" t="str">
        <f>VLOOKUP(M311,Table1[#All],4,FALSE)</f>
        <v>Q1</v>
      </c>
      <c r="P311" s="39"/>
      <c r="Q311" s="40" t="str">
        <f>VLOOKUP(M311,Table1[#All],5,FALSE)</f>
        <v>Q2</v>
      </c>
      <c r="R311" s="79"/>
      <c r="S311" s="40" t="str">
        <f>VLOOKUP(M311,Table1[#All],6,FALSE)</f>
        <v>Q3</v>
      </c>
      <c r="T311" s="79"/>
      <c r="U311" s="40" t="str">
        <f>VLOOKUP(M311,Table1[#All],7,FALSE)</f>
        <v>Q4</v>
      </c>
      <c r="V311" s="79"/>
      <c r="W311" s="40" t="str">
        <f>VLOOKUP(M311,Table1[#All],8,FALSE)</f>
        <v>Q5</v>
      </c>
      <c r="X311" s="79"/>
      <c r="Y311" s="44" t="str">
        <f>VLOOKUP(M311,Table1[#All],2,FALSE)</f>
        <v>Action</v>
      </c>
      <c r="Z311" s="59" t="str">
        <f>VLOOKUP(M311,Table1[#All],9,FALSE)</f>
        <v>Additional Notes:</v>
      </c>
      <c r="AA311" s="76"/>
      <c r="AB311" s="76"/>
      <c r="AC311" s="90" t="s">
        <v>91</v>
      </c>
      <c r="AD311" s="76" t="s">
        <v>91</v>
      </c>
      <c r="AE311" s="77"/>
      <c r="AF311" s="77"/>
      <c r="AG311" s="41" t="s">
        <v>91</v>
      </c>
    </row>
    <row r="312" spans="1:33" ht="21" hidden="1" x14ac:dyDescent="0.55000000000000004">
      <c r="A312" s="44" t="str">
        <f>Data!K311</f>
        <v>DPOW-CCHP</v>
      </c>
      <c r="B312" s="44" t="str">
        <f>Data!L311</f>
        <v>4143899880</v>
      </c>
      <c r="C312" s="44" t="str">
        <f>Data!D311</f>
        <v>Galaviz Rueda, Stephanie</v>
      </c>
      <c r="D312" s="82" t="str">
        <f>Data!F311</f>
        <v>2448223220</v>
      </c>
      <c r="E312" s="82" t="str">
        <f>Data!B311</f>
        <v>3440</v>
      </c>
      <c r="F312" s="44" t="str">
        <f>Data!A311</f>
        <v>Galaviz Rueda, Stephanie</v>
      </c>
      <c r="G312" s="55" t="str">
        <f>Data!C311</f>
        <v>6/3/2015</v>
      </c>
      <c r="H312" s="56">
        <f>Data!H311</f>
        <v>44576</v>
      </c>
      <c r="I312" s="56" t="str">
        <f>Data!I311</f>
        <v>1/17/2022</v>
      </c>
      <c r="J312" s="57">
        <f>Data!J311</f>
        <v>227.6</v>
      </c>
      <c r="K312" s="58">
        <f t="shared" ca="1" si="4"/>
        <v>122</v>
      </c>
      <c r="L312" s="58">
        <f>Data!M311</f>
        <v>0</v>
      </c>
      <c r="M312" s="37" t="s">
        <v>26</v>
      </c>
      <c r="N312" s="43" t="str">
        <f>VLOOKUP(M312,Table1[#All],3,FALSE)</f>
        <v>Note</v>
      </c>
      <c r="O312" s="40" t="str">
        <f>VLOOKUP(M312,Table1[#All],4,FALSE)</f>
        <v>Q1</v>
      </c>
      <c r="P312" s="39"/>
      <c r="Q312" s="40" t="str">
        <f>VLOOKUP(M312,Table1[#All],5,FALSE)</f>
        <v>Q2</v>
      </c>
      <c r="R312" s="79"/>
      <c r="S312" s="40" t="str">
        <f>VLOOKUP(M312,Table1[#All],6,FALSE)</f>
        <v>Q3</v>
      </c>
      <c r="T312" s="79"/>
      <c r="U312" s="40" t="str">
        <f>VLOOKUP(M312,Table1[#All],7,FALSE)</f>
        <v>Q4</v>
      </c>
      <c r="V312" s="79"/>
      <c r="W312" s="40" t="str">
        <f>VLOOKUP(M312,Table1[#All],8,FALSE)</f>
        <v>Q5</v>
      </c>
      <c r="X312" s="79"/>
      <c r="Y312" s="44" t="str">
        <f>VLOOKUP(M312,Table1[#All],2,FALSE)</f>
        <v>Action</v>
      </c>
      <c r="Z312" s="59" t="str">
        <f>VLOOKUP(M312,Table1[#All],9,FALSE)</f>
        <v>Additional Notes:</v>
      </c>
      <c r="AA312" s="76"/>
      <c r="AB312" s="76"/>
      <c r="AC312" s="90" t="s">
        <v>91</v>
      </c>
      <c r="AD312" s="76" t="s">
        <v>91</v>
      </c>
      <c r="AE312" s="77"/>
      <c r="AF312" s="77"/>
      <c r="AG312" s="41" t="s">
        <v>91</v>
      </c>
    </row>
    <row r="313" spans="1:33" ht="21" hidden="1" x14ac:dyDescent="0.55000000000000004">
      <c r="A313" s="44" t="str">
        <f>Data!K312</f>
        <v>DPOW-CCHP</v>
      </c>
      <c r="B313" s="44" t="str">
        <f>Data!L312</f>
        <v>4143899880</v>
      </c>
      <c r="C313" s="44" t="str">
        <f>Data!D312</f>
        <v>Galaviz Rueda, Thomas</v>
      </c>
      <c r="D313" s="82" t="str">
        <f>Data!F312</f>
        <v>5444831252</v>
      </c>
      <c r="E313" s="82" t="str">
        <f>Data!B312</f>
        <v>4388</v>
      </c>
      <c r="F313" s="44" t="str">
        <f>Data!A312</f>
        <v>Galaviz Rueda, Thomas</v>
      </c>
      <c r="G313" s="55" t="str">
        <f>Data!C312</f>
        <v>9/23/2013</v>
      </c>
      <c r="H313" s="56">
        <f>Data!H312</f>
        <v>44576</v>
      </c>
      <c r="I313" s="56" t="str">
        <f>Data!I312</f>
        <v>1/17/2022</v>
      </c>
      <c r="J313" s="57">
        <f>Data!J312</f>
        <v>227.6</v>
      </c>
      <c r="K313" s="58">
        <f t="shared" ca="1" si="4"/>
        <v>122</v>
      </c>
      <c r="L313" s="58">
        <f>Data!M312</f>
        <v>0</v>
      </c>
      <c r="M313" s="37" t="s">
        <v>26</v>
      </c>
      <c r="N313" s="43" t="str">
        <f>VLOOKUP(M313,Table1[#All],3,FALSE)</f>
        <v>Note</v>
      </c>
      <c r="O313" s="40" t="str">
        <f>VLOOKUP(M313,Table1[#All],4,FALSE)</f>
        <v>Q1</v>
      </c>
      <c r="P313" s="39"/>
      <c r="Q313" s="40" t="str">
        <f>VLOOKUP(M313,Table1[#All],5,FALSE)</f>
        <v>Q2</v>
      </c>
      <c r="R313" s="79"/>
      <c r="S313" s="40" t="str">
        <f>VLOOKUP(M313,Table1[#All],6,FALSE)</f>
        <v>Q3</v>
      </c>
      <c r="T313" s="79"/>
      <c r="U313" s="40" t="str">
        <f>VLOOKUP(M313,Table1[#All],7,FALSE)</f>
        <v>Q4</v>
      </c>
      <c r="V313" s="79"/>
      <c r="W313" s="40" t="str">
        <f>VLOOKUP(M313,Table1[#All],8,FALSE)</f>
        <v>Q5</v>
      </c>
      <c r="X313" s="79"/>
      <c r="Y313" s="44" t="str">
        <f>VLOOKUP(M313,Table1[#All],2,FALSE)</f>
        <v>Action</v>
      </c>
      <c r="Z313" s="59" t="str">
        <f>VLOOKUP(M313,Table1[#All],9,FALSE)</f>
        <v>Additional Notes:</v>
      </c>
      <c r="AA313" s="76"/>
      <c r="AB313" s="76"/>
      <c r="AC313" s="90" t="s">
        <v>91</v>
      </c>
      <c r="AD313" s="76" t="s">
        <v>91</v>
      </c>
      <c r="AE313" s="77"/>
      <c r="AF313" s="77"/>
      <c r="AG313" s="41" t="s">
        <v>91</v>
      </c>
    </row>
    <row r="314" spans="1:33" ht="21" hidden="1" x14ac:dyDescent="0.55000000000000004">
      <c r="A314" s="44" t="str">
        <f>Data!K313</f>
        <v>DPOW-CCHP</v>
      </c>
      <c r="B314" s="44" t="str">
        <f>Data!L313</f>
        <v>4143899880</v>
      </c>
      <c r="C314" s="44" t="str">
        <f>Data!D313</f>
        <v>Ventura, Arieana</v>
      </c>
      <c r="D314" s="82" t="str">
        <f>Data!F313</f>
        <v>2448343926</v>
      </c>
      <c r="E314" s="82" t="str">
        <f>Data!B313</f>
        <v>8573</v>
      </c>
      <c r="F314" s="44" t="str">
        <f>Data!A313</f>
        <v>Ventura, Arieana</v>
      </c>
      <c r="G314" s="55" t="str">
        <f>Data!C313</f>
        <v>7/7/2015</v>
      </c>
      <c r="H314" s="56">
        <f>Data!H313</f>
        <v>44575</v>
      </c>
      <c r="I314" s="56" t="str">
        <f>Data!I313</f>
        <v>1/17/2022</v>
      </c>
      <c r="J314" s="57">
        <f>Data!J313</f>
        <v>418</v>
      </c>
      <c r="K314" s="58">
        <f t="shared" ca="1" si="4"/>
        <v>122</v>
      </c>
      <c r="L314" s="58">
        <f>Data!M313</f>
        <v>0</v>
      </c>
      <c r="M314" s="37" t="s">
        <v>26</v>
      </c>
      <c r="N314" s="43" t="str">
        <f>VLOOKUP(M314,Table1[#All],3,FALSE)</f>
        <v>Note</v>
      </c>
      <c r="O314" s="40" t="str">
        <f>VLOOKUP(M314,Table1[#All],4,FALSE)</f>
        <v>Q1</v>
      </c>
      <c r="P314" s="39"/>
      <c r="Q314" s="40" t="str">
        <f>VLOOKUP(M314,Table1[#All],5,FALSE)</f>
        <v>Q2</v>
      </c>
      <c r="R314" s="79"/>
      <c r="S314" s="40" t="str">
        <f>VLOOKUP(M314,Table1[#All],6,FALSE)</f>
        <v>Q3</v>
      </c>
      <c r="T314" s="79"/>
      <c r="U314" s="40" t="str">
        <f>VLOOKUP(M314,Table1[#All],7,FALSE)</f>
        <v>Q4</v>
      </c>
      <c r="V314" s="79"/>
      <c r="W314" s="40" t="str">
        <f>VLOOKUP(M314,Table1[#All],8,FALSE)</f>
        <v>Q5</v>
      </c>
      <c r="X314" s="79"/>
      <c r="Y314" s="44" t="str">
        <f>VLOOKUP(M314,Table1[#All],2,FALSE)</f>
        <v>Action</v>
      </c>
      <c r="Z314" s="59" t="str">
        <f>VLOOKUP(M314,Table1[#All],9,FALSE)</f>
        <v>Additional Notes:</v>
      </c>
      <c r="AA314" s="76"/>
      <c r="AB314" s="76"/>
      <c r="AC314" s="90" t="s">
        <v>91</v>
      </c>
      <c r="AD314" s="76" t="s">
        <v>91</v>
      </c>
      <c r="AE314" s="77"/>
      <c r="AF314" s="77"/>
      <c r="AG314" s="41" t="s">
        <v>91</v>
      </c>
    </row>
    <row r="315" spans="1:33" ht="21" hidden="1" x14ac:dyDescent="0.55000000000000004">
      <c r="A315" s="44" t="str">
        <f>Data!K314</f>
        <v>DPOW-CCHP</v>
      </c>
      <c r="B315" s="44" t="str">
        <f>Data!L314</f>
        <v>4143899880</v>
      </c>
      <c r="C315" s="44" t="str">
        <f>Data!D314</f>
        <v>Henges , Robert</v>
      </c>
      <c r="D315" s="82" t="str">
        <f>Data!F314</f>
        <v>6400608061</v>
      </c>
      <c r="E315" s="82" t="str">
        <f>Data!B314</f>
        <v>8747</v>
      </c>
      <c r="F315" s="44" t="str">
        <f>Data!A314</f>
        <v>Henges , Robert</v>
      </c>
      <c r="G315" s="55" t="str">
        <f>Data!C314</f>
        <v>5/31/1987</v>
      </c>
      <c r="H315" s="56">
        <f>Data!H314</f>
        <v>44575</v>
      </c>
      <c r="I315" s="56" t="str">
        <f>Data!I314</f>
        <v>1/17/2022</v>
      </c>
      <c r="J315" s="57">
        <f>Data!J314</f>
        <v>162</v>
      </c>
      <c r="K315" s="58">
        <f t="shared" ca="1" si="4"/>
        <v>122</v>
      </c>
      <c r="L315" s="58">
        <f>Data!M314</f>
        <v>0</v>
      </c>
      <c r="M315" s="37" t="s">
        <v>26</v>
      </c>
      <c r="N315" s="43" t="str">
        <f>VLOOKUP(M315,Table1[#All],3,FALSE)</f>
        <v>Note</v>
      </c>
      <c r="O315" s="40" t="str">
        <f>VLOOKUP(M315,Table1[#All],4,FALSE)</f>
        <v>Q1</v>
      </c>
      <c r="P315" s="39"/>
      <c r="Q315" s="40" t="str">
        <f>VLOOKUP(M315,Table1[#All],5,FALSE)</f>
        <v>Q2</v>
      </c>
      <c r="R315" s="79"/>
      <c r="S315" s="40" t="str">
        <f>VLOOKUP(M315,Table1[#All],6,FALSE)</f>
        <v>Q3</v>
      </c>
      <c r="T315" s="79"/>
      <c r="U315" s="40" t="str">
        <f>VLOOKUP(M315,Table1[#All],7,FALSE)</f>
        <v>Q4</v>
      </c>
      <c r="V315" s="79"/>
      <c r="W315" s="40" t="str">
        <f>VLOOKUP(M315,Table1[#All],8,FALSE)</f>
        <v>Q5</v>
      </c>
      <c r="X315" s="79"/>
      <c r="Y315" s="44" t="str">
        <f>VLOOKUP(M315,Table1[#All],2,FALSE)</f>
        <v>Action</v>
      </c>
      <c r="Z315" s="59" t="str">
        <f>VLOOKUP(M315,Table1[#All],9,FALSE)</f>
        <v>Additional Notes:</v>
      </c>
      <c r="AA315" s="76"/>
      <c r="AB315" s="76"/>
      <c r="AC315" s="90" t="s">
        <v>91</v>
      </c>
      <c r="AD315" s="76" t="s">
        <v>91</v>
      </c>
      <c r="AE315" s="77"/>
      <c r="AF315" s="77"/>
      <c r="AG315" s="41" t="s">
        <v>91</v>
      </c>
    </row>
    <row r="316" spans="1:33" ht="21" hidden="1" x14ac:dyDescent="0.55000000000000004">
      <c r="A316" s="44" t="str">
        <f>Data!K315</f>
        <v>DPOW-CCHP</v>
      </c>
      <c r="B316" s="44" t="str">
        <f>Data!L315</f>
        <v>4143899880</v>
      </c>
      <c r="C316" s="44" t="str">
        <f>Data!D315</f>
        <v>Zuniga Aranda, Sipriano</v>
      </c>
      <c r="D316" s="82" t="str">
        <f>Data!F315</f>
        <v>9439169290</v>
      </c>
      <c r="E316" s="82" t="str">
        <f>Data!B315</f>
        <v>2501</v>
      </c>
      <c r="F316" s="44" t="str">
        <f>Data!A315</f>
        <v>Zuniga Aranda, Sipriano</v>
      </c>
      <c r="G316" s="55" t="str">
        <f>Data!C315</f>
        <v>9/12/2010</v>
      </c>
      <c r="H316" s="56">
        <f>Data!H315</f>
        <v>44575</v>
      </c>
      <c r="I316" s="56" t="str">
        <f>Data!I315</f>
        <v>1/14/2022</v>
      </c>
      <c r="J316" s="57">
        <f>Data!J315</f>
        <v>227.6</v>
      </c>
      <c r="K316" s="58">
        <f t="shared" ca="1" si="4"/>
        <v>125</v>
      </c>
      <c r="L316" s="58">
        <f>Data!M315</f>
        <v>0</v>
      </c>
      <c r="M316" s="37" t="s">
        <v>26</v>
      </c>
      <c r="N316" s="43" t="str">
        <f>VLOOKUP(M316,Table1[#All],3,FALSE)</f>
        <v>Note</v>
      </c>
      <c r="O316" s="40" t="str">
        <f>VLOOKUP(M316,Table1[#All],4,FALSE)</f>
        <v>Q1</v>
      </c>
      <c r="P316" s="39"/>
      <c r="Q316" s="40" t="str">
        <f>VLOOKUP(M316,Table1[#All],5,FALSE)</f>
        <v>Q2</v>
      </c>
      <c r="R316" s="79"/>
      <c r="S316" s="40" t="str">
        <f>VLOOKUP(M316,Table1[#All],6,FALSE)</f>
        <v>Q3</v>
      </c>
      <c r="T316" s="79"/>
      <c r="U316" s="40" t="str">
        <f>VLOOKUP(M316,Table1[#All],7,FALSE)</f>
        <v>Q4</v>
      </c>
      <c r="V316" s="79"/>
      <c r="W316" s="40" t="str">
        <f>VLOOKUP(M316,Table1[#All],8,FALSE)</f>
        <v>Q5</v>
      </c>
      <c r="X316" s="79"/>
      <c r="Y316" s="44" t="str">
        <f>VLOOKUP(M316,Table1[#All],2,FALSE)</f>
        <v>Action</v>
      </c>
      <c r="Z316" s="59" t="str">
        <f>VLOOKUP(M316,Table1[#All],9,FALSE)</f>
        <v>Additional Notes:</v>
      </c>
      <c r="AA316" s="76"/>
      <c r="AB316" s="76"/>
      <c r="AC316" s="90" t="s">
        <v>91</v>
      </c>
      <c r="AD316" s="76" t="s">
        <v>91</v>
      </c>
      <c r="AE316" s="77"/>
      <c r="AF316" s="77"/>
      <c r="AG316" s="41" t="s">
        <v>91</v>
      </c>
    </row>
    <row r="317" spans="1:33" ht="21" hidden="1" x14ac:dyDescent="0.55000000000000004">
      <c r="A317" s="44" t="str">
        <f>Data!K316</f>
        <v>DPOW-CCHP</v>
      </c>
      <c r="B317" s="44" t="str">
        <f>Data!L316</f>
        <v>4143899880</v>
      </c>
      <c r="C317" s="44" t="str">
        <f>Data!D316</f>
        <v>Rios, Fernando</v>
      </c>
      <c r="D317" s="82" t="str">
        <f>Data!F316</f>
        <v>9401994293</v>
      </c>
      <c r="E317" s="82" t="str">
        <f>Data!B316</f>
        <v>3740</v>
      </c>
      <c r="F317" s="44" t="str">
        <f>Data!A316</f>
        <v>Rios, Fernando</v>
      </c>
      <c r="G317" s="55" t="str">
        <f>Data!C316</f>
        <v>3/6/2003</v>
      </c>
      <c r="H317" s="56">
        <f>Data!H316</f>
        <v>44574</v>
      </c>
      <c r="I317" s="56" t="str">
        <f>Data!I316</f>
        <v>1/14/2022</v>
      </c>
      <c r="J317" s="57">
        <f>Data!J316</f>
        <v>337.2</v>
      </c>
      <c r="K317" s="58">
        <f t="shared" ca="1" si="4"/>
        <v>125</v>
      </c>
      <c r="L317" s="58">
        <f>Data!M316</f>
        <v>0</v>
      </c>
      <c r="M317" s="37" t="s">
        <v>26</v>
      </c>
      <c r="N317" s="43" t="str">
        <f>VLOOKUP(M317,Table1[#All],3,FALSE)</f>
        <v>Note</v>
      </c>
      <c r="O317" s="40" t="str">
        <f>VLOOKUP(M317,Table1[#All],4,FALSE)</f>
        <v>Q1</v>
      </c>
      <c r="P317" s="39"/>
      <c r="Q317" s="40" t="str">
        <f>VLOOKUP(M317,Table1[#All],5,FALSE)</f>
        <v>Q2</v>
      </c>
      <c r="R317" s="79"/>
      <c r="S317" s="40" t="str">
        <f>VLOOKUP(M317,Table1[#All],6,FALSE)</f>
        <v>Q3</v>
      </c>
      <c r="T317" s="79"/>
      <c r="U317" s="40" t="str">
        <f>VLOOKUP(M317,Table1[#All],7,FALSE)</f>
        <v>Q4</v>
      </c>
      <c r="V317" s="79"/>
      <c r="W317" s="40" t="str">
        <f>VLOOKUP(M317,Table1[#All],8,FALSE)</f>
        <v>Q5</v>
      </c>
      <c r="X317" s="79"/>
      <c r="Y317" s="44" t="str">
        <f>VLOOKUP(M317,Table1[#All],2,FALSE)</f>
        <v>Action</v>
      </c>
      <c r="Z317" s="59" t="str">
        <f>VLOOKUP(M317,Table1[#All],9,FALSE)</f>
        <v>Additional Notes:</v>
      </c>
      <c r="AA317" s="76"/>
      <c r="AB317" s="76"/>
      <c r="AC317" s="90" t="s">
        <v>91</v>
      </c>
      <c r="AD317" s="76" t="s">
        <v>91</v>
      </c>
      <c r="AE317" s="77"/>
      <c r="AF317" s="77"/>
      <c r="AG317" s="41" t="s">
        <v>91</v>
      </c>
    </row>
    <row r="318" spans="1:33" ht="21" hidden="1" x14ac:dyDescent="0.55000000000000004">
      <c r="A318" s="44" t="str">
        <f>Data!K317</f>
        <v>DPOW-CCHP</v>
      </c>
      <c r="B318" s="44" t="str">
        <f>Data!L317</f>
        <v>4143899880</v>
      </c>
      <c r="C318" s="44" t="str">
        <f>Data!D317</f>
        <v xml:space="preserve">Febres Orta , Carol </v>
      </c>
      <c r="D318" s="82" t="str">
        <f>Data!F317</f>
        <v>0450067807</v>
      </c>
      <c r="E318" s="82" t="str">
        <f>Data!B317</f>
        <v>8290</v>
      </c>
      <c r="F318" s="44" t="str">
        <f>Data!A317</f>
        <v xml:space="preserve">Febres Orta , Carol </v>
      </c>
      <c r="G318" s="55" t="str">
        <f>Data!C317</f>
        <v>7/13/1990</v>
      </c>
      <c r="H318" s="56">
        <f>Data!H317</f>
        <v>44574</v>
      </c>
      <c r="I318" s="56" t="str">
        <f>Data!I317</f>
        <v>1/14/2022</v>
      </c>
      <c r="J318" s="57">
        <f>Data!J317</f>
        <v>396</v>
      </c>
      <c r="K318" s="58">
        <f t="shared" ca="1" si="4"/>
        <v>125</v>
      </c>
      <c r="L318" s="58">
        <f>Data!M317</f>
        <v>0</v>
      </c>
      <c r="M318" s="37" t="s">
        <v>26</v>
      </c>
      <c r="N318" s="43" t="str">
        <f>VLOOKUP(M318,Table1[#All],3,FALSE)</f>
        <v>Note</v>
      </c>
      <c r="O318" s="40" t="str">
        <f>VLOOKUP(M318,Table1[#All],4,FALSE)</f>
        <v>Q1</v>
      </c>
      <c r="P318" s="39"/>
      <c r="Q318" s="40" t="str">
        <f>VLOOKUP(M318,Table1[#All],5,FALSE)</f>
        <v>Q2</v>
      </c>
      <c r="R318" s="79"/>
      <c r="S318" s="40" t="str">
        <f>VLOOKUP(M318,Table1[#All],6,FALSE)</f>
        <v>Q3</v>
      </c>
      <c r="T318" s="79"/>
      <c r="U318" s="40" t="str">
        <f>VLOOKUP(M318,Table1[#All],7,FALSE)</f>
        <v>Q4</v>
      </c>
      <c r="V318" s="79"/>
      <c r="W318" s="40" t="str">
        <f>VLOOKUP(M318,Table1[#All],8,FALSE)</f>
        <v>Q5</v>
      </c>
      <c r="X318" s="79"/>
      <c r="Y318" s="44" t="str">
        <f>VLOOKUP(M318,Table1[#All],2,FALSE)</f>
        <v>Action</v>
      </c>
      <c r="Z318" s="59" t="str">
        <f>VLOOKUP(M318,Table1[#All],9,FALSE)</f>
        <v>Additional Notes:</v>
      </c>
      <c r="AA318" s="76"/>
      <c r="AB318" s="76"/>
      <c r="AC318" s="90" t="s">
        <v>91</v>
      </c>
      <c r="AD318" s="76" t="s">
        <v>91</v>
      </c>
      <c r="AE318" s="77"/>
      <c r="AF318" s="77"/>
      <c r="AG318" s="41" t="s">
        <v>91</v>
      </c>
    </row>
    <row r="319" spans="1:33" ht="21" hidden="1" x14ac:dyDescent="0.55000000000000004">
      <c r="A319" s="44" t="str">
        <f>Data!K318</f>
        <v>DPOW-CCHP</v>
      </c>
      <c r="B319" s="44" t="str">
        <f>Data!L318</f>
        <v>4143899880</v>
      </c>
      <c r="C319" s="44" t="str">
        <f>Data!D318</f>
        <v>SOSA, JULISA</v>
      </c>
      <c r="D319" s="82" t="str">
        <f>Data!F318</f>
        <v>6405267865</v>
      </c>
      <c r="E319" s="82" t="str">
        <f>Data!B318</f>
        <v>3687</v>
      </c>
      <c r="F319" s="44" t="str">
        <f>Data!A318</f>
        <v>SOSA, JULISA</v>
      </c>
      <c r="G319" s="55" t="str">
        <f>Data!C318</f>
        <v>7/13/1993</v>
      </c>
      <c r="H319" s="56">
        <f>Data!H318</f>
        <v>44574</v>
      </c>
      <c r="I319" s="56" t="str">
        <f>Data!I318</f>
        <v>1/14/2022</v>
      </c>
      <c r="J319" s="57">
        <f>Data!J318</f>
        <v>266</v>
      </c>
      <c r="K319" s="58">
        <f t="shared" ca="1" si="4"/>
        <v>125</v>
      </c>
      <c r="L319" s="58">
        <f>Data!M318</f>
        <v>0</v>
      </c>
      <c r="M319" s="37" t="s">
        <v>26</v>
      </c>
      <c r="N319" s="43" t="str">
        <f>VLOOKUP(M319,Table1[#All],3,FALSE)</f>
        <v>Note</v>
      </c>
      <c r="O319" s="40" t="str">
        <f>VLOOKUP(M319,Table1[#All],4,FALSE)</f>
        <v>Q1</v>
      </c>
      <c r="P319" s="39"/>
      <c r="Q319" s="40" t="str">
        <f>VLOOKUP(M319,Table1[#All],5,FALSE)</f>
        <v>Q2</v>
      </c>
      <c r="R319" s="79"/>
      <c r="S319" s="40" t="str">
        <f>VLOOKUP(M319,Table1[#All],6,FALSE)</f>
        <v>Q3</v>
      </c>
      <c r="T319" s="79"/>
      <c r="U319" s="40" t="str">
        <f>VLOOKUP(M319,Table1[#All],7,FALSE)</f>
        <v>Q4</v>
      </c>
      <c r="V319" s="79"/>
      <c r="W319" s="40" t="str">
        <f>VLOOKUP(M319,Table1[#All],8,FALSE)</f>
        <v>Q5</v>
      </c>
      <c r="X319" s="79"/>
      <c r="Y319" s="44" t="str">
        <f>VLOOKUP(M319,Table1[#All],2,FALSE)</f>
        <v>Action</v>
      </c>
      <c r="Z319" s="59" t="str">
        <f>VLOOKUP(M319,Table1[#All],9,FALSE)</f>
        <v>Additional Notes:</v>
      </c>
      <c r="AA319" s="76"/>
      <c r="AB319" s="76"/>
      <c r="AC319" s="90" t="s">
        <v>91</v>
      </c>
      <c r="AD319" s="76" t="s">
        <v>91</v>
      </c>
      <c r="AE319" s="77"/>
      <c r="AF319" s="77"/>
      <c r="AG319" s="41" t="s">
        <v>91</v>
      </c>
    </row>
    <row r="320" spans="1:33" ht="21" hidden="1" x14ac:dyDescent="0.55000000000000004">
      <c r="A320" s="44" t="str">
        <f>Data!K319</f>
        <v>DPOW-CCHP</v>
      </c>
      <c r="B320" s="44" t="str">
        <f>Data!L319</f>
        <v>4143899880</v>
      </c>
      <c r="C320" s="44" t="str">
        <f>Data!D319</f>
        <v>Lin, Ethan</v>
      </c>
      <c r="D320" s="82" t="str">
        <f>Data!F319</f>
        <v>9449874590</v>
      </c>
      <c r="E320" s="82" t="str">
        <f>Data!B319</f>
        <v>8804</v>
      </c>
      <c r="F320" s="44" t="str">
        <f>Data!A319</f>
        <v>Lin, Ethan</v>
      </c>
      <c r="G320" s="55" t="str">
        <f>Data!C319</f>
        <v>6/19/2013</v>
      </c>
      <c r="H320" s="56">
        <f>Data!H319</f>
        <v>44574</v>
      </c>
      <c r="I320" s="56" t="str">
        <f>Data!I319</f>
        <v>1/14/2022</v>
      </c>
      <c r="J320" s="57">
        <f>Data!J319</f>
        <v>1637.2</v>
      </c>
      <c r="K320" s="58">
        <f t="shared" ca="1" si="4"/>
        <v>125</v>
      </c>
      <c r="L320" s="58">
        <f>Data!M319</f>
        <v>0</v>
      </c>
      <c r="M320" s="37" t="s">
        <v>26</v>
      </c>
      <c r="N320" s="43" t="str">
        <f>VLOOKUP(M320,Table1[#All],3,FALSE)</f>
        <v>Note</v>
      </c>
      <c r="O320" s="40" t="str">
        <f>VLOOKUP(M320,Table1[#All],4,FALSE)</f>
        <v>Q1</v>
      </c>
      <c r="P320" s="39"/>
      <c r="Q320" s="40" t="str">
        <f>VLOOKUP(M320,Table1[#All],5,FALSE)</f>
        <v>Q2</v>
      </c>
      <c r="R320" s="79"/>
      <c r="S320" s="40" t="str">
        <f>VLOOKUP(M320,Table1[#All],6,FALSE)</f>
        <v>Q3</v>
      </c>
      <c r="T320" s="79"/>
      <c r="U320" s="40" t="str">
        <f>VLOOKUP(M320,Table1[#All],7,FALSE)</f>
        <v>Q4</v>
      </c>
      <c r="V320" s="79"/>
      <c r="W320" s="40" t="str">
        <f>VLOOKUP(M320,Table1[#All],8,FALSE)</f>
        <v>Q5</v>
      </c>
      <c r="X320" s="79"/>
      <c r="Y320" s="44" t="str">
        <f>VLOOKUP(M320,Table1[#All],2,FALSE)</f>
        <v>Action</v>
      </c>
      <c r="Z320" s="59" t="str">
        <f>VLOOKUP(M320,Table1[#All],9,FALSE)</f>
        <v>Additional Notes:</v>
      </c>
      <c r="AA320" s="76"/>
      <c r="AB320" s="76"/>
      <c r="AC320" s="90" t="s">
        <v>91</v>
      </c>
      <c r="AD320" s="76" t="s">
        <v>91</v>
      </c>
      <c r="AE320" s="77"/>
      <c r="AF320" s="77"/>
      <c r="AG320" s="41" t="s">
        <v>91</v>
      </c>
    </row>
    <row r="321" spans="1:33" ht="21" hidden="1" x14ac:dyDescent="0.55000000000000004">
      <c r="A321" s="44" t="str">
        <f>Data!K320</f>
        <v>DPOW-CCHP</v>
      </c>
      <c r="B321" s="44" t="str">
        <f>Data!L320</f>
        <v>4143899880</v>
      </c>
      <c r="C321" s="44" t="str">
        <f>Data!D320</f>
        <v xml:space="preserve">Fitzgerald , Liam </v>
      </c>
      <c r="D321" s="82" t="str">
        <f>Data!F320</f>
        <v>8449601088</v>
      </c>
      <c r="E321" s="82" t="str">
        <f>Data!B320</f>
        <v>8850</v>
      </c>
      <c r="F321" s="44" t="str">
        <f>Data!A320</f>
        <v xml:space="preserve">Fitzgerald , Liam </v>
      </c>
      <c r="G321" s="55" t="str">
        <f>Data!C320</f>
        <v>3/11/2016</v>
      </c>
      <c r="H321" s="56">
        <f>Data!H320</f>
        <v>44574</v>
      </c>
      <c r="I321" s="56" t="str">
        <f>Data!I320</f>
        <v>1/14/2022</v>
      </c>
      <c r="J321" s="57">
        <f>Data!J320</f>
        <v>256.39999999999998</v>
      </c>
      <c r="K321" s="58">
        <f t="shared" ca="1" si="4"/>
        <v>125</v>
      </c>
      <c r="L321" s="58">
        <f>Data!M320</f>
        <v>0</v>
      </c>
      <c r="M321" s="37" t="s">
        <v>26</v>
      </c>
      <c r="N321" s="43" t="str">
        <f>VLOOKUP(M321,Table1[#All],3,FALSE)</f>
        <v>Note</v>
      </c>
      <c r="O321" s="40" t="str">
        <f>VLOOKUP(M321,Table1[#All],4,FALSE)</f>
        <v>Q1</v>
      </c>
      <c r="P321" s="39"/>
      <c r="Q321" s="40" t="str">
        <f>VLOOKUP(M321,Table1[#All],5,FALSE)</f>
        <v>Q2</v>
      </c>
      <c r="R321" s="79"/>
      <c r="S321" s="40" t="str">
        <f>VLOOKUP(M321,Table1[#All],6,FALSE)</f>
        <v>Q3</v>
      </c>
      <c r="T321" s="79"/>
      <c r="U321" s="40" t="str">
        <f>VLOOKUP(M321,Table1[#All],7,FALSE)</f>
        <v>Q4</v>
      </c>
      <c r="V321" s="79"/>
      <c r="W321" s="40" t="str">
        <f>VLOOKUP(M321,Table1[#All],8,FALSE)</f>
        <v>Q5</v>
      </c>
      <c r="X321" s="79"/>
      <c r="Y321" s="44" t="str">
        <f>VLOOKUP(M321,Table1[#All],2,FALSE)</f>
        <v>Action</v>
      </c>
      <c r="Z321" s="59" t="str">
        <f>VLOOKUP(M321,Table1[#All],9,FALSE)</f>
        <v>Additional Notes:</v>
      </c>
      <c r="AA321" s="76"/>
      <c r="AB321" s="76"/>
      <c r="AC321" s="90" t="s">
        <v>91</v>
      </c>
      <c r="AD321" s="76" t="s">
        <v>91</v>
      </c>
      <c r="AE321" s="77"/>
      <c r="AF321" s="77"/>
      <c r="AG321" s="41" t="s">
        <v>91</v>
      </c>
    </row>
    <row r="322" spans="1:33" ht="21" hidden="1" x14ac:dyDescent="0.55000000000000004">
      <c r="A322" s="44" t="str">
        <f>Data!K321</f>
        <v>DPOW-CCHP</v>
      </c>
      <c r="B322" s="44" t="str">
        <f>Data!L321</f>
        <v>4143899880</v>
      </c>
      <c r="C322" s="44" t="str">
        <f>Data!D321</f>
        <v xml:space="preserve">Hassan , Nur Fatimah </v>
      </c>
      <c r="D322" s="82" t="str">
        <f>Data!F321</f>
        <v>1448754313</v>
      </c>
      <c r="E322" s="82" t="str">
        <f>Data!B321</f>
        <v>8855</v>
      </c>
      <c r="F322" s="44" t="str">
        <f>Data!A321</f>
        <v xml:space="preserve">Hassan , Nur Fatimah </v>
      </c>
      <c r="G322" s="55" t="str">
        <f>Data!C321</f>
        <v>1/1/1988</v>
      </c>
      <c r="H322" s="56">
        <f>Data!H321</f>
        <v>44574</v>
      </c>
      <c r="I322" s="56" t="str">
        <f>Data!I321</f>
        <v>1/14/2022</v>
      </c>
      <c r="J322" s="57">
        <f>Data!J321</f>
        <v>216</v>
      </c>
      <c r="K322" s="58">
        <f t="shared" ca="1" si="4"/>
        <v>125</v>
      </c>
      <c r="L322" s="58">
        <f>Data!M321</f>
        <v>0</v>
      </c>
      <c r="M322" s="37" t="s">
        <v>26</v>
      </c>
      <c r="N322" s="43" t="str">
        <f>VLOOKUP(M322,Table1[#All],3,FALSE)</f>
        <v>Note</v>
      </c>
      <c r="O322" s="40" t="str">
        <f>VLOOKUP(M322,Table1[#All],4,FALSE)</f>
        <v>Q1</v>
      </c>
      <c r="P322" s="39"/>
      <c r="Q322" s="40" t="str">
        <f>VLOOKUP(M322,Table1[#All],5,FALSE)</f>
        <v>Q2</v>
      </c>
      <c r="R322" s="79"/>
      <c r="S322" s="40" t="str">
        <f>VLOOKUP(M322,Table1[#All],6,FALSE)</f>
        <v>Q3</v>
      </c>
      <c r="T322" s="79"/>
      <c r="U322" s="40" t="str">
        <f>VLOOKUP(M322,Table1[#All],7,FALSE)</f>
        <v>Q4</v>
      </c>
      <c r="V322" s="79"/>
      <c r="W322" s="40" t="str">
        <f>VLOOKUP(M322,Table1[#All],8,FALSE)</f>
        <v>Q5</v>
      </c>
      <c r="X322" s="79"/>
      <c r="Y322" s="44" t="str">
        <f>VLOOKUP(M322,Table1[#All],2,FALSE)</f>
        <v>Action</v>
      </c>
      <c r="Z322" s="59" t="str">
        <f>VLOOKUP(M322,Table1[#All],9,FALSE)</f>
        <v>Additional Notes:</v>
      </c>
      <c r="AA322" s="76"/>
      <c r="AB322" s="76"/>
      <c r="AC322" s="90" t="s">
        <v>91</v>
      </c>
      <c r="AD322" s="76" t="s">
        <v>91</v>
      </c>
      <c r="AE322" s="77"/>
      <c r="AF322" s="77"/>
      <c r="AG322" s="41" t="s">
        <v>91</v>
      </c>
    </row>
    <row r="323" spans="1:33" ht="21" hidden="1" x14ac:dyDescent="0.55000000000000004">
      <c r="A323" s="44" t="str">
        <f>Data!K322</f>
        <v>DPOW-CCHP</v>
      </c>
      <c r="B323" s="44" t="str">
        <f>Data!L322</f>
        <v>4143899880</v>
      </c>
      <c r="C323" s="44" t="str">
        <f>Data!D322</f>
        <v>Fernandez , Krystal</v>
      </c>
      <c r="D323" s="82" t="str">
        <f>Data!F322</f>
        <v>1436874017</v>
      </c>
      <c r="E323" s="82" t="str">
        <f>Data!B322</f>
        <v>2653</v>
      </c>
      <c r="F323" s="44" t="str">
        <f>Data!A322</f>
        <v>Fernandez , Krystal</v>
      </c>
      <c r="G323" s="55" t="str">
        <f>Data!C322</f>
        <v>9/21/2009</v>
      </c>
      <c r="H323" s="56">
        <f>Data!H322</f>
        <v>44573</v>
      </c>
      <c r="I323" s="56" t="str">
        <f>Data!I322</f>
        <v>1/13/2022</v>
      </c>
      <c r="J323" s="57">
        <f>Data!J322</f>
        <v>828</v>
      </c>
      <c r="K323" s="58">
        <f t="shared" ca="1" si="4"/>
        <v>126</v>
      </c>
      <c r="L323" s="58">
        <f>Data!M322</f>
        <v>0</v>
      </c>
      <c r="M323" s="37" t="s">
        <v>26</v>
      </c>
      <c r="N323" s="43" t="str">
        <f>VLOOKUP(M323,Table1[#All],3,FALSE)</f>
        <v>Note</v>
      </c>
      <c r="O323" s="40" t="str">
        <f>VLOOKUP(M323,Table1[#All],4,FALSE)</f>
        <v>Q1</v>
      </c>
      <c r="P323" s="39"/>
      <c r="Q323" s="40" t="str">
        <f>VLOOKUP(M323,Table1[#All],5,FALSE)</f>
        <v>Q2</v>
      </c>
      <c r="R323" s="79"/>
      <c r="S323" s="40" t="str">
        <f>VLOOKUP(M323,Table1[#All],6,FALSE)</f>
        <v>Q3</v>
      </c>
      <c r="T323" s="79"/>
      <c r="U323" s="40" t="str">
        <f>VLOOKUP(M323,Table1[#All],7,FALSE)</f>
        <v>Q4</v>
      </c>
      <c r="V323" s="79"/>
      <c r="W323" s="40" t="str">
        <f>VLOOKUP(M323,Table1[#All],8,FALSE)</f>
        <v>Q5</v>
      </c>
      <c r="X323" s="79"/>
      <c r="Y323" s="44" t="str">
        <f>VLOOKUP(M323,Table1[#All],2,FALSE)</f>
        <v>Action</v>
      </c>
      <c r="Z323" s="59" t="str">
        <f>VLOOKUP(M323,Table1[#All],9,FALSE)</f>
        <v>Additional Notes:</v>
      </c>
      <c r="AA323" s="76"/>
      <c r="AB323" s="76"/>
      <c r="AC323" s="90" t="s">
        <v>91</v>
      </c>
      <c r="AD323" s="76" t="s">
        <v>91</v>
      </c>
      <c r="AE323" s="77"/>
      <c r="AF323" s="77"/>
      <c r="AG323" s="41" t="s">
        <v>91</v>
      </c>
    </row>
    <row r="324" spans="1:33" ht="21" hidden="1" x14ac:dyDescent="0.55000000000000004">
      <c r="A324" s="44" t="str">
        <f>Data!K323</f>
        <v>DPOW-CCHP</v>
      </c>
      <c r="B324" s="44" t="str">
        <f>Data!L323</f>
        <v>4143899880</v>
      </c>
      <c r="C324" s="44" t="str">
        <f>Data!D323</f>
        <v>Sood, Jamal</v>
      </c>
      <c r="D324" s="82" t="str">
        <f>Data!F323</f>
        <v>0442620004</v>
      </c>
      <c r="E324" s="82" t="str">
        <f>Data!B323</f>
        <v>8834</v>
      </c>
      <c r="F324" s="44" t="str">
        <f>Data!A323</f>
        <v>Sood, Jamal</v>
      </c>
      <c r="G324" s="55" t="str">
        <f>Data!C323</f>
        <v>10/3/1969</v>
      </c>
      <c r="H324" s="56">
        <f>Data!H323</f>
        <v>44573</v>
      </c>
      <c r="I324" s="56" t="str">
        <f>Data!I323</f>
        <v>1/13/2022</v>
      </c>
      <c r="J324" s="57">
        <f>Data!J323</f>
        <v>462</v>
      </c>
      <c r="K324" s="58">
        <f t="shared" ca="1" si="4"/>
        <v>126</v>
      </c>
      <c r="L324" s="58">
        <f>Data!M323</f>
        <v>0</v>
      </c>
      <c r="M324" s="37" t="s">
        <v>26</v>
      </c>
      <c r="N324" s="43" t="str">
        <f>VLOOKUP(M324,Table1[#All],3,FALSE)</f>
        <v>Note</v>
      </c>
      <c r="O324" s="40" t="str">
        <f>VLOOKUP(M324,Table1[#All],4,FALSE)</f>
        <v>Q1</v>
      </c>
      <c r="P324" s="39"/>
      <c r="Q324" s="40" t="str">
        <f>VLOOKUP(M324,Table1[#All],5,FALSE)</f>
        <v>Q2</v>
      </c>
      <c r="R324" s="79"/>
      <c r="S324" s="40" t="str">
        <f>VLOOKUP(M324,Table1[#All],6,FALSE)</f>
        <v>Q3</v>
      </c>
      <c r="T324" s="79"/>
      <c r="U324" s="40" t="str">
        <f>VLOOKUP(M324,Table1[#All],7,FALSE)</f>
        <v>Q4</v>
      </c>
      <c r="V324" s="79"/>
      <c r="W324" s="40" t="str">
        <f>VLOOKUP(M324,Table1[#All],8,FALSE)</f>
        <v>Q5</v>
      </c>
      <c r="X324" s="79"/>
      <c r="Y324" s="44" t="str">
        <f>VLOOKUP(M324,Table1[#All],2,FALSE)</f>
        <v>Action</v>
      </c>
      <c r="Z324" s="59" t="str">
        <f>VLOOKUP(M324,Table1[#All],9,FALSE)</f>
        <v>Additional Notes:</v>
      </c>
      <c r="AA324" s="76"/>
      <c r="AB324" s="76"/>
      <c r="AC324" s="90" t="s">
        <v>91</v>
      </c>
      <c r="AD324" s="76" t="s">
        <v>91</v>
      </c>
      <c r="AE324" s="77"/>
      <c r="AF324" s="77"/>
      <c r="AG324" s="41" t="s">
        <v>91</v>
      </c>
    </row>
    <row r="325" spans="1:33" ht="21" hidden="1" x14ac:dyDescent="0.55000000000000004">
      <c r="A325" s="44" t="str">
        <f>Data!K324</f>
        <v>DPOW-CCHP</v>
      </c>
      <c r="B325" s="44" t="str">
        <f>Data!L324</f>
        <v>4143899880</v>
      </c>
      <c r="C325" s="44" t="str">
        <f>Data!D324</f>
        <v>Zarate Marin, Manuel</v>
      </c>
      <c r="D325" s="82" t="str">
        <f>Data!F324</f>
        <v>8443136987</v>
      </c>
      <c r="E325" s="82" t="str">
        <f>Data!B324</f>
        <v>8833</v>
      </c>
      <c r="F325" s="44" t="str">
        <f>Data!A324</f>
        <v>Zarate Marin, Manuel</v>
      </c>
      <c r="G325" s="55" t="str">
        <f>Data!C324</f>
        <v>5/11/1984</v>
      </c>
      <c r="H325" s="56">
        <f>Data!H324</f>
        <v>44573</v>
      </c>
      <c r="I325" s="56" t="str">
        <f>Data!I324</f>
        <v>1/13/2022</v>
      </c>
      <c r="J325" s="57">
        <f>Data!J324</f>
        <v>630</v>
      </c>
      <c r="K325" s="58">
        <f t="shared" ca="1" si="4"/>
        <v>126</v>
      </c>
      <c r="L325" s="58">
        <f>Data!M324</f>
        <v>0</v>
      </c>
      <c r="M325" s="37" t="s">
        <v>26</v>
      </c>
      <c r="N325" s="43" t="str">
        <f>VLOOKUP(M325,Table1[#All],3,FALSE)</f>
        <v>Note</v>
      </c>
      <c r="O325" s="40" t="str">
        <f>VLOOKUP(M325,Table1[#All],4,FALSE)</f>
        <v>Q1</v>
      </c>
      <c r="P325" s="39"/>
      <c r="Q325" s="40" t="str">
        <f>VLOOKUP(M325,Table1[#All],5,FALSE)</f>
        <v>Q2</v>
      </c>
      <c r="R325" s="79"/>
      <c r="S325" s="40" t="str">
        <f>VLOOKUP(M325,Table1[#All],6,FALSE)</f>
        <v>Q3</v>
      </c>
      <c r="T325" s="79"/>
      <c r="U325" s="40" t="str">
        <f>VLOOKUP(M325,Table1[#All],7,FALSE)</f>
        <v>Q4</v>
      </c>
      <c r="V325" s="79"/>
      <c r="W325" s="40" t="str">
        <f>VLOOKUP(M325,Table1[#All],8,FALSE)</f>
        <v>Q5</v>
      </c>
      <c r="X325" s="79"/>
      <c r="Y325" s="44" t="str">
        <f>VLOOKUP(M325,Table1[#All],2,FALSE)</f>
        <v>Action</v>
      </c>
      <c r="Z325" s="59" t="str">
        <f>VLOOKUP(M325,Table1[#All],9,FALSE)</f>
        <v>Additional Notes:</v>
      </c>
      <c r="AA325" s="76"/>
      <c r="AB325" s="76"/>
      <c r="AC325" s="90" t="s">
        <v>91</v>
      </c>
      <c r="AD325" s="76" t="s">
        <v>91</v>
      </c>
      <c r="AE325" s="77"/>
      <c r="AF325" s="77"/>
      <c r="AG325" s="41" t="s">
        <v>91</v>
      </c>
    </row>
    <row r="326" spans="1:33" ht="21" hidden="1" x14ac:dyDescent="0.55000000000000004">
      <c r="A326" s="44" t="str">
        <f>Data!K325</f>
        <v>DPOW-CCHP</v>
      </c>
      <c r="B326" s="44" t="str">
        <f>Data!L325</f>
        <v>4143899880</v>
      </c>
      <c r="C326" s="44" t="str">
        <f>Data!D325</f>
        <v>Ridgeway, Aliyanah</v>
      </c>
      <c r="D326" s="82" t="str">
        <f>Data!F325</f>
        <v>9443847892</v>
      </c>
      <c r="E326" s="82" t="str">
        <f>Data!B325</f>
        <v>8633</v>
      </c>
      <c r="F326" s="44" t="str">
        <f>Data!A325</f>
        <v>Ridgeway, Aliyanah</v>
      </c>
      <c r="G326" s="55" t="str">
        <f>Data!C325</f>
        <v>3/24/2013</v>
      </c>
      <c r="H326" s="56">
        <f>Data!H325</f>
        <v>44573</v>
      </c>
      <c r="I326" s="56" t="str">
        <f>Data!I325</f>
        <v>1/13/2022</v>
      </c>
      <c r="J326" s="57">
        <f>Data!J325</f>
        <v>940</v>
      </c>
      <c r="K326" s="58">
        <f t="shared" ref="K326:K389" ca="1" si="5">TODAY()-I326</f>
        <v>126</v>
      </c>
      <c r="L326" s="58">
        <f>Data!M325</f>
        <v>0</v>
      </c>
      <c r="M326" s="37" t="s">
        <v>26</v>
      </c>
      <c r="N326" s="43" t="str">
        <f>VLOOKUP(M326,Table1[#All],3,FALSE)</f>
        <v>Note</v>
      </c>
      <c r="O326" s="40" t="str">
        <f>VLOOKUP(M326,Table1[#All],4,FALSE)</f>
        <v>Q1</v>
      </c>
      <c r="P326" s="39"/>
      <c r="Q326" s="40" t="str">
        <f>VLOOKUP(M326,Table1[#All],5,FALSE)</f>
        <v>Q2</v>
      </c>
      <c r="R326" s="79"/>
      <c r="S326" s="40" t="str">
        <f>VLOOKUP(M326,Table1[#All],6,FALSE)</f>
        <v>Q3</v>
      </c>
      <c r="T326" s="79"/>
      <c r="U326" s="40" t="str">
        <f>VLOOKUP(M326,Table1[#All],7,FALSE)</f>
        <v>Q4</v>
      </c>
      <c r="V326" s="79"/>
      <c r="W326" s="40" t="str">
        <f>VLOOKUP(M326,Table1[#All],8,FALSE)</f>
        <v>Q5</v>
      </c>
      <c r="X326" s="79"/>
      <c r="Y326" s="44" t="str">
        <f>VLOOKUP(M326,Table1[#All],2,FALSE)</f>
        <v>Action</v>
      </c>
      <c r="Z326" s="59" t="str">
        <f>VLOOKUP(M326,Table1[#All],9,FALSE)</f>
        <v>Additional Notes:</v>
      </c>
      <c r="AA326" s="76"/>
      <c r="AB326" s="76"/>
      <c r="AC326" s="90" t="s">
        <v>91</v>
      </c>
      <c r="AD326" s="76" t="s">
        <v>91</v>
      </c>
      <c r="AE326" s="77"/>
      <c r="AF326" s="77"/>
      <c r="AG326" s="41" t="s">
        <v>91</v>
      </c>
    </row>
    <row r="327" spans="1:33" ht="21" hidden="1" x14ac:dyDescent="0.55000000000000004">
      <c r="A327" s="44" t="str">
        <f>Data!K326</f>
        <v>DPOW-CCHP</v>
      </c>
      <c r="B327" s="44" t="str">
        <f>Data!L326</f>
        <v>4143899880</v>
      </c>
      <c r="C327" s="44" t="str">
        <f>Data!D326</f>
        <v>Schroeder, Robert</v>
      </c>
      <c r="D327" s="82" t="str">
        <f>Data!F326</f>
        <v>3457170436</v>
      </c>
      <c r="E327" s="82" t="str">
        <f>Data!B326</f>
        <v>8822</v>
      </c>
      <c r="F327" s="44" t="str">
        <f>Data!A326</f>
        <v>Schroeder, Robert</v>
      </c>
      <c r="G327" s="55" t="str">
        <f>Data!C326</f>
        <v>1/12/2021</v>
      </c>
      <c r="H327" s="56">
        <f>Data!H326</f>
        <v>44573</v>
      </c>
      <c r="I327" s="56" t="str">
        <f>Data!I326</f>
        <v>1/13/2022</v>
      </c>
      <c r="J327" s="57">
        <f>Data!J326</f>
        <v>130.80000000000001</v>
      </c>
      <c r="K327" s="58">
        <f t="shared" ca="1" si="5"/>
        <v>126</v>
      </c>
      <c r="L327" s="58">
        <f>Data!M326</f>
        <v>0</v>
      </c>
      <c r="M327" s="37" t="s">
        <v>26</v>
      </c>
      <c r="N327" s="43" t="str">
        <f>VLOOKUP(M327,Table1[#All],3,FALSE)</f>
        <v>Note</v>
      </c>
      <c r="O327" s="40" t="str">
        <f>VLOOKUP(M327,Table1[#All],4,FALSE)</f>
        <v>Q1</v>
      </c>
      <c r="P327" s="39"/>
      <c r="Q327" s="40" t="str">
        <f>VLOOKUP(M327,Table1[#All],5,FALSE)</f>
        <v>Q2</v>
      </c>
      <c r="R327" s="79"/>
      <c r="S327" s="40" t="str">
        <f>VLOOKUP(M327,Table1[#All],6,FALSE)</f>
        <v>Q3</v>
      </c>
      <c r="T327" s="79"/>
      <c r="U327" s="40" t="str">
        <f>VLOOKUP(M327,Table1[#All],7,FALSE)</f>
        <v>Q4</v>
      </c>
      <c r="V327" s="79"/>
      <c r="W327" s="40" t="str">
        <f>VLOOKUP(M327,Table1[#All],8,FALSE)</f>
        <v>Q5</v>
      </c>
      <c r="X327" s="79"/>
      <c r="Y327" s="44" t="str">
        <f>VLOOKUP(M327,Table1[#All],2,FALSE)</f>
        <v>Action</v>
      </c>
      <c r="Z327" s="59" t="str">
        <f>VLOOKUP(M327,Table1[#All],9,FALSE)</f>
        <v>Additional Notes:</v>
      </c>
      <c r="AA327" s="76"/>
      <c r="AB327" s="76"/>
      <c r="AC327" s="90" t="s">
        <v>91</v>
      </c>
      <c r="AD327" s="76" t="s">
        <v>91</v>
      </c>
      <c r="AE327" s="77"/>
      <c r="AF327" s="77"/>
      <c r="AG327" s="41" t="s">
        <v>91</v>
      </c>
    </row>
    <row r="328" spans="1:33" ht="21" hidden="1" x14ac:dyDescent="0.55000000000000004">
      <c r="A328" s="44" t="str">
        <f>Data!K327</f>
        <v>DPOW-CCHP</v>
      </c>
      <c r="B328" s="44" t="str">
        <f>Data!L327</f>
        <v>4143899880</v>
      </c>
      <c r="C328" s="44" t="str">
        <f>Data!D327</f>
        <v xml:space="preserve">Jensen , Christopher </v>
      </c>
      <c r="D328" s="82" t="str">
        <f>Data!F327</f>
        <v>5441339357</v>
      </c>
      <c r="E328" s="82" t="str">
        <f>Data!B327</f>
        <v>8682</v>
      </c>
      <c r="F328" s="44" t="str">
        <f>Data!A327</f>
        <v xml:space="preserve">Jensen , Christopher </v>
      </c>
      <c r="G328" s="55" t="str">
        <f>Data!C327</f>
        <v>12/13/1986</v>
      </c>
      <c r="H328" s="56">
        <f>Data!H327</f>
        <v>44573</v>
      </c>
      <c r="I328" s="56" t="str">
        <f>Data!I327</f>
        <v>1/13/2022</v>
      </c>
      <c r="J328" s="57">
        <f>Data!J327</f>
        <v>842.4</v>
      </c>
      <c r="K328" s="58">
        <f t="shared" ca="1" si="5"/>
        <v>126</v>
      </c>
      <c r="L328" s="58">
        <f>Data!M327</f>
        <v>0</v>
      </c>
      <c r="M328" s="37" t="s">
        <v>26</v>
      </c>
      <c r="N328" s="43" t="str">
        <f>VLOOKUP(M328,Table1[#All],3,FALSE)</f>
        <v>Note</v>
      </c>
      <c r="O328" s="40" t="str">
        <f>VLOOKUP(M328,Table1[#All],4,FALSE)</f>
        <v>Q1</v>
      </c>
      <c r="P328" s="39"/>
      <c r="Q328" s="40" t="str">
        <f>VLOOKUP(M328,Table1[#All],5,FALSE)</f>
        <v>Q2</v>
      </c>
      <c r="R328" s="79"/>
      <c r="S328" s="40" t="str">
        <f>VLOOKUP(M328,Table1[#All],6,FALSE)</f>
        <v>Q3</v>
      </c>
      <c r="T328" s="79"/>
      <c r="U328" s="40" t="str">
        <f>VLOOKUP(M328,Table1[#All],7,FALSE)</f>
        <v>Q4</v>
      </c>
      <c r="V328" s="79"/>
      <c r="W328" s="40" t="str">
        <f>VLOOKUP(M328,Table1[#All],8,FALSE)</f>
        <v>Q5</v>
      </c>
      <c r="X328" s="79"/>
      <c r="Y328" s="44" t="str">
        <f>VLOOKUP(M328,Table1[#All],2,FALSE)</f>
        <v>Action</v>
      </c>
      <c r="Z328" s="59" t="str">
        <f>VLOOKUP(M328,Table1[#All],9,FALSE)</f>
        <v>Additional Notes:</v>
      </c>
      <c r="AA328" s="76"/>
      <c r="AB328" s="76"/>
      <c r="AC328" s="90" t="s">
        <v>91</v>
      </c>
      <c r="AD328" s="76" t="s">
        <v>91</v>
      </c>
      <c r="AE328" s="77"/>
      <c r="AF328" s="77"/>
      <c r="AG328" s="41" t="s">
        <v>91</v>
      </c>
    </row>
    <row r="329" spans="1:33" ht="21" hidden="1" x14ac:dyDescent="0.55000000000000004">
      <c r="A329" s="44" t="str">
        <f>Data!K328</f>
        <v>DPOW-CCHP</v>
      </c>
      <c r="B329" s="44" t="str">
        <f>Data!L328</f>
        <v>4143899880</v>
      </c>
      <c r="C329" s="44" t="str">
        <f>Data!D328</f>
        <v xml:space="preserve">Hamed , Ali </v>
      </c>
      <c r="D329" s="82" t="str">
        <f>Data!F328</f>
        <v>9442560794</v>
      </c>
      <c r="E329" s="82" t="str">
        <f>Data!B328</f>
        <v>2541</v>
      </c>
      <c r="F329" s="44" t="str">
        <f>Data!A328</f>
        <v xml:space="preserve">Hamed , Ali </v>
      </c>
      <c r="G329" s="55" t="str">
        <f>Data!C328</f>
        <v>7/31/2012</v>
      </c>
      <c r="H329" s="56">
        <f>Data!H328</f>
        <v>44574</v>
      </c>
      <c r="I329" s="56" t="str">
        <f>Data!I328</f>
        <v>1/13/2022</v>
      </c>
      <c r="J329" s="57">
        <f>Data!J328</f>
        <v>1064</v>
      </c>
      <c r="K329" s="58">
        <f t="shared" ca="1" si="5"/>
        <v>126</v>
      </c>
      <c r="L329" s="58">
        <f>Data!M328</f>
        <v>0</v>
      </c>
      <c r="M329" s="37" t="s">
        <v>26</v>
      </c>
      <c r="N329" s="43" t="str">
        <f>VLOOKUP(M329,Table1[#All],3,FALSE)</f>
        <v>Note</v>
      </c>
      <c r="O329" s="40" t="str">
        <f>VLOOKUP(M329,Table1[#All],4,FALSE)</f>
        <v>Q1</v>
      </c>
      <c r="P329" s="39"/>
      <c r="Q329" s="40" t="str">
        <f>VLOOKUP(M329,Table1[#All],5,FALSE)</f>
        <v>Q2</v>
      </c>
      <c r="R329" s="79"/>
      <c r="S329" s="40" t="str">
        <f>VLOOKUP(M329,Table1[#All],6,FALSE)</f>
        <v>Q3</v>
      </c>
      <c r="T329" s="79"/>
      <c r="U329" s="40" t="str">
        <f>VLOOKUP(M329,Table1[#All],7,FALSE)</f>
        <v>Q4</v>
      </c>
      <c r="V329" s="79"/>
      <c r="W329" s="40" t="str">
        <f>VLOOKUP(M329,Table1[#All],8,FALSE)</f>
        <v>Q5</v>
      </c>
      <c r="X329" s="79"/>
      <c r="Y329" s="44" t="str">
        <f>VLOOKUP(M329,Table1[#All],2,FALSE)</f>
        <v>Action</v>
      </c>
      <c r="Z329" s="59" t="str">
        <f>VLOOKUP(M329,Table1[#All],9,FALSE)</f>
        <v>Additional Notes:</v>
      </c>
      <c r="AA329" s="76"/>
      <c r="AB329" s="76"/>
      <c r="AC329" s="90" t="s">
        <v>91</v>
      </c>
      <c r="AD329" s="76" t="s">
        <v>91</v>
      </c>
      <c r="AE329" s="77"/>
      <c r="AF329" s="77"/>
      <c r="AG329" s="41" t="s">
        <v>91</v>
      </c>
    </row>
    <row r="330" spans="1:33" ht="21" hidden="1" x14ac:dyDescent="0.55000000000000004">
      <c r="A330" s="44" t="str">
        <f>Data!K329</f>
        <v>DPOW-CCHP</v>
      </c>
      <c r="B330" s="44" t="str">
        <f>Data!L329</f>
        <v>4143899880</v>
      </c>
      <c r="C330" s="44" t="str">
        <f>Data!D329</f>
        <v xml:space="preserve">Anderson, Eshawn </v>
      </c>
      <c r="D330" s="82" t="str">
        <f>Data!F329</f>
        <v>8445049780</v>
      </c>
      <c r="E330" s="82" t="str">
        <f>Data!B329</f>
        <v>5944</v>
      </c>
      <c r="F330" s="44" t="str">
        <f>Data!A329</f>
        <v xml:space="preserve">Anderson, Eshawn </v>
      </c>
      <c r="G330" s="55" t="str">
        <f>Data!C329</f>
        <v>9/1/2013</v>
      </c>
      <c r="H330" s="56">
        <f>Data!H329</f>
        <v>44573</v>
      </c>
      <c r="I330" s="56" t="str">
        <f>Data!I329</f>
        <v>1/12/2022</v>
      </c>
      <c r="J330" s="57">
        <f>Data!J329</f>
        <v>1113.5999999999999</v>
      </c>
      <c r="K330" s="58">
        <f t="shared" ca="1" si="5"/>
        <v>127</v>
      </c>
      <c r="L330" s="58">
        <f>Data!M329</f>
        <v>0</v>
      </c>
      <c r="M330" s="37" t="s">
        <v>26</v>
      </c>
      <c r="N330" s="43" t="str">
        <f>VLOOKUP(M330,Table1[#All],3,FALSE)</f>
        <v>Note</v>
      </c>
      <c r="O330" s="40" t="str">
        <f>VLOOKUP(M330,Table1[#All],4,FALSE)</f>
        <v>Q1</v>
      </c>
      <c r="P330" s="39"/>
      <c r="Q330" s="40" t="str">
        <f>VLOOKUP(M330,Table1[#All],5,FALSE)</f>
        <v>Q2</v>
      </c>
      <c r="R330" s="79"/>
      <c r="S330" s="40" t="str">
        <f>VLOOKUP(M330,Table1[#All],6,FALSE)</f>
        <v>Q3</v>
      </c>
      <c r="T330" s="79"/>
      <c r="U330" s="40" t="str">
        <f>VLOOKUP(M330,Table1[#All],7,FALSE)</f>
        <v>Q4</v>
      </c>
      <c r="V330" s="79"/>
      <c r="W330" s="40" t="str">
        <f>VLOOKUP(M330,Table1[#All],8,FALSE)</f>
        <v>Q5</v>
      </c>
      <c r="X330" s="79"/>
      <c r="Y330" s="44" t="str">
        <f>VLOOKUP(M330,Table1[#All],2,FALSE)</f>
        <v>Action</v>
      </c>
      <c r="Z330" s="59" t="str">
        <f>VLOOKUP(M330,Table1[#All],9,FALSE)</f>
        <v>Additional Notes:</v>
      </c>
      <c r="AA330" s="76"/>
      <c r="AB330" s="76"/>
      <c r="AC330" s="90" t="s">
        <v>91</v>
      </c>
      <c r="AD330" s="76" t="s">
        <v>91</v>
      </c>
      <c r="AE330" s="77"/>
      <c r="AF330" s="77"/>
      <c r="AG330" s="41" t="s">
        <v>91</v>
      </c>
    </row>
    <row r="331" spans="1:33" ht="21" hidden="1" x14ac:dyDescent="0.55000000000000004">
      <c r="A331" s="44" t="str">
        <f>Data!K330</f>
        <v>DPOW-CCHP</v>
      </c>
      <c r="B331" s="44" t="str">
        <f>Data!L330</f>
        <v>4143899880</v>
      </c>
      <c r="C331" s="44" t="str">
        <f>Data!D330</f>
        <v>VARELA DIAZ , DAMIALYS</v>
      </c>
      <c r="D331" s="82" t="str">
        <f>Data!F330</f>
        <v>4454204845</v>
      </c>
      <c r="E331" s="82" t="str">
        <f>Data!B330</f>
        <v>7034</v>
      </c>
      <c r="F331" s="44" t="str">
        <f>Data!A330</f>
        <v>VARELA DIAZ , DAMIALYS</v>
      </c>
      <c r="G331" s="55" t="str">
        <f>Data!C330</f>
        <v>7/28/2013</v>
      </c>
      <c r="H331" s="56">
        <f>Data!H330</f>
        <v>44573</v>
      </c>
      <c r="I331" s="56" t="str">
        <f>Data!I330</f>
        <v>1/12/2022</v>
      </c>
      <c r="J331" s="57">
        <f>Data!J330</f>
        <v>316</v>
      </c>
      <c r="K331" s="58">
        <f t="shared" ca="1" si="5"/>
        <v>127</v>
      </c>
      <c r="L331" s="58">
        <f>Data!M330</f>
        <v>0</v>
      </c>
      <c r="M331" s="37" t="s">
        <v>26</v>
      </c>
      <c r="N331" s="43" t="str">
        <f>VLOOKUP(M331,Table1[#All],3,FALSE)</f>
        <v>Note</v>
      </c>
      <c r="O331" s="40" t="str">
        <f>VLOOKUP(M331,Table1[#All],4,FALSE)</f>
        <v>Q1</v>
      </c>
      <c r="P331" s="39"/>
      <c r="Q331" s="40" t="str">
        <f>VLOOKUP(M331,Table1[#All],5,FALSE)</f>
        <v>Q2</v>
      </c>
      <c r="R331" s="79"/>
      <c r="S331" s="40" t="str">
        <f>VLOOKUP(M331,Table1[#All],6,FALSE)</f>
        <v>Q3</v>
      </c>
      <c r="T331" s="79"/>
      <c r="U331" s="40" t="str">
        <f>VLOOKUP(M331,Table1[#All],7,FALSE)</f>
        <v>Q4</v>
      </c>
      <c r="V331" s="79"/>
      <c r="W331" s="40" t="str">
        <f>VLOOKUP(M331,Table1[#All],8,FALSE)</f>
        <v>Q5</v>
      </c>
      <c r="X331" s="79"/>
      <c r="Y331" s="44" t="str">
        <f>VLOOKUP(M331,Table1[#All],2,FALSE)</f>
        <v>Action</v>
      </c>
      <c r="Z331" s="59" t="str">
        <f>VLOOKUP(M331,Table1[#All],9,FALSE)</f>
        <v>Additional Notes:</v>
      </c>
      <c r="AA331" s="76"/>
      <c r="AB331" s="76"/>
      <c r="AC331" s="90" t="s">
        <v>91</v>
      </c>
      <c r="AD331" s="76" t="s">
        <v>91</v>
      </c>
      <c r="AE331" s="77"/>
      <c r="AF331" s="77"/>
      <c r="AG331" s="41" t="s">
        <v>91</v>
      </c>
    </row>
    <row r="332" spans="1:33" ht="21" hidden="1" x14ac:dyDescent="0.55000000000000004">
      <c r="A332" s="44" t="str">
        <f>Data!K331</f>
        <v>DPOW-CCHP</v>
      </c>
      <c r="B332" s="44" t="str">
        <f>Data!L331</f>
        <v>4143899880</v>
      </c>
      <c r="C332" s="44" t="str">
        <f>Data!D331</f>
        <v xml:space="preserve">Rios, Rogelio </v>
      </c>
      <c r="D332" s="82" t="str">
        <f>Data!F331</f>
        <v>8405892681</v>
      </c>
      <c r="E332" s="82" t="str">
        <f>Data!B331</f>
        <v>8809</v>
      </c>
      <c r="F332" s="44" t="str">
        <f>Data!A331</f>
        <v xml:space="preserve">Rios, Rogelio </v>
      </c>
      <c r="G332" s="55" t="str">
        <f>Data!C331</f>
        <v>1/28/1958</v>
      </c>
      <c r="H332" s="56">
        <f>Data!H331</f>
        <v>44568</v>
      </c>
      <c r="I332" s="56" t="str">
        <f>Data!I331</f>
        <v>1/12/2022</v>
      </c>
      <c r="J332" s="57">
        <f>Data!J331</f>
        <v>607.20000000000005</v>
      </c>
      <c r="K332" s="58">
        <f t="shared" ca="1" si="5"/>
        <v>127</v>
      </c>
      <c r="L332" s="58">
        <f>Data!M331</f>
        <v>0</v>
      </c>
      <c r="M332" s="37" t="s">
        <v>26</v>
      </c>
      <c r="N332" s="43" t="str">
        <f>VLOOKUP(M332,Table1[#All],3,FALSE)</f>
        <v>Note</v>
      </c>
      <c r="O332" s="40" t="str">
        <f>VLOOKUP(M332,Table1[#All],4,FALSE)</f>
        <v>Q1</v>
      </c>
      <c r="P332" s="39"/>
      <c r="Q332" s="40" t="str">
        <f>VLOOKUP(M332,Table1[#All],5,FALSE)</f>
        <v>Q2</v>
      </c>
      <c r="R332" s="79"/>
      <c r="S332" s="40" t="str">
        <f>VLOOKUP(M332,Table1[#All],6,FALSE)</f>
        <v>Q3</v>
      </c>
      <c r="T332" s="79"/>
      <c r="U332" s="40" t="str">
        <f>VLOOKUP(M332,Table1[#All],7,FALSE)</f>
        <v>Q4</v>
      </c>
      <c r="V332" s="79"/>
      <c r="W332" s="40" t="str">
        <f>VLOOKUP(M332,Table1[#All],8,FALSE)</f>
        <v>Q5</v>
      </c>
      <c r="X332" s="79"/>
      <c r="Y332" s="44" t="str">
        <f>VLOOKUP(M332,Table1[#All],2,FALSE)</f>
        <v>Action</v>
      </c>
      <c r="Z332" s="59" t="str">
        <f>VLOOKUP(M332,Table1[#All],9,FALSE)</f>
        <v>Additional Notes:</v>
      </c>
      <c r="AA332" s="76"/>
      <c r="AB332" s="76"/>
      <c r="AC332" s="90" t="s">
        <v>91</v>
      </c>
      <c r="AD332" s="76" t="s">
        <v>91</v>
      </c>
      <c r="AE332" s="77"/>
      <c r="AF332" s="77"/>
      <c r="AG332" s="41" t="s">
        <v>91</v>
      </c>
    </row>
    <row r="333" spans="1:33" ht="21" hidden="1" x14ac:dyDescent="0.55000000000000004">
      <c r="A333" s="44" t="str">
        <f>Data!K332</f>
        <v>DPOW-CCHP</v>
      </c>
      <c r="B333" s="44" t="str">
        <f>Data!L332</f>
        <v>4143899880</v>
      </c>
      <c r="C333" s="44" t="str">
        <f>Data!D332</f>
        <v xml:space="preserve">Ledoux , Leonard </v>
      </c>
      <c r="D333" s="82" t="str">
        <f>Data!F332</f>
        <v>4427299148</v>
      </c>
      <c r="E333" s="82" t="str">
        <f>Data!B332</f>
        <v>7964</v>
      </c>
      <c r="F333" s="44" t="str">
        <f>Data!A332</f>
        <v xml:space="preserve">Ledoux , Leonard </v>
      </c>
      <c r="G333" s="55" t="str">
        <f>Data!C332</f>
        <v>6/9/1970</v>
      </c>
      <c r="H333" s="56">
        <f>Data!H332</f>
        <v>44567</v>
      </c>
      <c r="I333" s="56" t="str">
        <f>Data!I332</f>
        <v>1/12/2022</v>
      </c>
      <c r="J333" s="57">
        <f>Data!J332</f>
        <v>1861.2</v>
      </c>
      <c r="K333" s="58">
        <f t="shared" ca="1" si="5"/>
        <v>127</v>
      </c>
      <c r="L333" s="58">
        <f>Data!M332</f>
        <v>0</v>
      </c>
      <c r="M333" s="37" t="s">
        <v>26</v>
      </c>
      <c r="N333" s="43" t="str">
        <f>VLOOKUP(M333,Table1[#All],3,FALSE)</f>
        <v>Note</v>
      </c>
      <c r="O333" s="40" t="str">
        <f>VLOOKUP(M333,Table1[#All],4,FALSE)</f>
        <v>Q1</v>
      </c>
      <c r="P333" s="39"/>
      <c r="Q333" s="40" t="str">
        <f>VLOOKUP(M333,Table1[#All],5,FALSE)</f>
        <v>Q2</v>
      </c>
      <c r="R333" s="79"/>
      <c r="S333" s="40" t="str">
        <f>VLOOKUP(M333,Table1[#All],6,FALSE)</f>
        <v>Q3</v>
      </c>
      <c r="T333" s="79"/>
      <c r="U333" s="40" t="str">
        <f>VLOOKUP(M333,Table1[#All],7,FALSE)</f>
        <v>Q4</v>
      </c>
      <c r="V333" s="79"/>
      <c r="W333" s="40" t="str">
        <f>VLOOKUP(M333,Table1[#All],8,FALSE)</f>
        <v>Q5</v>
      </c>
      <c r="X333" s="79"/>
      <c r="Y333" s="44" t="str">
        <f>VLOOKUP(M333,Table1[#All],2,FALSE)</f>
        <v>Action</v>
      </c>
      <c r="Z333" s="59" t="str">
        <f>VLOOKUP(M333,Table1[#All],9,FALSE)</f>
        <v>Additional Notes:</v>
      </c>
      <c r="AA333" s="76"/>
      <c r="AB333" s="76"/>
      <c r="AC333" s="90" t="s">
        <v>91</v>
      </c>
      <c r="AD333" s="76" t="s">
        <v>91</v>
      </c>
      <c r="AE333" s="77"/>
      <c r="AF333" s="77"/>
      <c r="AG333" s="41" t="s">
        <v>91</v>
      </c>
    </row>
    <row r="334" spans="1:33" ht="21" hidden="1" x14ac:dyDescent="0.55000000000000004">
      <c r="A334" s="44" t="str">
        <f>Data!K333</f>
        <v>DPOW-CCHP</v>
      </c>
      <c r="B334" s="44" t="str">
        <f>Data!L333</f>
        <v>4143899880</v>
      </c>
      <c r="C334" s="44" t="str">
        <f>Data!D333</f>
        <v>Otero, Tulio</v>
      </c>
      <c r="D334" s="82" t="str">
        <f>Data!F333</f>
        <v>0456827005</v>
      </c>
      <c r="E334" s="82" t="str">
        <f>Data!B333</f>
        <v>8770</v>
      </c>
      <c r="F334" s="44" t="str">
        <f>Data!A333</f>
        <v>Otero, Tulio</v>
      </c>
      <c r="G334" s="55" t="str">
        <f>Data!C333</f>
        <v>11/10/1988</v>
      </c>
      <c r="H334" s="56">
        <f>Data!H333</f>
        <v>44567</v>
      </c>
      <c r="I334" s="56" t="str">
        <f>Data!I333</f>
        <v>1/12/2022</v>
      </c>
      <c r="J334" s="57">
        <f>Data!J333</f>
        <v>490.4</v>
      </c>
      <c r="K334" s="58">
        <f t="shared" ca="1" si="5"/>
        <v>127</v>
      </c>
      <c r="L334" s="58">
        <f>Data!M333</f>
        <v>0</v>
      </c>
      <c r="M334" s="37" t="s">
        <v>26</v>
      </c>
      <c r="N334" s="43" t="str">
        <f>VLOOKUP(M334,Table1[#All],3,FALSE)</f>
        <v>Note</v>
      </c>
      <c r="O334" s="40" t="str">
        <f>VLOOKUP(M334,Table1[#All],4,FALSE)</f>
        <v>Q1</v>
      </c>
      <c r="P334" s="39"/>
      <c r="Q334" s="40" t="str">
        <f>VLOOKUP(M334,Table1[#All],5,FALSE)</f>
        <v>Q2</v>
      </c>
      <c r="R334" s="79"/>
      <c r="S334" s="40" t="str">
        <f>VLOOKUP(M334,Table1[#All],6,FALSE)</f>
        <v>Q3</v>
      </c>
      <c r="T334" s="79"/>
      <c r="U334" s="40" t="str">
        <f>VLOOKUP(M334,Table1[#All],7,FALSE)</f>
        <v>Q4</v>
      </c>
      <c r="V334" s="79"/>
      <c r="W334" s="40" t="str">
        <f>VLOOKUP(M334,Table1[#All],8,FALSE)</f>
        <v>Q5</v>
      </c>
      <c r="X334" s="79"/>
      <c r="Y334" s="44" t="str">
        <f>VLOOKUP(M334,Table1[#All],2,FALSE)</f>
        <v>Action</v>
      </c>
      <c r="Z334" s="59" t="str">
        <f>VLOOKUP(M334,Table1[#All],9,FALSE)</f>
        <v>Additional Notes:</v>
      </c>
      <c r="AA334" s="76"/>
      <c r="AB334" s="76"/>
      <c r="AC334" s="90" t="s">
        <v>91</v>
      </c>
      <c r="AD334" s="76" t="s">
        <v>91</v>
      </c>
      <c r="AE334" s="77"/>
      <c r="AF334" s="77"/>
      <c r="AG334" s="41" t="s">
        <v>91</v>
      </c>
    </row>
    <row r="335" spans="1:33" ht="21" hidden="1" x14ac:dyDescent="0.55000000000000004">
      <c r="A335" s="44" t="str">
        <f>Data!K334</f>
        <v>DPOW-CCHP</v>
      </c>
      <c r="B335" s="44" t="str">
        <f>Data!L334</f>
        <v>4143899880</v>
      </c>
      <c r="C335" s="44" t="str">
        <f>Data!D334</f>
        <v>Ridgeway, Aliyanah</v>
      </c>
      <c r="D335" s="82" t="str">
        <f>Data!F334</f>
        <v>9443847892</v>
      </c>
      <c r="E335" s="82" t="str">
        <f>Data!B334</f>
        <v>8633</v>
      </c>
      <c r="F335" s="44" t="str">
        <f>Data!A334</f>
        <v>Ridgeway, Aliyanah</v>
      </c>
      <c r="G335" s="55" t="str">
        <f>Data!C334</f>
        <v>3/24/2013</v>
      </c>
      <c r="H335" s="56">
        <f>Data!H334</f>
        <v>44566</v>
      </c>
      <c r="I335" s="56" t="str">
        <f>Data!I334</f>
        <v>1/12/2022</v>
      </c>
      <c r="J335" s="57">
        <f>Data!J334</f>
        <v>1592</v>
      </c>
      <c r="K335" s="58">
        <f t="shared" ca="1" si="5"/>
        <v>127</v>
      </c>
      <c r="L335" s="58">
        <f>Data!M334</f>
        <v>0</v>
      </c>
      <c r="M335" s="37" t="s">
        <v>26</v>
      </c>
      <c r="N335" s="43" t="str">
        <f>VLOOKUP(M335,Table1[#All],3,FALSE)</f>
        <v>Note</v>
      </c>
      <c r="O335" s="40" t="str">
        <f>VLOOKUP(M335,Table1[#All],4,FALSE)</f>
        <v>Q1</v>
      </c>
      <c r="P335" s="39"/>
      <c r="Q335" s="40" t="str">
        <f>VLOOKUP(M335,Table1[#All],5,FALSE)</f>
        <v>Q2</v>
      </c>
      <c r="R335" s="79"/>
      <c r="S335" s="40" t="str">
        <f>VLOOKUP(M335,Table1[#All],6,FALSE)</f>
        <v>Q3</v>
      </c>
      <c r="T335" s="79"/>
      <c r="U335" s="40" t="str">
        <f>VLOOKUP(M335,Table1[#All],7,FALSE)</f>
        <v>Q4</v>
      </c>
      <c r="V335" s="79"/>
      <c r="W335" s="40" t="str">
        <f>VLOOKUP(M335,Table1[#All],8,FALSE)</f>
        <v>Q5</v>
      </c>
      <c r="X335" s="79"/>
      <c r="Y335" s="44" t="str">
        <f>VLOOKUP(M335,Table1[#All],2,FALSE)</f>
        <v>Action</v>
      </c>
      <c r="Z335" s="59" t="str">
        <f>VLOOKUP(M335,Table1[#All],9,FALSE)</f>
        <v>Additional Notes:</v>
      </c>
      <c r="AA335" s="76"/>
      <c r="AB335" s="76"/>
      <c r="AC335" s="90" t="s">
        <v>91</v>
      </c>
      <c r="AD335" s="76" t="s">
        <v>91</v>
      </c>
      <c r="AE335" s="77"/>
      <c r="AF335" s="77"/>
      <c r="AG335" s="41" t="s">
        <v>91</v>
      </c>
    </row>
    <row r="336" spans="1:33" ht="21" hidden="1" x14ac:dyDescent="0.55000000000000004">
      <c r="A336" s="44" t="str">
        <f>Data!K335</f>
        <v>DPOW-CCHP</v>
      </c>
      <c r="B336" s="44" t="str">
        <f>Data!L335</f>
        <v>4143899880</v>
      </c>
      <c r="C336" s="44" t="str">
        <f>Data!D335</f>
        <v xml:space="preserve">Hamed , Laith </v>
      </c>
      <c r="D336" s="82" t="str">
        <f>Data!F335</f>
        <v>6446320264</v>
      </c>
      <c r="E336" s="82" t="str">
        <f>Data!B335</f>
        <v>2540</v>
      </c>
      <c r="F336" s="44" t="str">
        <f>Data!A335</f>
        <v xml:space="preserve">Hamed , Laith </v>
      </c>
      <c r="G336" s="55" t="str">
        <f>Data!C335</f>
        <v>5/27/2014</v>
      </c>
      <c r="H336" s="56">
        <f>Data!H335</f>
        <v>44566</v>
      </c>
      <c r="I336" s="56" t="str">
        <f>Data!I335</f>
        <v>1/12/2022</v>
      </c>
      <c r="J336" s="57">
        <f>Data!J335</f>
        <v>100</v>
      </c>
      <c r="K336" s="58">
        <f t="shared" ca="1" si="5"/>
        <v>127</v>
      </c>
      <c r="L336" s="58">
        <f>Data!M335</f>
        <v>0</v>
      </c>
      <c r="M336" s="37" t="s">
        <v>26</v>
      </c>
      <c r="N336" s="43" t="str">
        <f>VLOOKUP(M336,Table1[#All],3,FALSE)</f>
        <v>Note</v>
      </c>
      <c r="O336" s="40" t="str">
        <f>VLOOKUP(M336,Table1[#All],4,FALSE)</f>
        <v>Q1</v>
      </c>
      <c r="P336" s="39"/>
      <c r="Q336" s="40" t="str">
        <f>VLOOKUP(M336,Table1[#All],5,FALSE)</f>
        <v>Q2</v>
      </c>
      <c r="R336" s="79"/>
      <c r="S336" s="40" t="str">
        <f>VLOOKUP(M336,Table1[#All],6,FALSE)</f>
        <v>Q3</v>
      </c>
      <c r="T336" s="79"/>
      <c r="U336" s="40" t="str">
        <f>VLOOKUP(M336,Table1[#All],7,FALSE)</f>
        <v>Q4</v>
      </c>
      <c r="V336" s="79"/>
      <c r="W336" s="40" t="str">
        <f>VLOOKUP(M336,Table1[#All],8,FALSE)</f>
        <v>Q5</v>
      </c>
      <c r="X336" s="79"/>
      <c r="Y336" s="44" t="str">
        <f>VLOOKUP(M336,Table1[#All],2,FALSE)</f>
        <v>Action</v>
      </c>
      <c r="Z336" s="59" t="str">
        <f>VLOOKUP(M336,Table1[#All],9,FALSE)</f>
        <v>Additional Notes:</v>
      </c>
      <c r="AA336" s="76"/>
      <c r="AB336" s="76"/>
      <c r="AC336" s="90" t="s">
        <v>91</v>
      </c>
      <c r="AD336" s="76" t="s">
        <v>91</v>
      </c>
      <c r="AE336" s="77"/>
      <c r="AF336" s="77"/>
      <c r="AG336" s="41" t="s">
        <v>91</v>
      </c>
    </row>
    <row r="337" spans="1:33" ht="21" hidden="1" x14ac:dyDescent="0.55000000000000004">
      <c r="A337" s="44" t="str">
        <f>Data!K336</f>
        <v>DPOW-CCHP</v>
      </c>
      <c r="B337" s="44" t="str">
        <f>Data!L336</f>
        <v>4143899880</v>
      </c>
      <c r="C337" s="44" t="str">
        <f>Data!D336</f>
        <v xml:space="preserve">Hamed , Laith </v>
      </c>
      <c r="D337" s="82" t="str">
        <f>Data!F336</f>
        <v>6446320264</v>
      </c>
      <c r="E337" s="82" t="str">
        <f>Data!B336</f>
        <v>2540</v>
      </c>
      <c r="F337" s="44" t="str">
        <f>Data!A336</f>
        <v xml:space="preserve">Hamed , Laith </v>
      </c>
      <c r="G337" s="55" t="str">
        <f>Data!C336</f>
        <v>5/27/2014</v>
      </c>
      <c r="H337" s="56">
        <f>Data!H336</f>
        <v>44566</v>
      </c>
      <c r="I337" s="56" t="str">
        <f>Data!I336</f>
        <v>1/12/2022</v>
      </c>
      <c r="J337" s="57">
        <f>Data!J336</f>
        <v>445.2</v>
      </c>
      <c r="K337" s="58">
        <f t="shared" ca="1" si="5"/>
        <v>127</v>
      </c>
      <c r="L337" s="58">
        <f>Data!M336</f>
        <v>0</v>
      </c>
      <c r="M337" s="37" t="s">
        <v>26</v>
      </c>
      <c r="N337" s="43" t="str">
        <f>VLOOKUP(M337,Table1[#All],3,FALSE)</f>
        <v>Note</v>
      </c>
      <c r="O337" s="40" t="str">
        <f>VLOOKUP(M337,Table1[#All],4,FALSE)</f>
        <v>Q1</v>
      </c>
      <c r="P337" s="39"/>
      <c r="Q337" s="40" t="str">
        <f>VLOOKUP(M337,Table1[#All],5,FALSE)</f>
        <v>Q2</v>
      </c>
      <c r="R337" s="79"/>
      <c r="S337" s="40" t="str">
        <f>VLOOKUP(M337,Table1[#All],6,FALSE)</f>
        <v>Q3</v>
      </c>
      <c r="T337" s="79"/>
      <c r="U337" s="40" t="str">
        <f>VLOOKUP(M337,Table1[#All],7,FALSE)</f>
        <v>Q4</v>
      </c>
      <c r="V337" s="79"/>
      <c r="W337" s="40" t="str">
        <f>VLOOKUP(M337,Table1[#All],8,FALSE)</f>
        <v>Q5</v>
      </c>
      <c r="X337" s="79"/>
      <c r="Y337" s="44" t="str">
        <f>VLOOKUP(M337,Table1[#All],2,FALSE)</f>
        <v>Action</v>
      </c>
      <c r="Z337" s="59" t="str">
        <f>VLOOKUP(M337,Table1[#All],9,FALSE)</f>
        <v>Additional Notes:</v>
      </c>
      <c r="AA337" s="76"/>
      <c r="AB337" s="76"/>
      <c r="AC337" s="90" t="s">
        <v>91</v>
      </c>
      <c r="AD337" s="76" t="s">
        <v>91</v>
      </c>
      <c r="AE337" s="77"/>
      <c r="AF337" s="77"/>
      <c r="AG337" s="41" t="s">
        <v>91</v>
      </c>
    </row>
    <row r="338" spans="1:33" ht="21" hidden="1" x14ac:dyDescent="0.55000000000000004">
      <c r="A338" s="44" t="str">
        <f>Data!K337</f>
        <v>DPOW-CCHP</v>
      </c>
      <c r="B338" s="44" t="str">
        <f>Data!L337</f>
        <v>4143899880</v>
      </c>
      <c r="C338" s="44" t="str">
        <f>Data!D337</f>
        <v>Peterson, Angelina</v>
      </c>
      <c r="D338" s="82" t="str">
        <f>Data!F337</f>
        <v>9406148692</v>
      </c>
      <c r="E338" s="82" t="str">
        <f>Data!B337</f>
        <v>7680</v>
      </c>
      <c r="F338" s="44" t="str">
        <f>Data!A337</f>
        <v>Peterson, Angelina</v>
      </c>
      <c r="G338" s="55" t="str">
        <f>Data!C337</f>
        <v>5/10/2000</v>
      </c>
      <c r="H338" s="56">
        <f>Data!H337</f>
        <v>44566</v>
      </c>
      <c r="I338" s="56" t="str">
        <f>Data!I337</f>
        <v>1/12/2022</v>
      </c>
      <c r="J338" s="57">
        <f>Data!J337</f>
        <v>138</v>
      </c>
      <c r="K338" s="58">
        <f t="shared" ca="1" si="5"/>
        <v>127</v>
      </c>
      <c r="L338" s="58">
        <f>Data!M337</f>
        <v>0</v>
      </c>
      <c r="M338" s="37" t="s">
        <v>26</v>
      </c>
      <c r="N338" s="43" t="str">
        <f>VLOOKUP(M338,Table1[#All],3,FALSE)</f>
        <v>Note</v>
      </c>
      <c r="O338" s="40" t="str">
        <f>VLOOKUP(M338,Table1[#All],4,FALSE)</f>
        <v>Q1</v>
      </c>
      <c r="P338" s="39"/>
      <c r="Q338" s="40" t="str">
        <f>VLOOKUP(M338,Table1[#All],5,FALSE)</f>
        <v>Q2</v>
      </c>
      <c r="R338" s="79"/>
      <c r="S338" s="40" t="str">
        <f>VLOOKUP(M338,Table1[#All],6,FALSE)</f>
        <v>Q3</v>
      </c>
      <c r="T338" s="79"/>
      <c r="U338" s="40" t="str">
        <f>VLOOKUP(M338,Table1[#All],7,FALSE)</f>
        <v>Q4</v>
      </c>
      <c r="V338" s="79"/>
      <c r="W338" s="40" t="str">
        <f>VLOOKUP(M338,Table1[#All],8,FALSE)</f>
        <v>Q5</v>
      </c>
      <c r="X338" s="79"/>
      <c r="Y338" s="44" t="str">
        <f>VLOOKUP(M338,Table1[#All],2,FALSE)</f>
        <v>Action</v>
      </c>
      <c r="Z338" s="59" t="str">
        <f>VLOOKUP(M338,Table1[#All],9,FALSE)</f>
        <v>Additional Notes:</v>
      </c>
      <c r="AA338" s="76"/>
      <c r="AB338" s="76"/>
      <c r="AC338" s="90" t="s">
        <v>91</v>
      </c>
      <c r="AD338" s="76" t="s">
        <v>91</v>
      </c>
      <c r="AE338" s="77"/>
      <c r="AF338" s="77"/>
      <c r="AG338" s="41" t="s">
        <v>91</v>
      </c>
    </row>
    <row r="339" spans="1:33" ht="21" hidden="1" x14ac:dyDescent="0.55000000000000004">
      <c r="A339" s="44" t="str">
        <f>Data!K338</f>
        <v>DPOW-CCHP</v>
      </c>
      <c r="B339" s="44" t="str">
        <f>Data!L338</f>
        <v>4143899880</v>
      </c>
      <c r="C339" s="44" t="str">
        <f>Data!D338</f>
        <v>Ventura, Arieana</v>
      </c>
      <c r="D339" s="82" t="str">
        <f>Data!F338</f>
        <v>2448343926</v>
      </c>
      <c r="E339" s="82" t="str">
        <f>Data!B338</f>
        <v>8573</v>
      </c>
      <c r="F339" s="44" t="str">
        <f>Data!A338</f>
        <v>Ventura, Arieana</v>
      </c>
      <c r="G339" s="55" t="str">
        <f>Data!C338</f>
        <v>7/7/2015</v>
      </c>
      <c r="H339" s="56">
        <f>Data!H338</f>
        <v>44540</v>
      </c>
      <c r="I339" s="56" t="str">
        <f>Data!I338</f>
        <v>1/9/2022</v>
      </c>
      <c r="J339" s="57">
        <f>Data!J338</f>
        <v>420.8</v>
      </c>
      <c r="K339" s="58">
        <f t="shared" ca="1" si="5"/>
        <v>130</v>
      </c>
      <c r="L339" s="58">
        <f>Data!M338</f>
        <v>0</v>
      </c>
      <c r="M339" s="37" t="s">
        <v>26</v>
      </c>
      <c r="N339" s="43" t="str">
        <f>VLOOKUP(M339,Table1[#All],3,FALSE)</f>
        <v>Note</v>
      </c>
      <c r="O339" s="40" t="str">
        <f>VLOOKUP(M339,Table1[#All],4,FALSE)</f>
        <v>Q1</v>
      </c>
      <c r="P339" s="39"/>
      <c r="Q339" s="40" t="str">
        <f>VLOOKUP(M339,Table1[#All],5,FALSE)</f>
        <v>Q2</v>
      </c>
      <c r="R339" s="79"/>
      <c r="S339" s="40" t="str">
        <f>VLOOKUP(M339,Table1[#All],6,FALSE)</f>
        <v>Q3</v>
      </c>
      <c r="T339" s="79"/>
      <c r="U339" s="40" t="str">
        <f>VLOOKUP(M339,Table1[#All],7,FALSE)</f>
        <v>Q4</v>
      </c>
      <c r="V339" s="79"/>
      <c r="W339" s="40" t="str">
        <f>VLOOKUP(M339,Table1[#All],8,FALSE)</f>
        <v>Q5</v>
      </c>
      <c r="X339" s="79"/>
      <c r="Y339" s="44" t="str">
        <f>VLOOKUP(M339,Table1[#All],2,FALSE)</f>
        <v>Action</v>
      </c>
      <c r="Z339" s="59" t="str">
        <f>VLOOKUP(M339,Table1[#All],9,FALSE)</f>
        <v>Additional Notes:</v>
      </c>
      <c r="AA339" s="76"/>
      <c r="AB339" s="76"/>
      <c r="AC339" s="90" t="s">
        <v>91</v>
      </c>
      <c r="AD339" s="76" t="s">
        <v>91</v>
      </c>
      <c r="AE339" s="77"/>
      <c r="AF339" s="77"/>
      <c r="AG339" s="41" t="s">
        <v>91</v>
      </c>
    </row>
    <row r="340" spans="1:33" ht="21" hidden="1" x14ac:dyDescent="0.55000000000000004">
      <c r="A340" s="44" t="str">
        <f>Data!K339</f>
        <v>DPOW-CCHP</v>
      </c>
      <c r="B340" s="44" t="str">
        <f>Data!L339</f>
        <v>4143899880</v>
      </c>
      <c r="C340" s="44" t="str">
        <f>Data!D339</f>
        <v>BEDARD , CHERYL</v>
      </c>
      <c r="D340" s="82" t="str">
        <f>Data!F339</f>
        <v>2419075625</v>
      </c>
      <c r="E340" s="82" t="str">
        <f>Data!B339</f>
        <v>3996</v>
      </c>
      <c r="F340" s="44" t="str">
        <f>Data!A339</f>
        <v>BEDARD , CHERYL</v>
      </c>
      <c r="G340" s="55" t="str">
        <f>Data!C339</f>
        <v>11/28/1978</v>
      </c>
      <c r="H340" s="56">
        <f>Data!H339</f>
        <v>44564</v>
      </c>
      <c r="I340" s="56" t="str">
        <f>Data!I339</f>
        <v>1/7/2022</v>
      </c>
      <c r="J340" s="57">
        <f>Data!J339</f>
        <v>216</v>
      </c>
      <c r="K340" s="58">
        <f t="shared" ca="1" si="5"/>
        <v>132</v>
      </c>
      <c r="L340" s="58">
        <f>Data!M339</f>
        <v>0</v>
      </c>
      <c r="M340" s="37" t="s">
        <v>26</v>
      </c>
      <c r="N340" s="43" t="str">
        <f>VLOOKUP(M340,Table1[#All],3,FALSE)</f>
        <v>Note</v>
      </c>
      <c r="O340" s="40" t="str">
        <f>VLOOKUP(M340,Table1[#All],4,FALSE)</f>
        <v>Q1</v>
      </c>
      <c r="P340" s="39"/>
      <c r="Q340" s="40" t="str">
        <f>VLOOKUP(M340,Table1[#All],5,FALSE)</f>
        <v>Q2</v>
      </c>
      <c r="R340" s="79"/>
      <c r="S340" s="40" t="str">
        <f>VLOOKUP(M340,Table1[#All],6,FALSE)</f>
        <v>Q3</v>
      </c>
      <c r="T340" s="79"/>
      <c r="U340" s="40" t="str">
        <f>VLOOKUP(M340,Table1[#All],7,FALSE)</f>
        <v>Q4</v>
      </c>
      <c r="V340" s="79"/>
      <c r="W340" s="40" t="str">
        <f>VLOOKUP(M340,Table1[#All],8,FALSE)</f>
        <v>Q5</v>
      </c>
      <c r="X340" s="79"/>
      <c r="Y340" s="44" t="str">
        <f>VLOOKUP(M340,Table1[#All],2,FALSE)</f>
        <v>Action</v>
      </c>
      <c r="Z340" s="59" t="str">
        <f>VLOOKUP(M340,Table1[#All],9,FALSE)</f>
        <v>Additional Notes:</v>
      </c>
      <c r="AA340" s="76"/>
      <c r="AB340" s="76"/>
      <c r="AC340" s="90" t="s">
        <v>91</v>
      </c>
      <c r="AD340" s="76" t="s">
        <v>91</v>
      </c>
      <c r="AE340" s="77"/>
      <c r="AF340" s="77"/>
      <c r="AG340" s="41" t="s">
        <v>91</v>
      </c>
    </row>
    <row r="341" spans="1:33" ht="21" hidden="1" x14ac:dyDescent="0.55000000000000004">
      <c r="A341" s="44" t="str">
        <f>Data!K340</f>
        <v>DPOW-CCHP</v>
      </c>
      <c r="B341" s="44" t="str">
        <f>Data!L340</f>
        <v>4143899880</v>
      </c>
      <c r="C341" s="44" t="str">
        <f>Data!D340</f>
        <v xml:space="preserve">Deol, Baljeet </v>
      </c>
      <c r="D341" s="82" t="str">
        <f>Data!F340</f>
        <v>6444949165</v>
      </c>
      <c r="E341" s="82" t="str">
        <f>Data!B340</f>
        <v>8187</v>
      </c>
      <c r="F341" s="44" t="str">
        <f>Data!A340</f>
        <v xml:space="preserve">Deol, Baljeet </v>
      </c>
      <c r="G341" s="55" t="str">
        <f>Data!C340</f>
        <v>1/1/1961</v>
      </c>
      <c r="H341" s="56">
        <f>Data!H340</f>
        <v>44568</v>
      </c>
      <c r="I341" s="56" t="str">
        <f>Data!I340</f>
        <v>1/7/2022</v>
      </c>
      <c r="J341" s="57">
        <f>Data!J340</f>
        <v>216</v>
      </c>
      <c r="K341" s="58">
        <f t="shared" ca="1" si="5"/>
        <v>132</v>
      </c>
      <c r="L341" s="58">
        <f>Data!M340</f>
        <v>0</v>
      </c>
      <c r="M341" s="37" t="s">
        <v>26</v>
      </c>
      <c r="N341" s="43" t="str">
        <f>VLOOKUP(M341,Table1[#All],3,FALSE)</f>
        <v>Note</v>
      </c>
      <c r="O341" s="40" t="str">
        <f>VLOOKUP(M341,Table1[#All],4,FALSE)</f>
        <v>Q1</v>
      </c>
      <c r="P341" s="39"/>
      <c r="Q341" s="40" t="str">
        <f>VLOOKUP(M341,Table1[#All],5,FALSE)</f>
        <v>Q2</v>
      </c>
      <c r="R341" s="79"/>
      <c r="S341" s="40" t="str">
        <f>VLOOKUP(M341,Table1[#All],6,FALSE)</f>
        <v>Q3</v>
      </c>
      <c r="T341" s="79"/>
      <c r="U341" s="40" t="str">
        <f>VLOOKUP(M341,Table1[#All],7,FALSE)</f>
        <v>Q4</v>
      </c>
      <c r="V341" s="79"/>
      <c r="W341" s="40" t="str">
        <f>VLOOKUP(M341,Table1[#All],8,FALSE)</f>
        <v>Q5</v>
      </c>
      <c r="X341" s="79"/>
      <c r="Y341" s="44" t="str">
        <f>VLOOKUP(M341,Table1[#All],2,FALSE)</f>
        <v>Action</v>
      </c>
      <c r="Z341" s="59" t="str">
        <f>VLOOKUP(M341,Table1[#All],9,FALSE)</f>
        <v>Additional Notes:</v>
      </c>
      <c r="AA341" s="76"/>
      <c r="AB341" s="76"/>
      <c r="AC341" s="90" t="s">
        <v>91</v>
      </c>
      <c r="AD341" s="76" t="s">
        <v>91</v>
      </c>
      <c r="AE341" s="77"/>
      <c r="AF341" s="77"/>
      <c r="AG341" s="41" t="s">
        <v>91</v>
      </c>
    </row>
    <row r="342" spans="1:33" ht="21" hidden="1" x14ac:dyDescent="0.55000000000000004">
      <c r="A342" s="44" t="str">
        <f>Data!K341</f>
        <v>DPOW-CCHP</v>
      </c>
      <c r="B342" s="44" t="str">
        <f>Data!L341</f>
        <v>4143899880</v>
      </c>
      <c r="C342" s="44" t="str">
        <f>Data!D341</f>
        <v xml:space="preserve">Hamed , Ali </v>
      </c>
      <c r="D342" s="82" t="str">
        <f>Data!F341</f>
        <v>9442560794</v>
      </c>
      <c r="E342" s="82" t="str">
        <f>Data!B341</f>
        <v>2541</v>
      </c>
      <c r="F342" s="44" t="str">
        <f>Data!A341</f>
        <v xml:space="preserve">Hamed , Ali </v>
      </c>
      <c r="G342" s="55" t="str">
        <f>Data!C341</f>
        <v>7/31/2012</v>
      </c>
      <c r="H342" s="56">
        <f>Data!H341</f>
        <v>44563</v>
      </c>
      <c r="I342" s="56" t="str">
        <f>Data!I341</f>
        <v>1/7/2022</v>
      </c>
      <c r="J342" s="57">
        <f>Data!J341</f>
        <v>196.8</v>
      </c>
      <c r="K342" s="58">
        <f t="shared" ca="1" si="5"/>
        <v>132</v>
      </c>
      <c r="L342" s="58">
        <f>Data!M341</f>
        <v>0</v>
      </c>
      <c r="M342" s="37" t="s">
        <v>26</v>
      </c>
      <c r="N342" s="43" t="str">
        <f>VLOOKUP(M342,Table1[#All],3,FALSE)</f>
        <v>Note</v>
      </c>
      <c r="O342" s="40" t="str">
        <f>VLOOKUP(M342,Table1[#All],4,FALSE)</f>
        <v>Q1</v>
      </c>
      <c r="P342" s="39"/>
      <c r="Q342" s="40" t="str">
        <f>VLOOKUP(M342,Table1[#All],5,FALSE)</f>
        <v>Q2</v>
      </c>
      <c r="R342" s="79"/>
      <c r="S342" s="40" t="str">
        <f>VLOOKUP(M342,Table1[#All],6,FALSE)</f>
        <v>Q3</v>
      </c>
      <c r="T342" s="79"/>
      <c r="U342" s="40" t="str">
        <f>VLOOKUP(M342,Table1[#All],7,FALSE)</f>
        <v>Q4</v>
      </c>
      <c r="V342" s="79"/>
      <c r="W342" s="40" t="str">
        <f>VLOOKUP(M342,Table1[#All],8,FALSE)</f>
        <v>Q5</v>
      </c>
      <c r="X342" s="79"/>
      <c r="Y342" s="44" t="str">
        <f>VLOOKUP(M342,Table1[#All],2,FALSE)</f>
        <v>Action</v>
      </c>
      <c r="Z342" s="59" t="str">
        <f>VLOOKUP(M342,Table1[#All],9,FALSE)</f>
        <v>Additional Notes:</v>
      </c>
      <c r="AA342" s="76"/>
      <c r="AB342" s="76"/>
      <c r="AC342" s="90" t="s">
        <v>91</v>
      </c>
      <c r="AD342" s="76" t="s">
        <v>91</v>
      </c>
      <c r="AE342" s="77"/>
      <c r="AF342" s="77"/>
      <c r="AG342" s="41" t="s">
        <v>91</v>
      </c>
    </row>
    <row r="343" spans="1:33" ht="21" hidden="1" x14ac:dyDescent="0.55000000000000004">
      <c r="A343" s="44" t="str">
        <f>Data!K342</f>
        <v>DPOW-CCHP</v>
      </c>
      <c r="B343" s="44" t="str">
        <f>Data!L342</f>
        <v>4143899880</v>
      </c>
      <c r="C343" s="44" t="str">
        <f>Data!D342</f>
        <v xml:space="preserve">Harris , Marcus </v>
      </c>
      <c r="D343" s="82" t="str">
        <f>Data!F342</f>
        <v>2409432620</v>
      </c>
      <c r="E343" s="82" t="str">
        <f>Data!B342</f>
        <v>8647</v>
      </c>
      <c r="F343" s="44" t="str">
        <f>Data!A342</f>
        <v xml:space="preserve">Harris , Marcus </v>
      </c>
      <c r="G343" s="55" t="str">
        <f>Data!C342</f>
        <v>12/25/1981</v>
      </c>
      <c r="H343" s="56">
        <f>Data!H342</f>
        <v>44563</v>
      </c>
      <c r="I343" s="56" t="str">
        <f>Data!I342</f>
        <v>1/7/2022</v>
      </c>
      <c r="J343" s="57">
        <f>Data!J342</f>
        <v>1334.4</v>
      </c>
      <c r="K343" s="58">
        <f t="shared" ca="1" si="5"/>
        <v>132</v>
      </c>
      <c r="L343" s="58">
        <f>Data!M342</f>
        <v>0</v>
      </c>
      <c r="M343" s="37" t="s">
        <v>26</v>
      </c>
      <c r="N343" s="43" t="str">
        <f>VLOOKUP(M343,Table1[#All],3,FALSE)</f>
        <v>Note</v>
      </c>
      <c r="O343" s="40" t="str">
        <f>VLOOKUP(M343,Table1[#All],4,FALSE)</f>
        <v>Q1</v>
      </c>
      <c r="P343" s="39"/>
      <c r="Q343" s="40" t="str">
        <f>VLOOKUP(M343,Table1[#All],5,FALSE)</f>
        <v>Q2</v>
      </c>
      <c r="R343" s="79"/>
      <c r="S343" s="40" t="str">
        <f>VLOOKUP(M343,Table1[#All],6,FALSE)</f>
        <v>Q3</v>
      </c>
      <c r="T343" s="79"/>
      <c r="U343" s="40" t="str">
        <f>VLOOKUP(M343,Table1[#All],7,FALSE)</f>
        <v>Q4</v>
      </c>
      <c r="V343" s="79"/>
      <c r="W343" s="40" t="str">
        <f>VLOOKUP(M343,Table1[#All],8,FALSE)</f>
        <v>Q5</v>
      </c>
      <c r="X343" s="79"/>
      <c r="Y343" s="44" t="str">
        <f>VLOOKUP(M343,Table1[#All],2,FALSE)</f>
        <v>Action</v>
      </c>
      <c r="Z343" s="59" t="str">
        <f>VLOOKUP(M343,Table1[#All],9,FALSE)</f>
        <v>Additional Notes:</v>
      </c>
      <c r="AA343" s="76"/>
      <c r="AB343" s="76"/>
      <c r="AC343" s="90" t="s">
        <v>91</v>
      </c>
      <c r="AD343" s="76" t="s">
        <v>91</v>
      </c>
      <c r="AE343" s="77"/>
      <c r="AF343" s="77"/>
      <c r="AG343" s="41" t="s">
        <v>91</v>
      </c>
    </row>
    <row r="344" spans="1:33" ht="21" hidden="1" x14ac:dyDescent="0.55000000000000004">
      <c r="A344" s="44" t="str">
        <f>Data!K343</f>
        <v>DPOW-CCHP</v>
      </c>
      <c r="B344" s="44" t="str">
        <f>Data!L343</f>
        <v>4143899880</v>
      </c>
      <c r="C344" s="44" t="str">
        <f>Data!D343</f>
        <v xml:space="preserve">Jensen , Christopher </v>
      </c>
      <c r="D344" s="82" t="str">
        <f>Data!F343</f>
        <v>5441339357</v>
      </c>
      <c r="E344" s="82" t="str">
        <f>Data!B343</f>
        <v>8682</v>
      </c>
      <c r="F344" s="44" t="str">
        <f>Data!A343</f>
        <v xml:space="preserve">Jensen , Christopher </v>
      </c>
      <c r="G344" s="55" t="str">
        <f>Data!C343</f>
        <v>12/13/1986</v>
      </c>
      <c r="H344" s="56">
        <f>Data!H343</f>
        <v>44563</v>
      </c>
      <c r="I344" s="56" t="str">
        <f>Data!I343</f>
        <v>1/7/2022</v>
      </c>
      <c r="J344" s="57">
        <f>Data!J343</f>
        <v>88.8</v>
      </c>
      <c r="K344" s="58">
        <f t="shared" ca="1" si="5"/>
        <v>132</v>
      </c>
      <c r="L344" s="58">
        <f>Data!M343</f>
        <v>0</v>
      </c>
      <c r="M344" s="37" t="s">
        <v>26</v>
      </c>
      <c r="N344" s="43" t="str">
        <f>VLOOKUP(M344,Table1[#All],3,FALSE)</f>
        <v>Note</v>
      </c>
      <c r="O344" s="40" t="str">
        <f>VLOOKUP(M344,Table1[#All],4,FALSE)</f>
        <v>Q1</v>
      </c>
      <c r="P344" s="39"/>
      <c r="Q344" s="40" t="str">
        <f>VLOOKUP(M344,Table1[#All],5,FALSE)</f>
        <v>Q2</v>
      </c>
      <c r="R344" s="79"/>
      <c r="S344" s="40" t="str">
        <f>VLOOKUP(M344,Table1[#All],6,FALSE)</f>
        <v>Q3</v>
      </c>
      <c r="T344" s="79"/>
      <c r="U344" s="40" t="str">
        <f>VLOOKUP(M344,Table1[#All],7,FALSE)</f>
        <v>Q4</v>
      </c>
      <c r="V344" s="79"/>
      <c r="W344" s="40" t="str">
        <f>VLOOKUP(M344,Table1[#All],8,FALSE)</f>
        <v>Q5</v>
      </c>
      <c r="X344" s="79"/>
      <c r="Y344" s="44" t="str">
        <f>VLOOKUP(M344,Table1[#All],2,FALSE)</f>
        <v>Action</v>
      </c>
      <c r="Z344" s="59" t="str">
        <f>VLOOKUP(M344,Table1[#All],9,FALSE)</f>
        <v>Additional Notes:</v>
      </c>
      <c r="AA344" s="76"/>
      <c r="AB344" s="76"/>
      <c r="AC344" s="90" t="s">
        <v>91</v>
      </c>
      <c r="AD344" s="76" t="s">
        <v>91</v>
      </c>
      <c r="AE344" s="77"/>
      <c r="AF344" s="77"/>
      <c r="AG344" s="41" t="s">
        <v>91</v>
      </c>
    </row>
    <row r="345" spans="1:33" ht="21" hidden="1" x14ac:dyDescent="0.55000000000000004">
      <c r="A345" s="44" t="str">
        <f>Data!K344</f>
        <v>DPOW-CCHP</v>
      </c>
      <c r="B345" s="44" t="str">
        <f>Data!L344</f>
        <v>4143899880</v>
      </c>
      <c r="C345" s="44" t="str">
        <f>Data!D344</f>
        <v xml:space="preserve">Martinez Lopez , Daniel </v>
      </c>
      <c r="D345" s="82" t="str">
        <f>Data!F344</f>
        <v>5451663955</v>
      </c>
      <c r="E345" s="82" t="str">
        <f>Data!B344</f>
        <v>1199</v>
      </c>
      <c r="F345" s="44" t="str">
        <f>Data!A344</f>
        <v xml:space="preserve">Martinez Lopez , Daniel </v>
      </c>
      <c r="G345" s="55" t="str">
        <f>Data!C344</f>
        <v>5/14/2017</v>
      </c>
      <c r="H345" s="56">
        <f>Data!H344</f>
        <v>44563</v>
      </c>
      <c r="I345" s="56" t="str">
        <f>Data!I344</f>
        <v>1/7/2022</v>
      </c>
      <c r="J345" s="57">
        <f>Data!J344</f>
        <v>496</v>
      </c>
      <c r="K345" s="58">
        <f t="shared" ca="1" si="5"/>
        <v>132</v>
      </c>
      <c r="L345" s="58">
        <f>Data!M344</f>
        <v>0</v>
      </c>
      <c r="M345" s="37" t="s">
        <v>26</v>
      </c>
      <c r="N345" s="43" t="str">
        <f>VLOOKUP(M345,Table1[#All],3,FALSE)</f>
        <v>Note</v>
      </c>
      <c r="O345" s="40" t="str">
        <f>VLOOKUP(M345,Table1[#All],4,FALSE)</f>
        <v>Q1</v>
      </c>
      <c r="P345" s="39"/>
      <c r="Q345" s="40" t="str">
        <f>VLOOKUP(M345,Table1[#All],5,FALSE)</f>
        <v>Q2</v>
      </c>
      <c r="R345" s="79"/>
      <c r="S345" s="40" t="str">
        <f>VLOOKUP(M345,Table1[#All],6,FALSE)</f>
        <v>Q3</v>
      </c>
      <c r="T345" s="79"/>
      <c r="U345" s="40" t="str">
        <f>VLOOKUP(M345,Table1[#All],7,FALSE)</f>
        <v>Q4</v>
      </c>
      <c r="V345" s="79"/>
      <c r="W345" s="40" t="str">
        <f>VLOOKUP(M345,Table1[#All],8,FALSE)</f>
        <v>Q5</v>
      </c>
      <c r="X345" s="79"/>
      <c r="Y345" s="44" t="str">
        <f>VLOOKUP(M345,Table1[#All],2,FALSE)</f>
        <v>Action</v>
      </c>
      <c r="Z345" s="59" t="str">
        <f>VLOOKUP(M345,Table1[#All],9,FALSE)</f>
        <v>Additional Notes:</v>
      </c>
      <c r="AA345" s="76"/>
      <c r="AB345" s="76"/>
      <c r="AC345" s="90" t="s">
        <v>91</v>
      </c>
      <c r="AD345" s="76" t="s">
        <v>91</v>
      </c>
      <c r="AE345" s="77"/>
      <c r="AF345" s="77"/>
      <c r="AG345" s="41" t="s">
        <v>91</v>
      </c>
    </row>
    <row r="346" spans="1:33" ht="21" hidden="1" x14ac:dyDescent="0.55000000000000004">
      <c r="A346" s="44" t="str">
        <f>Data!K345</f>
        <v>DPOW-CCHP</v>
      </c>
      <c r="B346" s="44" t="str">
        <f>Data!L345</f>
        <v>4143899880</v>
      </c>
      <c r="C346" s="44" t="str">
        <f>Data!D345</f>
        <v xml:space="preserve">Mitchell, Trevean </v>
      </c>
      <c r="D346" s="82" t="str">
        <f>Data!F345</f>
        <v>8440414684</v>
      </c>
      <c r="E346" s="82" t="str">
        <f>Data!B345</f>
        <v>4530</v>
      </c>
      <c r="F346" s="44" t="str">
        <f>Data!A345</f>
        <v xml:space="preserve">Mitchell, Trevean </v>
      </c>
      <c r="G346" s="55" t="str">
        <f>Data!C345</f>
        <v>5/2/2011</v>
      </c>
      <c r="H346" s="56">
        <f>Data!H345</f>
        <v>44561</v>
      </c>
      <c r="I346" s="56" t="str">
        <f>Data!I345</f>
        <v>1/7/2022</v>
      </c>
      <c r="J346" s="57">
        <f>Data!J345</f>
        <v>337.2</v>
      </c>
      <c r="K346" s="58">
        <f t="shared" ca="1" si="5"/>
        <v>132</v>
      </c>
      <c r="L346" s="58">
        <f>Data!M345</f>
        <v>0</v>
      </c>
      <c r="M346" s="37" t="s">
        <v>26</v>
      </c>
      <c r="N346" s="43" t="str">
        <f>VLOOKUP(M346,Table1[#All],3,FALSE)</f>
        <v>Note</v>
      </c>
      <c r="O346" s="40" t="str">
        <f>VLOOKUP(M346,Table1[#All],4,FALSE)</f>
        <v>Q1</v>
      </c>
      <c r="P346" s="39"/>
      <c r="Q346" s="40" t="str">
        <f>VLOOKUP(M346,Table1[#All],5,FALSE)</f>
        <v>Q2</v>
      </c>
      <c r="R346" s="79"/>
      <c r="S346" s="40" t="str">
        <f>VLOOKUP(M346,Table1[#All],6,FALSE)</f>
        <v>Q3</v>
      </c>
      <c r="T346" s="79"/>
      <c r="U346" s="40" t="str">
        <f>VLOOKUP(M346,Table1[#All],7,FALSE)</f>
        <v>Q4</v>
      </c>
      <c r="V346" s="79"/>
      <c r="W346" s="40" t="str">
        <f>VLOOKUP(M346,Table1[#All],8,FALSE)</f>
        <v>Q5</v>
      </c>
      <c r="X346" s="79"/>
      <c r="Y346" s="44" t="str">
        <f>VLOOKUP(M346,Table1[#All],2,FALSE)</f>
        <v>Action</v>
      </c>
      <c r="Z346" s="59" t="str">
        <f>VLOOKUP(M346,Table1[#All],9,FALSE)</f>
        <v>Additional Notes:</v>
      </c>
      <c r="AA346" s="76"/>
      <c r="AB346" s="76"/>
      <c r="AC346" s="90" t="s">
        <v>91</v>
      </c>
      <c r="AD346" s="76" t="s">
        <v>91</v>
      </c>
      <c r="AE346" s="77"/>
      <c r="AF346" s="77"/>
      <c r="AG346" s="41" t="s">
        <v>91</v>
      </c>
    </row>
    <row r="347" spans="1:33" ht="21" hidden="1" x14ac:dyDescent="0.55000000000000004">
      <c r="A347" s="44" t="str">
        <f>Data!K346</f>
        <v>DPOW-CCHP</v>
      </c>
      <c r="B347" s="44" t="str">
        <f>Data!L346</f>
        <v>4143899880</v>
      </c>
      <c r="C347" s="44" t="str">
        <f>Data!D346</f>
        <v>Henges , Robert</v>
      </c>
      <c r="D347" s="82" t="str">
        <f>Data!F346</f>
        <v>6400608061</v>
      </c>
      <c r="E347" s="82" t="str">
        <f>Data!B346</f>
        <v>8747</v>
      </c>
      <c r="F347" s="44" t="str">
        <f>Data!A346</f>
        <v>Henges , Robert</v>
      </c>
      <c r="G347" s="55" t="str">
        <f>Data!C346</f>
        <v>5/31/1987</v>
      </c>
      <c r="H347" s="56">
        <f>Data!H346</f>
        <v>44560</v>
      </c>
      <c r="I347" s="56" t="str">
        <f>Data!I346</f>
        <v>1/1/2022</v>
      </c>
      <c r="J347" s="57">
        <f>Data!J346</f>
        <v>704.4</v>
      </c>
      <c r="K347" s="58">
        <f t="shared" ca="1" si="5"/>
        <v>138</v>
      </c>
      <c r="L347" s="58">
        <f>Data!M346</f>
        <v>0</v>
      </c>
      <c r="M347" s="37" t="s">
        <v>26</v>
      </c>
      <c r="N347" s="43" t="str">
        <f>VLOOKUP(M347,Table1[#All],3,FALSE)</f>
        <v>Note</v>
      </c>
      <c r="O347" s="40" t="str">
        <f>VLOOKUP(M347,Table1[#All],4,FALSE)</f>
        <v>Q1</v>
      </c>
      <c r="P347" s="39"/>
      <c r="Q347" s="40" t="str">
        <f>VLOOKUP(M347,Table1[#All],5,FALSE)</f>
        <v>Q2</v>
      </c>
      <c r="R347" s="79"/>
      <c r="S347" s="40" t="str">
        <f>VLOOKUP(M347,Table1[#All],6,FALSE)</f>
        <v>Q3</v>
      </c>
      <c r="T347" s="79"/>
      <c r="U347" s="40" t="str">
        <f>VLOOKUP(M347,Table1[#All],7,FALSE)</f>
        <v>Q4</v>
      </c>
      <c r="V347" s="79"/>
      <c r="W347" s="40" t="str">
        <f>VLOOKUP(M347,Table1[#All],8,FALSE)</f>
        <v>Q5</v>
      </c>
      <c r="X347" s="79"/>
      <c r="Y347" s="44" t="str">
        <f>VLOOKUP(M347,Table1[#All],2,FALSE)</f>
        <v>Action</v>
      </c>
      <c r="Z347" s="59" t="str">
        <f>VLOOKUP(M347,Table1[#All],9,FALSE)</f>
        <v>Additional Notes:</v>
      </c>
      <c r="AA347" s="76"/>
      <c r="AB347" s="76"/>
      <c r="AC347" s="90" t="s">
        <v>91</v>
      </c>
      <c r="AD347" s="76" t="s">
        <v>91</v>
      </c>
      <c r="AE347" s="77"/>
      <c r="AF347" s="77"/>
      <c r="AG347" s="41" t="s">
        <v>91</v>
      </c>
    </row>
    <row r="348" spans="1:33" ht="21" hidden="1" x14ac:dyDescent="0.55000000000000004">
      <c r="A348" s="44" t="str">
        <f>Data!K347</f>
        <v>DPOW-CCHP</v>
      </c>
      <c r="B348" s="44" t="str">
        <f>Data!L347</f>
        <v>4143899880</v>
      </c>
      <c r="C348" s="44" t="str">
        <f>Data!D347</f>
        <v>Brem, Jessica</v>
      </c>
      <c r="D348" s="82" t="str">
        <f>Data!F347</f>
        <v>3423740931</v>
      </c>
      <c r="E348" s="82" t="str">
        <f>Data!B347</f>
        <v>8716</v>
      </c>
      <c r="F348" s="44" t="str">
        <f>Data!A347</f>
        <v>Brem, Jessica</v>
      </c>
      <c r="G348" s="55" t="str">
        <f>Data!C347</f>
        <v>6/4/1986</v>
      </c>
      <c r="H348" s="56">
        <f>Data!H347</f>
        <v>44560</v>
      </c>
      <c r="I348" s="56" t="str">
        <f>Data!I347</f>
        <v>1/1/2022</v>
      </c>
      <c r="J348" s="57">
        <f>Data!J347</f>
        <v>792</v>
      </c>
      <c r="K348" s="58">
        <f t="shared" ca="1" si="5"/>
        <v>138</v>
      </c>
      <c r="L348" s="58">
        <f>Data!M347</f>
        <v>0</v>
      </c>
      <c r="M348" s="37" t="s">
        <v>26</v>
      </c>
      <c r="N348" s="43" t="str">
        <f>VLOOKUP(M348,Table1[#All],3,FALSE)</f>
        <v>Note</v>
      </c>
      <c r="O348" s="40" t="str">
        <f>VLOOKUP(M348,Table1[#All],4,FALSE)</f>
        <v>Q1</v>
      </c>
      <c r="P348" s="39"/>
      <c r="Q348" s="40" t="str">
        <f>VLOOKUP(M348,Table1[#All],5,FALSE)</f>
        <v>Q2</v>
      </c>
      <c r="R348" s="79"/>
      <c r="S348" s="40" t="str">
        <f>VLOOKUP(M348,Table1[#All],6,FALSE)</f>
        <v>Q3</v>
      </c>
      <c r="T348" s="79"/>
      <c r="U348" s="40" t="str">
        <f>VLOOKUP(M348,Table1[#All],7,FALSE)</f>
        <v>Q4</v>
      </c>
      <c r="V348" s="79"/>
      <c r="W348" s="40" t="str">
        <f>VLOOKUP(M348,Table1[#All],8,FALSE)</f>
        <v>Q5</v>
      </c>
      <c r="X348" s="79"/>
      <c r="Y348" s="44" t="str">
        <f>VLOOKUP(M348,Table1[#All],2,FALSE)</f>
        <v>Action</v>
      </c>
      <c r="Z348" s="59" t="str">
        <f>VLOOKUP(M348,Table1[#All],9,FALSE)</f>
        <v>Additional Notes:</v>
      </c>
      <c r="AA348" s="76"/>
      <c r="AB348" s="76"/>
      <c r="AC348" s="90" t="s">
        <v>91</v>
      </c>
      <c r="AD348" s="76" t="s">
        <v>91</v>
      </c>
      <c r="AE348" s="77"/>
      <c r="AF348" s="77"/>
      <c r="AG348" s="41" t="s">
        <v>91</v>
      </c>
    </row>
    <row r="349" spans="1:33" ht="21" hidden="1" x14ac:dyDescent="0.55000000000000004">
      <c r="A349" s="44" t="str">
        <f>Data!K348</f>
        <v>DPOW-CCHP</v>
      </c>
      <c r="B349" s="44" t="str">
        <f>Data!L348</f>
        <v>4143899880</v>
      </c>
      <c r="C349" s="44" t="str">
        <f>Data!D348</f>
        <v>BEDARD , CHERYL</v>
      </c>
      <c r="D349" s="82" t="str">
        <f>Data!F348</f>
        <v>2419075625</v>
      </c>
      <c r="E349" s="82" t="str">
        <f>Data!B348</f>
        <v>3996</v>
      </c>
      <c r="F349" s="44" t="str">
        <f>Data!A348</f>
        <v>BEDARD , CHERYL</v>
      </c>
      <c r="G349" s="55" t="str">
        <f>Data!C348</f>
        <v>11/28/1978</v>
      </c>
      <c r="H349" s="56">
        <f>Data!H348</f>
        <v>44560</v>
      </c>
      <c r="I349" s="56" t="str">
        <f>Data!I348</f>
        <v>1/1/2022</v>
      </c>
      <c r="J349" s="57">
        <f>Data!J348</f>
        <v>450</v>
      </c>
      <c r="K349" s="58">
        <f t="shared" ca="1" si="5"/>
        <v>138</v>
      </c>
      <c r="L349" s="58">
        <f>Data!M348</f>
        <v>0</v>
      </c>
      <c r="M349" s="37" t="s">
        <v>26</v>
      </c>
      <c r="N349" s="43" t="str">
        <f>VLOOKUP(M349,Table1[#All],3,FALSE)</f>
        <v>Note</v>
      </c>
      <c r="O349" s="40" t="str">
        <f>VLOOKUP(M349,Table1[#All],4,FALSE)</f>
        <v>Q1</v>
      </c>
      <c r="P349" s="39"/>
      <c r="Q349" s="40" t="str">
        <f>VLOOKUP(M349,Table1[#All],5,FALSE)</f>
        <v>Q2</v>
      </c>
      <c r="R349" s="79"/>
      <c r="S349" s="40" t="str">
        <f>VLOOKUP(M349,Table1[#All],6,FALSE)</f>
        <v>Q3</v>
      </c>
      <c r="T349" s="79"/>
      <c r="U349" s="40" t="str">
        <f>VLOOKUP(M349,Table1[#All],7,FALSE)</f>
        <v>Q4</v>
      </c>
      <c r="V349" s="79"/>
      <c r="W349" s="40" t="str">
        <f>VLOOKUP(M349,Table1[#All],8,FALSE)</f>
        <v>Q5</v>
      </c>
      <c r="X349" s="79"/>
      <c r="Y349" s="44" t="str">
        <f>VLOOKUP(M349,Table1[#All],2,FALSE)</f>
        <v>Action</v>
      </c>
      <c r="Z349" s="59" t="str">
        <f>VLOOKUP(M349,Table1[#All],9,FALSE)</f>
        <v>Additional Notes:</v>
      </c>
      <c r="AA349" s="76"/>
      <c r="AB349" s="76"/>
      <c r="AC349" s="90" t="s">
        <v>91</v>
      </c>
      <c r="AD349" s="76" t="s">
        <v>91</v>
      </c>
      <c r="AE349" s="77"/>
      <c r="AF349" s="77"/>
      <c r="AG349" s="41" t="s">
        <v>91</v>
      </c>
    </row>
    <row r="350" spans="1:33" ht="21" hidden="1" x14ac:dyDescent="0.55000000000000004">
      <c r="A350" s="44" t="str">
        <f>Data!K349</f>
        <v>DPOW-CCHP</v>
      </c>
      <c r="B350" s="44" t="str">
        <f>Data!L349</f>
        <v>4143899880</v>
      </c>
      <c r="C350" s="44" t="str">
        <f>Data!D349</f>
        <v>Mahoney , Evie</v>
      </c>
      <c r="D350" s="82" t="str">
        <f>Data!F349</f>
        <v>1453930311</v>
      </c>
      <c r="E350" s="82" t="str">
        <f>Data!B349</f>
        <v>8732</v>
      </c>
      <c r="F350" s="44" t="str">
        <f>Data!A349</f>
        <v>Mahoney , Evie</v>
      </c>
      <c r="G350" s="55" t="str">
        <f>Data!C349</f>
        <v>2/16/2018</v>
      </c>
      <c r="H350" s="56">
        <f>Data!H349</f>
        <v>44560</v>
      </c>
      <c r="I350" s="56" t="str">
        <f>Data!I349</f>
        <v>1/1/2022</v>
      </c>
      <c r="J350" s="57">
        <f>Data!J349</f>
        <v>166.8</v>
      </c>
      <c r="K350" s="58">
        <f t="shared" ca="1" si="5"/>
        <v>138</v>
      </c>
      <c r="L350" s="58">
        <f>Data!M349</f>
        <v>0</v>
      </c>
      <c r="M350" s="37" t="s">
        <v>26</v>
      </c>
      <c r="N350" s="43" t="str">
        <f>VLOOKUP(M350,Table1[#All],3,FALSE)</f>
        <v>Note</v>
      </c>
      <c r="O350" s="40" t="str">
        <f>VLOOKUP(M350,Table1[#All],4,FALSE)</f>
        <v>Q1</v>
      </c>
      <c r="P350" s="39"/>
      <c r="Q350" s="40" t="str">
        <f>VLOOKUP(M350,Table1[#All],5,FALSE)</f>
        <v>Q2</v>
      </c>
      <c r="R350" s="79"/>
      <c r="S350" s="40" t="str">
        <f>VLOOKUP(M350,Table1[#All],6,FALSE)</f>
        <v>Q3</v>
      </c>
      <c r="T350" s="79"/>
      <c r="U350" s="40" t="str">
        <f>VLOOKUP(M350,Table1[#All],7,FALSE)</f>
        <v>Q4</v>
      </c>
      <c r="V350" s="79"/>
      <c r="W350" s="40" t="str">
        <f>VLOOKUP(M350,Table1[#All],8,FALSE)</f>
        <v>Q5</v>
      </c>
      <c r="X350" s="79"/>
      <c r="Y350" s="44" t="str">
        <f>VLOOKUP(M350,Table1[#All],2,FALSE)</f>
        <v>Action</v>
      </c>
      <c r="Z350" s="59" t="str">
        <f>VLOOKUP(M350,Table1[#All],9,FALSE)</f>
        <v>Additional Notes:</v>
      </c>
      <c r="AA350" s="76"/>
      <c r="AB350" s="76"/>
      <c r="AC350" s="90" t="s">
        <v>91</v>
      </c>
      <c r="AD350" s="76" t="s">
        <v>91</v>
      </c>
      <c r="AE350" s="77"/>
      <c r="AF350" s="77"/>
      <c r="AG350" s="41" t="s">
        <v>91</v>
      </c>
    </row>
    <row r="351" spans="1:33" ht="21" hidden="1" x14ac:dyDescent="0.55000000000000004">
      <c r="A351" s="44" t="str">
        <f>Data!K350</f>
        <v>DPOW-CCHP</v>
      </c>
      <c r="B351" s="44" t="str">
        <f>Data!L350</f>
        <v>4143899880</v>
      </c>
      <c r="C351" s="44" t="str">
        <f>Data!D350</f>
        <v>Fudeh , Saleh</v>
      </c>
      <c r="D351" s="82" t="str">
        <f>Data!F350</f>
        <v>8442265783</v>
      </c>
      <c r="E351" s="82" t="str">
        <f>Data!B350</f>
        <v>8027</v>
      </c>
      <c r="F351" s="44" t="str">
        <f>Data!A350</f>
        <v>Fudeh , Saleh</v>
      </c>
      <c r="G351" s="55" t="str">
        <f>Data!C350</f>
        <v>5/29/2012</v>
      </c>
      <c r="H351" s="56">
        <f>Data!H350</f>
        <v>44559</v>
      </c>
      <c r="I351" s="56" t="str">
        <f>Data!I350</f>
        <v>1/1/2022</v>
      </c>
      <c r="J351" s="57">
        <f>Data!J350</f>
        <v>61.2</v>
      </c>
      <c r="K351" s="58">
        <f t="shared" ca="1" si="5"/>
        <v>138</v>
      </c>
      <c r="L351" s="58">
        <f>Data!M350</f>
        <v>0</v>
      </c>
      <c r="M351" s="37" t="s">
        <v>26</v>
      </c>
      <c r="N351" s="43" t="str">
        <f>VLOOKUP(M351,Table1[#All],3,FALSE)</f>
        <v>Note</v>
      </c>
      <c r="O351" s="40" t="str">
        <f>VLOOKUP(M351,Table1[#All],4,FALSE)</f>
        <v>Q1</v>
      </c>
      <c r="P351" s="39"/>
      <c r="Q351" s="40" t="str">
        <f>VLOOKUP(M351,Table1[#All],5,FALSE)</f>
        <v>Q2</v>
      </c>
      <c r="R351" s="79"/>
      <c r="S351" s="40" t="str">
        <f>VLOOKUP(M351,Table1[#All],6,FALSE)</f>
        <v>Q3</v>
      </c>
      <c r="T351" s="79"/>
      <c r="U351" s="40" t="str">
        <f>VLOOKUP(M351,Table1[#All],7,FALSE)</f>
        <v>Q4</v>
      </c>
      <c r="V351" s="79"/>
      <c r="W351" s="40" t="str">
        <f>VLOOKUP(M351,Table1[#All],8,FALSE)</f>
        <v>Q5</v>
      </c>
      <c r="X351" s="79"/>
      <c r="Y351" s="44" t="str">
        <f>VLOOKUP(M351,Table1[#All],2,FALSE)</f>
        <v>Action</v>
      </c>
      <c r="Z351" s="59" t="str">
        <f>VLOOKUP(M351,Table1[#All],9,FALSE)</f>
        <v>Additional Notes:</v>
      </c>
      <c r="AA351" s="76"/>
      <c r="AB351" s="76"/>
      <c r="AC351" s="90" t="s">
        <v>91</v>
      </c>
      <c r="AD351" s="76" t="s">
        <v>91</v>
      </c>
      <c r="AE351" s="77"/>
      <c r="AF351" s="77"/>
      <c r="AG351" s="41" t="s">
        <v>91</v>
      </c>
    </row>
    <row r="352" spans="1:33" ht="21" hidden="1" x14ac:dyDescent="0.55000000000000004">
      <c r="A352" s="44" t="str">
        <f>Data!K351</f>
        <v>DPOW-CCHP</v>
      </c>
      <c r="B352" s="44" t="str">
        <f>Data!L351</f>
        <v>4143899880</v>
      </c>
      <c r="C352" s="44" t="str">
        <f>Data!D351</f>
        <v xml:space="preserve">Knilans , Joseph </v>
      </c>
      <c r="D352" s="82" t="str">
        <f>Data!F351</f>
        <v>9426900292</v>
      </c>
      <c r="E352" s="82" t="str">
        <f>Data!B351</f>
        <v>4500</v>
      </c>
      <c r="F352" s="44" t="str">
        <f>Data!A351</f>
        <v xml:space="preserve">Knilans , Joseph </v>
      </c>
      <c r="G352" s="55" t="str">
        <f>Data!C351</f>
        <v>7/11/1970</v>
      </c>
      <c r="H352" s="56">
        <f>Data!H351</f>
        <v>44559</v>
      </c>
      <c r="I352" s="56" t="str">
        <f>Data!I351</f>
        <v>1/1/2022</v>
      </c>
      <c r="J352" s="57">
        <f>Data!J351</f>
        <v>43.2</v>
      </c>
      <c r="K352" s="58">
        <f t="shared" ca="1" si="5"/>
        <v>138</v>
      </c>
      <c r="L352" s="58">
        <f>Data!M351</f>
        <v>0</v>
      </c>
      <c r="M352" s="37" t="s">
        <v>26</v>
      </c>
      <c r="N352" s="43" t="str">
        <f>VLOOKUP(M352,Table1[#All],3,FALSE)</f>
        <v>Note</v>
      </c>
      <c r="O352" s="40" t="str">
        <f>VLOOKUP(M352,Table1[#All],4,FALSE)</f>
        <v>Q1</v>
      </c>
      <c r="P352" s="39"/>
      <c r="Q352" s="40" t="str">
        <f>VLOOKUP(M352,Table1[#All],5,FALSE)</f>
        <v>Q2</v>
      </c>
      <c r="R352" s="79"/>
      <c r="S352" s="40" t="str">
        <f>VLOOKUP(M352,Table1[#All],6,FALSE)</f>
        <v>Q3</v>
      </c>
      <c r="T352" s="79"/>
      <c r="U352" s="40" t="str">
        <f>VLOOKUP(M352,Table1[#All],7,FALSE)</f>
        <v>Q4</v>
      </c>
      <c r="V352" s="79"/>
      <c r="W352" s="40" t="str">
        <f>VLOOKUP(M352,Table1[#All],8,FALSE)</f>
        <v>Q5</v>
      </c>
      <c r="X352" s="79"/>
      <c r="Y352" s="44" t="str">
        <f>VLOOKUP(M352,Table1[#All],2,FALSE)</f>
        <v>Action</v>
      </c>
      <c r="Z352" s="59" t="str">
        <f>VLOOKUP(M352,Table1[#All],9,FALSE)</f>
        <v>Additional Notes:</v>
      </c>
      <c r="AA352" s="76"/>
      <c r="AB352" s="76"/>
      <c r="AC352" s="90" t="s">
        <v>91</v>
      </c>
      <c r="AD352" s="76" t="s">
        <v>91</v>
      </c>
      <c r="AE352" s="77"/>
      <c r="AF352" s="77"/>
      <c r="AG352" s="41" t="s">
        <v>91</v>
      </c>
    </row>
    <row r="353" spans="1:33" ht="21" hidden="1" x14ac:dyDescent="0.55000000000000004">
      <c r="A353" s="44" t="str">
        <f>Data!K352</f>
        <v>DPOW-CCHP</v>
      </c>
      <c r="B353" s="44" t="str">
        <f>Data!L352</f>
        <v>4143899880</v>
      </c>
      <c r="C353" s="44" t="str">
        <f>Data!D352</f>
        <v xml:space="preserve">Hamed , Majd </v>
      </c>
      <c r="D353" s="82" t="str">
        <f>Data!F352</f>
        <v>5450181957</v>
      </c>
      <c r="E353" s="82" t="str">
        <f>Data!B352</f>
        <v>5821</v>
      </c>
      <c r="F353" s="44" t="str">
        <f>Data!A352</f>
        <v xml:space="preserve">Hamed , Majd </v>
      </c>
      <c r="G353" s="55" t="str">
        <f>Data!C352</f>
        <v>7/23/2016</v>
      </c>
      <c r="H353" s="56">
        <f>Data!H352</f>
        <v>44558</v>
      </c>
      <c r="I353" s="56" t="str">
        <f>Data!I352</f>
        <v>1/1/2022</v>
      </c>
      <c r="J353" s="57">
        <f>Data!J352</f>
        <v>227.6</v>
      </c>
      <c r="K353" s="58">
        <f t="shared" ca="1" si="5"/>
        <v>138</v>
      </c>
      <c r="L353" s="58">
        <f>Data!M352</f>
        <v>0</v>
      </c>
      <c r="M353" s="37" t="s">
        <v>26</v>
      </c>
      <c r="N353" s="43" t="str">
        <f>VLOOKUP(M353,Table1[#All],3,FALSE)</f>
        <v>Note</v>
      </c>
      <c r="O353" s="40" t="str">
        <f>VLOOKUP(M353,Table1[#All],4,FALSE)</f>
        <v>Q1</v>
      </c>
      <c r="P353" s="39"/>
      <c r="Q353" s="40" t="str">
        <f>VLOOKUP(M353,Table1[#All],5,FALSE)</f>
        <v>Q2</v>
      </c>
      <c r="R353" s="79"/>
      <c r="S353" s="40" t="str">
        <f>VLOOKUP(M353,Table1[#All],6,FALSE)</f>
        <v>Q3</v>
      </c>
      <c r="T353" s="79"/>
      <c r="U353" s="40" t="str">
        <f>VLOOKUP(M353,Table1[#All],7,FALSE)</f>
        <v>Q4</v>
      </c>
      <c r="V353" s="79"/>
      <c r="W353" s="40" t="str">
        <f>VLOOKUP(M353,Table1[#All],8,FALSE)</f>
        <v>Q5</v>
      </c>
      <c r="X353" s="79"/>
      <c r="Y353" s="44" t="str">
        <f>VLOOKUP(M353,Table1[#All],2,FALSE)</f>
        <v>Action</v>
      </c>
      <c r="Z353" s="59" t="str">
        <f>VLOOKUP(M353,Table1[#All],9,FALSE)</f>
        <v>Additional Notes:</v>
      </c>
      <c r="AA353" s="76"/>
      <c r="AB353" s="76"/>
      <c r="AC353" s="90" t="s">
        <v>91</v>
      </c>
      <c r="AD353" s="76" t="s">
        <v>91</v>
      </c>
      <c r="AE353" s="77"/>
      <c r="AF353" s="77"/>
      <c r="AG353" s="41" t="s">
        <v>91</v>
      </c>
    </row>
    <row r="354" spans="1:33" ht="21" hidden="1" x14ac:dyDescent="0.55000000000000004">
      <c r="A354" s="44" t="str">
        <f>Data!K353</f>
        <v>DPOW-CCHP</v>
      </c>
      <c r="B354" s="44" t="str">
        <f>Data!L353</f>
        <v>4143899880</v>
      </c>
      <c r="C354" s="44" t="str">
        <f>Data!D353</f>
        <v xml:space="preserve">Hamed , Laith </v>
      </c>
      <c r="D354" s="82" t="str">
        <f>Data!F353</f>
        <v>6446320264</v>
      </c>
      <c r="E354" s="82" t="str">
        <f>Data!B353</f>
        <v>2540</v>
      </c>
      <c r="F354" s="44" t="str">
        <f>Data!A353</f>
        <v xml:space="preserve">Hamed , Laith </v>
      </c>
      <c r="G354" s="55" t="str">
        <f>Data!C353</f>
        <v>5/27/2014</v>
      </c>
      <c r="H354" s="56">
        <f>Data!H353</f>
        <v>44558</v>
      </c>
      <c r="I354" s="56" t="str">
        <f>Data!I353</f>
        <v>1/1/2022</v>
      </c>
      <c r="J354" s="57">
        <f>Data!J353</f>
        <v>244.4</v>
      </c>
      <c r="K354" s="58">
        <f t="shared" ca="1" si="5"/>
        <v>138</v>
      </c>
      <c r="L354" s="58">
        <f>Data!M353</f>
        <v>0</v>
      </c>
      <c r="M354" s="37" t="s">
        <v>26</v>
      </c>
      <c r="N354" s="43" t="str">
        <f>VLOOKUP(M354,Table1[#All],3,FALSE)</f>
        <v>Note</v>
      </c>
      <c r="O354" s="40" t="str">
        <f>VLOOKUP(M354,Table1[#All],4,FALSE)</f>
        <v>Q1</v>
      </c>
      <c r="P354" s="39"/>
      <c r="Q354" s="40" t="str">
        <f>VLOOKUP(M354,Table1[#All],5,FALSE)</f>
        <v>Q2</v>
      </c>
      <c r="R354" s="79"/>
      <c r="S354" s="40" t="str">
        <f>VLOOKUP(M354,Table1[#All],6,FALSE)</f>
        <v>Q3</v>
      </c>
      <c r="T354" s="79"/>
      <c r="U354" s="40" t="str">
        <f>VLOOKUP(M354,Table1[#All],7,FALSE)</f>
        <v>Q4</v>
      </c>
      <c r="V354" s="79"/>
      <c r="W354" s="40" t="str">
        <f>VLOOKUP(M354,Table1[#All],8,FALSE)</f>
        <v>Q5</v>
      </c>
      <c r="X354" s="79"/>
      <c r="Y354" s="44" t="str">
        <f>VLOOKUP(M354,Table1[#All],2,FALSE)</f>
        <v>Action</v>
      </c>
      <c r="Z354" s="59" t="str">
        <f>VLOOKUP(M354,Table1[#All],9,FALSE)</f>
        <v>Additional Notes:</v>
      </c>
      <c r="AA354" s="76"/>
      <c r="AB354" s="76"/>
      <c r="AC354" s="90" t="s">
        <v>91</v>
      </c>
      <c r="AD354" s="76" t="s">
        <v>91</v>
      </c>
      <c r="AE354" s="77"/>
      <c r="AF354" s="77"/>
      <c r="AG354" s="41" t="s">
        <v>91</v>
      </c>
    </row>
    <row r="355" spans="1:33" ht="21" hidden="1" x14ac:dyDescent="0.55000000000000004">
      <c r="A355" s="44" t="str">
        <f>Data!K354</f>
        <v>DPOW-CCHP</v>
      </c>
      <c r="B355" s="44" t="str">
        <f>Data!L354</f>
        <v>4143899880</v>
      </c>
      <c r="C355" s="44" t="str">
        <f>Data!D354</f>
        <v>Arteaga, Abizael</v>
      </c>
      <c r="D355" s="82" t="str">
        <f>Data!F354</f>
        <v>0429297203</v>
      </c>
      <c r="E355" s="82" t="str">
        <f>Data!B354</f>
        <v>6169</v>
      </c>
      <c r="F355" s="44" t="str">
        <f>Data!A354</f>
        <v>Arteaga, Abizael</v>
      </c>
      <c r="G355" s="55" t="str">
        <f>Data!C354</f>
        <v>8/23/2007</v>
      </c>
      <c r="H355" s="56">
        <f>Data!H354</f>
        <v>44558</v>
      </c>
      <c r="I355" s="56" t="str">
        <f>Data!I354</f>
        <v>12/30/2021</v>
      </c>
      <c r="J355" s="57">
        <f>Data!J354</f>
        <v>364.4</v>
      </c>
      <c r="K355" s="58">
        <f t="shared" ca="1" si="5"/>
        <v>140</v>
      </c>
      <c r="L355" s="58">
        <f>Data!M354</f>
        <v>0</v>
      </c>
      <c r="M355" s="37" t="s">
        <v>26</v>
      </c>
      <c r="N355" s="43" t="str">
        <f>VLOOKUP(M355,Table1[#All],3,FALSE)</f>
        <v>Note</v>
      </c>
      <c r="O355" s="40" t="str">
        <f>VLOOKUP(M355,Table1[#All],4,FALSE)</f>
        <v>Q1</v>
      </c>
      <c r="P355" s="39"/>
      <c r="Q355" s="40" t="str">
        <f>VLOOKUP(M355,Table1[#All],5,FALSE)</f>
        <v>Q2</v>
      </c>
      <c r="R355" s="79"/>
      <c r="S355" s="40" t="str">
        <f>VLOOKUP(M355,Table1[#All],6,FALSE)</f>
        <v>Q3</v>
      </c>
      <c r="T355" s="79"/>
      <c r="U355" s="40" t="str">
        <f>VLOOKUP(M355,Table1[#All],7,FALSE)</f>
        <v>Q4</v>
      </c>
      <c r="V355" s="79"/>
      <c r="W355" s="40" t="str">
        <f>VLOOKUP(M355,Table1[#All],8,FALSE)</f>
        <v>Q5</v>
      </c>
      <c r="X355" s="79"/>
      <c r="Y355" s="44" t="str">
        <f>VLOOKUP(M355,Table1[#All],2,FALSE)</f>
        <v>Action</v>
      </c>
      <c r="Z355" s="59" t="str">
        <f>VLOOKUP(M355,Table1[#All],9,FALSE)</f>
        <v>Additional Notes:</v>
      </c>
      <c r="AA355" s="76"/>
      <c r="AB355" s="76"/>
      <c r="AC355" s="90" t="s">
        <v>91</v>
      </c>
      <c r="AD355" s="76" t="s">
        <v>91</v>
      </c>
      <c r="AE355" s="77"/>
      <c r="AF355" s="77"/>
      <c r="AG355" s="41" t="s">
        <v>91</v>
      </c>
    </row>
    <row r="356" spans="1:33" ht="21" hidden="1" x14ac:dyDescent="0.55000000000000004">
      <c r="A356" s="44" t="str">
        <f>Data!K355</f>
        <v>DPOW-CCHP</v>
      </c>
      <c r="B356" s="44" t="str">
        <f>Data!L355</f>
        <v>4143899880</v>
      </c>
      <c r="C356" s="44" t="str">
        <f>Data!D355</f>
        <v>Estupinan Perez, Alexia</v>
      </c>
      <c r="D356" s="82" t="str">
        <f>Data!F355</f>
        <v>2443439321</v>
      </c>
      <c r="E356" s="82" t="str">
        <f>Data!B355</f>
        <v>8738</v>
      </c>
      <c r="F356" s="44" t="str">
        <f>Data!A355</f>
        <v>Estupinan Perez, Alexia</v>
      </c>
      <c r="G356" s="55" t="str">
        <f>Data!C355</f>
        <v>1/7/2013</v>
      </c>
      <c r="H356" s="56">
        <f>Data!H355</f>
        <v>44558</v>
      </c>
      <c r="I356" s="56" t="str">
        <f>Data!I355</f>
        <v>12/30/2021</v>
      </c>
      <c r="J356" s="57">
        <f>Data!J355</f>
        <v>992.8</v>
      </c>
      <c r="K356" s="58">
        <f t="shared" ca="1" si="5"/>
        <v>140</v>
      </c>
      <c r="L356" s="58">
        <f>Data!M355</f>
        <v>0</v>
      </c>
      <c r="M356" s="37" t="s">
        <v>26</v>
      </c>
      <c r="N356" s="43" t="str">
        <f>VLOOKUP(M356,Table1[#All],3,FALSE)</f>
        <v>Note</v>
      </c>
      <c r="O356" s="40" t="str">
        <f>VLOOKUP(M356,Table1[#All],4,FALSE)</f>
        <v>Q1</v>
      </c>
      <c r="P356" s="39"/>
      <c r="Q356" s="40" t="str">
        <f>VLOOKUP(M356,Table1[#All],5,FALSE)</f>
        <v>Q2</v>
      </c>
      <c r="R356" s="79"/>
      <c r="S356" s="40" t="str">
        <f>VLOOKUP(M356,Table1[#All],6,FALSE)</f>
        <v>Q3</v>
      </c>
      <c r="T356" s="79"/>
      <c r="U356" s="40" t="str">
        <f>VLOOKUP(M356,Table1[#All],7,FALSE)</f>
        <v>Q4</v>
      </c>
      <c r="V356" s="79"/>
      <c r="W356" s="40" t="str">
        <f>VLOOKUP(M356,Table1[#All],8,FALSE)</f>
        <v>Q5</v>
      </c>
      <c r="X356" s="79"/>
      <c r="Y356" s="44" t="str">
        <f>VLOOKUP(M356,Table1[#All],2,FALSE)</f>
        <v>Action</v>
      </c>
      <c r="Z356" s="59" t="str">
        <f>VLOOKUP(M356,Table1[#All],9,FALSE)</f>
        <v>Additional Notes:</v>
      </c>
      <c r="AA356" s="76"/>
      <c r="AB356" s="76"/>
      <c r="AC356" s="90" t="s">
        <v>91</v>
      </c>
      <c r="AD356" s="76" t="s">
        <v>91</v>
      </c>
      <c r="AE356" s="77"/>
      <c r="AF356" s="77"/>
      <c r="AG356" s="41" t="s">
        <v>91</v>
      </c>
    </row>
    <row r="357" spans="1:33" ht="21" hidden="1" x14ac:dyDescent="0.55000000000000004">
      <c r="A357" s="44" t="str">
        <f>Data!K356</f>
        <v>DPOW-CCHP</v>
      </c>
      <c r="B357" s="44" t="str">
        <f>Data!L356</f>
        <v>4143899880</v>
      </c>
      <c r="C357" s="44" t="str">
        <f>Data!D356</f>
        <v xml:space="preserve">Rupert , Laura </v>
      </c>
      <c r="D357" s="82" t="str">
        <f>Data!F356</f>
        <v>0406644501</v>
      </c>
      <c r="E357" s="82" t="str">
        <f>Data!B356</f>
        <v>8715</v>
      </c>
      <c r="F357" s="44" t="str">
        <f>Data!A356</f>
        <v xml:space="preserve">Rupert , Laura </v>
      </c>
      <c r="G357" s="55" t="str">
        <f>Data!C356</f>
        <v>11/25/1957</v>
      </c>
      <c r="H357" s="56">
        <f>Data!H356</f>
        <v>44558</v>
      </c>
      <c r="I357" s="56" t="str">
        <f>Data!I356</f>
        <v>12/30/2021</v>
      </c>
      <c r="J357" s="57">
        <f>Data!J356</f>
        <v>178.4</v>
      </c>
      <c r="K357" s="58">
        <f t="shared" ca="1" si="5"/>
        <v>140</v>
      </c>
      <c r="L357" s="58">
        <f>Data!M356</f>
        <v>0</v>
      </c>
      <c r="M357" s="37" t="s">
        <v>26</v>
      </c>
      <c r="N357" s="43" t="str">
        <f>VLOOKUP(M357,Table1[#All],3,FALSE)</f>
        <v>Note</v>
      </c>
      <c r="O357" s="40" t="str">
        <f>VLOOKUP(M357,Table1[#All],4,FALSE)</f>
        <v>Q1</v>
      </c>
      <c r="P357" s="39"/>
      <c r="Q357" s="40" t="str">
        <f>VLOOKUP(M357,Table1[#All],5,FALSE)</f>
        <v>Q2</v>
      </c>
      <c r="R357" s="79"/>
      <c r="S357" s="40" t="str">
        <f>VLOOKUP(M357,Table1[#All],6,FALSE)</f>
        <v>Q3</v>
      </c>
      <c r="T357" s="79"/>
      <c r="U357" s="40" t="str">
        <f>VLOOKUP(M357,Table1[#All],7,FALSE)</f>
        <v>Q4</v>
      </c>
      <c r="V357" s="79"/>
      <c r="W357" s="40" t="str">
        <f>VLOOKUP(M357,Table1[#All],8,FALSE)</f>
        <v>Q5</v>
      </c>
      <c r="X357" s="79"/>
      <c r="Y357" s="44" t="str">
        <f>VLOOKUP(M357,Table1[#All],2,FALSE)</f>
        <v>Action</v>
      </c>
      <c r="Z357" s="59" t="str">
        <f>VLOOKUP(M357,Table1[#All],9,FALSE)</f>
        <v>Additional Notes:</v>
      </c>
      <c r="AA357" s="76"/>
      <c r="AB357" s="76"/>
      <c r="AC357" s="90" t="s">
        <v>91</v>
      </c>
      <c r="AD357" s="76" t="s">
        <v>91</v>
      </c>
      <c r="AE357" s="77"/>
      <c r="AF357" s="77"/>
      <c r="AG357" s="41" t="s">
        <v>91</v>
      </c>
    </row>
    <row r="358" spans="1:33" ht="21" hidden="1" x14ac:dyDescent="0.55000000000000004">
      <c r="A358" s="44" t="str">
        <f>Data!K357</f>
        <v>DPOW-CCHP</v>
      </c>
      <c r="B358" s="44" t="str">
        <f>Data!L357</f>
        <v>4143899880</v>
      </c>
      <c r="C358" s="44" t="str">
        <f>Data!D357</f>
        <v xml:space="preserve">Hamed , Sham </v>
      </c>
      <c r="D358" s="82" t="str">
        <f>Data!F357</f>
        <v>6452699261</v>
      </c>
      <c r="E358" s="82" t="str">
        <f>Data!B357</f>
        <v>5822</v>
      </c>
      <c r="F358" s="44" t="str">
        <f>Data!A357</f>
        <v xml:space="preserve">Hamed , Sham </v>
      </c>
      <c r="G358" s="55" t="str">
        <f>Data!C357</f>
        <v>1/12/2018</v>
      </c>
      <c r="H358" s="56">
        <f>Data!H357</f>
        <v>44558</v>
      </c>
      <c r="I358" s="56" t="str">
        <f>Data!I357</f>
        <v>12/30/2021</v>
      </c>
      <c r="J358" s="57">
        <f>Data!J357</f>
        <v>138</v>
      </c>
      <c r="K358" s="58">
        <f t="shared" ca="1" si="5"/>
        <v>140</v>
      </c>
      <c r="L358" s="58">
        <f>Data!M357</f>
        <v>0</v>
      </c>
      <c r="M358" s="37" t="s">
        <v>26</v>
      </c>
      <c r="N358" s="43" t="str">
        <f>VLOOKUP(M358,Table1[#All],3,FALSE)</f>
        <v>Note</v>
      </c>
      <c r="O358" s="40" t="str">
        <f>VLOOKUP(M358,Table1[#All],4,FALSE)</f>
        <v>Q1</v>
      </c>
      <c r="P358" s="39"/>
      <c r="Q358" s="40" t="str">
        <f>VLOOKUP(M358,Table1[#All],5,FALSE)</f>
        <v>Q2</v>
      </c>
      <c r="R358" s="79"/>
      <c r="S358" s="40" t="str">
        <f>VLOOKUP(M358,Table1[#All],6,FALSE)</f>
        <v>Q3</v>
      </c>
      <c r="T358" s="79"/>
      <c r="U358" s="40" t="str">
        <f>VLOOKUP(M358,Table1[#All],7,FALSE)</f>
        <v>Q4</v>
      </c>
      <c r="V358" s="79"/>
      <c r="W358" s="40" t="str">
        <f>VLOOKUP(M358,Table1[#All],8,FALSE)</f>
        <v>Q5</v>
      </c>
      <c r="X358" s="79"/>
      <c r="Y358" s="44" t="str">
        <f>VLOOKUP(M358,Table1[#All],2,FALSE)</f>
        <v>Action</v>
      </c>
      <c r="Z358" s="59" t="str">
        <f>VLOOKUP(M358,Table1[#All],9,FALSE)</f>
        <v>Additional Notes:</v>
      </c>
      <c r="AA358" s="76"/>
      <c r="AB358" s="76"/>
      <c r="AC358" s="90" t="s">
        <v>91</v>
      </c>
      <c r="AD358" s="76" t="s">
        <v>91</v>
      </c>
      <c r="AE358" s="77"/>
      <c r="AF358" s="77"/>
      <c r="AG358" s="41" t="s">
        <v>91</v>
      </c>
    </row>
    <row r="359" spans="1:33" ht="21" hidden="1" x14ac:dyDescent="0.55000000000000004">
      <c r="A359" s="44" t="str">
        <f>Data!K358</f>
        <v>DPOW-CCHP</v>
      </c>
      <c r="B359" s="44" t="str">
        <f>Data!L358</f>
        <v>4143899880</v>
      </c>
      <c r="C359" s="44" t="str">
        <f>Data!D358</f>
        <v xml:space="preserve">Sharma, Sunil </v>
      </c>
      <c r="D359" s="82" t="str">
        <f>Data!F358</f>
        <v>5437766254</v>
      </c>
      <c r="E359" s="82" t="str">
        <f>Data!B358</f>
        <v>5718</v>
      </c>
      <c r="F359" s="44" t="str">
        <f>Data!A358</f>
        <v xml:space="preserve">Sharma, Sunil </v>
      </c>
      <c r="G359" s="55" t="str">
        <f>Data!C358</f>
        <v>5/6/1981</v>
      </c>
      <c r="H359" s="56">
        <f>Data!H358</f>
        <v>44557</v>
      </c>
      <c r="I359" s="56" t="str">
        <f>Data!I358</f>
        <v>12/30/2021</v>
      </c>
      <c r="J359" s="57">
        <f>Data!J358</f>
        <v>149.6</v>
      </c>
      <c r="K359" s="58">
        <f t="shared" ca="1" si="5"/>
        <v>140</v>
      </c>
      <c r="L359" s="58">
        <f>Data!M358</f>
        <v>0</v>
      </c>
      <c r="M359" s="37" t="s">
        <v>26</v>
      </c>
      <c r="N359" s="43" t="str">
        <f>VLOOKUP(M359,Table1[#All],3,FALSE)</f>
        <v>Note</v>
      </c>
      <c r="O359" s="40" t="str">
        <f>VLOOKUP(M359,Table1[#All],4,FALSE)</f>
        <v>Q1</v>
      </c>
      <c r="P359" s="39"/>
      <c r="Q359" s="40" t="str">
        <f>VLOOKUP(M359,Table1[#All],5,FALSE)</f>
        <v>Q2</v>
      </c>
      <c r="R359" s="79"/>
      <c r="S359" s="40" t="str">
        <f>VLOOKUP(M359,Table1[#All],6,FALSE)</f>
        <v>Q3</v>
      </c>
      <c r="T359" s="79"/>
      <c r="U359" s="40" t="str">
        <f>VLOOKUP(M359,Table1[#All],7,FALSE)</f>
        <v>Q4</v>
      </c>
      <c r="V359" s="79"/>
      <c r="W359" s="40" t="str">
        <f>VLOOKUP(M359,Table1[#All],8,FALSE)</f>
        <v>Q5</v>
      </c>
      <c r="X359" s="79"/>
      <c r="Y359" s="44" t="str">
        <f>VLOOKUP(M359,Table1[#All],2,FALSE)</f>
        <v>Action</v>
      </c>
      <c r="Z359" s="59" t="str">
        <f>VLOOKUP(M359,Table1[#All],9,FALSE)</f>
        <v>Additional Notes:</v>
      </c>
      <c r="AA359" s="76"/>
      <c r="AB359" s="76"/>
      <c r="AC359" s="90" t="s">
        <v>91</v>
      </c>
      <c r="AD359" s="76" t="s">
        <v>91</v>
      </c>
      <c r="AE359" s="77"/>
      <c r="AF359" s="77"/>
      <c r="AG359" s="41" t="s">
        <v>91</v>
      </c>
    </row>
    <row r="360" spans="1:33" ht="21" hidden="1" x14ac:dyDescent="0.55000000000000004">
      <c r="A360" s="44" t="str">
        <f>Data!K359</f>
        <v>DPOW-CCHP</v>
      </c>
      <c r="B360" s="44" t="str">
        <f>Data!L359</f>
        <v>4143899880</v>
      </c>
      <c r="C360" s="44" t="str">
        <f>Data!D359</f>
        <v xml:space="preserve">Montes De Oca , Alejandra </v>
      </c>
      <c r="D360" s="82" t="str">
        <f>Data!F359</f>
        <v>1422326314</v>
      </c>
      <c r="E360" s="82" t="str">
        <f>Data!B359</f>
        <v>5932</v>
      </c>
      <c r="F360" s="44" t="str">
        <f>Data!A359</f>
        <v xml:space="preserve">Montes De Oca , Alejandra </v>
      </c>
      <c r="G360" s="55" t="str">
        <f>Data!C359</f>
        <v>2/10/1999</v>
      </c>
      <c r="H360" s="56">
        <f>Data!H359</f>
        <v>44557</v>
      </c>
      <c r="I360" s="56" t="str">
        <f>Data!I359</f>
        <v>12/30/2021</v>
      </c>
      <c r="J360" s="57">
        <f>Data!J359</f>
        <v>266</v>
      </c>
      <c r="K360" s="58">
        <f t="shared" ca="1" si="5"/>
        <v>140</v>
      </c>
      <c r="L360" s="58">
        <f>Data!M359</f>
        <v>0</v>
      </c>
      <c r="M360" s="37" t="s">
        <v>26</v>
      </c>
      <c r="N360" s="43" t="str">
        <f>VLOOKUP(M360,Table1[#All],3,FALSE)</f>
        <v>Note</v>
      </c>
      <c r="O360" s="40" t="str">
        <f>VLOOKUP(M360,Table1[#All],4,FALSE)</f>
        <v>Q1</v>
      </c>
      <c r="P360" s="39"/>
      <c r="Q360" s="40" t="str">
        <f>VLOOKUP(M360,Table1[#All],5,FALSE)</f>
        <v>Q2</v>
      </c>
      <c r="R360" s="79"/>
      <c r="S360" s="40" t="str">
        <f>VLOOKUP(M360,Table1[#All],6,FALSE)</f>
        <v>Q3</v>
      </c>
      <c r="T360" s="79"/>
      <c r="U360" s="40" t="str">
        <f>VLOOKUP(M360,Table1[#All],7,FALSE)</f>
        <v>Q4</v>
      </c>
      <c r="V360" s="79"/>
      <c r="W360" s="40" t="str">
        <f>VLOOKUP(M360,Table1[#All],8,FALSE)</f>
        <v>Q5</v>
      </c>
      <c r="X360" s="79"/>
      <c r="Y360" s="44" t="str">
        <f>VLOOKUP(M360,Table1[#All],2,FALSE)</f>
        <v>Action</v>
      </c>
      <c r="Z360" s="59" t="str">
        <f>VLOOKUP(M360,Table1[#All],9,FALSE)</f>
        <v>Additional Notes:</v>
      </c>
      <c r="AA360" s="76"/>
      <c r="AB360" s="76"/>
      <c r="AC360" s="90" t="s">
        <v>91</v>
      </c>
      <c r="AD360" s="76" t="s">
        <v>91</v>
      </c>
      <c r="AE360" s="77"/>
      <c r="AF360" s="77"/>
      <c r="AG360" s="41" t="s">
        <v>91</v>
      </c>
    </row>
    <row r="361" spans="1:33" ht="21" hidden="1" x14ac:dyDescent="0.55000000000000004">
      <c r="A361" s="44" t="str">
        <f>Data!K360</f>
        <v>DPOW-CCHP</v>
      </c>
      <c r="B361" s="44" t="str">
        <f>Data!L360</f>
        <v>4143899880</v>
      </c>
      <c r="C361" s="44" t="str">
        <f>Data!D360</f>
        <v xml:space="preserve">Nelson, Amy </v>
      </c>
      <c r="D361" s="82" t="str">
        <f>Data!F360</f>
        <v>2436866627</v>
      </c>
      <c r="E361" s="82" t="str">
        <f>Data!B360</f>
        <v>7273</v>
      </c>
      <c r="F361" s="44" t="str">
        <f>Data!A360</f>
        <v xml:space="preserve">Nelson, Amy </v>
      </c>
      <c r="G361" s="55" t="str">
        <f>Data!C360</f>
        <v>5/9/1991</v>
      </c>
      <c r="H361" s="56">
        <f>Data!H360</f>
        <v>44557</v>
      </c>
      <c r="I361" s="56" t="str">
        <f>Data!I360</f>
        <v>12/30/2021</v>
      </c>
      <c r="J361" s="57">
        <f>Data!J360</f>
        <v>61.2</v>
      </c>
      <c r="K361" s="58">
        <f t="shared" ca="1" si="5"/>
        <v>140</v>
      </c>
      <c r="L361" s="58">
        <f>Data!M360</f>
        <v>0</v>
      </c>
      <c r="M361" s="37" t="s">
        <v>26</v>
      </c>
      <c r="N361" s="43" t="str">
        <f>VLOOKUP(M361,Table1[#All],3,FALSE)</f>
        <v>Note</v>
      </c>
      <c r="O361" s="40" t="str">
        <f>VLOOKUP(M361,Table1[#All],4,FALSE)</f>
        <v>Q1</v>
      </c>
      <c r="P361" s="39"/>
      <c r="Q361" s="40" t="str">
        <f>VLOOKUP(M361,Table1[#All],5,FALSE)</f>
        <v>Q2</v>
      </c>
      <c r="R361" s="79"/>
      <c r="S361" s="40" t="str">
        <f>VLOOKUP(M361,Table1[#All],6,FALSE)</f>
        <v>Q3</v>
      </c>
      <c r="T361" s="79"/>
      <c r="U361" s="40" t="str">
        <f>VLOOKUP(M361,Table1[#All],7,FALSE)</f>
        <v>Q4</v>
      </c>
      <c r="V361" s="79"/>
      <c r="W361" s="40" t="str">
        <f>VLOOKUP(M361,Table1[#All],8,FALSE)</f>
        <v>Q5</v>
      </c>
      <c r="X361" s="79"/>
      <c r="Y361" s="44" t="str">
        <f>VLOOKUP(M361,Table1[#All],2,FALSE)</f>
        <v>Action</v>
      </c>
      <c r="Z361" s="59" t="str">
        <f>VLOOKUP(M361,Table1[#All],9,FALSE)</f>
        <v>Additional Notes:</v>
      </c>
      <c r="AA361" s="76"/>
      <c r="AB361" s="76"/>
      <c r="AC361" s="90" t="s">
        <v>91</v>
      </c>
      <c r="AD361" s="76" t="s">
        <v>91</v>
      </c>
      <c r="AE361" s="77"/>
      <c r="AF361" s="77"/>
      <c r="AG361" s="41" t="s">
        <v>91</v>
      </c>
    </row>
    <row r="362" spans="1:33" ht="21" hidden="1" x14ac:dyDescent="0.55000000000000004">
      <c r="A362" s="44" t="str">
        <f>Data!K361</f>
        <v>DPOW-CCHP</v>
      </c>
      <c r="B362" s="44" t="str">
        <f>Data!L361</f>
        <v>4143899880</v>
      </c>
      <c r="C362" s="44" t="str">
        <f>Data!D361</f>
        <v xml:space="preserve">Sharma , Kavita </v>
      </c>
      <c r="D362" s="82" t="str">
        <f>Data!F361</f>
        <v>7435907871</v>
      </c>
      <c r="E362" s="82" t="str">
        <f>Data!B361</f>
        <v>5933</v>
      </c>
      <c r="F362" s="44" t="str">
        <f>Data!A361</f>
        <v xml:space="preserve">Sharma , Kavita </v>
      </c>
      <c r="G362" s="55" t="str">
        <f>Data!C361</f>
        <v>9/3/1983</v>
      </c>
      <c r="H362" s="56">
        <f>Data!H361</f>
        <v>44558</v>
      </c>
      <c r="I362" s="56" t="str">
        <f>Data!I361</f>
        <v>12/30/2021</v>
      </c>
      <c r="J362" s="57">
        <f>Data!J361</f>
        <v>266</v>
      </c>
      <c r="K362" s="58">
        <f t="shared" ca="1" si="5"/>
        <v>140</v>
      </c>
      <c r="L362" s="58">
        <f>Data!M361</f>
        <v>0</v>
      </c>
      <c r="M362" s="37" t="s">
        <v>26</v>
      </c>
      <c r="N362" s="43" t="str">
        <f>VLOOKUP(M362,Table1[#All],3,FALSE)</f>
        <v>Note</v>
      </c>
      <c r="O362" s="40" t="str">
        <f>VLOOKUP(M362,Table1[#All],4,FALSE)</f>
        <v>Q1</v>
      </c>
      <c r="P362" s="39"/>
      <c r="Q362" s="40" t="str">
        <f>VLOOKUP(M362,Table1[#All],5,FALSE)</f>
        <v>Q2</v>
      </c>
      <c r="R362" s="79"/>
      <c r="S362" s="40" t="str">
        <f>VLOOKUP(M362,Table1[#All],6,FALSE)</f>
        <v>Q3</v>
      </c>
      <c r="T362" s="79"/>
      <c r="U362" s="40" t="str">
        <f>VLOOKUP(M362,Table1[#All],7,FALSE)</f>
        <v>Q4</v>
      </c>
      <c r="V362" s="79"/>
      <c r="W362" s="40" t="str">
        <f>VLOOKUP(M362,Table1[#All],8,FALSE)</f>
        <v>Q5</v>
      </c>
      <c r="X362" s="79"/>
      <c r="Y362" s="44" t="str">
        <f>VLOOKUP(M362,Table1[#All],2,FALSE)</f>
        <v>Action</v>
      </c>
      <c r="Z362" s="59" t="str">
        <f>VLOOKUP(M362,Table1[#All],9,FALSE)</f>
        <v>Additional Notes:</v>
      </c>
      <c r="AA362" s="76"/>
      <c r="AB362" s="76"/>
      <c r="AC362" s="90" t="s">
        <v>91</v>
      </c>
      <c r="AD362" s="76" t="s">
        <v>91</v>
      </c>
      <c r="AE362" s="77"/>
      <c r="AF362" s="77"/>
      <c r="AG362" s="41" t="s">
        <v>91</v>
      </c>
    </row>
    <row r="363" spans="1:33" ht="21" hidden="1" x14ac:dyDescent="0.55000000000000004">
      <c r="A363" s="44" t="str">
        <f>Data!K362</f>
        <v>DPOW-CCHP</v>
      </c>
      <c r="B363" s="44" t="str">
        <f>Data!L362</f>
        <v>4143899880</v>
      </c>
      <c r="C363" s="44" t="str">
        <f>Data!D362</f>
        <v xml:space="preserve">Hussain, Shahab </v>
      </c>
      <c r="D363" s="82" t="str">
        <f>Data!F362</f>
        <v>4436698246</v>
      </c>
      <c r="E363" s="82" t="str">
        <f>Data!B362</f>
        <v>8701</v>
      </c>
      <c r="F363" s="44" t="str">
        <f>Data!A362</f>
        <v xml:space="preserve">Hussain, Shahab </v>
      </c>
      <c r="G363" s="55" t="str">
        <f>Data!C362</f>
        <v>10/15/1977</v>
      </c>
      <c r="H363" s="56">
        <f>Data!H362</f>
        <v>44558</v>
      </c>
      <c r="I363" s="56" t="str">
        <f>Data!I362</f>
        <v>12/30/2021</v>
      </c>
      <c r="J363" s="57">
        <f>Data!J362</f>
        <v>162</v>
      </c>
      <c r="K363" s="58">
        <f t="shared" ca="1" si="5"/>
        <v>140</v>
      </c>
      <c r="L363" s="58">
        <f>Data!M362</f>
        <v>0</v>
      </c>
      <c r="M363" s="37" t="s">
        <v>26</v>
      </c>
      <c r="N363" s="43" t="str">
        <f>VLOOKUP(M363,Table1[#All],3,FALSE)</f>
        <v>Note</v>
      </c>
      <c r="O363" s="40" t="str">
        <f>VLOOKUP(M363,Table1[#All],4,FALSE)</f>
        <v>Q1</v>
      </c>
      <c r="P363" s="39"/>
      <c r="Q363" s="40" t="str">
        <f>VLOOKUP(M363,Table1[#All],5,FALSE)</f>
        <v>Q2</v>
      </c>
      <c r="R363" s="79"/>
      <c r="S363" s="40" t="str">
        <f>VLOOKUP(M363,Table1[#All],6,FALSE)</f>
        <v>Q3</v>
      </c>
      <c r="T363" s="79"/>
      <c r="U363" s="40" t="str">
        <f>VLOOKUP(M363,Table1[#All],7,FALSE)</f>
        <v>Q4</v>
      </c>
      <c r="V363" s="79"/>
      <c r="W363" s="40" t="str">
        <f>VLOOKUP(M363,Table1[#All],8,FALSE)</f>
        <v>Q5</v>
      </c>
      <c r="X363" s="79"/>
      <c r="Y363" s="44" t="str">
        <f>VLOOKUP(M363,Table1[#All],2,FALSE)</f>
        <v>Action</v>
      </c>
      <c r="Z363" s="59" t="str">
        <f>VLOOKUP(M363,Table1[#All],9,FALSE)</f>
        <v>Additional Notes:</v>
      </c>
      <c r="AA363" s="76"/>
      <c r="AB363" s="76"/>
      <c r="AC363" s="90" t="s">
        <v>91</v>
      </c>
      <c r="AD363" s="76" t="s">
        <v>91</v>
      </c>
      <c r="AE363" s="77"/>
      <c r="AF363" s="77"/>
      <c r="AG363" s="41" t="s">
        <v>91</v>
      </c>
    </row>
    <row r="364" spans="1:33" ht="21" hidden="1" x14ac:dyDescent="0.55000000000000004">
      <c r="A364" s="44" t="str">
        <f>Data!K363</f>
        <v>DPOW-CCHP</v>
      </c>
      <c r="B364" s="44" t="str">
        <f>Data!L363</f>
        <v>4143899880</v>
      </c>
      <c r="C364" s="44" t="str">
        <f>Data!D363</f>
        <v xml:space="preserve">Shahab, Sana </v>
      </c>
      <c r="D364" s="82" t="str">
        <f>Data!F363</f>
        <v>0437128504</v>
      </c>
      <c r="E364" s="82" t="str">
        <f>Data!B363</f>
        <v>8702</v>
      </c>
      <c r="F364" s="44" t="str">
        <f>Data!A363</f>
        <v xml:space="preserve">Shahab, Sana </v>
      </c>
      <c r="G364" s="55" t="str">
        <f>Data!C363</f>
        <v>10/15/1983</v>
      </c>
      <c r="H364" s="56">
        <f>Data!H363</f>
        <v>44558</v>
      </c>
      <c r="I364" s="56" t="str">
        <f>Data!I363</f>
        <v>12/30/2021</v>
      </c>
      <c r="J364" s="57">
        <f>Data!J363</f>
        <v>88.8</v>
      </c>
      <c r="K364" s="58">
        <f t="shared" ca="1" si="5"/>
        <v>140</v>
      </c>
      <c r="L364" s="58">
        <f>Data!M363</f>
        <v>0</v>
      </c>
      <c r="M364" s="37" t="s">
        <v>26</v>
      </c>
      <c r="N364" s="43" t="str">
        <f>VLOOKUP(M364,Table1[#All],3,FALSE)</f>
        <v>Note</v>
      </c>
      <c r="O364" s="40" t="str">
        <f>VLOOKUP(M364,Table1[#All],4,FALSE)</f>
        <v>Q1</v>
      </c>
      <c r="P364" s="39"/>
      <c r="Q364" s="40" t="str">
        <f>VLOOKUP(M364,Table1[#All],5,FALSE)</f>
        <v>Q2</v>
      </c>
      <c r="R364" s="79"/>
      <c r="S364" s="40" t="str">
        <f>VLOOKUP(M364,Table1[#All],6,FALSE)</f>
        <v>Q3</v>
      </c>
      <c r="T364" s="79"/>
      <c r="U364" s="40" t="str">
        <f>VLOOKUP(M364,Table1[#All],7,FALSE)</f>
        <v>Q4</v>
      </c>
      <c r="V364" s="79"/>
      <c r="W364" s="40" t="str">
        <f>VLOOKUP(M364,Table1[#All],8,FALSE)</f>
        <v>Q5</v>
      </c>
      <c r="X364" s="79"/>
      <c r="Y364" s="44" t="str">
        <f>VLOOKUP(M364,Table1[#All],2,FALSE)</f>
        <v>Action</v>
      </c>
      <c r="Z364" s="59" t="str">
        <f>VLOOKUP(M364,Table1[#All],9,FALSE)</f>
        <v>Additional Notes:</v>
      </c>
      <c r="AA364" s="76"/>
      <c r="AB364" s="76"/>
      <c r="AC364" s="90" t="s">
        <v>91</v>
      </c>
      <c r="AD364" s="76" t="s">
        <v>91</v>
      </c>
      <c r="AE364" s="77"/>
      <c r="AF364" s="77"/>
      <c r="AG364" s="41" t="s">
        <v>91</v>
      </c>
    </row>
    <row r="365" spans="1:33" ht="21" hidden="1" x14ac:dyDescent="0.55000000000000004">
      <c r="A365" s="44" t="str">
        <f>Data!K364</f>
        <v>DPOW-CCHP</v>
      </c>
      <c r="B365" s="44" t="str">
        <f>Data!L364</f>
        <v>4143899880</v>
      </c>
      <c r="C365" s="44" t="str">
        <f>Data!D364</f>
        <v>Torres, Ricardo</v>
      </c>
      <c r="D365" s="82" t="str">
        <f>Data!F364</f>
        <v>5412252958</v>
      </c>
      <c r="E365" s="82" t="str">
        <f>Data!B364</f>
        <v>8527</v>
      </c>
      <c r="F365" s="44" t="str">
        <f>Data!A364</f>
        <v>Torres, Ricardo</v>
      </c>
      <c r="G365" s="55" t="str">
        <f>Data!C364</f>
        <v>7/26/1983</v>
      </c>
      <c r="H365" s="56">
        <f>Data!H364</f>
        <v>44554</v>
      </c>
      <c r="I365" s="56" t="str">
        <f>Data!I364</f>
        <v>12/30/2021</v>
      </c>
      <c r="J365" s="57">
        <f>Data!J364</f>
        <v>644.4</v>
      </c>
      <c r="K365" s="58">
        <f t="shared" ca="1" si="5"/>
        <v>140</v>
      </c>
      <c r="L365" s="58">
        <f>Data!M364</f>
        <v>0</v>
      </c>
      <c r="M365" s="37" t="s">
        <v>26</v>
      </c>
      <c r="N365" s="43" t="str">
        <f>VLOOKUP(M365,Table1[#All],3,FALSE)</f>
        <v>Note</v>
      </c>
      <c r="O365" s="40" t="str">
        <f>VLOOKUP(M365,Table1[#All],4,FALSE)</f>
        <v>Q1</v>
      </c>
      <c r="P365" s="39"/>
      <c r="Q365" s="40" t="str">
        <f>VLOOKUP(M365,Table1[#All],5,FALSE)</f>
        <v>Q2</v>
      </c>
      <c r="R365" s="79"/>
      <c r="S365" s="40" t="str">
        <f>VLOOKUP(M365,Table1[#All],6,FALSE)</f>
        <v>Q3</v>
      </c>
      <c r="T365" s="79"/>
      <c r="U365" s="40" t="str">
        <f>VLOOKUP(M365,Table1[#All],7,FALSE)</f>
        <v>Q4</v>
      </c>
      <c r="V365" s="79"/>
      <c r="W365" s="40" t="str">
        <f>VLOOKUP(M365,Table1[#All],8,FALSE)</f>
        <v>Q5</v>
      </c>
      <c r="X365" s="79"/>
      <c r="Y365" s="44" t="str">
        <f>VLOOKUP(M365,Table1[#All],2,FALSE)</f>
        <v>Action</v>
      </c>
      <c r="Z365" s="59" t="str">
        <f>VLOOKUP(M365,Table1[#All],9,FALSE)</f>
        <v>Additional Notes:</v>
      </c>
      <c r="AA365" s="76"/>
      <c r="AB365" s="76"/>
      <c r="AC365" s="90" t="s">
        <v>91</v>
      </c>
      <c r="AD365" s="76" t="s">
        <v>91</v>
      </c>
      <c r="AE365" s="77"/>
      <c r="AF365" s="77"/>
      <c r="AG365" s="41" t="s">
        <v>91</v>
      </c>
    </row>
    <row r="366" spans="1:33" ht="21" hidden="1" x14ac:dyDescent="0.55000000000000004">
      <c r="A366" s="44" t="str">
        <f>Data!K365</f>
        <v>DPOW-CCHP</v>
      </c>
      <c r="B366" s="44" t="str">
        <f>Data!L365</f>
        <v>4143899880</v>
      </c>
      <c r="C366" s="44" t="str">
        <f>Data!D365</f>
        <v xml:space="preserve">Deol, Manpreet </v>
      </c>
      <c r="D366" s="82" t="str">
        <f>Data!F365</f>
        <v>9444949397</v>
      </c>
      <c r="E366" s="82" t="str">
        <f>Data!B365</f>
        <v>8719</v>
      </c>
      <c r="F366" s="44" t="str">
        <f>Data!A365</f>
        <v xml:space="preserve">Deol, Manpreet </v>
      </c>
      <c r="G366" s="55" t="str">
        <f>Data!C365</f>
        <v>6/14/1989</v>
      </c>
      <c r="H366" s="56">
        <f>Data!H365</f>
        <v>44554</v>
      </c>
      <c r="I366" s="56" t="str">
        <f>Data!I365</f>
        <v>12/30/2021</v>
      </c>
      <c r="J366" s="57">
        <f>Data!J365</f>
        <v>421.2</v>
      </c>
      <c r="K366" s="58">
        <f t="shared" ca="1" si="5"/>
        <v>140</v>
      </c>
      <c r="L366" s="58">
        <f>Data!M365</f>
        <v>0</v>
      </c>
      <c r="M366" s="37" t="s">
        <v>26</v>
      </c>
      <c r="N366" s="43" t="str">
        <f>VLOOKUP(M366,Table1[#All],3,FALSE)</f>
        <v>Note</v>
      </c>
      <c r="O366" s="40" t="str">
        <f>VLOOKUP(M366,Table1[#All],4,FALSE)</f>
        <v>Q1</v>
      </c>
      <c r="P366" s="39"/>
      <c r="Q366" s="40" t="str">
        <f>VLOOKUP(M366,Table1[#All],5,FALSE)</f>
        <v>Q2</v>
      </c>
      <c r="R366" s="79"/>
      <c r="S366" s="40" t="str">
        <f>VLOOKUP(M366,Table1[#All],6,FALSE)</f>
        <v>Q3</v>
      </c>
      <c r="T366" s="79"/>
      <c r="U366" s="40" t="str">
        <f>VLOOKUP(M366,Table1[#All],7,FALSE)</f>
        <v>Q4</v>
      </c>
      <c r="V366" s="79"/>
      <c r="W366" s="40" t="str">
        <f>VLOOKUP(M366,Table1[#All],8,FALSE)</f>
        <v>Q5</v>
      </c>
      <c r="X366" s="79"/>
      <c r="Y366" s="44" t="str">
        <f>VLOOKUP(M366,Table1[#All],2,FALSE)</f>
        <v>Action</v>
      </c>
      <c r="Z366" s="59" t="str">
        <f>VLOOKUP(M366,Table1[#All],9,FALSE)</f>
        <v>Additional Notes:</v>
      </c>
      <c r="AA366" s="76"/>
      <c r="AB366" s="76"/>
      <c r="AC366" s="90" t="s">
        <v>91</v>
      </c>
      <c r="AD366" s="76" t="s">
        <v>91</v>
      </c>
      <c r="AE366" s="77"/>
      <c r="AF366" s="77"/>
      <c r="AG366" s="41" t="s">
        <v>91</v>
      </c>
    </row>
    <row r="367" spans="1:33" ht="21" hidden="1" x14ac:dyDescent="0.55000000000000004">
      <c r="A367" s="44" t="str">
        <f>Data!K366</f>
        <v>DPOW-CCHP</v>
      </c>
      <c r="B367" s="44" t="str">
        <f>Data!L366</f>
        <v>4143899880</v>
      </c>
      <c r="C367" s="44" t="str">
        <f>Data!D366</f>
        <v>Gonzales, Julius</v>
      </c>
      <c r="D367" s="82" t="str">
        <f>Data!F366</f>
        <v>3435089032</v>
      </c>
      <c r="E367" s="82" t="str">
        <f>Data!B366</f>
        <v>7857</v>
      </c>
      <c r="F367" s="44" t="str">
        <f>Data!A366</f>
        <v>Gonzales, Julius</v>
      </c>
      <c r="G367" s="55" t="str">
        <f>Data!C366</f>
        <v>11/7/2008</v>
      </c>
      <c r="H367" s="56">
        <f>Data!H366</f>
        <v>44554</v>
      </c>
      <c r="I367" s="56" t="str">
        <f>Data!I366</f>
        <v>12/30/2021</v>
      </c>
      <c r="J367" s="57">
        <f>Data!J366</f>
        <v>340.8</v>
      </c>
      <c r="K367" s="58">
        <f t="shared" ca="1" si="5"/>
        <v>140</v>
      </c>
      <c r="L367" s="58">
        <f>Data!M366</f>
        <v>0</v>
      </c>
      <c r="M367" s="37" t="s">
        <v>26</v>
      </c>
      <c r="N367" s="43" t="str">
        <f>VLOOKUP(M367,Table1[#All],3,FALSE)</f>
        <v>Note</v>
      </c>
      <c r="O367" s="40" t="str">
        <f>VLOOKUP(M367,Table1[#All],4,FALSE)</f>
        <v>Q1</v>
      </c>
      <c r="P367" s="39"/>
      <c r="Q367" s="40" t="str">
        <f>VLOOKUP(M367,Table1[#All],5,FALSE)</f>
        <v>Q2</v>
      </c>
      <c r="R367" s="79"/>
      <c r="S367" s="40" t="str">
        <f>VLOOKUP(M367,Table1[#All],6,FALSE)</f>
        <v>Q3</v>
      </c>
      <c r="T367" s="79"/>
      <c r="U367" s="40" t="str">
        <f>VLOOKUP(M367,Table1[#All],7,FALSE)</f>
        <v>Q4</v>
      </c>
      <c r="V367" s="79"/>
      <c r="W367" s="40" t="str">
        <f>VLOOKUP(M367,Table1[#All],8,FALSE)</f>
        <v>Q5</v>
      </c>
      <c r="X367" s="79"/>
      <c r="Y367" s="44" t="str">
        <f>VLOOKUP(M367,Table1[#All],2,FALSE)</f>
        <v>Action</v>
      </c>
      <c r="Z367" s="59" t="str">
        <f>VLOOKUP(M367,Table1[#All],9,FALSE)</f>
        <v>Additional Notes:</v>
      </c>
      <c r="AA367" s="76"/>
      <c r="AB367" s="76"/>
      <c r="AC367" s="90" t="s">
        <v>91</v>
      </c>
      <c r="AD367" s="76" t="s">
        <v>91</v>
      </c>
      <c r="AE367" s="77"/>
      <c r="AF367" s="77"/>
      <c r="AG367" s="41" t="s">
        <v>91</v>
      </c>
    </row>
    <row r="368" spans="1:33" ht="21" hidden="1" x14ac:dyDescent="0.55000000000000004">
      <c r="A368" s="44" t="str">
        <f>Data!K367</f>
        <v>DPOW-CCHP</v>
      </c>
      <c r="B368" s="44" t="str">
        <f>Data!L367</f>
        <v>4143899880</v>
      </c>
      <c r="C368" s="44" t="str">
        <f>Data!D367</f>
        <v xml:space="preserve">Jabbar, Muhammad </v>
      </c>
      <c r="D368" s="82" t="str">
        <f>Data!F367</f>
        <v>7449937379</v>
      </c>
      <c r="E368" s="82" t="str">
        <f>Data!B367</f>
        <v>8706</v>
      </c>
      <c r="F368" s="44" t="str">
        <f>Data!A367</f>
        <v xml:space="preserve">Jabbar, Muhammad </v>
      </c>
      <c r="G368" s="55" t="str">
        <f>Data!C367</f>
        <v>5/20/2016</v>
      </c>
      <c r="H368" s="56">
        <f>Data!H367</f>
        <v>44553</v>
      </c>
      <c r="I368" s="56" t="str">
        <f>Data!I367</f>
        <v>12/30/2021</v>
      </c>
      <c r="J368" s="57">
        <f>Data!J367</f>
        <v>797.2</v>
      </c>
      <c r="K368" s="58">
        <f t="shared" ca="1" si="5"/>
        <v>140</v>
      </c>
      <c r="L368" s="58">
        <f>Data!M367</f>
        <v>0</v>
      </c>
      <c r="M368" s="37" t="s">
        <v>26</v>
      </c>
      <c r="N368" s="43" t="str">
        <f>VLOOKUP(M368,Table1[#All],3,FALSE)</f>
        <v>Note</v>
      </c>
      <c r="O368" s="40" t="str">
        <f>VLOOKUP(M368,Table1[#All],4,FALSE)</f>
        <v>Q1</v>
      </c>
      <c r="P368" s="39"/>
      <c r="Q368" s="40" t="str">
        <f>VLOOKUP(M368,Table1[#All],5,FALSE)</f>
        <v>Q2</v>
      </c>
      <c r="R368" s="79"/>
      <c r="S368" s="40" t="str">
        <f>VLOOKUP(M368,Table1[#All],6,FALSE)</f>
        <v>Q3</v>
      </c>
      <c r="T368" s="79"/>
      <c r="U368" s="40" t="str">
        <f>VLOOKUP(M368,Table1[#All],7,FALSE)</f>
        <v>Q4</v>
      </c>
      <c r="V368" s="79"/>
      <c r="W368" s="40" t="str">
        <f>VLOOKUP(M368,Table1[#All],8,FALSE)</f>
        <v>Q5</v>
      </c>
      <c r="X368" s="79"/>
      <c r="Y368" s="44" t="str">
        <f>VLOOKUP(M368,Table1[#All],2,FALSE)</f>
        <v>Action</v>
      </c>
      <c r="Z368" s="59" t="str">
        <f>VLOOKUP(M368,Table1[#All],9,FALSE)</f>
        <v>Additional Notes:</v>
      </c>
      <c r="AA368" s="76"/>
      <c r="AB368" s="76"/>
      <c r="AC368" s="90" t="s">
        <v>91</v>
      </c>
      <c r="AD368" s="76" t="s">
        <v>91</v>
      </c>
      <c r="AE368" s="77"/>
      <c r="AF368" s="77"/>
      <c r="AG368" s="41" t="s">
        <v>91</v>
      </c>
    </row>
    <row r="369" spans="1:33" ht="21" hidden="1" x14ac:dyDescent="0.55000000000000004">
      <c r="A369" s="44" t="str">
        <f>Data!K368</f>
        <v>DPOW-CCHP</v>
      </c>
      <c r="B369" s="44" t="str">
        <f>Data!L368</f>
        <v>4143899880</v>
      </c>
      <c r="C369" s="44" t="str">
        <f>Data!D368</f>
        <v>Cartagena, Dante</v>
      </c>
      <c r="D369" s="82" t="str">
        <f>Data!F368</f>
        <v>7436217577</v>
      </c>
      <c r="E369" s="82" t="str">
        <f>Data!B368</f>
        <v>4132</v>
      </c>
      <c r="F369" s="44" t="str">
        <f>Data!A368</f>
        <v>Cartagena, Dante</v>
      </c>
      <c r="G369" s="55" t="str">
        <f>Data!C368</f>
        <v>5/26/2009</v>
      </c>
      <c r="H369" s="56">
        <f>Data!H368</f>
        <v>44553</v>
      </c>
      <c r="I369" s="56" t="str">
        <f>Data!I368</f>
        <v>12/30/2021</v>
      </c>
      <c r="J369" s="57">
        <f>Data!J368</f>
        <v>512</v>
      </c>
      <c r="K369" s="58">
        <f t="shared" ca="1" si="5"/>
        <v>140</v>
      </c>
      <c r="L369" s="58">
        <f>Data!M368</f>
        <v>0</v>
      </c>
      <c r="M369" s="37" t="s">
        <v>26</v>
      </c>
      <c r="N369" s="43" t="str">
        <f>VLOOKUP(M369,Table1[#All],3,FALSE)</f>
        <v>Note</v>
      </c>
      <c r="O369" s="40" t="str">
        <f>VLOOKUP(M369,Table1[#All],4,FALSE)</f>
        <v>Q1</v>
      </c>
      <c r="P369" s="39"/>
      <c r="Q369" s="40" t="str">
        <f>VLOOKUP(M369,Table1[#All],5,FALSE)</f>
        <v>Q2</v>
      </c>
      <c r="R369" s="79"/>
      <c r="S369" s="40" t="str">
        <f>VLOOKUP(M369,Table1[#All],6,FALSE)</f>
        <v>Q3</v>
      </c>
      <c r="T369" s="79"/>
      <c r="U369" s="40" t="str">
        <f>VLOOKUP(M369,Table1[#All],7,FALSE)</f>
        <v>Q4</v>
      </c>
      <c r="V369" s="79"/>
      <c r="W369" s="40" t="str">
        <f>VLOOKUP(M369,Table1[#All],8,FALSE)</f>
        <v>Q5</v>
      </c>
      <c r="X369" s="79"/>
      <c r="Y369" s="44" t="str">
        <f>VLOOKUP(M369,Table1[#All],2,FALSE)</f>
        <v>Action</v>
      </c>
      <c r="Z369" s="59" t="str">
        <f>VLOOKUP(M369,Table1[#All],9,FALSE)</f>
        <v>Additional Notes:</v>
      </c>
      <c r="AA369" s="76"/>
      <c r="AB369" s="76"/>
      <c r="AC369" s="90" t="s">
        <v>91</v>
      </c>
      <c r="AD369" s="76" t="s">
        <v>91</v>
      </c>
      <c r="AE369" s="77"/>
      <c r="AF369" s="77"/>
      <c r="AG369" s="41" t="s">
        <v>91</v>
      </c>
    </row>
    <row r="370" spans="1:33" ht="21" hidden="1" x14ac:dyDescent="0.55000000000000004">
      <c r="A370" s="44" t="str">
        <f>Data!K369</f>
        <v>DPOW-CCHP</v>
      </c>
      <c r="B370" s="44" t="str">
        <f>Data!L369</f>
        <v>4143899880</v>
      </c>
      <c r="C370" s="44" t="str">
        <f>Data!D369</f>
        <v xml:space="preserve">Rivera , Danielle </v>
      </c>
      <c r="D370" s="82" t="str">
        <f>Data!F369</f>
        <v>2407584422</v>
      </c>
      <c r="E370" s="82" t="str">
        <f>Data!B369</f>
        <v>8658</v>
      </c>
      <c r="F370" s="44" t="str">
        <f>Data!A369</f>
        <v xml:space="preserve">Rivera , Danielle </v>
      </c>
      <c r="G370" s="55" t="str">
        <f>Data!C369</f>
        <v>6/27/1985</v>
      </c>
      <c r="H370" s="56">
        <f>Data!H369</f>
        <v>44553</v>
      </c>
      <c r="I370" s="56" t="str">
        <f>Data!I369</f>
        <v>12/30/2021</v>
      </c>
      <c r="J370" s="57">
        <f>Data!J369</f>
        <v>726.8</v>
      </c>
      <c r="K370" s="58">
        <f t="shared" ca="1" si="5"/>
        <v>140</v>
      </c>
      <c r="L370" s="58">
        <f>Data!M369</f>
        <v>0</v>
      </c>
      <c r="M370" s="37" t="s">
        <v>26</v>
      </c>
      <c r="N370" s="43" t="str">
        <f>VLOOKUP(M370,Table1[#All],3,FALSE)</f>
        <v>Note</v>
      </c>
      <c r="O370" s="40" t="str">
        <f>VLOOKUP(M370,Table1[#All],4,FALSE)</f>
        <v>Q1</v>
      </c>
      <c r="P370" s="39"/>
      <c r="Q370" s="40" t="str">
        <f>VLOOKUP(M370,Table1[#All],5,FALSE)</f>
        <v>Q2</v>
      </c>
      <c r="R370" s="79"/>
      <c r="S370" s="40" t="str">
        <f>VLOOKUP(M370,Table1[#All],6,FALSE)</f>
        <v>Q3</v>
      </c>
      <c r="T370" s="79"/>
      <c r="U370" s="40" t="str">
        <f>VLOOKUP(M370,Table1[#All],7,FALSE)</f>
        <v>Q4</v>
      </c>
      <c r="V370" s="79"/>
      <c r="W370" s="40" t="str">
        <f>VLOOKUP(M370,Table1[#All],8,FALSE)</f>
        <v>Q5</v>
      </c>
      <c r="X370" s="79"/>
      <c r="Y370" s="44" t="str">
        <f>VLOOKUP(M370,Table1[#All],2,FALSE)</f>
        <v>Action</v>
      </c>
      <c r="Z370" s="59" t="str">
        <f>VLOOKUP(M370,Table1[#All],9,FALSE)</f>
        <v>Additional Notes:</v>
      </c>
      <c r="AA370" s="76"/>
      <c r="AB370" s="76"/>
      <c r="AC370" s="90" t="s">
        <v>91</v>
      </c>
      <c r="AD370" s="76" t="s">
        <v>91</v>
      </c>
      <c r="AE370" s="77"/>
      <c r="AF370" s="77"/>
      <c r="AG370" s="41" t="s">
        <v>91</v>
      </c>
    </row>
    <row r="371" spans="1:33" ht="21" hidden="1" x14ac:dyDescent="0.55000000000000004">
      <c r="A371" s="44" t="str">
        <f>Data!K370</f>
        <v>DPOW-CCHP</v>
      </c>
      <c r="B371" s="44" t="str">
        <f>Data!L370</f>
        <v>4143899880</v>
      </c>
      <c r="C371" s="44" t="str">
        <f>Data!D370</f>
        <v xml:space="preserve">Brem , Alexzander </v>
      </c>
      <c r="D371" s="82" t="str">
        <f>Data!F370</f>
        <v>7443634579</v>
      </c>
      <c r="E371" s="82" t="str">
        <f>Data!B370</f>
        <v>7374</v>
      </c>
      <c r="F371" s="44" t="str">
        <f>Data!A370</f>
        <v xml:space="preserve">Brem , Alexzander </v>
      </c>
      <c r="G371" s="55" t="str">
        <f>Data!C370</f>
        <v>2/12/2013</v>
      </c>
      <c r="H371" s="56">
        <f>Data!H370</f>
        <v>44553</v>
      </c>
      <c r="I371" s="56" t="str">
        <f>Data!I370</f>
        <v>12/30/2021</v>
      </c>
      <c r="J371" s="57">
        <f>Data!J370</f>
        <v>244.4</v>
      </c>
      <c r="K371" s="58">
        <f t="shared" ca="1" si="5"/>
        <v>140</v>
      </c>
      <c r="L371" s="58">
        <f>Data!M370</f>
        <v>0</v>
      </c>
      <c r="M371" s="37" t="s">
        <v>26</v>
      </c>
      <c r="N371" s="43" t="str">
        <f>VLOOKUP(M371,Table1[#All],3,FALSE)</f>
        <v>Note</v>
      </c>
      <c r="O371" s="40" t="str">
        <f>VLOOKUP(M371,Table1[#All],4,FALSE)</f>
        <v>Q1</v>
      </c>
      <c r="P371" s="39"/>
      <c r="Q371" s="40" t="str">
        <f>VLOOKUP(M371,Table1[#All],5,FALSE)</f>
        <v>Q2</v>
      </c>
      <c r="R371" s="79"/>
      <c r="S371" s="40" t="str">
        <f>VLOOKUP(M371,Table1[#All],6,FALSE)</f>
        <v>Q3</v>
      </c>
      <c r="T371" s="79"/>
      <c r="U371" s="40" t="str">
        <f>VLOOKUP(M371,Table1[#All],7,FALSE)</f>
        <v>Q4</v>
      </c>
      <c r="V371" s="79"/>
      <c r="W371" s="40" t="str">
        <f>VLOOKUP(M371,Table1[#All],8,FALSE)</f>
        <v>Q5</v>
      </c>
      <c r="X371" s="79"/>
      <c r="Y371" s="44" t="str">
        <f>VLOOKUP(M371,Table1[#All],2,FALSE)</f>
        <v>Action</v>
      </c>
      <c r="Z371" s="59" t="str">
        <f>VLOOKUP(M371,Table1[#All],9,FALSE)</f>
        <v>Additional Notes:</v>
      </c>
      <c r="AA371" s="76"/>
      <c r="AB371" s="76"/>
      <c r="AC371" s="90" t="s">
        <v>91</v>
      </c>
      <c r="AD371" s="76" t="s">
        <v>91</v>
      </c>
      <c r="AE371" s="77"/>
      <c r="AF371" s="77"/>
      <c r="AG371" s="41" t="s">
        <v>91</v>
      </c>
    </row>
    <row r="372" spans="1:33" ht="21" hidden="1" x14ac:dyDescent="0.55000000000000004">
      <c r="A372" s="44" t="str">
        <f>Data!K371</f>
        <v>DPOW-CCHP</v>
      </c>
      <c r="B372" s="44" t="str">
        <f>Data!L371</f>
        <v>4143899880</v>
      </c>
      <c r="C372" s="44" t="str">
        <f>Data!D371</f>
        <v>Brem, Jessica</v>
      </c>
      <c r="D372" s="82" t="str">
        <f>Data!F371</f>
        <v>3423740931</v>
      </c>
      <c r="E372" s="82" t="str">
        <f>Data!B371</f>
        <v>8716</v>
      </c>
      <c r="F372" s="44" t="str">
        <f>Data!A371</f>
        <v>Brem, Jessica</v>
      </c>
      <c r="G372" s="55" t="str">
        <f>Data!C371</f>
        <v>6/4/1986</v>
      </c>
      <c r="H372" s="56">
        <f>Data!H371</f>
        <v>44553</v>
      </c>
      <c r="I372" s="56" t="str">
        <f>Data!I371</f>
        <v>12/30/2021</v>
      </c>
      <c r="J372" s="57">
        <f>Data!J371</f>
        <v>332.4</v>
      </c>
      <c r="K372" s="58">
        <f t="shared" ca="1" si="5"/>
        <v>140</v>
      </c>
      <c r="L372" s="58">
        <f>Data!M371</f>
        <v>0</v>
      </c>
      <c r="M372" s="37" t="s">
        <v>26</v>
      </c>
      <c r="N372" s="43" t="str">
        <f>VLOOKUP(M372,Table1[#All],3,FALSE)</f>
        <v>Note</v>
      </c>
      <c r="O372" s="40" t="str">
        <f>VLOOKUP(M372,Table1[#All],4,FALSE)</f>
        <v>Q1</v>
      </c>
      <c r="P372" s="39"/>
      <c r="Q372" s="40" t="str">
        <f>VLOOKUP(M372,Table1[#All],5,FALSE)</f>
        <v>Q2</v>
      </c>
      <c r="R372" s="79"/>
      <c r="S372" s="40" t="str">
        <f>VLOOKUP(M372,Table1[#All],6,FALSE)</f>
        <v>Q3</v>
      </c>
      <c r="T372" s="79"/>
      <c r="U372" s="40" t="str">
        <f>VLOOKUP(M372,Table1[#All],7,FALSE)</f>
        <v>Q4</v>
      </c>
      <c r="V372" s="79"/>
      <c r="W372" s="40" t="str">
        <f>VLOOKUP(M372,Table1[#All],8,FALSE)</f>
        <v>Q5</v>
      </c>
      <c r="X372" s="79"/>
      <c r="Y372" s="44" t="str">
        <f>VLOOKUP(M372,Table1[#All],2,FALSE)</f>
        <v>Action</v>
      </c>
      <c r="Z372" s="59" t="str">
        <f>VLOOKUP(M372,Table1[#All],9,FALSE)</f>
        <v>Additional Notes:</v>
      </c>
      <c r="AA372" s="76"/>
      <c r="AB372" s="76"/>
      <c r="AC372" s="90" t="s">
        <v>91</v>
      </c>
      <c r="AD372" s="76" t="s">
        <v>91</v>
      </c>
      <c r="AE372" s="77"/>
      <c r="AF372" s="77"/>
      <c r="AG372" s="41" t="s">
        <v>91</v>
      </c>
    </row>
    <row r="373" spans="1:33" ht="21" hidden="1" x14ac:dyDescent="0.55000000000000004">
      <c r="A373" s="44" t="str">
        <f>Data!K372</f>
        <v>DPOW-CCHP</v>
      </c>
      <c r="B373" s="44" t="str">
        <f>Data!L372</f>
        <v>4143899880</v>
      </c>
      <c r="C373" s="44" t="str">
        <f>Data!D372</f>
        <v>Brem, Gabriella</v>
      </c>
      <c r="D373" s="82" t="str">
        <f>Data!F372</f>
        <v>7451451372</v>
      </c>
      <c r="E373" s="82" t="str">
        <f>Data!B372</f>
        <v>7376</v>
      </c>
      <c r="F373" s="44" t="str">
        <f>Data!A372</f>
        <v>Brem, Gabriella</v>
      </c>
      <c r="G373" s="55" t="str">
        <f>Data!C372</f>
        <v>4/12/2017</v>
      </c>
      <c r="H373" s="56">
        <f>Data!H372</f>
        <v>44553</v>
      </c>
      <c r="I373" s="56" t="str">
        <f>Data!I372</f>
        <v>12/30/2021</v>
      </c>
      <c r="J373" s="57">
        <f>Data!J372</f>
        <v>138</v>
      </c>
      <c r="K373" s="58">
        <f t="shared" ca="1" si="5"/>
        <v>140</v>
      </c>
      <c r="L373" s="58">
        <f>Data!M372</f>
        <v>0</v>
      </c>
      <c r="M373" s="37" t="s">
        <v>26</v>
      </c>
      <c r="N373" s="43" t="str">
        <f>VLOOKUP(M373,Table1[#All],3,FALSE)</f>
        <v>Note</v>
      </c>
      <c r="O373" s="40" t="str">
        <f>VLOOKUP(M373,Table1[#All],4,FALSE)</f>
        <v>Q1</v>
      </c>
      <c r="P373" s="39"/>
      <c r="Q373" s="40" t="str">
        <f>VLOOKUP(M373,Table1[#All],5,FALSE)</f>
        <v>Q2</v>
      </c>
      <c r="R373" s="79"/>
      <c r="S373" s="40" t="str">
        <f>VLOOKUP(M373,Table1[#All],6,FALSE)</f>
        <v>Q3</v>
      </c>
      <c r="T373" s="79"/>
      <c r="U373" s="40" t="str">
        <f>VLOOKUP(M373,Table1[#All],7,FALSE)</f>
        <v>Q4</v>
      </c>
      <c r="V373" s="79"/>
      <c r="W373" s="40" t="str">
        <f>VLOOKUP(M373,Table1[#All],8,FALSE)</f>
        <v>Q5</v>
      </c>
      <c r="X373" s="79"/>
      <c r="Y373" s="44" t="str">
        <f>VLOOKUP(M373,Table1[#All],2,FALSE)</f>
        <v>Action</v>
      </c>
      <c r="Z373" s="59" t="str">
        <f>VLOOKUP(M373,Table1[#All],9,FALSE)</f>
        <v>Additional Notes:</v>
      </c>
      <c r="AA373" s="76"/>
      <c r="AB373" s="76"/>
      <c r="AC373" s="90" t="s">
        <v>91</v>
      </c>
      <c r="AD373" s="76" t="s">
        <v>91</v>
      </c>
      <c r="AE373" s="77"/>
      <c r="AF373" s="77"/>
      <c r="AG373" s="41" t="s">
        <v>91</v>
      </c>
    </row>
    <row r="374" spans="1:33" ht="21" hidden="1" x14ac:dyDescent="0.55000000000000004">
      <c r="A374" s="44" t="str">
        <f>Data!K373</f>
        <v>DPOW-CCHP</v>
      </c>
      <c r="B374" s="44" t="str">
        <f>Data!L373</f>
        <v>4143899880</v>
      </c>
      <c r="C374" s="44" t="str">
        <f>Data!D373</f>
        <v xml:space="preserve">Thurman , Tova </v>
      </c>
      <c r="D374" s="82" t="str">
        <f>Data!F373</f>
        <v>9409799791</v>
      </c>
      <c r="E374" s="82" t="str">
        <f>Data!B373</f>
        <v>7652</v>
      </c>
      <c r="F374" s="44" t="str">
        <f>Data!A373</f>
        <v xml:space="preserve">Thurman , Tova </v>
      </c>
      <c r="G374" s="55" t="str">
        <f>Data!C373</f>
        <v>12/24/1991</v>
      </c>
      <c r="H374" s="56">
        <f>Data!H373</f>
        <v>44553</v>
      </c>
      <c r="I374" s="56" t="str">
        <f>Data!I373</f>
        <v>12/30/2021</v>
      </c>
      <c r="J374" s="57">
        <f>Data!J373</f>
        <v>873.6</v>
      </c>
      <c r="K374" s="58">
        <f t="shared" ca="1" si="5"/>
        <v>140</v>
      </c>
      <c r="L374" s="58">
        <f>Data!M373</f>
        <v>0</v>
      </c>
      <c r="M374" s="37" t="s">
        <v>26</v>
      </c>
      <c r="N374" s="43" t="str">
        <f>VLOOKUP(M374,Table1[#All],3,FALSE)</f>
        <v>Note</v>
      </c>
      <c r="O374" s="40" t="str">
        <f>VLOOKUP(M374,Table1[#All],4,FALSE)</f>
        <v>Q1</v>
      </c>
      <c r="P374" s="39"/>
      <c r="Q374" s="40" t="str">
        <f>VLOOKUP(M374,Table1[#All],5,FALSE)</f>
        <v>Q2</v>
      </c>
      <c r="R374" s="79"/>
      <c r="S374" s="40" t="str">
        <f>VLOOKUP(M374,Table1[#All],6,FALSE)</f>
        <v>Q3</v>
      </c>
      <c r="T374" s="79"/>
      <c r="U374" s="40" t="str">
        <f>VLOOKUP(M374,Table1[#All],7,FALSE)</f>
        <v>Q4</v>
      </c>
      <c r="V374" s="79"/>
      <c r="W374" s="40" t="str">
        <f>VLOOKUP(M374,Table1[#All],8,FALSE)</f>
        <v>Q5</v>
      </c>
      <c r="X374" s="79"/>
      <c r="Y374" s="44" t="str">
        <f>VLOOKUP(M374,Table1[#All],2,FALSE)</f>
        <v>Action</v>
      </c>
      <c r="Z374" s="59" t="str">
        <f>VLOOKUP(M374,Table1[#All],9,FALSE)</f>
        <v>Additional Notes:</v>
      </c>
      <c r="AA374" s="76"/>
      <c r="AB374" s="76"/>
      <c r="AC374" s="90" t="s">
        <v>91</v>
      </c>
      <c r="AD374" s="76" t="s">
        <v>91</v>
      </c>
      <c r="AE374" s="77"/>
      <c r="AF374" s="77"/>
      <c r="AG374" s="41" t="s">
        <v>91</v>
      </c>
    </row>
    <row r="375" spans="1:33" ht="21" hidden="1" x14ac:dyDescent="0.55000000000000004">
      <c r="A375" s="44" t="str">
        <f>Data!K374</f>
        <v>DPOW-CCHP</v>
      </c>
      <c r="B375" s="44" t="str">
        <f>Data!L374</f>
        <v>4143899880</v>
      </c>
      <c r="C375" s="44" t="str">
        <f>Data!D374</f>
        <v xml:space="preserve">Gomez, Ariel </v>
      </c>
      <c r="D375" s="82" t="str">
        <f>Data!F374</f>
        <v>4453176643</v>
      </c>
      <c r="E375" s="82" t="str">
        <f>Data!B374</f>
        <v>4181</v>
      </c>
      <c r="F375" s="44" t="str">
        <f>Data!A374</f>
        <v xml:space="preserve">Gomez, Ariel </v>
      </c>
      <c r="G375" s="55" t="str">
        <f>Data!C374</f>
        <v>5/3/2016</v>
      </c>
      <c r="H375" s="56">
        <f>Data!H374</f>
        <v>44552</v>
      </c>
      <c r="I375" s="56" t="str">
        <f>Data!I374</f>
        <v>12/23/2021</v>
      </c>
      <c r="J375" s="57">
        <f>Data!J374</f>
        <v>227.6</v>
      </c>
      <c r="K375" s="58">
        <f t="shared" ca="1" si="5"/>
        <v>147</v>
      </c>
      <c r="L375" s="58">
        <f>Data!M374</f>
        <v>0</v>
      </c>
      <c r="M375" s="37" t="s">
        <v>26</v>
      </c>
      <c r="N375" s="43" t="str">
        <f>VLOOKUP(M375,Table1[#All],3,FALSE)</f>
        <v>Note</v>
      </c>
      <c r="O375" s="40" t="str">
        <f>VLOOKUP(M375,Table1[#All],4,FALSE)</f>
        <v>Q1</v>
      </c>
      <c r="P375" s="39"/>
      <c r="Q375" s="40" t="str">
        <f>VLOOKUP(M375,Table1[#All],5,FALSE)</f>
        <v>Q2</v>
      </c>
      <c r="R375" s="79"/>
      <c r="S375" s="40" t="str">
        <f>VLOOKUP(M375,Table1[#All],6,FALSE)</f>
        <v>Q3</v>
      </c>
      <c r="T375" s="79"/>
      <c r="U375" s="40" t="str">
        <f>VLOOKUP(M375,Table1[#All],7,FALSE)</f>
        <v>Q4</v>
      </c>
      <c r="V375" s="79"/>
      <c r="W375" s="40" t="str">
        <f>VLOOKUP(M375,Table1[#All],8,FALSE)</f>
        <v>Q5</v>
      </c>
      <c r="X375" s="79"/>
      <c r="Y375" s="44" t="str">
        <f>VLOOKUP(M375,Table1[#All],2,FALSE)</f>
        <v>Action</v>
      </c>
      <c r="Z375" s="59" t="str">
        <f>VLOOKUP(M375,Table1[#All],9,FALSE)</f>
        <v>Additional Notes:</v>
      </c>
      <c r="AA375" s="76"/>
      <c r="AB375" s="76"/>
      <c r="AC375" s="90" t="s">
        <v>91</v>
      </c>
      <c r="AD375" s="76" t="s">
        <v>91</v>
      </c>
      <c r="AE375" s="77"/>
      <c r="AF375" s="77"/>
      <c r="AG375" s="41" t="s">
        <v>91</v>
      </c>
    </row>
    <row r="376" spans="1:33" ht="21" hidden="1" x14ac:dyDescent="0.55000000000000004">
      <c r="A376" s="44" t="str">
        <f>Data!K375</f>
        <v>DPOW-CCHP</v>
      </c>
      <c r="B376" s="44" t="str">
        <f>Data!L375</f>
        <v>4143899880</v>
      </c>
      <c r="C376" s="44" t="str">
        <f>Data!D375</f>
        <v xml:space="preserve">Gomez Cruz, Alayna </v>
      </c>
      <c r="D376" s="82" t="str">
        <f>Data!F375</f>
        <v>2448233829</v>
      </c>
      <c r="E376" s="82" t="str">
        <f>Data!B375</f>
        <v>4180</v>
      </c>
      <c r="F376" s="44" t="str">
        <f>Data!A375</f>
        <v xml:space="preserve">Gomez Cruz, Alayna </v>
      </c>
      <c r="G376" s="55" t="str">
        <f>Data!C375</f>
        <v>4/27/2014</v>
      </c>
      <c r="H376" s="56">
        <f>Data!H375</f>
        <v>44552</v>
      </c>
      <c r="I376" s="56" t="str">
        <f>Data!I375</f>
        <v>12/23/2021</v>
      </c>
      <c r="J376" s="57">
        <f>Data!J375</f>
        <v>244.4</v>
      </c>
      <c r="K376" s="58">
        <f t="shared" ca="1" si="5"/>
        <v>147</v>
      </c>
      <c r="L376" s="58">
        <f>Data!M375</f>
        <v>0</v>
      </c>
      <c r="M376" s="37" t="s">
        <v>26</v>
      </c>
      <c r="N376" s="43" t="str">
        <f>VLOOKUP(M376,Table1[#All],3,FALSE)</f>
        <v>Note</v>
      </c>
      <c r="O376" s="40" t="str">
        <f>VLOOKUP(M376,Table1[#All],4,FALSE)</f>
        <v>Q1</v>
      </c>
      <c r="P376" s="39"/>
      <c r="Q376" s="40" t="str">
        <f>VLOOKUP(M376,Table1[#All],5,FALSE)</f>
        <v>Q2</v>
      </c>
      <c r="R376" s="79"/>
      <c r="S376" s="40" t="str">
        <f>VLOOKUP(M376,Table1[#All],6,FALSE)</f>
        <v>Q3</v>
      </c>
      <c r="T376" s="79"/>
      <c r="U376" s="40" t="str">
        <f>VLOOKUP(M376,Table1[#All],7,FALSE)</f>
        <v>Q4</v>
      </c>
      <c r="V376" s="79"/>
      <c r="W376" s="40" t="str">
        <f>VLOOKUP(M376,Table1[#All],8,FALSE)</f>
        <v>Q5</v>
      </c>
      <c r="X376" s="79"/>
      <c r="Y376" s="44" t="str">
        <f>VLOOKUP(M376,Table1[#All],2,FALSE)</f>
        <v>Action</v>
      </c>
      <c r="Z376" s="59" t="str">
        <f>VLOOKUP(M376,Table1[#All],9,FALSE)</f>
        <v>Additional Notes:</v>
      </c>
      <c r="AA376" s="76"/>
      <c r="AB376" s="76"/>
      <c r="AC376" s="90" t="s">
        <v>91</v>
      </c>
      <c r="AD376" s="76" t="s">
        <v>91</v>
      </c>
      <c r="AE376" s="77"/>
      <c r="AF376" s="77"/>
      <c r="AG376" s="41" t="s">
        <v>91</v>
      </c>
    </row>
    <row r="377" spans="1:33" ht="21" hidden="1" x14ac:dyDescent="0.55000000000000004">
      <c r="A377" s="44" t="str">
        <f>Data!K376</f>
        <v>DPOW-CCHP</v>
      </c>
      <c r="B377" s="44" t="str">
        <f>Data!L376</f>
        <v>4143899880</v>
      </c>
      <c r="C377" s="44" t="str">
        <f>Data!D376</f>
        <v>Gomez, Star</v>
      </c>
      <c r="D377" s="82" t="str">
        <f>Data!F376</f>
        <v>7407597979</v>
      </c>
      <c r="E377" s="82" t="str">
        <f>Data!B376</f>
        <v>8360</v>
      </c>
      <c r="F377" s="44" t="str">
        <f>Data!A376</f>
        <v>Gomez, Star</v>
      </c>
      <c r="G377" s="55" t="str">
        <f>Data!C376</f>
        <v>1/29/1994</v>
      </c>
      <c r="H377" s="56">
        <f>Data!H376</f>
        <v>44552</v>
      </c>
      <c r="I377" s="56" t="str">
        <f>Data!I376</f>
        <v>12/23/2021</v>
      </c>
      <c r="J377" s="57">
        <f>Data!J376</f>
        <v>378</v>
      </c>
      <c r="K377" s="58">
        <f t="shared" ca="1" si="5"/>
        <v>147</v>
      </c>
      <c r="L377" s="58">
        <f>Data!M376</f>
        <v>0</v>
      </c>
      <c r="M377" s="37" t="s">
        <v>26</v>
      </c>
      <c r="N377" s="43" t="str">
        <f>VLOOKUP(M377,Table1[#All],3,FALSE)</f>
        <v>Note</v>
      </c>
      <c r="O377" s="40" t="str">
        <f>VLOOKUP(M377,Table1[#All],4,FALSE)</f>
        <v>Q1</v>
      </c>
      <c r="P377" s="39"/>
      <c r="Q377" s="40" t="str">
        <f>VLOOKUP(M377,Table1[#All],5,FALSE)</f>
        <v>Q2</v>
      </c>
      <c r="R377" s="79"/>
      <c r="S377" s="40" t="str">
        <f>VLOOKUP(M377,Table1[#All],6,FALSE)</f>
        <v>Q3</v>
      </c>
      <c r="T377" s="79"/>
      <c r="U377" s="40" t="str">
        <f>VLOOKUP(M377,Table1[#All],7,FALSE)</f>
        <v>Q4</v>
      </c>
      <c r="V377" s="79"/>
      <c r="W377" s="40" t="str">
        <f>VLOOKUP(M377,Table1[#All],8,FALSE)</f>
        <v>Q5</v>
      </c>
      <c r="X377" s="79"/>
      <c r="Y377" s="44" t="str">
        <f>VLOOKUP(M377,Table1[#All],2,FALSE)</f>
        <v>Action</v>
      </c>
      <c r="Z377" s="59" t="str">
        <f>VLOOKUP(M377,Table1[#All],9,FALSE)</f>
        <v>Additional Notes:</v>
      </c>
      <c r="AA377" s="76"/>
      <c r="AB377" s="76"/>
      <c r="AC377" s="90" t="s">
        <v>91</v>
      </c>
      <c r="AD377" s="76" t="s">
        <v>91</v>
      </c>
      <c r="AE377" s="77"/>
      <c r="AF377" s="77"/>
      <c r="AG377" s="41" t="s">
        <v>91</v>
      </c>
    </row>
    <row r="378" spans="1:33" ht="21" hidden="1" x14ac:dyDescent="0.55000000000000004">
      <c r="A378" s="44" t="str">
        <f>Data!K377</f>
        <v>DPOW-CCHP</v>
      </c>
      <c r="B378" s="44" t="str">
        <f>Data!L377</f>
        <v>4143899880</v>
      </c>
      <c r="C378" s="44" t="str">
        <f>Data!D377</f>
        <v>Ayala, Isaiah</v>
      </c>
      <c r="D378" s="82" t="str">
        <f>Data!F377</f>
        <v>9446626293</v>
      </c>
      <c r="E378" s="82" t="str">
        <f>Data!B377</f>
        <v>3074</v>
      </c>
      <c r="F378" s="44" t="str">
        <f>Data!A377</f>
        <v>Ayala, Isaiah</v>
      </c>
      <c r="G378" s="55" t="str">
        <f>Data!C377</f>
        <v>8/1/2014</v>
      </c>
      <c r="H378" s="56">
        <f>Data!H377</f>
        <v>44551</v>
      </c>
      <c r="I378" s="56" t="str">
        <f>Data!I377</f>
        <v>12/22/2021</v>
      </c>
      <c r="J378" s="57">
        <f>Data!J377</f>
        <v>441.2</v>
      </c>
      <c r="K378" s="58">
        <f t="shared" ca="1" si="5"/>
        <v>148</v>
      </c>
      <c r="L378" s="58">
        <f>Data!M377</f>
        <v>0</v>
      </c>
      <c r="M378" s="37" t="s">
        <v>26</v>
      </c>
      <c r="N378" s="43" t="str">
        <f>VLOOKUP(M378,Table1[#All],3,FALSE)</f>
        <v>Note</v>
      </c>
      <c r="O378" s="40" t="str">
        <f>VLOOKUP(M378,Table1[#All],4,FALSE)</f>
        <v>Q1</v>
      </c>
      <c r="P378" s="39"/>
      <c r="Q378" s="40" t="str">
        <f>VLOOKUP(M378,Table1[#All],5,FALSE)</f>
        <v>Q2</v>
      </c>
      <c r="R378" s="79"/>
      <c r="S378" s="40" t="str">
        <f>VLOOKUP(M378,Table1[#All],6,FALSE)</f>
        <v>Q3</v>
      </c>
      <c r="T378" s="79"/>
      <c r="U378" s="40" t="str">
        <f>VLOOKUP(M378,Table1[#All],7,FALSE)</f>
        <v>Q4</v>
      </c>
      <c r="V378" s="79"/>
      <c r="W378" s="40" t="str">
        <f>VLOOKUP(M378,Table1[#All],8,FALSE)</f>
        <v>Q5</v>
      </c>
      <c r="X378" s="79"/>
      <c r="Y378" s="44" t="str">
        <f>VLOOKUP(M378,Table1[#All],2,FALSE)</f>
        <v>Action</v>
      </c>
      <c r="Z378" s="59" t="str">
        <f>VLOOKUP(M378,Table1[#All],9,FALSE)</f>
        <v>Additional Notes:</v>
      </c>
      <c r="AA378" s="76"/>
      <c r="AB378" s="76"/>
      <c r="AC378" s="90" t="s">
        <v>91</v>
      </c>
      <c r="AD378" s="76" t="s">
        <v>91</v>
      </c>
      <c r="AE378" s="77"/>
      <c r="AF378" s="77"/>
      <c r="AG378" s="41" t="s">
        <v>91</v>
      </c>
    </row>
    <row r="379" spans="1:33" ht="21" hidden="1" x14ac:dyDescent="0.55000000000000004">
      <c r="A379" s="44" t="str">
        <f>Data!K378</f>
        <v>DPOW-CCHP</v>
      </c>
      <c r="B379" s="44" t="str">
        <f>Data!L378</f>
        <v>4143899880</v>
      </c>
      <c r="C379" s="44" t="str">
        <f>Data!D378</f>
        <v>Ezhar Miah, Mohamad Yunus</v>
      </c>
      <c r="D379" s="82" t="str">
        <f>Data!F378</f>
        <v>5450296851</v>
      </c>
      <c r="E379" s="82" t="str">
        <f>Data!B378</f>
        <v>1771</v>
      </c>
      <c r="F379" s="44" t="str">
        <f>Data!A378</f>
        <v>Ezhar Miah, Mohamad Yunus</v>
      </c>
      <c r="G379" s="55" t="str">
        <f>Data!C378</f>
        <v>1/1/1972</v>
      </c>
      <c r="H379" s="56">
        <f>Data!H378</f>
        <v>44551</v>
      </c>
      <c r="I379" s="56" t="str">
        <f>Data!I378</f>
        <v>12/22/2021</v>
      </c>
      <c r="J379" s="57">
        <f>Data!J378</f>
        <v>360</v>
      </c>
      <c r="K379" s="58">
        <f t="shared" ca="1" si="5"/>
        <v>148</v>
      </c>
      <c r="L379" s="58">
        <f>Data!M378</f>
        <v>0</v>
      </c>
      <c r="M379" s="37" t="s">
        <v>26</v>
      </c>
      <c r="N379" s="43" t="str">
        <f>VLOOKUP(M379,Table1[#All],3,FALSE)</f>
        <v>Note</v>
      </c>
      <c r="O379" s="40" t="str">
        <f>VLOOKUP(M379,Table1[#All],4,FALSE)</f>
        <v>Q1</v>
      </c>
      <c r="P379" s="39"/>
      <c r="Q379" s="40" t="str">
        <f>VLOOKUP(M379,Table1[#All],5,FALSE)</f>
        <v>Q2</v>
      </c>
      <c r="R379" s="79"/>
      <c r="S379" s="40" t="str">
        <f>VLOOKUP(M379,Table1[#All],6,FALSE)</f>
        <v>Q3</v>
      </c>
      <c r="T379" s="79"/>
      <c r="U379" s="40" t="str">
        <f>VLOOKUP(M379,Table1[#All],7,FALSE)</f>
        <v>Q4</v>
      </c>
      <c r="V379" s="79"/>
      <c r="W379" s="40" t="str">
        <f>VLOOKUP(M379,Table1[#All],8,FALSE)</f>
        <v>Q5</v>
      </c>
      <c r="X379" s="79"/>
      <c r="Y379" s="44" t="str">
        <f>VLOOKUP(M379,Table1[#All],2,FALSE)</f>
        <v>Action</v>
      </c>
      <c r="Z379" s="59" t="str">
        <f>VLOOKUP(M379,Table1[#All],9,FALSE)</f>
        <v>Additional Notes:</v>
      </c>
      <c r="AA379" s="76"/>
      <c r="AB379" s="76"/>
      <c r="AC379" s="90" t="s">
        <v>91</v>
      </c>
      <c r="AD379" s="76" t="s">
        <v>91</v>
      </c>
      <c r="AE379" s="77"/>
      <c r="AF379" s="77"/>
      <c r="AG379" s="41" t="s">
        <v>91</v>
      </c>
    </row>
    <row r="380" spans="1:33" ht="21" hidden="1" x14ac:dyDescent="0.55000000000000004">
      <c r="A380" s="44" t="str">
        <f>Data!K379</f>
        <v>DPOW-CCHP</v>
      </c>
      <c r="B380" s="44" t="str">
        <f>Data!L379</f>
        <v>4143899880</v>
      </c>
      <c r="C380" s="44" t="str">
        <f>Data!D379</f>
        <v>Blanks, Chaniyah</v>
      </c>
      <c r="D380" s="82" t="str">
        <f>Data!F379</f>
        <v>9455301695</v>
      </c>
      <c r="E380" s="82" t="str">
        <f>Data!B379</f>
        <v>3011</v>
      </c>
      <c r="F380" s="44" t="str">
        <f>Data!A379</f>
        <v>Blanks, Chaniyah</v>
      </c>
      <c r="G380" s="55" t="str">
        <f>Data!C379</f>
        <v>1/14/2012</v>
      </c>
      <c r="H380" s="56">
        <f>Data!H379</f>
        <v>44551</v>
      </c>
      <c r="I380" s="56" t="str">
        <f>Data!I379</f>
        <v>12/22/2021</v>
      </c>
      <c r="J380" s="57">
        <f>Data!J379</f>
        <v>891.2</v>
      </c>
      <c r="K380" s="58">
        <f t="shared" ca="1" si="5"/>
        <v>148</v>
      </c>
      <c r="L380" s="58">
        <f>Data!M379</f>
        <v>0</v>
      </c>
      <c r="M380" s="37" t="s">
        <v>26</v>
      </c>
      <c r="N380" s="43" t="str">
        <f>VLOOKUP(M380,Table1[#All],3,FALSE)</f>
        <v>Note</v>
      </c>
      <c r="O380" s="40" t="str">
        <f>VLOOKUP(M380,Table1[#All],4,FALSE)</f>
        <v>Q1</v>
      </c>
      <c r="P380" s="39"/>
      <c r="Q380" s="40" t="str">
        <f>VLOOKUP(M380,Table1[#All],5,FALSE)</f>
        <v>Q2</v>
      </c>
      <c r="R380" s="79"/>
      <c r="S380" s="40" t="str">
        <f>VLOOKUP(M380,Table1[#All],6,FALSE)</f>
        <v>Q3</v>
      </c>
      <c r="T380" s="79"/>
      <c r="U380" s="40" t="str">
        <f>VLOOKUP(M380,Table1[#All],7,FALSE)</f>
        <v>Q4</v>
      </c>
      <c r="V380" s="79"/>
      <c r="W380" s="40" t="str">
        <f>VLOOKUP(M380,Table1[#All],8,FALSE)</f>
        <v>Q5</v>
      </c>
      <c r="X380" s="79"/>
      <c r="Y380" s="44" t="str">
        <f>VLOOKUP(M380,Table1[#All],2,FALSE)</f>
        <v>Action</v>
      </c>
      <c r="Z380" s="59" t="str">
        <f>VLOOKUP(M380,Table1[#All],9,FALSE)</f>
        <v>Additional Notes:</v>
      </c>
      <c r="AA380" s="76"/>
      <c r="AB380" s="76"/>
      <c r="AC380" s="90" t="s">
        <v>91</v>
      </c>
      <c r="AD380" s="76" t="s">
        <v>91</v>
      </c>
      <c r="AE380" s="77"/>
      <c r="AF380" s="77"/>
      <c r="AG380" s="41" t="s">
        <v>91</v>
      </c>
    </row>
    <row r="381" spans="1:33" ht="21" hidden="1" x14ac:dyDescent="0.55000000000000004">
      <c r="A381" s="44" t="str">
        <f>Data!K380</f>
        <v>DPOW-CCHP</v>
      </c>
      <c r="B381" s="44" t="str">
        <f>Data!L380</f>
        <v>4143899880</v>
      </c>
      <c r="C381" s="44" t="str">
        <f>Data!D380</f>
        <v xml:space="preserve">Munoz Rios, Zoie </v>
      </c>
      <c r="D381" s="82" t="str">
        <f>Data!F380</f>
        <v>2446736025</v>
      </c>
      <c r="E381" s="82" t="str">
        <f>Data!B380</f>
        <v>2813</v>
      </c>
      <c r="F381" s="44" t="str">
        <f>Data!A380</f>
        <v xml:space="preserve">Munoz Rios, Zoie </v>
      </c>
      <c r="G381" s="55" t="str">
        <f>Data!C380</f>
        <v>8/21/2014</v>
      </c>
      <c r="H381" s="56">
        <f>Data!H380</f>
        <v>44551</v>
      </c>
      <c r="I381" s="56" t="str">
        <f>Data!I380</f>
        <v>12/22/2021</v>
      </c>
      <c r="J381" s="57">
        <f>Data!J380</f>
        <v>542</v>
      </c>
      <c r="K381" s="58">
        <f t="shared" ca="1" si="5"/>
        <v>148</v>
      </c>
      <c r="L381" s="58">
        <f>Data!M380</f>
        <v>0</v>
      </c>
      <c r="M381" s="37" t="s">
        <v>26</v>
      </c>
      <c r="N381" s="43" t="str">
        <f>VLOOKUP(M381,Table1[#All],3,FALSE)</f>
        <v>Note</v>
      </c>
      <c r="O381" s="40" t="str">
        <f>VLOOKUP(M381,Table1[#All],4,FALSE)</f>
        <v>Q1</v>
      </c>
      <c r="P381" s="39"/>
      <c r="Q381" s="40" t="str">
        <f>VLOOKUP(M381,Table1[#All],5,FALSE)</f>
        <v>Q2</v>
      </c>
      <c r="R381" s="79"/>
      <c r="S381" s="40" t="str">
        <f>VLOOKUP(M381,Table1[#All],6,FALSE)</f>
        <v>Q3</v>
      </c>
      <c r="T381" s="79"/>
      <c r="U381" s="40" t="str">
        <f>VLOOKUP(M381,Table1[#All],7,FALSE)</f>
        <v>Q4</v>
      </c>
      <c r="V381" s="79"/>
      <c r="W381" s="40" t="str">
        <f>VLOOKUP(M381,Table1[#All],8,FALSE)</f>
        <v>Q5</v>
      </c>
      <c r="X381" s="79"/>
      <c r="Y381" s="44" t="str">
        <f>VLOOKUP(M381,Table1[#All],2,FALSE)</f>
        <v>Action</v>
      </c>
      <c r="Z381" s="59" t="str">
        <f>VLOOKUP(M381,Table1[#All],9,FALSE)</f>
        <v>Additional Notes:</v>
      </c>
      <c r="AA381" s="76"/>
      <c r="AB381" s="76"/>
      <c r="AC381" s="90" t="s">
        <v>91</v>
      </c>
      <c r="AD381" s="76" t="s">
        <v>91</v>
      </c>
      <c r="AE381" s="77"/>
      <c r="AF381" s="77"/>
      <c r="AG381" s="41" t="s">
        <v>91</v>
      </c>
    </row>
    <row r="382" spans="1:33" ht="21" hidden="1" x14ac:dyDescent="0.55000000000000004">
      <c r="A382" s="44" t="str">
        <f>Data!K381</f>
        <v>DPOW-CCHP</v>
      </c>
      <c r="B382" s="44" t="str">
        <f>Data!L381</f>
        <v>4143899880</v>
      </c>
      <c r="C382" s="44" t="str">
        <f>Data!D381</f>
        <v xml:space="preserve">Melnik, Ashley </v>
      </c>
      <c r="D382" s="82" t="str">
        <f>Data!F381</f>
        <v>5417166057</v>
      </c>
      <c r="E382" s="82" t="str">
        <f>Data!B381</f>
        <v>6945</v>
      </c>
      <c r="F382" s="44" t="str">
        <f>Data!A381</f>
        <v xml:space="preserve">Melnik, Ashley </v>
      </c>
      <c r="G382" s="55" t="str">
        <f>Data!C381</f>
        <v>5/21/1995</v>
      </c>
      <c r="H382" s="56">
        <f>Data!H381</f>
        <v>44550</v>
      </c>
      <c r="I382" s="56" t="str">
        <f>Data!I381</f>
        <v>12/22/2021</v>
      </c>
      <c r="J382" s="57">
        <f>Data!J381</f>
        <v>175.2</v>
      </c>
      <c r="K382" s="58">
        <f t="shared" ca="1" si="5"/>
        <v>148</v>
      </c>
      <c r="L382" s="58">
        <f>Data!M381</f>
        <v>0</v>
      </c>
      <c r="M382" s="37" t="s">
        <v>26</v>
      </c>
      <c r="N382" s="43" t="str">
        <f>VLOOKUP(M382,Table1[#All],3,FALSE)</f>
        <v>Note</v>
      </c>
      <c r="O382" s="40" t="str">
        <f>VLOOKUP(M382,Table1[#All],4,FALSE)</f>
        <v>Q1</v>
      </c>
      <c r="P382" s="39"/>
      <c r="Q382" s="40" t="str">
        <f>VLOOKUP(M382,Table1[#All],5,FALSE)</f>
        <v>Q2</v>
      </c>
      <c r="R382" s="79"/>
      <c r="S382" s="40" t="str">
        <f>VLOOKUP(M382,Table1[#All],6,FALSE)</f>
        <v>Q3</v>
      </c>
      <c r="T382" s="79"/>
      <c r="U382" s="40" t="str">
        <f>VLOOKUP(M382,Table1[#All],7,FALSE)</f>
        <v>Q4</v>
      </c>
      <c r="V382" s="79"/>
      <c r="W382" s="40" t="str">
        <f>VLOOKUP(M382,Table1[#All],8,FALSE)</f>
        <v>Q5</v>
      </c>
      <c r="X382" s="79"/>
      <c r="Y382" s="44" t="str">
        <f>VLOOKUP(M382,Table1[#All],2,FALSE)</f>
        <v>Action</v>
      </c>
      <c r="Z382" s="59" t="str">
        <f>VLOOKUP(M382,Table1[#All],9,FALSE)</f>
        <v>Additional Notes:</v>
      </c>
      <c r="AA382" s="76"/>
      <c r="AB382" s="76"/>
      <c r="AC382" s="90" t="s">
        <v>91</v>
      </c>
      <c r="AD382" s="76" t="s">
        <v>91</v>
      </c>
      <c r="AE382" s="77"/>
      <c r="AF382" s="77"/>
      <c r="AG382" s="41" t="s">
        <v>91</v>
      </c>
    </row>
    <row r="383" spans="1:33" ht="21" hidden="1" x14ac:dyDescent="0.55000000000000004">
      <c r="A383" s="44" t="str">
        <f>Data!K382</f>
        <v>DPOW-CCHP</v>
      </c>
      <c r="B383" s="44" t="str">
        <f>Data!L382</f>
        <v>4143899880</v>
      </c>
      <c r="C383" s="44" t="str">
        <f>Data!D382</f>
        <v xml:space="preserve">Yousif, Adam </v>
      </c>
      <c r="D383" s="82" t="str">
        <f>Data!F382</f>
        <v>1450786111</v>
      </c>
      <c r="E383" s="82" t="str">
        <f>Data!B382</f>
        <v>6191</v>
      </c>
      <c r="F383" s="44" t="str">
        <f>Data!A382</f>
        <v xml:space="preserve">Yousif, Adam </v>
      </c>
      <c r="G383" s="55" t="str">
        <f>Data!C382</f>
        <v>11/22/2016</v>
      </c>
      <c r="H383" s="56">
        <f>Data!H382</f>
        <v>44547</v>
      </c>
      <c r="I383" s="56" t="str">
        <f>Data!I382</f>
        <v>12/22/2021</v>
      </c>
      <c r="J383" s="57">
        <f>Data!J382</f>
        <v>227.6</v>
      </c>
      <c r="K383" s="58">
        <f t="shared" ca="1" si="5"/>
        <v>148</v>
      </c>
      <c r="L383" s="58">
        <f>Data!M382</f>
        <v>0</v>
      </c>
      <c r="M383" s="37" t="s">
        <v>26</v>
      </c>
      <c r="N383" s="43" t="str">
        <f>VLOOKUP(M383,Table1[#All],3,FALSE)</f>
        <v>Note</v>
      </c>
      <c r="O383" s="40" t="str">
        <f>VLOOKUP(M383,Table1[#All],4,FALSE)</f>
        <v>Q1</v>
      </c>
      <c r="P383" s="39"/>
      <c r="Q383" s="40" t="str">
        <f>VLOOKUP(M383,Table1[#All],5,FALSE)</f>
        <v>Q2</v>
      </c>
      <c r="R383" s="79"/>
      <c r="S383" s="40" t="str">
        <f>VLOOKUP(M383,Table1[#All],6,FALSE)</f>
        <v>Q3</v>
      </c>
      <c r="T383" s="79"/>
      <c r="U383" s="40" t="str">
        <f>VLOOKUP(M383,Table1[#All],7,FALSE)</f>
        <v>Q4</v>
      </c>
      <c r="V383" s="79"/>
      <c r="W383" s="40" t="str">
        <f>VLOOKUP(M383,Table1[#All],8,FALSE)</f>
        <v>Q5</v>
      </c>
      <c r="X383" s="79"/>
      <c r="Y383" s="44" t="str">
        <f>VLOOKUP(M383,Table1[#All],2,FALSE)</f>
        <v>Action</v>
      </c>
      <c r="Z383" s="59" t="str">
        <f>VLOOKUP(M383,Table1[#All],9,FALSE)</f>
        <v>Additional Notes:</v>
      </c>
      <c r="AA383" s="76"/>
      <c r="AB383" s="76"/>
      <c r="AC383" s="90" t="s">
        <v>91</v>
      </c>
      <c r="AD383" s="76" t="s">
        <v>91</v>
      </c>
      <c r="AE383" s="77"/>
      <c r="AF383" s="77"/>
      <c r="AG383" s="41" t="s">
        <v>91</v>
      </c>
    </row>
    <row r="384" spans="1:33" ht="21" hidden="1" x14ac:dyDescent="0.55000000000000004">
      <c r="A384" s="44" t="str">
        <f>Data!K383</f>
        <v>DPOW-CCHP</v>
      </c>
      <c r="B384" s="44" t="str">
        <f>Data!L383</f>
        <v>4143899880</v>
      </c>
      <c r="C384" s="44" t="str">
        <f>Data!D383</f>
        <v xml:space="preserve">Yousif , Aya </v>
      </c>
      <c r="D384" s="82" t="str">
        <f>Data!F383</f>
        <v>5443200453</v>
      </c>
      <c r="E384" s="82" t="str">
        <f>Data!B383</f>
        <v>6193</v>
      </c>
      <c r="F384" s="44" t="str">
        <f>Data!A383</f>
        <v xml:space="preserve">Yousif , Aya </v>
      </c>
      <c r="G384" s="55" t="str">
        <f>Data!C383</f>
        <v>9/24/2007</v>
      </c>
      <c r="H384" s="56">
        <f>Data!H383</f>
        <v>44547</v>
      </c>
      <c r="I384" s="56" t="str">
        <f>Data!I383</f>
        <v>12/22/2021</v>
      </c>
      <c r="J384" s="57">
        <f>Data!J383</f>
        <v>266</v>
      </c>
      <c r="K384" s="58">
        <f t="shared" ca="1" si="5"/>
        <v>148</v>
      </c>
      <c r="L384" s="58">
        <f>Data!M383</f>
        <v>0</v>
      </c>
      <c r="M384" s="37" t="s">
        <v>26</v>
      </c>
      <c r="N384" s="43" t="str">
        <f>VLOOKUP(M384,Table1[#All],3,FALSE)</f>
        <v>Note</v>
      </c>
      <c r="O384" s="40" t="str">
        <f>VLOOKUP(M384,Table1[#All],4,FALSE)</f>
        <v>Q1</v>
      </c>
      <c r="P384" s="39"/>
      <c r="Q384" s="40" t="str">
        <f>VLOOKUP(M384,Table1[#All],5,FALSE)</f>
        <v>Q2</v>
      </c>
      <c r="R384" s="79"/>
      <c r="S384" s="40" t="str">
        <f>VLOOKUP(M384,Table1[#All],6,FALSE)</f>
        <v>Q3</v>
      </c>
      <c r="T384" s="79"/>
      <c r="U384" s="40" t="str">
        <f>VLOOKUP(M384,Table1[#All],7,FALSE)</f>
        <v>Q4</v>
      </c>
      <c r="V384" s="79"/>
      <c r="W384" s="40" t="str">
        <f>VLOOKUP(M384,Table1[#All],8,FALSE)</f>
        <v>Q5</v>
      </c>
      <c r="X384" s="79"/>
      <c r="Y384" s="44" t="str">
        <f>VLOOKUP(M384,Table1[#All],2,FALSE)</f>
        <v>Action</v>
      </c>
      <c r="Z384" s="59" t="str">
        <f>VLOOKUP(M384,Table1[#All],9,FALSE)</f>
        <v>Additional Notes:</v>
      </c>
      <c r="AA384" s="76"/>
      <c r="AB384" s="76"/>
      <c r="AC384" s="90" t="s">
        <v>91</v>
      </c>
      <c r="AD384" s="76" t="s">
        <v>91</v>
      </c>
      <c r="AE384" s="77"/>
      <c r="AF384" s="77"/>
      <c r="AG384" s="41" t="s">
        <v>91</v>
      </c>
    </row>
    <row r="385" spans="1:33" ht="21" hidden="1" x14ac:dyDescent="0.55000000000000004">
      <c r="A385" s="44" t="str">
        <f>Data!K384</f>
        <v>DPOW-CCHP</v>
      </c>
      <c r="B385" s="44" t="str">
        <f>Data!L384</f>
        <v>4143899880</v>
      </c>
      <c r="C385" s="44" t="str">
        <f>Data!D384</f>
        <v>Lian, Ram</v>
      </c>
      <c r="D385" s="82" t="str">
        <f>Data!F384</f>
        <v>8449931487</v>
      </c>
      <c r="E385" s="82" t="str">
        <f>Data!B384</f>
        <v>8610</v>
      </c>
      <c r="F385" s="44" t="str">
        <f>Data!A384</f>
        <v>Lian, Ram</v>
      </c>
      <c r="G385" s="55" t="str">
        <f>Data!C384</f>
        <v>7/7/1983</v>
      </c>
      <c r="H385" s="56">
        <f>Data!H384</f>
        <v>44547</v>
      </c>
      <c r="I385" s="56" t="str">
        <f>Data!I384</f>
        <v>12/22/2021</v>
      </c>
      <c r="J385" s="57">
        <f>Data!J384</f>
        <v>72</v>
      </c>
      <c r="K385" s="58">
        <f t="shared" ca="1" si="5"/>
        <v>148</v>
      </c>
      <c r="L385" s="58">
        <f>Data!M384</f>
        <v>0</v>
      </c>
      <c r="M385" s="37" t="s">
        <v>26</v>
      </c>
      <c r="N385" s="43" t="str">
        <f>VLOOKUP(M385,Table1[#All],3,FALSE)</f>
        <v>Note</v>
      </c>
      <c r="O385" s="40" t="str">
        <f>VLOOKUP(M385,Table1[#All],4,FALSE)</f>
        <v>Q1</v>
      </c>
      <c r="P385" s="39"/>
      <c r="Q385" s="40" t="str">
        <f>VLOOKUP(M385,Table1[#All],5,FALSE)</f>
        <v>Q2</v>
      </c>
      <c r="R385" s="79"/>
      <c r="S385" s="40" t="str">
        <f>VLOOKUP(M385,Table1[#All],6,FALSE)</f>
        <v>Q3</v>
      </c>
      <c r="T385" s="79"/>
      <c r="U385" s="40" t="str">
        <f>VLOOKUP(M385,Table1[#All],7,FALSE)</f>
        <v>Q4</v>
      </c>
      <c r="V385" s="79"/>
      <c r="W385" s="40" t="str">
        <f>VLOOKUP(M385,Table1[#All],8,FALSE)</f>
        <v>Q5</v>
      </c>
      <c r="X385" s="79"/>
      <c r="Y385" s="44" t="str">
        <f>VLOOKUP(M385,Table1[#All],2,FALSE)</f>
        <v>Action</v>
      </c>
      <c r="Z385" s="59" t="str">
        <f>VLOOKUP(M385,Table1[#All],9,FALSE)</f>
        <v>Additional Notes:</v>
      </c>
      <c r="AA385" s="76"/>
      <c r="AB385" s="76"/>
      <c r="AC385" s="90" t="s">
        <v>91</v>
      </c>
      <c r="AD385" s="76" t="s">
        <v>91</v>
      </c>
      <c r="AE385" s="77"/>
      <c r="AF385" s="77"/>
      <c r="AG385" s="41" t="s">
        <v>91</v>
      </c>
    </row>
    <row r="386" spans="1:33" ht="21" hidden="1" x14ac:dyDescent="0.55000000000000004">
      <c r="A386" s="44" t="str">
        <f>Data!K385</f>
        <v>DPOW-CCHP</v>
      </c>
      <c r="B386" s="44" t="str">
        <f>Data!L385</f>
        <v>4143899880</v>
      </c>
      <c r="C386" s="44" t="str">
        <f>Data!D385</f>
        <v xml:space="preserve">Bey, Kayla </v>
      </c>
      <c r="D386" s="82" t="str">
        <f>Data!F385</f>
        <v>0424011701</v>
      </c>
      <c r="E386" s="82" t="str">
        <f>Data!B385</f>
        <v>6499</v>
      </c>
      <c r="F386" s="44" t="str">
        <f>Data!A385</f>
        <v xml:space="preserve">Bey, Kayla </v>
      </c>
      <c r="G386" s="55" t="str">
        <f>Data!C385</f>
        <v>6/1/2005</v>
      </c>
      <c r="H386" s="56">
        <f>Data!H385</f>
        <v>44547</v>
      </c>
      <c r="I386" s="56" t="str">
        <f>Data!I385</f>
        <v>12/22/2021</v>
      </c>
      <c r="J386" s="57">
        <f>Data!J385</f>
        <v>159.6</v>
      </c>
      <c r="K386" s="58">
        <f t="shared" ca="1" si="5"/>
        <v>148</v>
      </c>
      <c r="L386" s="58">
        <f>Data!M385</f>
        <v>0</v>
      </c>
      <c r="M386" s="37" t="s">
        <v>26</v>
      </c>
      <c r="N386" s="43" t="str">
        <f>VLOOKUP(M386,Table1[#All],3,FALSE)</f>
        <v>Note</v>
      </c>
      <c r="O386" s="40" t="str">
        <f>VLOOKUP(M386,Table1[#All],4,FALSE)</f>
        <v>Q1</v>
      </c>
      <c r="P386" s="39"/>
      <c r="Q386" s="40" t="str">
        <f>VLOOKUP(M386,Table1[#All],5,FALSE)</f>
        <v>Q2</v>
      </c>
      <c r="R386" s="79"/>
      <c r="S386" s="40" t="str">
        <f>VLOOKUP(M386,Table1[#All],6,FALSE)</f>
        <v>Q3</v>
      </c>
      <c r="T386" s="79"/>
      <c r="U386" s="40" t="str">
        <f>VLOOKUP(M386,Table1[#All],7,FALSE)</f>
        <v>Q4</v>
      </c>
      <c r="V386" s="79"/>
      <c r="W386" s="40" t="str">
        <f>VLOOKUP(M386,Table1[#All],8,FALSE)</f>
        <v>Q5</v>
      </c>
      <c r="X386" s="79"/>
      <c r="Y386" s="44" t="str">
        <f>VLOOKUP(M386,Table1[#All],2,FALSE)</f>
        <v>Action</v>
      </c>
      <c r="Z386" s="59" t="str">
        <f>VLOOKUP(M386,Table1[#All],9,FALSE)</f>
        <v>Additional Notes:</v>
      </c>
      <c r="AA386" s="76"/>
      <c r="AB386" s="76"/>
      <c r="AC386" s="90" t="s">
        <v>91</v>
      </c>
      <c r="AD386" s="76" t="s">
        <v>91</v>
      </c>
      <c r="AE386" s="77"/>
      <c r="AF386" s="77"/>
      <c r="AG386" s="41" t="s">
        <v>91</v>
      </c>
    </row>
    <row r="387" spans="1:33" ht="21" hidden="1" x14ac:dyDescent="0.55000000000000004">
      <c r="A387" s="44" t="str">
        <f>Data!K386</f>
        <v>DPOW-CCHP</v>
      </c>
      <c r="B387" s="44" t="str">
        <f>Data!L386</f>
        <v>4143899880</v>
      </c>
      <c r="C387" s="44" t="str">
        <f>Data!D386</f>
        <v>Yousif, Ali</v>
      </c>
      <c r="D387" s="82" t="str">
        <f>Data!F386</f>
        <v>9446645395</v>
      </c>
      <c r="E387" s="82" t="str">
        <f>Data!B386</f>
        <v>6192</v>
      </c>
      <c r="F387" s="44" t="str">
        <f>Data!A386</f>
        <v>Yousif, Ali</v>
      </c>
      <c r="G387" s="55" t="str">
        <f>Data!C386</f>
        <v>7/29/2014</v>
      </c>
      <c r="H387" s="56">
        <f>Data!H386</f>
        <v>44548</v>
      </c>
      <c r="I387" s="56" t="str">
        <f>Data!I386</f>
        <v>12/22/2021</v>
      </c>
      <c r="J387" s="57">
        <f>Data!J386</f>
        <v>227.6</v>
      </c>
      <c r="K387" s="58">
        <f t="shared" ca="1" si="5"/>
        <v>148</v>
      </c>
      <c r="L387" s="58">
        <f>Data!M386</f>
        <v>0</v>
      </c>
      <c r="M387" s="37" t="s">
        <v>26</v>
      </c>
      <c r="N387" s="43" t="str">
        <f>VLOOKUP(M387,Table1[#All],3,FALSE)</f>
        <v>Note</v>
      </c>
      <c r="O387" s="40" t="str">
        <f>VLOOKUP(M387,Table1[#All],4,FALSE)</f>
        <v>Q1</v>
      </c>
      <c r="P387" s="39"/>
      <c r="Q387" s="40" t="str">
        <f>VLOOKUP(M387,Table1[#All],5,FALSE)</f>
        <v>Q2</v>
      </c>
      <c r="R387" s="79"/>
      <c r="S387" s="40" t="str">
        <f>VLOOKUP(M387,Table1[#All],6,FALSE)</f>
        <v>Q3</v>
      </c>
      <c r="T387" s="79"/>
      <c r="U387" s="40" t="str">
        <f>VLOOKUP(M387,Table1[#All],7,FALSE)</f>
        <v>Q4</v>
      </c>
      <c r="V387" s="79"/>
      <c r="W387" s="40" t="str">
        <f>VLOOKUP(M387,Table1[#All],8,FALSE)</f>
        <v>Q5</v>
      </c>
      <c r="X387" s="79"/>
      <c r="Y387" s="44" t="str">
        <f>VLOOKUP(M387,Table1[#All],2,FALSE)</f>
        <v>Action</v>
      </c>
      <c r="Z387" s="59" t="str">
        <f>VLOOKUP(M387,Table1[#All],9,FALSE)</f>
        <v>Additional Notes:</v>
      </c>
      <c r="AA387" s="76"/>
      <c r="AB387" s="76"/>
      <c r="AC387" s="90" t="s">
        <v>91</v>
      </c>
      <c r="AD387" s="76" t="s">
        <v>91</v>
      </c>
      <c r="AE387" s="77"/>
      <c r="AF387" s="77"/>
      <c r="AG387" s="41" t="s">
        <v>91</v>
      </c>
    </row>
    <row r="388" spans="1:33" ht="21" hidden="1" x14ac:dyDescent="0.55000000000000004">
      <c r="A388" s="44" t="str">
        <f>Data!K387</f>
        <v>DPOW-CCHP</v>
      </c>
      <c r="B388" s="44" t="str">
        <f>Data!L387</f>
        <v>4143899880</v>
      </c>
      <c r="C388" s="44" t="str">
        <f>Data!D387</f>
        <v xml:space="preserve">Lozada, Jesian </v>
      </c>
      <c r="D388" s="82" t="str">
        <f>Data!F387</f>
        <v>8439412282</v>
      </c>
      <c r="E388" s="82" t="str">
        <f>Data!B387</f>
        <v>7162</v>
      </c>
      <c r="F388" s="44" t="str">
        <f>Data!A387</f>
        <v xml:space="preserve">Lozada, Jesian </v>
      </c>
      <c r="G388" s="55" t="str">
        <f>Data!C387</f>
        <v>10/13/2009</v>
      </c>
      <c r="H388" s="56">
        <f>Data!H387</f>
        <v>44548</v>
      </c>
      <c r="I388" s="56" t="str">
        <f>Data!I387</f>
        <v>12/22/2021</v>
      </c>
      <c r="J388" s="57">
        <f>Data!J387</f>
        <v>244.4</v>
      </c>
      <c r="K388" s="58">
        <f t="shared" ca="1" si="5"/>
        <v>148</v>
      </c>
      <c r="L388" s="58">
        <f>Data!M387</f>
        <v>0</v>
      </c>
      <c r="M388" s="37" t="s">
        <v>26</v>
      </c>
      <c r="N388" s="43" t="str">
        <f>VLOOKUP(M388,Table1[#All],3,FALSE)</f>
        <v>Note</v>
      </c>
      <c r="O388" s="40" t="str">
        <f>VLOOKUP(M388,Table1[#All],4,FALSE)</f>
        <v>Q1</v>
      </c>
      <c r="P388" s="39"/>
      <c r="Q388" s="40" t="str">
        <f>VLOOKUP(M388,Table1[#All],5,FALSE)</f>
        <v>Q2</v>
      </c>
      <c r="R388" s="79"/>
      <c r="S388" s="40" t="str">
        <f>VLOOKUP(M388,Table1[#All],6,FALSE)</f>
        <v>Q3</v>
      </c>
      <c r="T388" s="79"/>
      <c r="U388" s="40" t="str">
        <f>VLOOKUP(M388,Table1[#All],7,FALSE)</f>
        <v>Q4</v>
      </c>
      <c r="V388" s="79"/>
      <c r="W388" s="40" t="str">
        <f>VLOOKUP(M388,Table1[#All],8,FALSE)</f>
        <v>Q5</v>
      </c>
      <c r="X388" s="79"/>
      <c r="Y388" s="44" t="str">
        <f>VLOOKUP(M388,Table1[#All],2,FALSE)</f>
        <v>Action</v>
      </c>
      <c r="Z388" s="59" t="str">
        <f>VLOOKUP(M388,Table1[#All],9,FALSE)</f>
        <v>Additional Notes:</v>
      </c>
      <c r="AA388" s="76"/>
      <c r="AB388" s="76"/>
      <c r="AC388" s="90" t="s">
        <v>91</v>
      </c>
      <c r="AD388" s="76" t="s">
        <v>91</v>
      </c>
      <c r="AE388" s="77"/>
      <c r="AF388" s="77"/>
      <c r="AG388" s="41" t="s">
        <v>91</v>
      </c>
    </row>
    <row r="389" spans="1:33" ht="21" hidden="1" x14ac:dyDescent="0.55000000000000004">
      <c r="A389" s="44" t="str">
        <f>Data!K388</f>
        <v>DPOW-CCHP</v>
      </c>
      <c r="B389" s="44" t="str">
        <f>Data!L388</f>
        <v>4143899880</v>
      </c>
      <c r="C389" s="44" t="str">
        <f>Data!D388</f>
        <v xml:space="preserve">Lozada Vazquez , Jeslian </v>
      </c>
      <c r="D389" s="82" t="str">
        <f>Data!F388</f>
        <v>9439412291</v>
      </c>
      <c r="E389" s="82" t="str">
        <f>Data!B388</f>
        <v>7163</v>
      </c>
      <c r="F389" s="44" t="str">
        <f>Data!A388</f>
        <v xml:space="preserve">Lozada Vazquez , Jeslian </v>
      </c>
      <c r="G389" s="55" t="str">
        <f>Data!C388</f>
        <v>10/17/2010</v>
      </c>
      <c r="H389" s="56">
        <f>Data!H388</f>
        <v>44548</v>
      </c>
      <c r="I389" s="56" t="str">
        <f>Data!I388</f>
        <v>12/22/2021</v>
      </c>
      <c r="J389" s="57">
        <f>Data!J388</f>
        <v>244.4</v>
      </c>
      <c r="K389" s="58">
        <f t="shared" ca="1" si="5"/>
        <v>148</v>
      </c>
      <c r="L389" s="58">
        <f>Data!M388</f>
        <v>0</v>
      </c>
      <c r="M389" s="37" t="s">
        <v>26</v>
      </c>
      <c r="N389" s="43" t="str">
        <f>VLOOKUP(M389,Table1[#All],3,FALSE)</f>
        <v>Note</v>
      </c>
      <c r="O389" s="40" t="str">
        <f>VLOOKUP(M389,Table1[#All],4,FALSE)</f>
        <v>Q1</v>
      </c>
      <c r="P389" s="39"/>
      <c r="Q389" s="40" t="str">
        <f>VLOOKUP(M389,Table1[#All],5,FALSE)</f>
        <v>Q2</v>
      </c>
      <c r="R389" s="79"/>
      <c r="S389" s="40" t="str">
        <f>VLOOKUP(M389,Table1[#All],6,FALSE)</f>
        <v>Q3</v>
      </c>
      <c r="T389" s="79"/>
      <c r="U389" s="40" t="str">
        <f>VLOOKUP(M389,Table1[#All],7,FALSE)</f>
        <v>Q4</v>
      </c>
      <c r="V389" s="79"/>
      <c r="W389" s="40" t="str">
        <f>VLOOKUP(M389,Table1[#All],8,FALSE)</f>
        <v>Q5</v>
      </c>
      <c r="X389" s="79"/>
      <c r="Y389" s="44" t="str">
        <f>VLOOKUP(M389,Table1[#All],2,FALSE)</f>
        <v>Action</v>
      </c>
      <c r="Z389" s="59" t="str">
        <f>VLOOKUP(M389,Table1[#All],9,FALSE)</f>
        <v>Additional Notes:</v>
      </c>
      <c r="AA389" s="76"/>
      <c r="AB389" s="76"/>
      <c r="AC389" s="90" t="s">
        <v>91</v>
      </c>
      <c r="AD389" s="76" t="s">
        <v>91</v>
      </c>
      <c r="AE389" s="77"/>
      <c r="AF389" s="77"/>
      <c r="AG389" s="41" t="s">
        <v>91</v>
      </c>
    </row>
    <row r="390" spans="1:33" ht="21" hidden="1" x14ac:dyDescent="0.55000000000000004">
      <c r="A390" s="44" t="str">
        <f>Data!K389</f>
        <v>DPOW-CCHP</v>
      </c>
      <c r="B390" s="44" t="str">
        <f>Data!L389</f>
        <v>4143899880</v>
      </c>
      <c r="C390" s="44" t="str">
        <f>Data!D389</f>
        <v>Ruiz Ortiz , Miguel</v>
      </c>
      <c r="D390" s="82" t="str">
        <f>Data!F389</f>
        <v>1447042212</v>
      </c>
      <c r="E390" s="82" t="str">
        <f>Data!B389</f>
        <v>8570</v>
      </c>
      <c r="F390" s="44" t="str">
        <f>Data!A389</f>
        <v>Ruiz Ortiz , Miguel</v>
      </c>
      <c r="G390" s="55" t="str">
        <f>Data!C389</f>
        <v>10/14/2014</v>
      </c>
      <c r="H390" s="56">
        <f>Data!H389</f>
        <v>44551</v>
      </c>
      <c r="I390" s="56" t="str">
        <f>Data!I389</f>
        <v>12/22/2021</v>
      </c>
      <c r="J390" s="57">
        <f>Data!J389</f>
        <v>404.8</v>
      </c>
      <c r="K390" s="58">
        <f t="shared" ref="K390:K453" ca="1" si="6">TODAY()-I390</f>
        <v>148</v>
      </c>
      <c r="L390" s="58">
        <f>Data!M389</f>
        <v>0</v>
      </c>
      <c r="M390" s="37" t="s">
        <v>26</v>
      </c>
      <c r="N390" s="43" t="str">
        <f>VLOOKUP(M390,Table1[#All],3,FALSE)</f>
        <v>Note</v>
      </c>
      <c r="O390" s="40" t="str">
        <f>VLOOKUP(M390,Table1[#All],4,FALSE)</f>
        <v>Q1</v>
      </c>
      <c r="P390" s="39"/>
      <c r="Q390" s="40" t="str">
        <f>VLOOKUP(M390,Table1[#All],5,FALSE)</f>
        <v>Q2</v>
      </c>
      <c r="R390" s="79"/>
      <c r="S390" s="40" t="str">
        <f>VLOOKUP(M390,Table1[#All],6,FALSE)</f>
        <v>Q3</v>
      </c>
      <c r="T390" s="79"/>
      <c r="U390" s="40" t="str">
        <f>VLOOKUP(M390,Table1[#All],7,FALSE)</f>
        <v>Q4</v>
      </c>
      <c r="V390" s="79"/>
      <c r="W390" s="40" t="str">
        <f>VLOOKUP(M390,Table1[#All],8,FALSE)</f>
        <v>Q5</v>
      </c>
      <c r="X390" s="79"/>
      <c r="Y390" s="44" t="str">
        <f>VLOOKUP(M390,Table1[#All],2,FALSE)</f>
        <v>Action</v>
      </c>
      <c r="Z390" s="59" t="str">
        <f>VLOOKUP(M390,Table1[#All],9,FALSE)</f>
        <v>Additional Notes:</v>
      </c>
      <c r="AA390" s="76"/>
      <c r="AB390" s="76"/>
      <c r="AC390" s="90" t="s">
        <v>91</v>
      </c>
      <c r="AD390" s="76" t="s">
        <v>91</v>
      </c>
      <c r="AE390" s="77"/>
      <c r="AF390" s="77"/>
      <c r="AG390" s="41" t="s">
        <v>91</v>
      </c>
    </row>
    <row r="391" spans="1:33" ht="21" hidden="1" x14ac:dyDescent="0.55000000000000004">
      <c r="A391" s="44" t="str">
        <f>Data!K390</f>
        <v>DPOW-CCHP</v>
      </c>
      <c r="B391" s="44" t="str">
        <f>Data!L390</f>
        <v>4143899880</v>
      </c>
      <c r="C391" s="44" t="str">
        <f>Data!D390</f>
        <v xml:space="preserve">Penkalski , Angela </v>
      </c>
      <c r="D391" s="82" t="str">
        <f>Data!F390</f>
        <v>2414716126</v>
      </c>
      <c r="E391" s="82" t="str">
        <f>Data!B390</f>
        <v>5147</v>
      </c>
      <c r="F391" s="44" t="str">
        <f>Data!A390</f>
        <v xml:space="preserve">Penkalski , Angela </v>
      </c>
      <c r="G391" s="55" t="str">
        <f>Data!C390</f>
        <v>9/6/1987</v>
      </c>
      <c r="H391" s="56">
        <f>Data!H390</f>
        <v>44547</v>
      </c>
      <c r="I391" s="56" t="str">
        <f>Data!I390</f>
        <v>12/22/2021</v>
      </c>
      <c r="J391" s="57">
        <f>Data!J390</f>
        <v>266</v>
      </c>
      <c r="K391" s="58">
        <f t="shared" ca="1" si="6"/>
        <v>148</v>
      </c>
      <c r="L391" s="58">
        <f>Data!M390</f>
        <v>0</v>
      </c>
      <c r="M391" s="37" t="s">
        <v>26</v>
      </c>
      <c r="N391" s="43" t="str">
        <f>VLOOKUP(M391,Table1[#All],3,FALSE)</f>
        <v>Note</v>
      </c>
      <c r="O391" s="40" t="str">
        <f>VLOOKUP(M391,Table1[#All],4,FALSE)</f>
        <v>Q1</v>
      </c>
      <c r="P391" s="39"/>
      <c r="Q391" s="40" t="str">
        <f>VLOOKUP(M391,Table1[#All],5,FALSE)</f>
        <v>Q2</v>
      </c>
      <c r="R391" s="79"/>
      <c r="S391" s="40" t="str">
        <f>VLOOKUP(M391,Table1[#All],6,FALSE)</f>
        <v>Q3</v>
      </c>
      <c r="T391" s="79"/>
      <c r="U391" s="40" t="str">
        <f>VLOOKUP(M391,Table1[#All],7,FALSE)</f>
        <v>Q4</v>
      </c>
      <c r="V391" s="79"/>
      <c r="W391" s="40" t="str">
        <f>VLOOKUP(M391,Table1[#All],8,FALSE)</f>
        <v>Q5</v>
      </c>
      <c r="X391" s="79"/>
      <c r="Y391" s="44" t="str">
        <f>VLOOKUP(M391,Table1[#All],2,FALSE)</f>
        <v>Action</v>
      </c>
      <c r="Z391" s="59" t="str">
        <f>VLOOKUP(M391,Table1[#All],9,FALSE)</f>
        <v>Additional Notes:</v>
      </c>
      <c r="AA391" s="76"/>
      <c r="AB391" s="76"/>
      <c r="AC391" s="90" t="s">
        <v>91</v>
      </c>
      <c r="AD391" s="76" t="s">
        <v>91</v>
      </c>
      <c r="AE391" s="77"/>
      <c r="AF391" s="77"/>
      <c r="AG391" s="41" t="s">
        <v>91</v>
      </c>
    </row>
    <row r="392" spans="1:33" ht="21" hidden="1" x14ac:dyDescent="0.55000000000000004">
      <c r="A392" s="44" t="str">
        <f>Data!K391</f>
        <v>DPOW-CCHP</v>
      </c>
      <c r="B392" s="44" t="str">
        <f>Data!L391</f>
        <v>4143899880</v>
      </c>
      <c r="C392" s="44" t="str">
        <f>Data!D391</f>
        <v xml:space="preserve">Czarnecki, Fiona </v>
      </c>
      <c r="D392" s="82" t="str">
        <f>Data!F391</f>
        <v>8428325782</v>
      </c>
      <c r="E392" s="82" t="str">
        <f>Data!B391</f>
        <v>8675</v>
      </c>
      <c r="F392" s="44" t="str">
        <f>Data!A391</f>
        <v xml:space="preserve">Czarnecki, Fiona </v>
      </c>
      <c r="G392" s="55" t="str">
        <f>Data!C391</f>
        <v>1/30/2007</v>
      </c>
      <c r="H392" s="56">
        <f>Data!H391</f>
        <v>44547</v>
      </c>
      <c r="I392" s="56" t="str">
        <f>Data!I391</f>
        <v>12/22/2021</v>
      </c>
      <c r="J392" s="57">
        <f>Data!J391</f>
        <v>294.8</v>
      </c>
      <c r="K392" s="58">
        <f t="shared" ca="1" si="6"/>
        <v>148</v>
      </c>
      <c r="L392" s="58">
        <f>Data!M391</f>
        <v>0</v>
      </c>
      <c r="M392" s="37" t="s">
        <v>26</v>
      </c>
      <c r="N392" s="43" t="str">
        <f>VLOOKUP(M392,Table1[#All],3,FALSE)</f>
        <v>Note</v>
      </c>
      <c r="O392" s="40" t="str">
        <f>VLOOKUP(M392,Table1[#All],4,FALSE)</f>
        <v>Q1</v>
      </c>
      <c r="P392" s="39"/>
      <c r="Q392" s="40" t="str">
        <f>VLOOKUP(M392,Table1[#All],5,FALSE)</f>
        <v>Q2</v>
      </c>
      <c r="R392" s="79"/>
      <c r="S392" s="40" t="str">
        <f>VLOOKUP(M392,Table1[#All],6,FALSE)</f>
        <v>Q3</v>
      </c>
      <c r="T392" s="79"/>
      <c r="U392" s="40" t="str">
        <f>VLOOKUP(M392,Table1[#All],7,FALSE)</f>
        <v>Q4</v>
      </c>
      <c r="V392" s="79"/>
      <c r="W392" s="40" t="str">
        <f>VLOOKUP(M392,Table1[#All],8,FALSE)</f>
        <v>Q5</v>
      </c>
      <c r="X392" s="79"/>
      <c r="Y392" s="44" t="str">
        <f>VLOOKUP(M392,Table1[#All],2,FALSE)</f>
        <v>Action</v>
      </c>
      <c r="Z392" s="59" t="str">
        <f>VLOOKUP(M392,Table1[#All],9,FALSE)</f>
        <v>Additional Notes:</v>
      </c>
      <c r="AA392" s="76"/>
      <c r="AB392" s="76"/>
      <c r="AC392" s="90" t="s">
        <v>91</v>
      </c>
      <c r="AD392" s="76" t="s">
        <v>91</v>
      </c>
      <c r="AE392" s="77"/>
      <c r="AF392" s="77"/>
      <c r="AG392" s="41" t="s">
        <v>91</v>
      </c>
    </row>
    <row r="393" spans="1:33" ht="21" hidden="1" x14ac:dyDescent="0.55000000000000004">
      <c r="A393" s="44" t="str">
        <f>Data!K392</f>
        <v>DPOW-CCHP</v>
      </c>
      <c r="B393" s="44" t="str">
        <f>Data!L392</f>
        <v>4143899880</v>
      </c>
      <c r="C393" s="44" t="str">
        <f>Data!D392</f>
        <v xml:space="preserve">Crespo, Jose </v>
      </c>
      <c r="D393" s="82" t="str">
        <f>Data!F392</f>
        <v>0402248601</v>
      </c>
      <c r="E393" s="82" t="str">
        <f>Data!B392</f>
        <v>8285</v>
      </c>
      <c r="F393" s="44" t="str">
        <f>Data!A392</f>
        <v xml:space="preserve">Crespo, Jose </v>
      </c>
      <c r="G393" s="55" t="str">
        <f>Data!C392</f>
        <v>7/16/2004</v>
      </c>
      <c r="H393" s="56">
        <f>Data!H392</f>
        <v>44547</v>
      </c>
      <c r="I393" s="56" t="str">
        <f>Data!I392</f>
        <v>12/22/2021</v>
      </c>
      <c r="J393" s="57">
        <f>Data!J392</f>
        <v>294.8</v>
      </c>
      <c r="K393" s="58">
        <f t="shared" ca="1" si="6"/>
        <v>148</v>
      </c>
      <c r="L393" s="58">
        <f>Data!M392</f>
        <v>0</v>
      </c>
      <c r="M393" s="37" t="s">
        <v>26</v>
      </c>
      <c r="N393" s="43" t="str">
        <f>VLOOKUP(M393,Table1[#All],3,FALSE)</f>
        <v>Note</v>
      </c>
      <c r="O393" s="40" t="str">
        <f>VLOOKUP(M393,Table1[#All],4,FALSE)</f>
        <v>Q1</v>
      </c>
      <c r="P393" s="39"/>
      <c r="Q393" s="40" t="str">
        <f>VLOOKUP(M393,Table1[#All],5,FALSE)</f>
        <v>Q2</v>
      </c>
      <c r="R393" s="79"/>
      <c r="S393" s="40" t="str">
        <f>VLOOKUP(M393,Table1[#All],6,FALSE)</f>
        <v>Q3</v>
      </c>
      <c r="T393" s="79"/>
      <c r="U393" s="40" t="str">
        <f>VLOOKUP(M393,Table1[#All],7,FALSE)</f>
        <v>Q4</v>
      </c>
      <c r="V393" s="79"/>
      <c r="W393" s="40" t="str">
        <f>VLOOKUP(M393,Table1[#All],8,FALSE)</f>
        <v>Q5</v>
      </c>
      <c r="X393" s="79"/>
      <c r="Y393" s="44" t="str">
        <f>VLOOKUP(M393,Table1[#All],2,FALSE)</f>
        <v>Action</v>
      </c>
      <c r="Z393" s="59" t="str">
        <f>VLOOKUP(M393,Table1[#All],9,FALSE)</f>
        <v>Additional Notes:</v>
      </c>
      <c r="AA393" s="76"/>
      <c r="AB393" s="76"/>
      <c r="AC393" s="90" t="s">
        <v>91</v>
      </c>
      <c r="AD393" s="76" t="s">
        <v>91</v>
      </c>
      <c r="AE393" s="77"/>
      <c r="AF393" s="77"/>
      <c r="AG393" s="41" t="s">
        <v>91</v>
      </c>
    </row>
    <row r="394" spans="1:33" ht="21" hidden="1" x14ac:dyDescent="0.55000000000000004">
      <c r="A394" s="44" t="str">
        <f>Data!K393</f>
        <v>DPOW-CCHP</v>
      </c>
      <c r="B394" s="44" t="str">
        <f>Data!L393</f>
        <v>4143899880</v>
      </c>
      <c r="C394" s="44" t="str">
        <f>Data!D393</f>
        <v xml:space="preserve">Leahy, Seth </v>
      </c>
      <c r="D394" s="82" t="str">
        <f>Data!F393</f>
        <v>4412256847</v>
      </c>
      <c r="E394" s="82" t="str">
        <f>Data!B393</f>
        <v>7885</v>
      </c>
      <c r="F394" s="44" t="str">
        <f>Data!A393</f>
        <v xml:space="preserve">Leahy, Seth </v>
      </c>
      <c r="G394" s="55" t="str">
        <f>Data!C393</f>
        <v>10/26/1985</v>
      </c>
      <c r="H394" s="56">
        <f>Data!H393</f>
        <v>44547</v>
      </c>
      <c r="I394" s="56" t="str">
        <f>Data!I393</f>
        <v>12/22/2021</v>
      </c>
      <c r="J394" s="57">
        <f>Data!J393</f>
        <v>2600.4</v>
      </c>
      <c r="K394" s="58">
        <f t="shared" ca="1" si="6"/>
        <v>148</v>
      </c>
      <c r="L394" s="58">
        <f>Data!M393</f>
        <v>0</v>
      </c>
      <c r="M394" s="37" t="s">
        <v>26</v>
      </c>
      <c r="N394" s="43" t="str">
        <f>VLOOKUP(M394,Table1[#All],3,FALSE)</f>
        <v>Note</v>
      </c>
      <c r="O394" s="40" t="str">
        <f>VLOOKUP(M394,Table1[#All],4,FALSE)</f>
        <v>Q1</v>
      </c>
      <c r="P394" s="39"/>
      <c r="Q394" s="40" t="str">
        <f>VLOOKUP(M394,Table1[#All],5,FALSE)</f>
        <v>Q2</v>
      </c>
      <c r="R394" s="79"/>
      <c r="S394" s="40" t="str">
        <f>VLOOKUP(M394,Table1[#All],6,FALSE)</f>
        <v>Q3</v>
      </c>
      <c r="T394" s="79"/>
      <c r="U394" s="40" t="str">
        <f>VLOOKUP(M394,Table1[#All],7,FALSE)</f>
        <v>Q4</v>
      </c>
      <c r="V394" s="79"/>
      <c r="W394" s="40" t="str">
        <f>VLOOKUP(M394,Table1[#All],8,FALSE)</f>
        <v>Q5</v>
      </c>
      <c r="X394" s="79"/>
      <c r="Y394" s="44" t="str">
        <f>VLOOKUP(M394,Table1[#All],2,FALSE)</f>
        <v>Action</v>
      </c>
      <c r="Z394" s="59" t="str">
        <f>VLOOKUP(M394,Table1[#All],9,FALSE)</f>
        <v>Additional Notes:</v>
      </c>
      <c r="AA394" s="76"/>
      <c r="AB394" s="76"/>
      <c r="AC394" s="90" t="s">
        <v>91</v>
      </c>
      <c r="AD394" s="76" t="s">
        <v>91</v>
      </c>
      <c r="AE394" s="77"/>
      <c r="AF394" s="77"/>
      <c r="AG394" s="41" t="s">
        <v>91</v>
      </c>
    </row>
    <row r="395" spans="1:33" ht="21" hidden="1" x14ac:dyDescent="0.55000000000000004">
      <c r="A395" s="44" t="str">
        <f>Data!K394</f>
        <v>DPOW-CCHP</v>
      </c>
      <c r="B395" s="44" t="str">
        <f>Data!L394</f>
        <v>4143899880</v>
      </c>
      <c r="C395" s="44" t="str">
        <f>Data!D394</f>
        <v>Gonzalez , Vanessa</v>
      </c>
      <c r="D395" s="82" t="str">
        <f>Data!F394</f>
        <v>0405230001</v>
      </c>
      <c r="E395" s="82" t="str">
        <f>Data!B394</f>
        <v>8283</v>
      </c>
      <c r="F395" s="44" t="str">
        <f>Data!A394</f>
        <v>Gonzalez , Vanessa</v>
      </c>
      <c r="G395" s="55" t="str">
        <f>Data!C394</f>
        <v>11/4/1978</v>
      </c>
      <c r="H395" s="56">
        <f>Data!H394</f>
        <v>44547</v>
      </c>
      <c r="I395" s="56" t="str">
        <f>Data!I394</f>
        <v>12/22/2021</v>
      </c>
      <c r="J395" s="57">
        <f>Data!J394</f>
        <v>294.8</v>
      </c>
      <c r="K395" s="58">
        <f t="shared" ca="1" si="6"/>
        <v>148</v>
      </c>
      <c r="L395" s="58">
        <f>Data!M394</f>
        <v>0</v>
      </c>
      <c r="M395" s="37" t="s">
        <v>26</v>
      </c>
      <c r="N395" s="43" t="str">
        <f>VLOOKUP(M395,Table1[#All],3,FALSE)</f>
        <v>Note</v>
      </c>
      <c r="O395" s="40" t="str">
        <f>VLOOKUP(M395,Table1[#All],4,FALSE)</f>
        <v>Q1</v>
      </c>
      <c r="P395" s="39"/>
      <c r="Q395" s="40" t="str">
        <f>VLOOKUP(M395,Table1[#All],5,FALSE)</f>
        <v>Q2</v>
      </c>
      <c r="R395" s="79"/>
      <c r="S395" s="40" t="str">
        <f>VLOOKUP(M395,Table1[#All],6,FALSE)</f>
        <v>Q3</v>
      </c>
      <c r="T395" s="79"/>
      <c r="U395" s="40" t="str">
        <f>VLOOKUP(M395,Table1[#All],7,FALSE)</f>
        <v>Q4</v>
      </c>
      <c r="V395" s="79"/>
      <c r="W395" s="40" t="str">
        <f>VLOOKUP(M395,Table1[#All],8,FALSE)</f>
        <v>Q5</v>
      </c>
      <c r="X395" s="79"/>
      <c r="Y395" s="44" t="str">
        <f>VLOOKUP(M395,Table1[#All],2,FALSE)</f>
        <v>Action</v>
      </c>
      <c r="Z395" s="59" t="str">
        <f>VLOOKUP(M395,Table1[#All],9,FALSE)</f>
        <v>Additional Notes:</v>
      </c>
      <c r="AA395" s="76"/>
      <c r="AB395" s="76"/>
      <c r="AC395" s="90" t="s">
        <v>91</v>
      </c>
      <c r="AD395" s="76" t="s">
        <v>91</v>
      </c>
      <c r="AE395" s="77"/>
      <c r="AF395" s="77"/>
      <c r="AG395" s="41" t="s">
        <v>91</v>
      </c>
    </row>
    <row r="396" spans="1:33" ht="21" hidden="1" x14ac:dyDescent="0.55000000000000004">
      <c r="A396" s="44" t="str">
        <f>Data!K395</f>
        <v>DPOW-CCHP</v>
      </c>
      <c r="B396" s="44" t="str">
        <f>Data!L395</f>
        <v>4143899880</v>
      </c>
      <c r="C396" s="44" t="str">
        <f>Data!D395</f>
        <v>Sanchez, Melissa</v>
      </c>
      <c r="D396" s="82" t="str">
        <f>Data!F395</f>
        <v>0406718008</v>
      </c>
      <c r="E396" s="82" t="str">
        <f>Data!B395</f>
        <v>8676</v>
      </c>
      <c r="F396" s="44" t="str">
        <f>Data!A395</f>
        <v>Sanchez, Melissa</v>
      </c>
      <c r="G396" s="55" t="str">
        <f>Data!C395</f>
        <v>6/7/2003</v>
      </c>
      <c r="H396" s="56">
        <f>Data!H395</f>
        <v>44545</v>
      </c>
      <c r="I396" s="56" t="str">
        <f>Data!I395</f>
        <v>12/22/2021</v>
      </c>
      <c r="J396" s="57">
        <f>Data!J395</f>
        <v>512.4</v>
      </c>
      <c r="K396" s="58">
        <f t="shared" ca="1" si="6"/>
        <v>148</v>
      </c>
      <c r="L396" s="58">
        <f>Data!M395</f>
        <v>0</v>
      </c>
      <c r="M396" s="37" t="s">
        <v>26</v>
      </c>
      <c r="N396" s="43" t="str">
        <f>VLOOKUP(M396,Table1[#All],3,FALSE)</f>
        <v>Note</v>
      </c>
      <c r="O396" s="40" t="str">
        <f>VLOOKUP(M396,Table1[#All],4,FALSE)</f>
        <v>Q1</v>
      </c>
      <c r="P396" s="39"/>
      <c r="Q396" s="40" t="str">
        <f>VLOOKUP(M396,Table1[#All],5,FALSE)</f>
        <v>Q2</v>
      </c>
      <c r="R396" s="79"/>
      <c r="S396" s="40" t="str">
        <f>VLOOKUP(M396,Table1[#All],6,FALSE)</f>
        <v>Q3</v>
      </c>
      <c r="T396" s="79"/>
      <c r="U396" s="40" t="str">
        <f>VLOOKUP(M396,Table1[#All],7,FALSE)</f>
        <v>Q4</v>
      </c>
      <c r="V396" s="79"/>
      <c r="W396" s="40" t="str">
        <f>VLOOKUP(M396,Table1[#All],8,FALSE)</f>
        <v>Q5</v>
      </c>
      <c r="X396" s="79"/>
      <c r="Y396" s="44" t="str">
        <f>VLOOKUP(M396,Table1[#All],2,FALSE)</f>
        <v>Action</v>
      </c>
      <c r="Z396" s="59" t="str">
        <f>VLOOKUP(M396,Table1[#All],9,FALSE)</f>
        <v>Additional Notes:</v>
      </c>
      <c r="AA396" s="76"/>
      <c r="AB396" s="76"/>
      <c r="AC396" s="90" t="s">
        <v>91</v>
      </c>
      <c r="AD396" s="76" t="s">
        <v>91</v>
      </c>
      <c r="AE396" s="77"/>
      <c r="AF396" s="77"/>
      <c r="AG396" s="41" t="s">
        <v>91</v>
      </c>
    </row>
    <row r="397" spans="1:33" ht="21" hidden="1" x14ac:dyDescent="0.55000000000000004">
      <c r="A397" s="44" t="str">
        <f>Data!K396</f>
        <v>DPOW-CCHP</v>
      </c>
      <c r="B397" s="44" t="str">
        <f>Data!L396</f>
        <v>4143899880</v>
      </c>
      <c r="C397" s="44" t="str">
        <f>Data!D396</f>
        <v>Galaviz Rueda, Thomas</v>
      </c>
      <c r="D397" s="82" t="str">
        <f>Data!F396</f>
        <v>5444831252</v>
      </c>
      <c r="E397" s="82" t="str">
        <f>Data!B396</f>
        <v>4388</v>
      </c>
      <c r="F397" s="44" t="str">
        <f>Data!A396</f>
        <v>Galaviz Rueda, Thomas</v>
      </c>
      <c r="G397" s="55" t="str">
        <f>Data!C396</f>
        <v>9/23/2013</v>
      </c>
      <c r="H397" s="56">
        <f>Data!H396</f>
        <v>44545</v>
      </c>
      <c r="I397" s="56" t="str">
        <f>Data!I396</f>
        <v>12/22/2021</v>
      </c>
      <c r="J397" s="57">
        <f>Data!J396</f>
        <v>88.8</v>
      </c>
      <c r="K397" s="58">
        <f t="shared" ca="1" si="6"/>
        <v>148</v>
      </c>
      <c r="L397" s="58">
        <f>Data!M396</f>
        <v>0</v>
      </c>
      <c r="M397" s="37" t="s">
        <v>26</v>
      </c>
      <c r="N397" s="43" t="str">
        <f>VLOOKUP(M397,Table1[#All],3,FALSE)</f>
        <v>Note</v>
      </c>
      <c r="O397" s="40" t="str">
        <f>VLOOKUP(M397,Table1[#All],4,FALSE)</f>
        <v>Q1</v>
      </c>
      <c r="P397" s="39"/>
      <c r="Q397" s="40" t="str">
        <f>VLOOKUP(M397,Table1[#All],5,FALSE)</f>
        <v>Q2</v>
      </c>
      <c r="R397" s="79"/>
      <c r="S397" s="40" t="str">
        <f>VLOOKUP(M397,Table1[#All],6,FALSE)</f>
        <v>Q3</v>
      </c>
      <c r="T397" s="79"/>
      <c r="U397" s="40" t="str">
        <f>VLOOKUP(M397,Table1[#All],7,FALSE)</f>
        <v>Q4</v>
      </c>
      <c r="V397" s="79"/>
      <c r="W397" s="40" t="str">
        <f>VLOOKUP(M397,Table1[#All],8,FALSE)</f>
        <v>Q5</v>
      </c>
      <c r="X397" s="79"/>
      <c r="Y397" s="44" t="str">
        <f>VLOOKUP(M397,Table1[#All],2,FALSE)</f>
        <v>Action</v>
      </c>
      <c r="Z397" s="59" t="str">
        <f>VLOOKUP(M397,Table1[#All],9,FALSE)</f>
        <v>Additional Notes:</v>
      </c>
      <c r="AA397" s="76"/>
      <c r="AB397" s="76"/>
      <c r="AC397" s="90" t="s">
        <v>91</v>
      </c>
      <c r="AD397" s="76" t="s">
        <v>91</v>
      </c>
      <c r="AE397" s="77"/>
      <c r="AF397" s="77"/>
      <c r="AG397" s="41" t="s">
        <v>91</v>
      </c>
    </row>
    <row r="398" spans="1:33" ht="21" hidden="1" x14ac:dyDescent="0.55000000000000004">
      <c r="A398" s="44" t="str">
        <f>Data!K397</f>
        <v>DPOW-CCHP</v>
      </c>
      <c r="B398" s="44" t="str">
        <f>Data!L397</f>
        <v>4143899880</v>
      </c>
      <c r="C398" s="44" t="str">
        <f>Data!D397</f>
        <v xml:space="preserve">Gonzalez , Arlene </v>
      </c>
      <c r="D398" s="82" t="str">
        <f>Data!F397</f>
        <v>0428968708</v>
      </c>
      <c r="E398" s="82" t="str">
        <f>Data!B397</f>
        <v>8404</v>
      </c>
      <c r="F398" s="44" t="str">
        <f>Data!A397</f>
        <v xml:space="preserve">Gonzalez , Arlene </v>
      </c>
      <c r="G398" s="55" t="str">
        <f>Data!C397</f>
        <v>3/22/1982</v>
      </c>
      <c r="H398" s="56">
        <f>Data!H397</f>
        <v>44546</v>
      </c>
      <c r="I398" s="56" t="str">
        <f>Data!I397</f>
        <v>2/22/2022</v>
      </c>
      <c r="J398" s="57">
        <f>Data!J397</f>
        <v>480</v>
      </c>
      <c r="K398" s="58">
        <f t="shared" ca="1" si="6"/>
        <v>86</v>
      </c>
      <c r="L398" s="58">
        <f>Data!M397</f>
        <v>0</v>
      </c>
      <c r="M398" s="37" t="s">
        <v>26</v>
      </c>
      <c r="N398" s="43" t="str">
        <f>VLOOKUP(M398,Table1[#All],3,FALSE)</f>
        <v>Note</v>
      </c>
      <c r="O398" s="40" t="str">
        <f>VLOOKUP(M398,Table1[#All],4,FALSE)</f>
        <v>Q1</v>
      </c>
      <c r="P398" s="39"/>
      <c r="Q398" s="40" t="str">
        <f>VLOOKUP(M398,Table1[#All],5,FALSE)</f>
        <v>Q2</v>
      </c>
      <c r="R398" s="79"/>
      <c r="S398" s="40" t="str">
        <f>VLOOKUP(M398,Table1[#All],6,FALSE)</f>
        <v>Q3</v>
      </c>
      <c r="T398" s="79"/>
      <c r="U398" s="40" t="str">
        <f>VLOOKUP(M398,Table1[#All],7,FALSE)</f>
        <v>Q4</v>
      </c>
      <c r="V398" s="79"/>
      <c r="W398" s="40" t="str">
        <f>VLOOKUP(M398,Table1[#All],8,FALSE)</f>
        <v>Q5</v>
      </c>
      <c r="X398" s="79"/>
      <c r="Y398" s="44" t="str">
        <f>VLOOKUP(M398,Table1[#All],2,FALSE)</f>
        <v>Action</v>
      </c>
      <c r="Z398" s="59" t="str">
        <f>VLOOKUP(M398,Table1[#All],9,FALSE)</f>
        <v>Additional Notes:</v>
      </c>
      <c r="AA398" s="76"/>
      <c r="AB398" s="76"/>
      <c r="AC398" s="90" t="s">
        <v>91</v>
      </c>
      <c r="AD398" s="76" t="s">
        <v>91</v>
      </c>
      <c r="AE398" s="77"/>
      <c r="AF398" s="77"/>
      <c r="AG398" s="41" t="s">
        <v>91</v>
      </c>
    </row>
    <row r="399" spans="1:33" ht="21" hidden="1" x14ac:dyDescent="0.55000000000000004">
      <c r="A399" s="44" t="str">
        <f>Data!K398</f>
        <v>DPOW-CCHP</v>
      </c>
      <c r="B399" s="44" t="str">
        <f>Data!L398</f>
        <v>4143899880</v>
      </c>
      <c r="C399" s="44" t="str">
        <f>Data!D398</f>
        <v>Sanchez , Jose</v>
      </c>
      <c r="D399" s="82" t="str">
        <f>Data!F398</f>
        <v>6422017863</v>
      </c>
      <c r="E399" s="82" t="str">
        <f>Data!B398</f>
        <v>8555</v>
      </c>
      <c r="F399" s="44" t="str">
        <f>Data!A398</f>
        <v>Sanchez , Jose</v>
      </c>
      <c r="G399" s="55" t="str">
        <f>Data!C398</f>
        <v>9/1/1996</v>
      </c>
      <c r="H399" s="56">
        <f>Data!H398</f>
        <v>44544</v>
      </c>
      <c r="I399" s="56" t="str">
        <f>Data!I398</f>
        <v>12/20/2021</v>
      </c>
      <c r="J399" s="57">
        <f>Data!J398</f>
        <v>748.8</v>
      </c>
      <c r="K399" s="58">
        <f t="shared" ca="1" si="6"/>
        <v>150</v>
      </c>
      <c r="L399" s="58">
        <f>Data!M398</f>
        <v>0</v>
      </c>
      <c r="M399" s="37" t="s">
        <v>26</v>
      </c>
      <c r="N399" s="43" t="str">
        <f>VLOOKUP(M399,Table1[#All],3,FALSE)</f>
        <v>Note</v>
      </c>
      <c r="O399" s="40" t="str">
        <f>VLOOKUP(M399,Table1[#All],4,FALSE)</f>
        <v>Q1</v>
      </c>
      <c r="P399" s="39"/>
      <c r="Q399" s="40" t="str">
        <f>VLOOKUP(M399,Table1[#All],5,FALSE)</f>
        <v>Q2</v>
      </c>
      <c r="R399" s="79"/>
      <c r="S399" s="40" t="str">
        <f>VLOOKUP(M399,Table1[#All],6,FALSE)</f>
        <v>Q3</v>
      </c>
      <c r="T399" s="79"/>
      <c r="U399" s="40" t="str">
        <f>VLOOKUP(M399,Table1[#All],7,FALSE)</f>
        <v>Q4</v>
      </c>
      <c r="V399" s="79"/>
      <c r="W399" s="40" t="str">
        <f>VLOOKUP(M399,Table1[#All],8,FALSE)</f>
        <v>Q5</v>
      </c>
      <c r="X399" s="79"/>
      <c r="Y399" s="44" t="str">
        <f>VLOOKUP(M399,Table1[#All],2,FALSE)</f>
        <v>Action</v>
      </c>
      <c r="Z399" s="59" t="str">
        <f>VLOOKUP(M399,Table1[#All],9,FALSE)</f>
        <v>Additional Notes:</v>
      </c>
      <c r="AA399" s="76"/>
      <c r="AB399" s="76"/>
      <c r="AC399" s="90" t="s">
        <v>91</v>
      </c>
      <c r="AD399" s="76" t="s">
        <v>91</v>
      </c>
      <c r="AE399" s="77"/>
      <c r="AF399" s="77"/>
      <c r="AG399" s="41" t="s">
        <v>91</v>
      </c>
    </row>
    <row r="400" spans="1:33" ht="21" hidden="1" x14ac:dyDescent="0.55000000000000004">
      <c r="A400" s="44" t="str">
        <f>Data!K399</f>
        <v>DPOW-CCHP</v>
      </c>
      <c r="B400" s="44" t="str">
        <f>Data!L399</f>
        <v>4143899880</v>
      </c>
      <c r="C400" s="44" t="str">
        <f>Data!D399</f>
        <v xml:space="preserve">Martinez Lopez , Daniel </v>
      </c>
      <c r="D400" s="82" t="str">
        <f>Data!F399</f>
        <v>5451663955</v>
      </c>
      <c r="E400" s="82" t="str">
        <f>Data!B399</f>
        <v>1199</v>
      </c>
      <c r="F400" s="44" t="str">
        <f>Data!A399</f>
        <v xml:space="preserve">Martinez Lopez , Daniel </v>
      </c>
      <c r="G400" s="55" t="str">
        <f>Data!C399</f>
        <v>5/14/2017</v>
      </c>
      <c r="H400" s="56">
        <f>Data!H399</f>
        <v>44544</v>
      </c>
      <c r="I400" s="56" t="str">
        <f>Data!I399</f>
        <v>12/20/2021</v>
      </c>
      <c r="J400" s="57">
        <f>Data!J399</f>
        <v>227.6</v>
      </c>
      <c r="K400" s="58">
        <f t="shared" ca="1" si="6"/>
        <v>150</v>
      </c>
      <c r="L400" s="58">
        <f>Data!M399</f>
        <v>0</v>
      </c>
      <c r="M400" s="37" t="s">
        <v>26</v>
      </c>
      <c r="N400" s="43" t="str">
        <f>VLOOKUP(M400,Table1[#All],3,FALSE)</f>
        <v>Note</v>
      </c>
      <c r="O400" s="40" t="str">
        <f>VLOOKUP(M400,Table1[#All],4,FALSE)</f>
        <v>Q1</v>
      </c>
      <c r="P400" s="39"/>
      <c r="Q400" s="40" t="str">
        <f>VLOOKUP(M400,Table1[#All],5,FALSE)</f>
        <v>Q2</v>
      </c>
      <c r="R400" s="79"/>
      <c r="S400" s="40" t="str">
        <f>VLOOKUP(M400,Table1[#All],6,FALSE)</f>
        <v>Q3</v>
      </c>
      <c r="T400" s="79"/>
      <c r="U400" s="40" t="str">
        <f>VLOOKUP(M400,Table1[#All],7,FALSE)</f>
        <v>Q4</v>
      </c>
      <c r="V400" s="79"/>
      <c r="W400" s="40" t="str">
        <f>VLOOKUP(M400,Table1[#All],8,FALSE)</f>
        <v>Q5</v>
      </c>
      <c r="X400" s="79"/>
      <c r="Y400" s="44" t="str">
        <f>VLOOKUP(M400,Table1[#All],2,FALSE)</f>
        <v>Action</v>
      </c>
      <c r="Z400" s="59" t="str">
        <f>VLOOKUP(M400,Table1[#All],9,FALSE)</f>
        <v>Additional Notes:</v>
      </c>
      <c r="AA400" s="76"/>
      <c r="AB400" s="76"/>
      <c r="AC400" s="90" t="s">
        <v>91</v>
      </c>
      <c r="AD400" s="76" t="s">
        <v>91</v>
      </c>
      <c r="AE400" s="77"/>
      <c r="AF400" s="77"/>
      <c r="AG400" s="41" t="s">
        <v>91</v>
      </c>
    </row>
    <row r="401" spans="1:33" ht="21" hidden="1" x14ac:dyDescent="0.55000000000000004">
      <c r="A401" s="44" t="str">
        <f>Data!K400</f>
        <v>DPOW-CCHP</v>
      </c>
      <c r="B401" s="44" t="str">
        <f>Data!L400</f>
        <v>4143899880</v>
      </c>
      <c r="C401" s="44" t="str">
        <f>Data!D400</f>
        <v>Ezhar Miah, Mohamad Yunus</v>
      </c>
      <c r="D401" s="82" t="str">
        <f>Data!F400</f>
        <v>5450296851</v>
      </c>
      <c r="E401" s="82" t="str">
        <f>Data!B400</f>
        <v>1771</v>
      </c>
      <c r="F401" s="44" t="str">
        <f>Data!A400</f>
        <v>Ezhar Miah, Mohamad Yunus</v>
      </c>
      <c r="G401" s="55" t="str">
        <f>Data!C400</f>
        <v>1/1/1972</v>
      </c>
      <c r="H401" s="56">
        <f>Data!H400</f>
        <v>44544</v>
      </c>
      <c r="I401" s="56" t="str">
        <f>Data!I400</f>
        <v>12/20/2021</v>
      </c>
      <c r="J401" s="57">
        <f>Data!J400</f>
        <v>266</v>
      </c>
      <c r="K401" s="58">
        <f t="shared" ca="1" si="6"/>
        <v>150</v>
      </c>
      <c r="L401" s="58">
        <f>Data!M400</f>
        <v>0</v>
      </c>
      <c r="M401" s="37" t="s">
        <v>26</v>
      </c>
      <c r="N401" s="43" t="str">
        <f>VLOOKUP(M401,Table1[#All],3,FALSE)</f>
        <v>Note</v>
      </c>
      <c r="O401" s="40" t="str">
        <f>VLOOKUP(M401,Table1[#All],4,FALSE)</f>
        <v>Q1</v>
      </c>
      <c r="P401" s="39"/>
      <c r="Q401" s="40" t="str">
        <f>VLOOKUP(M401,Table1[#All],5,FALSE)</f>
        <v>Q2</v>
      </c>
      <c r="R401" s="79"/>
      <c r="S401" s="40" t="str">
        <f>VLOOKUP(M401,Table1[#All],6,FALSE)</f>
        <v>Q3</v>
      </c>
      <c r="T401" s="79"/>
      <c r="U401" s="40" t="str">
        <f>VLOOKUP(M401,Table1[#All],7,FALSE)</f>
        <v>Q4</v>
      </c>
      <c r="V401" s="79"/>
      <c r="W401" s="40" t="str">
        <f>VLOOKUP(M401,Table1[#All],8,FALSE)</f>
        <v>Q5</v>
      </c>
      <c r="X401" s="79"/>
      <c r="Y401" s="44" t="str">
        <f>VLOOKUP(M401,Table1[#All],2,FALSE)</f>
        <v>Action</v>
      </c>
      <c r="Z401" s="59" t="str">
        <f>VLOOKUP(M401,Table1[#All],9,FALSE)</f>
        <v>Additional Notes:</v>
      </c>
      <c r="AA401" s="76"/>
      <c r="AB401" s="76"/>
      <c r="AC401" s="90" t="s">
        <v>91</v>
      </c>
      <c r="AD401" s="76" t="s">
        <v>91</v>
      </c>
      <c r="AE401" s="77"/>
      <c r="AF401" s="77"/>
      <c r="AG401" s="41" t="s">
        <v>91</v>
      </c>
    </row>
    <row r="402" spans="1:33" ht="21" hidden="1" x14ac:dyDescent="0.55000000000000004">
      <c r="A402" s="44" t="str">
        <f>Data!K401</f>
        <v>DPOW-CCHP</v>
      </c>
      <c r="B402" s="44" t="str">
        <f>Data!L401</f>
        <v>4143899880</v>
      </c>
      <c r="C402" s="44" t="str">
        <f>Data!D401</f>
        <v>Mahone, Avianna</v>
      </c>
      <c r="D402" s="82" t="str">
        <f>Data!F401</f>
        <v>1443298514</v>
      </c>
      <c r="E402" s="82" t="str">
        <f>Data!B401</f>
        <v>7705</v>
      </c>
      <c r="F402" s="44" t="str">
        <f>Data!A401</f>
        <v>Mahone, Avianna</v>
      </c>
      <c r="G402" s="55" t="str">
        <f>Data!C401</f>
        <v>12/6/2012</v>
      </c>
      <c r="H402" s="56">
        <f>Data!H401</f>
        <v>44541</v>
      </c>
      <c r="I402" s="56" t="str">
        <f>Data!I401</f>
        <v>12/20/2021</v>
      </c>
      <c r="J402" s="57">
        <f>Data!J401</f>
        <v>1033.5999999999999</v>
      </c>
      <c r="K402" s="58">
        <f t="shared" ca="1" si="6"/>
        <v>150</v>
      </c>
      <c r="L402" s="58">
        <f>Data!M401</f>
        <v>0</v>
      </c>
      <c r="M402" s="37" t="s">
        <v>26</v>
      </c>
      <c r="N402" s="43" t="str">
        <f>VLOOKUP(M402,Table1[#All],3,FALSE)</f>
        <v>Note</v>
      </c>
      <c r="O402" s="40" t="str">
        <f>VLOOKUP(M402,Table1[#All],4,FALSE)</f>
        <v>Q1</v>
      </c>
      <c r="P402" s="39"/>
      <c r="Q402" s="40" t="str">
        <f>VLOOKUP(M402,Table1[#All],5,FALSE)</f>
        <v>Q2</v>
      </c>
      <c r="R402" s="79"/>
      <c r="S402" s="40" t="str">
        <f>VLOOKUP(M402,Table1[#All],6,FALSE)</f>
        <v>Q3</v>
      </c>
      <c r="T402" s="79"/>
      <c r="U402" s="40" t="str">
        <f>VLOOKUP(M402,Table1[#All],7,FALSE)</f>
        <v>Q4</v>
      </c>
      <c r="V402" s="79"/>
      <c r="W402" s="40" t="str">
        <f>VLOOKUP(M402,Table1[#All],8,FALSE)</f>
        <v>Q5</v>
      </c>
      <c r="X402" s="79"/>
      <c r="Y402" s="44" t="str">
        <f>VLOOKUP(M402,Table1[#All],2,FALSE)</f>
        <v>Action</v>
      </c>
      <c r="Z402" s="59" t="str">
        <f>VLOOKUP(M402,Table1[#All],9,FALSE)</f>
        <v>Additional Notes:</v>
      </c>
      <c r="AA402" s="76"/>
      <c r="AB402" s="76"/>
      <c r="AC402" s="90" t="s">
        <v>91</v>
      </c>
      <c r="AD402" s="76" t="s">
        <v>91</v>
      </c>
      <c r="AE402" s="77"/>
      <c r="AF402" s="77"/>
      <c r="AG402" s="41" t="s">
        <v>91</v>
      </c>
    </row>
    <row r="403" spans="1:33" ht="21" hidden="1" x14ac:dyDescent="0.55000000000000004">
      <c r="A403" s="44" t="str">
        <f>Data!K402</f>
        <v>DPOW-CCHP</v>
      </c>
      <c r="B403" s="44" t="str">
        <f>Data!L402</f>
        <v>4143899880</v>
      </c>
      <c r="C403" s="44" t="str">
        <f>Data!D402</f>
        <v>Speckmann, Mikah</v>
      </c>
      <c r="D403" s="82" t="str">
        <f>Data!F402</f>
        <v>9448592493</v>
      </c>
      <c r="E403" s="82" t="str">
        <f>Data!B402</f>
        <v>8483</v>
      </c>
      <c r="F403" s="44" t="str">
        <f>Data!A402</f>
        <v>Speckmann, Mikah</v>
      </c>
      <c r="G403" s="55" t="str">
        <f>Data!C402</f>
        <v>8/29/2015</v>
      </c>
      <c r="H403" s="56">
        <f>Data!H402</f>
        <v>44540</v>
      </c>
      <c r="I403" s="56" t="str">
        <f>Data!I402</f>
        <v>12/20/2021</v>
      </c>
      <c r="J403" s="57">
        <f>Data!J402</f>
        <v>100</v>
      </c>
      <c r="K403" s="58">
        <f t="shared" ca="1" si="6"/>
        <v>150</v>
      </c>
      <c r="L403" s="58">
        <f>Data!M402</f>
        <v>0</v>
      </c>
      <c r="M403" s="37" t="s">
        <v>26</v>
      </c>
      <c r="N403" s="43" t="str">
        <f>VLOOKUP(M403,Table1[#All],3,FALSE)</f>
        <v>Note</v>
      </c>
      <c r="O403" s="40" t="str">
        <f>VLOOKUP(M403,Table1[#All],4,FALSE)</f>
        <v>Q1</v>
      </c>
      <c r="P403" s="39"/>
      <c r="Q403" s="40" t="str">
        <f>VLOOKUP(M403,Table1[#All],5,FALSE)</f>
        <v>Q2</v>
      </c>
      <c r="R403" s="79"/>
      <c r="S403" s="40" t="str">
        <f>VLOOKUP(M403,Table1[#All],6,FALSE)</f>
        <v>Q3</v>
      </c>
      <c r="T403" s="79"/>
      <c r="U403" s="40" t="str">
        <f>VLOOKUP(M403,Table1[#All],7,FALSE)</f>
        <v>Q4</v>
      </c>
      <c r="V403" s="79"/>
      <c r="W403" s="40" t="str">
        <f>VLOOKUP(M403,Table1[#All],8,FALSE)</f>
        <v>Q5</v>
      </c>
      <c r="X403" s="79"/>
      <c r="Y403" s="44" t="str">
        <f>VLOOKUP(M403,Table1[#All],2,FALSE)</f>
        <v>Action</v>
      </c>
      <c r="Z403" s="59" t="str">
        <f>VLOOKUP(M403,Table1[#All],9,FALSE)</f>
        <v>Additional Notes:</v>
      </c>
      <c r="AA403" s="76"/>
      <c r="AB403" s="76"/>
      <c r="AC403" s="90" t="s">
        <v>91</v>
      </c>
      <c r="AD403" s="76" t="s">
        <v>91</v>
      </c>
      <c r="AE403" s="77"/>
      <c r="AF403" s="77"/>
      <c r="AG403" s="41" t="s">
        <v>91</v>
      </c>
    </row>
    <row r="404" spans="1:33" ht="21" hidden="1" x14ac:dyDescent="0.55000000000000004">
      <c r="A404" s="44" t="str">
        <f>Data!K403</f>
        <v>DPOW-CCHP</v>
      </c>
      <c r="B404" s="44" t="str">
        <f>Data!L403</f>
        <v>4143899880</v>
      </c>
      <c r="C404" s="44" t="str">
        <f>Data!D403</f>
        <v>Peeples, Michele</v>
      </c>
      <c r="D404" s="82" t="str">
        <f>Data!F403</f>
        <v>0424122006</v>
      </c>
      <c r="E404" s="82" t="str">
        <f>Data!B403</f>
        <v>2825</v>
      </c>
      <c r="F404" s="44" t="str">
        <f>Data!A403</f>
        <v>Peeples, Michele</v>
      </c>
      <c r="G404" s="55" t="str">
        <f>Data!C403</f>
        <v>3/30/1970</v>
      </c>
      <c r="H404" s="56">
        <f>Data!H403</f>
        <v>44547</v>
      </c>
      <c r="I404" s="56" t="str">
        <f>Data!I403</f>
        <v>12/17/2021</v>
      </c>
      <c r="J404" s="57">
        <f>Data!J403</f>
        <v>1062</v>
      </c>
      <c r="K404" s="58">
        <f t="shared" ca="1" si="6"/>
        <v>153</v>
      </c>
      <c r="L404" s="58">
        <f>Data!M403</f>
        <v>0</v>
      </c>
      <c r="M404" s="37" t="s">
        <v>26</v>
      </c>
      <c r="N404" s="43" t="str">
        <f>VLOOKUP(M404,Table1[#All],3,FALSE)</f>
        <v>Note</v>
      </c>
      <c r="O404" s="40" t="str">
        <f>VLOOKUP(M404,Table1[#All],4,FALSE)</f>
        <v>Q1</v>
      </c>
      <c r="P404" s="39"/>
      <c r="Q404" s="40" t="str">
        <f>VLOOKUP(M404,Table1[#All],5,FALSE)</f>
        <v>Q2</v>
      </c>
      <c r="R404" s="79"/>
      <c r="S404" s="40" t="str">
        <f>VLOOKUP(M404,Table1[#All],6,FALSE)</f>
        <v>Q3</v>
      </c>
      <c r="T404" s="79"/>
      <c r="U404" s="40" t="str">
        <f>VLOOKUP(M404,Table1[#All],7,FALSE)</f>
        <v>Q4</v>
      </c>
      <c r="V404" s="79"/>
      <c r="W404" s="40" t="str">
        <f>VLOOKUP(M404,Table1[#All],8,FALSE)</f>
        <v>Q5</v>
      </c>
      <c r="X404" s="79"/>
      <c r="Y404" s="44" t="str">
        <f>VLOOKUP(M404,Table1[#All],2,FALSE)</f>
        <v>Action</v>
      </c>
      <c r="Z404" s="59" t="str">
        <f>VLOOKUP(M404,Table1[#All],9,FALSE)</f>
        <v>Additional Notes:</v>
      </c>
      <c r="AA404" s="76"/>
      <c r="AB404" s="76"/>
      <c r="AC404" s="90" t="s">
        <v>91</v>
      </c>
      <c r="AD404" s="76" t="s">
        <v>91</v>
      </c>
      <c r="AE404" s="77"/>
      <c r="AF404" s="77"/>
      <c r="AG404" s="41" t="s">
        <v>91</v>
      </c>
    </row>
    <row r="405" spans="1:33" ht="21" hidden="1" x14ac:dyDescent="0.55000000000000004">
      <c r="A405" s="44" t="str">
        <f>Data!K404</f>
        <v>DPOW-CCHP</v>
      </c>
      <c r="B405" s="44" t="str">
        <f>Data!L404</f>
        <v>4143899880</v>
      </c>
      <c r="C405" s="44" t="str">
        <f>Data!D404</f>
        <v>Fernandez , Krystal</v>
      </c>
      <c r="D405" s="82" t="str">
        <f>Data!F404</f>
        <v>1436874017</v>
      </c>
      <c r="E405" s="82" t="str">
        <f>Data!B404</f>
        <v>2653</v>
      </c>
      <c r="F405" s="44" t="str">
        <f>Data!A404</f>
        <v>Fernandez , Krystal</v>
      </c>
      <c r="G405" s="55" t="str">
        <f>Data!C404</f>
        <v>9/21/2009</v>
      </c>
      <c r="H405" s="56">
        <f>Data!H404</f>
        <v>44543</v>
      </c>
      <c r="I405" s="56" t="str">
        <f>Data!I404</f>
        <v>12/20/2021</v>
      </c>
      <c r="J405" s="57">
        <f>Data!J404</f>
        <v>252</v>
      </c>
      <c r="K405" s="58">
        <f t="shared" ca="1" si="6"/>
        <v>150</v>
      </c>
      <c r="L405" s="58">
        <f>Data!M404</f>
        <v>0</v>
      </c>
      <c r="M405" s="37" t="s">
        <v>26</v>
      </c>
      <c r="N405" s="43" t="str">
        <f>VLOOKUP(M405,Table1[#All],3,FALSE)</f>
        <v>Note</v>
      </c>
      <c r="O405" s="40" t="str">
        <f>VLOOKUP(M405,Table1[#All],4,FALSE)</f>
        <v>Q1</v>
      </c>
      <c r="P405" s="39"/>
      <c r="Q405" s="40" t="str">
        <f>VLOOKUP(M405,Table1[#All],5,FALSE)</f>
        <v>Q2</v>
      </c>
      <c r="R405" s="79"/>
      <c r="S405" s="40" t="str">
        <f>VLOOKUP(M405,Table1[#All],6,FALSE)</f>
        <v>Q3</v>
      </c>
      <c r="T405" s="79"/>
      <c r="U405" s="40" t="str">
        <f>VLOOKUP(M405,Table1[#All],7,FALSE)</f>
        <v>Q4</v>
      </c>
      <c r="V405" s="79"/>
      <c r="W405" s="40" t="str">
        <f>VLOOKUP(M405,Table1[#All],8,FALSE)</f>
        <v>Q5</v>
      </c>
      <c r="X405" s="79"/>
      <c r="Y405" s="44" t="str">
        <f>VLOOKUP(M405,Table1[#All],2,FALSE)</f>
        <v>Action</v>
      </c>
      <c r="Z405" s="59" t="str">
        <f>VLOOKUP(M405,Table1[#All],9,FALSE)</f>
        <v>Additional Notes:</v>
      </c>
      <c r="AA405" s="76"/>
      <c r="AB405" s="76"/>
      <c r="AC405" s="90" t="s">
        <v>91</v>
      </c>
      <c r="AD405" s="76" t="s">
        <v>91</v>
      </c>
      <c r="AE405" s="77"/>
      <c r="AF405" s="77"/>
      <c r="AG405" s="41" t="s">
        <v>91</v>
      </c>
    </row>
    <row r="406" spans="1:33" ht="21" hidden="1" x14ac:dyDescent="0.55000000000000004">
      <c r="A406" s="44" t="str">
        <f>Data!K405</f>
        <v>DPOW-CCHP</v>
      </c>
      <c r="B406" s="44" t="str">
        <f>Data!L405</f>
        <v>4143899880</v>
      </c>
      <c r="C406" s="44" t="str">
        <f>Data!D405</f>
        <v xml:space="preserve">Stinson, Jamya </v>
      </c>
      <c r="D406" s="82" t="str">
        <f>Data!F405</f>
        <v>2437019928</v>
      </c>
      <c r="E406" s="82" t="str">
        <f>Data!B405</f>
        <v>596</v>
      </c>
      <c r="F406" s="44" t="str">
        <f>Data!A405</f>
        <v xml:space="preserve">Stinson, Jamya </v>
      </c>
      <c r="G406" s="55" t="str">
        <f>Data!C405</f>
        <v>10/12/2009</v>
      </c>
      <c r="H406" s="56">
        <f>Data!H405</f>
        <v>44543</v>
      </c>
      <c r="I406" s="56" t="str">
        <f>Data!I405</f>
        <v>12/15/2021</v>
      </c>
      <c r="J406" s="57">
        <f>Data!J405</f>
        <v>532</v>
      </c>
      <c r="K406" s="58">
        <f t="shared" ca="1" si="6"/>
        <v>155</v>
      </c>
      <c r="L406" s="58">
        <f>Data!M405</f>
        <v>0</v>
      </c>
      <c r="M406" s="37" t="s">
        <v>26</v>
      </c>
      <c r="N406" s="43" t="str">
        <f>VLOOKUP(M406,Table1[#All],3,FALSE)</f>
        <v>Note</v>
      </c>
      <c r="O406" s="40" t="str">
        <f>VLOOKUP(M406,Table1[#All],4,FALSE)</f>
        <v>Q1</v>
      </c>
      <c r="P406" s="39"/>
      <c r="Q406" s="40" t="str">
        <f>VLOOKUP(M406,Table1[#All],5,FALSE)</f>
        <v>Q2</v>
      </c>
      <c r="R406" s="79"/>
      <c r="S406" s="40" t="str">
        <f>VLOOKUP(M406,Table1[#All],6,FALSE)</f>
        <v>Q3</v>
      </c>
      <c r="T406" s="79"/>
      <c r="U406" s="40" t="str">
        <f>VLOOKUP(M406,Table1[#All],7,FALSE)</f>
        <v>Q4</v>
      </c>
      <c r="V406" s="79"/>
      <c r="W406" s="40" t="str">
        <f>VLOOKUP(M406,Table1[#All],8,FALSE)</f>
        <v>Q5</v>
      </c>
      <c r="X406" s="79"/>
      <c r="Y406" s="44" t="str">
        <f>VLOOKUP(M406,Table1[#All],2,FALSE)</f>
        <v>Action</v>
      </c>
      <c r="Z406" s="59" t="str">
        <f>VLOOKUP(M406,Table1[#All],9,FALSE)</f>
        <v>Additional Notes:</v>
      </c>
      <c r="AA406" s="76"/>
      <c r="AB406" s="76"/>
      <c r="AC406" s="90" t="s">
        <v>91</v>
      </c>
      <c r="AD406" s="76" t="s">
        <v>91</v>
      </c>
      <c r="AE406" s="77"/>
      <c r="AF406" s="77"/>
      <c r="AG406" s="41" t="s">
        <v>91</v>
      </c>
    </row>
    <row r="407" spans="1:33" ht="21" hidden="1" x14ac:dyDescent="0.55000000000000004">
      <c r="A407" s="44" t="str">
        <f>Data!K406</f>
        <v>DPOW-CCHP</v>
      </c>
      <c r="B407" s="44" t="str">
        <f>Data!L406</f>
        <v>4143899880</v>
      </c>
      <c r="C407" s="44" t="str">
        <f>Data!D406</f>
        <v>Riemer , Josie</v>
      </c>
      <c r="D407" s="82" t="str">
        <f>Data!F406</f>
        <v>6412392661</v>
      </c>
      <c r="E407" s="82" t="str">
        <f>Data!B406</f>
        <v>6769</v>
      </c>
      <c r="F407" s="44" t="str">
        <f>Data!A406</f>
        <v>Riemer , Josie</v>
      </c>
      <c r="G407" s="55" t="str">
        <f>Data!C406</f>
        <v>9/14/1991</v>
      </c>
      <c r="H407" s="56">
        <f>Data!H406</f>
        <v>44543</v>
      </c>
      <c r="I407" s="56" t="str">
        <f>Data!I406</f>
        <v>12/15/2021</v>
      </c>
      <c r="J407" s="57">
        <f>Data!J406</f>
        <v>199.2</v>
      </c>
      <c r="K407" s="58">
        <f t="shared" ca="1" si="6"/>
        <v>155</v>
      </c>
      <c r="L407" s="58">
        <f>Data!M406</f>
        <v>0</v>
      </c>
      <c r="M407" s="37" t="s">
        <v>26</v>
      </c>
      <c r="N407" s="43" t="str">
        <f>VLOOKUP(M407,Table1[#All],3,FALSE)</f>
        <v>Note</v>
      </c>
      <c r="O407" s="40" t="str">
        <f>VLOOKUP(M407,Table1[#All],4,FALSE)</f>
        <v>Q1</v>
      </c>
      <c r="P407" s="39"/>
      <c r="Q407" s="40" t="str">
        <f>VLOOKUP(M407,Table1[#All],5,FALSE)</f>
        <v>Q2</v>
      </c>
      <c r="R407" s="79"/>
      <c r="S407" s="40" t="str">
        <f>VLOOKUP(M407,Table1[#All],6,FALSE)</f>
        <v>Q3</v>
      </c>
      <c r="T407" s="79"/>
      <c r="U407" s="40" t="str">
        <f>VLOOKUP(M407,Table1[#All],7,FALSE)</f>
        <v>Q4</v>
      </c>
      <c r="V407" s="79"/>
      <c r="W407" s="40" t="str">
        <f>VLOOKUP(M407,Table1[#All],8,FALSE)</f>
        <v>Q5</v>
      </c>
      <c r="X407" s="79"/>
      <c r="Y407" s="44" t="str">
        <f>VLOOKUP(M407,Table1[#All],2,FALSE)</f>
        <v>Action</v>
      </c>
      <c r="Z407" s="59" t="str">
        <f>VLOOKUP(M407,Table1[#All],9,FALSE)</f>
        <v>Additional Notes:</v>
      </c>
      <c r="AA407" s="76"/>
      <c r="AB407" s="76"/>
      <c r="AC407" s="90" t="s">
        <v>91</v>
      </c>
      <c r="AD407" s="76" t="s">
        <v>91</v>
      </c>
      <c r="AE407" s="77"/>
      <c r="AF407" s="77"/>
      <c r="AG407" s="41" t="s">
        <v>91</v>
      </c>
    </row>
    <row r="408" spans="1:33" ht="21" hidden="1" x14ac:dyDescent="0.55000000000000004">
      <c r="A408" s="44" t="str">
        <f>Data!K407</f>
        <v>DPOW-CCHP</v>
      </c>
      <c r="B408" s="44" t="str">
        <f>Data!L407</f>
        <v>4143899880</v>
      </c>
      <c r="C408" s="44" t="str">
        <f>Data!D407</f>
        <v xml:space="preserve">Emmanuel Hollow , Ishmael </v>
      </c>
      <c r="D408" s="82" t="str">
        <f>Data!F407</f>
        <v>8424118481</v>
      </c>
      <c r="E408" s="82" t="str">
        <f>Data!B407</f>
        <v>8480</v>
      </c>
      <c r="F408" s="44" t="str">
        <f>Data!A407</f>
        <v xml:space="preserve">Emmanuel Hollow , Ishmael </v>
      </c>
      <c r="G408" s="55" t="str">
        <f>Data!C407</f>
        <v>5/31/2005</v>
      </c>
      <c r="H408" s="56">
        <f>Data!H407</f>
        <v>44537</v>
      </c>
      <c r="I408" s="56" t="str">
        <f>Data!I407</f>
        <v>12/14/2021</v>
      </c>
      <c r="J408" s="57">
        <f>Data!J407</f>
        <v>202.8</v>
      </c>
      <c r="K408" s="58">
        <f t="shared" ca="1" si="6"/>
        <v>156</v>
      </c>
      <c r="L408" s="58">
        <f>Data!M407</f>
        <v>0</v>
      </c>
      <c r="M408" s="37" t="s">
        <v>26</v>
      </c>
      <c r="N408" s="43" t="str">
        <f>VLOOKUP(M408,Table1[#All],3,FALSE)</f>
        <v>Note</v>
      </c>
      <c r="O408" s="40" t="str">
        <f>VLOOKUP(M408,Table1[#All],4,FALSE)</f>
        <v>Q1</v>
      </c>
      <c r="P408" s="39"/>
      <c r="Q408" s="40" t="str">
        <f>VLOOKUP(M408,Table1[#All],5,FALSE)</f>
        <v>Q2</v>
      </c>
      <c r="R408" s="79"/>
      <c r="S408" s="40" t="str">
        <f>VLOOKUP(M408,Table1[#All],6,FALSE)</f>
        <v>Q3</v>
      </c>
      <c r="T408" s="79"/>
      <c r="U408" s="40" t="str">
        <f>VLOOKUP(M408,Table1[#All],7,FALSE)</f>
        <v>Q4</v>
      </c>
      <c r="V408" s="79"/>
      <c r="W408" s="40" t="str">
        <f>VLOOKUP(M408,Table1[#All],8,FALSE)</f>
        <v>Q5</v>
      </c>
      <c r="X408" s="79"/>
      <c r="Y408" s="44" t="str">
        <f>VLOOKUP(M408,Table1[#All],2,FALSE)</f>
        <v>Action</v>
      </c>
      <c r="Z408" s="59" t="str">
        <f>VLOOKUP(M408,Table1[#All],9,FALSE)</f>
        <v>Additional Notes:</v>
      </c>
      <c r="AA408" s="76"/>
      <c r="AB408" s="76"/>
      <c r="AC408" s="90" t="s">
        <v>91</v>
      </c>
      <c r="AD408" s="76" t="s">
        <v>91</v>
      </c>
      <c r="AE408" s="77"/>
      <c r="AF408" s="77"/>
      <c r="AG408" s="41" t="s">
        <v>91</v>
      </c>
    </row>
    <row r="409" spans="1:33" ht="21" hidden="1" x14ac:dyDescent="0.55000000000000004">
      <c r="A409" s="44" t="str">
        <f>Data!K408</f>
        <v>DPOW-CCHP</v>
      </c>
      <c r="B409" s="44" t="str">
        <f>Data!L408</f>
        <v>4143899880</v>
      </c>
      <c r="C409" s="44" t="str">
        <f>Data!D408</f>
        <v xml:space="preserve">Jackson, Superior </v>
      </c>
      <c r="D409" s="82" t="str">
        <f>Data!F408</f>
        <v>5445428656</v>
      </c>
      <c r="E409" s="82" t="str">
        <f>Data!B408</f>
        <v>8578</v>
      </c>
      <c r="F409" s="44" t="str">
        <f>Data!A408</f>
        <v xml:space="preserve">Jackson, Superior </v>
      </c>
      <c r="G409" s="55" t="str">
        <f>Data!C408</f>
        <v>1/25/2014</v>
      </c>
      <c r="H409" s="56">
        <f>Data!H408</f>
        <v>44537</v>
      </c>
      <c r="I409" s="56" t="str">
        <f>Data!I408</f>
        <v>12/14/2021</v>
      </c>
      <c r="J409" s="57">
        <f>Data!J408</f>
        <v>453.2</v>
      </c>
      <c r="K409" s="58">
        <f t="shared" ca="1" si="6"/>
        <v>156</v>
      </c>
      <c r="L409" s="58">
        <f>Data!M408</f>
        <v>0</v>
      </c>
      <c r="M409" s="37" t="s">
        <v>26</v>
      </c>
      <c r="N409" s="43" t="str">
        <f>VLOOKUP(M409,Table1[#All],3,FALSE)</f>
        <v>Note</v>
      </c>
      <c r="O409" s="40" t="str">
        <f>VLOOKUP(M409,Table1[#All],4,FALSE)</f>
        <v>Q1</v>
      </c>
      <c r="P409" s="39"/>
      <c r="Q409" s="40" t="str">
        <f>VLOOKUP(M409,Table1[#All],5,FALSE)</f>
        <v>Q2</v>
      </c>
      <c r="R409" s="79"/>
      <c r="S409" s="40" t="str">
        <f>VLOOKUP(M409,Table1[#All],6,FALSE)</f>
        <v>Q3</v>
      </c>
      <c r="T409" s="79"/>
      <c r="U409" s="40" t="str">
        <f>VLOOKUP(M409,Table1[#All],7,FALSE)</f>
        <v>Q4</v>
      </c>
      <c r="V409" s="79"/>
      <c r="W409" s="40" t="str">
        <f>VLOOKUP(M409,Table1[#All],8,FALSE)</f>
        <v>Q5</v>
      </c>
      <c r="X409" s="79"/>
      <c r="Y409" s="44" t="str">
        <f>VLOOKUP(M409,Table1[#All],2,FALSE)</f>
        <v>Action</v>
      </c>
      <c r="Z409" s="59" t="str">
        <f>VLOOKUP(M409,Table1[#All],9,FALSE)</f>
        <v>Additional Notes:</v>
      </c>
      <c r="AA409" s="76"/>
      <c r="AB409" s="76"/>
      <c r="AC409" s="90" t="s">
        <v>91</v>
      </c>
      <c r="AD409" s="76" t="s">
        <v>91</v>
      </c>
      <c r="AE409" s="77"/>
      <c r="AF409" s="77"/>
      <c r="AG409" s="41" t="s">
        <v>91</v>
      </c>
    </row>
    <row r="410" spans="1:33" ht="21" hidden="1" x14ac:dyDescent="0.55000000000000004">
      <c r="A410" s="44" t="str">
        <f>Data!K409</f>
        <v>DPOW-CCHP</v>
      </c>
      <c r="B410" s="44" t="str">
        <f>Data!L409</f>
        <v>4143899880</v>
      </c>
      <c r="C410" s="44" t="str">
        <f>Data!D409</f>
        <v xml:space="preserve">Nunez, Elvira </v>
      </c>
      <c r="D410" s="82" t="str">
        <f>Data!F409</f>
        <v>8409133482</v>
      </c>
      <c r="E410" s="82" t="str">
        <f>Data!B409</f>
        <v>4857</v>
      </c>
      <c r="F410" s="44" t="str">
        <f>Data!A409</f>
        <v xml:space="preserve">Nunez, Elvira </v>
      </c>
      <c r="G410" s="55" t="str">
        <f>Data!C409</f>
        <v>1/25/1977</v>
      </c>
      <c r="H410" s="56">
        <f>Data!H409</f>
        <v>44537</v>
      </c>
      <c r="I410" s="56" t="str">
        <f>Data!I409</f>
        <v>12/12/2021</v>
      </c>
      <c r="J410" s="57">
        <f>Data!J409</f>
        <v>266</v>
      </c>
      <c r="K410" s="58">
        <f t="shared" ca="1" si="6"/>
        <v>158</v>
      </c>
      <c r="L410" s="58">
        <f>Data!M409</f>
        <v>0</v>
      </c>
      <c r="M410" s="37" t="s">
        <v>26</v>
      </c>
      <c r="N410" s="43" t="str">
        <f>VLOOKUP(M410,Table1[#All],3,FALSE)</f>
        <v>Note</v>
      </c>
      <c r="O410" s="40" t="str">
        <f>VLOOKUP(M410,Table1[#All],4,FALSE)</f>
        <v>Q1</v>
      </c>
      <c r="P410" s="39"/>
      <c r="Q410" s="40" t="str">
        <f>VLOOKUP(M410,Table1[#All],5,FALSE)</f>
        <v>Q2</v>
      </c>
      <c r="R410" s="79"/>
      <c r="S410" s="40" t="str">
        <f>VLOOKUP(M410,Table1[#All],6,FALSE)</f>
        <v>Q3</v>
      </c>
      <c r="T410" s="79"/>
      <c r="U410" s="40" t="str">
        <f>VLOOKUP(M410,Table1[#All],7,FALSE)</f>
        <v>Q4</v>
      </c>
      <c r="V410" s="79"/>
      <c r="W410" s="40" t="str">
        <f>VLOOKUP(M410,Table1[#All],8,FALSE)</f>
        <v>Q5</v>
      </c>
      <c r="X410" s="79"/>
      <c r="Y410" s="44" t="str">
        <f>VLOOKUP(M410,Table1[#All],2,FALSE)</f>
        <v>Action</v>
      </c>
      <c r="Z410" s="59" t="str">
        <f>VLOOKUP(M410,Table1[#All],9,FALSE)</f>
        <v>Additional Notes:</v>
      </c>
      <c r="AA410" s="76"/>
      <c r="AB410" s="76"/>
      <c r="AC410" s="90" t="s">
        <v>91</v>
      </c>
      <c r="AD410" s="76" t="s">
        <v>91</v>
      </c>
      <c r="AE410" s="77"/>
      <c r="AF410" s="77"/>
      <c r="AG410" s="41" t="s">
        <v>91</v>
      </c>
    </row>
    <row r="411" spans="1:33" ht="21" hidden="1" x14ac:dyDescent="0.55000000000000004">
      <c r="A411" s="44" t="str">
        <f>Data!K410</f>
        <v>DPOW-CCHP</v>
      </c>
      <c r="B411" s="44" t="str">
        <f>Data!L410</f>
        <v>4143899880</v>
      </c>
      <c r="C411" s="44" t="str">
        <f>Data!D410</f>
        <v xml:space="preserve">Delgado , Genesis </v>
      </c>
      <c r="D411" s="82" t="str">
        <f>Data!F410</f>
        <v>3452609731</v>
      </c>
      <c r="E411" s="82" t="str">
        <f>Data!B410</f>
        <v>8564</v>
      </c>
      <c r="F411" s="44" t="str">
        <f>Data!A410</f>
        <v xml:space="preserve">Delgado , Genesis </v>
      </c>
      <c r="G411" s="55" t="str">
        <f>Data!C410</f>
        <v>11/17/2017</v>
      </c>
      <c r="H411" s="56">
        <f>Data!H410</f>
        <v>44537</v>
      </c>
      <c r="I411" s="56" t="str">
        <f>Data!I410</f>
        <v>12/12/2021</v>
      </c>
      <c r="J411" s="57">
        <f>Data!J410</f>
        <v>166.8</v>
      </c>
      <c r="K411" s="58">
        <f t="shared" ca="1" si="6"/>
        <v>158</v>
      </c>
      <c r="L411" s="58">
        <f>Data!M410</f>
        <v>0</v>
      </c>
      <c r="M411" s="37" t="s">
        <v>26</v>
      </c>
      <c r="N411" s="43" t="str">
        <f>VLOOKUP(M411,Table1[#All],3,FALSE)</f>
        <v>Note</v>
      </c>
      <c r="O411" s="40" t="str">
        <f>VLOOKUP(M411,Table1[#All],4,FALSE)</f>
        <v>Q1</v>
      </c>
      <c r="P411" s="39"/>
      <c r="Q411" s="40" t="str">
        <f>VLOOKUP(M411,Table1[#All],5,FALSE)</f>
        <v>Q2</v>
      </c>
      <c r="R411" s="79"/>
      <c r="S411" s="40" t="str">
        <f>VLOOKUP(M411,Table1[#All],6,FALSE)</f>
        <v>Q3</v>
      </c>
      <c r="T411" s="79"/>
      <c r="U411" s="40" t="str">
        <f>VLOOKUP(M411,Table1[#All],7,FALSE)</f>
        <v>Q4</v>
      </c>
      <c r="V411" s="79"/>
      <c r="W411" s="40" t="str">
        <f>VLOOKUP(M411,Table1[#All],8,FALSE)</f>
        <v>Q5</v>
      </c>
      <c r="X411" s="79"/>
      <c r="Y411" s="44" t="str">
        <f>VLOOKUP(M411,Table1[#All],2,FALSE)</f>
        <v>Action</v>
      </c>
      <c r="Z411" s="59" t="str">
        <f>VLOOKUP(M411,Table1[#All],9,FALSE)</f>
        <v>Additional Notes:</v>
      </c>
      <c r="AA411" s="76"/>
      <c r="AB411" s="76"/>
      <c r="AC411" s="90" t="s">
        <v>91</v>
      </c>
      <c r="AD411" s="76" t="s">
        <v>91</v>
      </c>
      <c r="AE411" s="77"/>
      <c r="AF411" s="77"/>
      <c r="AG411" s="41" t="s">
        <v>91</v>
      </c>
    </row>
    <row r="412" spans="1:33" ht="21" hidden="1" x14ac:dyDescent="0.55000000000000004">
      <c r="A412" s="44" t="str">
        <f>Data!K411</f>
        <v>DPOW-CCHP</v>
      </c>
      <c r="B412" s="44" t="str">
        <f>Data!L411</f>
        <v>4143899880</v>
      </c>
      <c r="C412" s="44" t="str">
        <f>Data!D411</f>
        <v>Nunez, Jose</v>
      </c>
      <c r="D412" s="82" t="str">
        <f>Data!F411</f>
        <v>3409136339</v>
      </c>
      <c r="E412" s="82" t="str">
        <f>Data!B411</f>
        <v>4841</v>
      </c>
      <c r="F412" s="44" t="str">
        <f>Data!A411</f>
        <v>Nunez, Jose</v>
      </c>
      <c r="G412" s="55" t="str">
        <f>Data!C411</f>
        <v>1/20/1971</v>
      </c>
      <c r="H412" s="56">
        <f>Data!H411</f>
        <v>44537</v>
      </c>
      <c r="I412" s="56" t="str">
        <f>Data!I411</f>
        <v>12/12/2021</v>
      </c>
      <c r="J412" s="57">
        <f>Data!J411</f>
        <v>185.6</v>
      </c>
      <c r="K412" s="58">
        <f t="shared" ca="1" si="6"/>
        <v>158</v>
      </c>
      <c r="L412" s="58">
        <f>Data!M411</f>
        <v>0</v>
      </c>
      <c r="M412" s="37" t="s">
        <v>26</v>
      </c>
      <c r="N412" s="43" t="str">
        <f>VLOOKUP(M412,Table1[#All],3,FALSE)</f>
        <v>Note</v>
      </c>
      <c r="O412" s="40" t="str">
        <f>VLOOKUP(M412,Table1[#All],4,FALSE)</f>
        <v>Q1</v>
      </c>
      <c r="P412" s="39"/>
      <c r="Q412" s="40" t="str">
        <f>VLOOKUP(M412,Table1[#All],5,FALSE)</f>
        <v>Q2</v>
      </c>
      <c r="R412" s="79"/>
      <c r="S412" s="40" t="str">
        <f>VLOOKUP(M412,Table1[#All],6,FALSE)</f>
        <v>Q3</v>
      </c>
      <c r="T412" s="79"/>
      <c r="U412" s="40" t="str">
        <f>VLOOKUP(M412,Table1[#All],7,FALSE)</f>
        <v>Q4</v>
      </c>
      <c r="V412" s="79"/>
      <c r="W412" s="40" t="str">
        <f>VLOOKUP(M412,Table1[#All],8,FALSE)</f>
        <v>Q5</v>
      </c>
      <c r="X412" s="79"/>
      <c r="Y412" s="44" t="str">
        <f>VLOOKUP(M412,Table1[#All],2,FALSE)</f>
        <v>Action</v>
      </c>
      <c r="Z412" s="59" t="str">
        <f>VLOOKUP(M412,Table1[#All],9,FALSE)</f>
        <v>Additional Notes:</v>
      </c>
      <c r="AA412" s="76"/>
      <c r="AB412" s="76"/>
      <c r="AC412" s="90" t="s">
        <v>91</v>
      </c>
      <c r="AD412" s="76" t="s">
        <v>91</v>
      </c>
      <c r="AE412" s="77"/>
      <c r="AF412" s="77"/>
      <c r="AG412" s="41" t="s">
        <v>91</v>
      </c>
    </row>
    <row r="413" spans="1:33" ht="21" hidden="1" x14ac:dyDescent="0.55000000000000004">
      <c r="A413" s="44" t="str">
        <f>Data!K412</f>
        <v>DPOW-CCHP</v>
      </c>
      <c r="B413" s="44" t="str">
        <f>Data!L412</f>
        <v>4143899880</v>
      </c>
      <c r="C413" s="44" t="str">
        <f>Data!D412</f>
        <v xml:space="preserve">Harris , Marcus </v>
      </c>
      <c r="D413" s="82" t="str">
        <f>Data!F412</f>
        <v>2409432620</v>
      </c>
      <c r="E413" s="82" t="str">
        <f>Data!B412</f>
        <v>8647</v>
      </c>
      <c r="F413" s="44" t="str">
        <f>Data!A412</f>
        <v xml:space="preserve">Harris , Marcus </v>
      </c>
      <c r="G413" s="55" t="str">
        <f>Data!C412</f>
        <v>12/25/1981</v>
      </c>
      <c r="H413" s="56">
        <f>Data!H412</f>
        <v>44537</v>
      </c>
      <c r="I413" s="56" t="str">
        <f>Data!I412</f>
        <v>12/12/2021</v>
      </c>
      <c r="J413" s="57">
        <f>Data!J412</f>
        <v>186</v>
      </c>
      <c r="K413" s="58">
        <f t="shared" ca="1" si="6"/>
        <v>158</v>
      </c>
      <c r="L413" s="58">
        <f>Data!M412</f>
        <v>0</v>
      </c>
      <c r="M413" s="37" t="s">
        <v>26</v>
      </c>
      <c r="N413" s="43" t="str">
        <f>VLOOKUP(M413,Table1[#All],3,FALSE)</f>
        <v>Note</v>
      </c>
      <c r="O413" s="40" t="str">
        <f>VLOOKUP(M413,Table1[#All],4,FALSE)</f>
        <v>Q1</v>
      </c>
      <c r="P413" s="39"/>
      <c r="Q413" s="40" t="str">
        <f>VLOOKUP(M413,Table1[#All],5,FALSE)</f>
        <v>Q2</v>
      </c>
      <c r="R413" s="79"/>
      <c r="S413" s="40" t="str">
        <f>VLOOKUP(M413,Table1[#All],6,FALSE)</f>
        <v>Q3</v>
      </c>
      <c r="T413" s="79"/>
      <c r="U413" s="40" t="str">
        <f>VLOOKUP(M413,Table1[#All],7,FALSE)</f>
        <v>Q4</v>
      </c>
      <c r="V413" s="79"/>
      <c r="W413" s="40" t="str">
        <f>VLOOKUP(M413,Table1[#All],8,FALSE)</f>
        <v>Q5</v>
      </c>
      <c r="X413" s="79"/>
      <c r="Y413" s="44" t="str">
        <f>VLOOKUP(M413,Table1[#All],2,FALSE)</f>
        <v>Action</v>
      </c>
      <c r="Z413" s="59" t="str">
        <f>VLOOKUP(M413,Table1[#All],9,FALSE)</f>
        <v>Additional Notes:</v>
      </c>
      <c r="AA413" s="76"/>
      <c r="AB413" s="76"/>
      <c r="AC413" s="90" t="s">
        <v>91</v>
      </c>
      <c r="AD413" s="76" t="s">
        <v>91</v>
      </c>
      <c r="AE413" s="77"/>
      <c r="AF413" s="77"/>
      <c r="AG413" s="41" t="s">
        <v>91</v>
      </c>
    </row>
    <row r="414" spans="1:33" ht="21" hidden="1" x14ac:dyDescent="0.55000000000000004">
      <c r="A414" s="44" t="str">
        <f>Data!K413</f>
        <v>DPOW-CCHP</v>
      </c>
      <c r="B414" s="44" t="str">
        <f>Data!L413</f>
        <v>4143899880</v>
      </c>
      <c r="C414" s="44" t="str">
        <f>Data!D413</f>
        <v>Ramirez Hernandez, Yaretzi</v>
      </c>
      <c r="D414" s="82" t="str">
        <f>Data!F413</f>
        <v>9441322695</v>
      </c>
      <c r="E414" s="82" t="str">
        <f>Data!B413</f>
        <v>8565</v>
      </c>
      <c r="F414" s="44" t="str">
        <f>Data!A413</f>
        <v>Ramirez Hernandez, Yaretzi</v>
      </c>
      <c r="G414" s="55" t="str">
        <f>Data!C413</f>
        <v>10/25/2011</v>
      </c>
      <c r="H414" s="56">
        <f>Data!H413</f>
        <v>44536</v>
      </c>
      <c r="I414" s="56" t="str">
        <f>Data!I413</f>
        <v>12/11/2021</v>
      </c>
      <c r="J414" s="57">
        <f>Data!J413</f>
        <v>61.2</v>
      </c>
      <c r="K414" s="58">
        <f t="shared" ca="1" si="6"/>
        <v>159</v>
      </c>
      <c r="L414" s="58">
        <f>Data!M413</f>
        <v>0</v>
      </c>
      <c r="M414" s="37" t="s">
        <v>26</v>
      </c>
      <c r="N414" s="43" t="str">
        <f>VLOOKUP(M414,Table1[#All],3,FALSE)</f>
        <v>Note</v>
      </c>
      <c r="O414" s="40" t="str">
        <f>VLOOKUP(M414,Table1[#All],4,FALSE)</f>
        <v>Q1</v>
      </c>
      <c r="P414" s="39"/>
      <c r="Q414" s="40" t="str">
        <f>VLOOKUP(M414,Table1[#All],5,FALSE)</f>
        <v>Q2</v>
      </c>
      <c r="R414" s="79"/>
      <c r="S414" s="40" t="str">
        <f>VLOOKUP(M414,Table1[#All],6,FALSE)</f>
        <v>Q3</v>
      </c>
      <c r="T414" s="79"/>
      <c r="U414" s="40" t="str">
        <f>VLOOKUP(M414,Table1[#All],7,FALSE)</f>
        <v>Q4</v>
      </c>
      <c r="V414" s="79"/>
      <c r="W414" s="40" t="str">
        <f>VLOOKUP(M414,Table1[#All],8,FALSE)</f>
        <v>Q5</v>
      </c>
      <c r="X414" s="79"/>
      <c r="Y414" s="44" t="str">
        <f>VLOOKUP(M414,Table1[#All],2,FALSE)</f>
        <v>Action</v>
      </c>
      <c r="Z414" s="59" t="str">
        <f>VLOOKUP(M414,Table1[#All],9,FALSE)</f>
        <v>Additional Notes:</v>
      </c>
      <c r="AA414" s="76"/>
      <c r="AB414" s="76"/>
      <c r="AC414" s="90" t="s">
        <v>91</v>
      </c>
      <c r="AD414" s="76" t="s">
        <v>91</v>
      </c>
      <c r="AE414" s="77"/>
      <c r="AF414" s="77"/>
      <c r="AG414" s="41" t="s">
        <v>91</v>
      </c>
    </row>
    <row r="415" spans="1:33" ht="21" hidden="1" x14ac:dyDescent="0.55000000000000004">
      <c r="A415" s="44" t="str">
        <f>Data!K414</f>
        <v>DPOW-CCHP</v>
      </c>
      <c r="B415" s="44" t="str">
        <f>Data!L414</f>
        <v>4143899880</v>
      </c>
      <c r="C415" s="44" t="str">
        <f>Data!D414</f>
        <v xml:space="preserve">Willis , Zyriah </v>
      </c>
      <c r="D415" s="82" t="str">
        <f>Data!F414</f>
        <v>2436756325</v>
      </c>
      <c r="E415" s="82" t="str">
        <f>Data!B414</f>
        <v>6266</v>
      </c>
      <c r="F415" s="44" t="str">
        <f>Data!A414</f>
        <v xml:space="preserve">Willis , Zyriah </v>
      </c>
      <c r="G415" s="55" t="str">
        <f>Data!C414</f>
        <v>8/30/2009</v>
      </c>
      <c r="H415" s="56">
        <f>Data!H414</f>
        <v>44536</v>
      </c>
      <c r="I415" s="56" t="str">
        <f>Data!I414</f>
        <v>12/11/2021</v>
      </c>
      <c r="J415" s="57">
        <f>Data!J414</f>
        <v>244.4</v>
      </c>
      <c r="K415" s="58">
        <f t="shared" ca="1" si="6"/>
        <v>159</v>
      </c>
      <c r="L415" s="58">
        <f>Data!M414</f>
        <v>0</v>
      </c>
      <c r="M415" s="37" t="s">
        <v>26</v>
      </c>
      <c r="N415" s="43" t="str">
        <f>VLOOKUP(M415,Table1[#All],3,FALSE)</f>
        <v>Note</v>
      </c>
      <c r="O415" s="40" t="str">
        <f>VLOOKUP(M415,Table1[#All],4,FALSE)</f>
        <v>Q1</v>
      </c>
      <c r="P415" s="39"/>
      <c r="Q415" s="40" t="str">
        <f>VLOOKUP(M415,Table1[#All],5,FALSE)</f>
        <v>Q2</v>
      </c>
      <c r="R415" s="79"/>
      <c r="S415" s="40" t="str">
        <f>VLOOKUP(M415,Table1[#All],6,FALSE)</f>
        <v>Q3</v>
      </c>
      <c r="T415" s="79"/>
      <c r="U415" s="40" t="str">
        <f>VLOOKUP(M415,Table1[#All],7,FALSE)</f>
        <v>Q4</v>
      </c>
      <c r="V415" s="79"/>
      <c r="W415" s="40" t="str">
        <f>VLOOKUP(M415,Table1[#All],8,FALSE)</f>
        <v>Q5</v>
      </c>
      <c r="X415" s="79"/>
      <c r="Y415" s="44" t="str">
        <f>VLOOKUP(M415,Table1[#All],2,FALSE)</f>
        <v>Action</v>
      </c>
      <c r="Z415" s="59" t="str">
        <f>VLOOKUP(M415,Table1[#All],9,FALSE)</f>
        <v>Additional Notes:</v>
      </c>
      <c r="AA415" s="76"/>
      <c r="AB415" s="76"/>
      <c r="AC415" s="90" t="s">
        <v>91</v>
      </c>
      <c r="AD415" s="76" t="s">
        <v>91</v>
      </c>
      <c r="AE415" s="77"/>
      <c r="AF415" s="77"/>
      <c r="AG415" s="41" t="s">
        <v>91</v>
      </c>
    </row>
    <row r="416" spans="1:33" ht="21" hidden="1" x14ac:dyDescent="0.55000000000000004">
      <c r="A416" s="44" t="str">
        <f>Data!K415</f>
        <v>DPOW-CCHP</v>
      </c>
      <c r="B416" s="44" t="str">
        <f>Data!L415</f>
        <v>4143899880</v>
      </c>
      <c r="C416" s="44" t="str">
        <f>Data!D415</f>
        <v xml:space="preserve">Fernandez , Briana </v>
      </c>
      <c r="D416" s="82" t="str">
        <f>Data!F415</f>
        <v>9446127297</v>
      </c>
      <c r="E416" s="82" t="str">
        <f>Data!B415</f>
        <v>2654</v>
      </c>
      <c r="F416" s="44" t="str">
        <f>Data!A415</f>
        <v xml:space="preserve">Fernandez , Briana </v>
      </c>
      <c r="G416" s="55" t="str">
        <f>Data!C415</f>
        <v>4/17/2014</v>
      </c>
      <c r="H416" s="56">
        <f>Data!H415</f>
        <v>44536</v>
      </c>
      <c r="I416" s="56" t="str">
        <f>Data!I415</f>
        <v>12/11/2021</v>
      </c>
      <c r="J416" s="57">
        <f>Data!J415</f>
        <v>430.4</v>
      </c>
      <c r="K416" s="58">
        <f t="shared" ca="1" si="6"/>
        <v>159</v>
      </c>
      <c r="L416" s="58">
        <f>Data!M415</f>
        <v>0</v>
      </c>
      <c r="M416" s="37" t="s">
        <v>26</v>
      </c>
      <c r="N416" s="43" t="str">
        <f>VLOOKUP(M416,Table1[#All],3,FALSE)</f>
        <v>Note</v>
      </c>
      <c r="O416" s="40" t="str">
        <f>VLOOKUP(M416,Table1[#All],4,FALSE)</f>
        <v>Q1</v>
      </c>
      <c r="P416" s="39"/>
      <c r="Q416" s="40" t="str">
        <f>VLOOKUP(M416,Table1[#All],5,FALSE)</f>
        <v>Q2</v>
      </c>
      <c r="R416" s="79"/>
      <c r="S416" s="40" t="str">
        <f>VLOOKUP(M416,Table1[#All],6,FALSE)</f>
        <v>Q3</v>
      </c>
      <c r="T416" s="79"/>
      <c r="U416" s="40" t="str">
        <f>VLOOKUP(M416,Table1[#All],7,FALSE)</f>
        <v>Q4</v>
      </c>
      <c r="V416" s="79"/>
      <c r="W416" s="40" t="str">
        <f>VLOOKUP(M416,Table1[#All],8,FALSE)</f>
        <v>Q5</v>
      </c>
      <c r="X416" s="79"/>
      <c r="Y416" s="44" t="str">
        <f>VLOOKUP(M416,Table1[#All],2,FALSE)</f>
        <v>Action</v>
      </c>
      <c r="Z416" s="59" t="str">
        <f>VLOOKUP(M416,Table1[#All],9,FALSE)</f>
        <v>Additional Notes:</v>
      </c>
      <c r="AA416" s="76"/>
      <c r="AB416" s="76"/>
      <c r="AC416" s="90" t="s">
        <v>91</v>
      </c>
      <c r="AD416" s="76" t="s">
        <v>91</v>
      </c>
      <c r="AE416" s="77"/>
      <c r="AF416" s="77"/>
      <c r="AG416" s="41" t="s">
        <v>91</v>
      </c>
    </row>
    <row r="417" spans="1:33" ht="21" hidden="1" x14ac:dyDescent="0.55000000000000004">
      <c r="A417" s="44" t="str">
        <f>Data!K416</f>
        <v>DPOW-CCHP</v>
      </c>
      <c r="B417" s="44" t="str">
        <f>Data!L416</f>
        <v>4143899880</v>
      </c>
      <c r="C417" s="44" t="str">
        <f>Data!D416</f>
        <v>Abdalla, Abdalla</v>
      </c>
      <c r="D417" s="82" t="str">
        <f>Data!F416</f>
        <v>5442341151</v>
      </c>
      <c r="E417" s="82" t="str">
        <f>Data!B416</f>
        <v>8493</v>
      </c>
      <c r="F417" s="44" t="str">
        <f>Data!A416</f>
        <v>Abdalla, Abdalla</v>
      </c>
      <c r="G417" s="55" t="str">
        <f>Data!C416</f>
        <v>6/14/2012</v>
      </c>
      <c r="H417" s="56">
        <f>Data!H416</f>
        <v>44536</v>
      </c>
      <c r="I417" s="56" t="str">
        <f>Data!I416</f>
        <v>12/11/2021</v>
      </c>
      <c r="J417" s="57">
        <f>Data!J416</f>
        <v>1202.8</v>
      </c>
      <c r="K417" s="58">
        <f t="shared" ca="1" si="6"/>
        <v>159</v>
      </c>
      <c r="L417" s="58">
        <f>Data!M416</f>
        <v>0</v>
      </c>
      <c r="M417" s="37" t="s">
        <v>26</v>
      </c>
      <c r="N417" s="43" t="str">
        <f>VLOOKUP(M417,Table1[#All],3,FALSE)</f>
        <v>Note</v>
      </c>
      <c r="O417" s="40" t="str">
        <f>VLOOKUP(M417,Table1[#All],4,FALSE)</f>
        <v>Q1</v>
      </c>
      <c r="P417" s="39"/>
      <c r="Q417" s="40" t="str">
        <f>VLOOKUP(M417,Table1[#All],5,FALSE)</f>
        <v>Q2</v>
      </c>
      <c r="R417" s="79"/>
      <c r="S417" s="40" t="str">
        <f>VLOOKUP(M417,Table1[#All],6,FALSE)</f>
        <v>Q3</v>
      </c>
      <c r="T417" s="79"/>
      <c r="U417" s="40" t="str">
        <f>VLOOKUP(M417,Table1[#All],7,FALSE)</f>
        <v>Q4</v>
      </c>
      <c r="V417" s="79"/>
      <c r="W417" s="40" t="str">
        <f>VLOOKUP(M417,Table1[#All],8,FALSE)</f>
        <v>Q5</v>
      </c>
      <c r="X417" s="79"/>
      <c r="Y417" s="44" t="str">
        <f>VLOOKUP(M417,Table1[#All],2,FALSE)</f>
        <v>Action</v>
      </c>
      <c r="Z417" s="59" t="str">
        <f>VLOOKUP(M417,Table1[#All],9,FALSE)</f>
        <v>Additional Notes:</v>
      </c>
      <c r="AA417" s="76"/>
      <c r="AB417" s="76"/>
      <c r="AC417" s="90" t="s">
        <v>91</v>
      </c>
      <c r="AD417" s="76" t="s">
        <v>91</v>
      </c>
      <c r="AE417" s="77"/>
      <c r="AF417" s="77"/>
      <c r="AG417" s="41" t="s">
        <v>91</v>
      </c>
    </row>
    <row r="418" spans="1:33" ht="21" hidden="1" x14ac:dyDescent="0.55000000000000004">
      <c r="A418" s="44" t="str">
        <f>Data!K417</f>
        <v>DPOW-CCHP</v>
      </c>
      <c r="B418" s="44" t="str">
        <f>Data!L417</f>
        <v>4143899880</v>
      </c>
      <c r="C418" s="44" t="str">
        <f>Data!D417</f>
        <v>Wilson, Garrett</v>
      </c>
      <c r="D418" s="82" t="str">
        <f>Data!F417</f>
        <v>7409725877</v>
      </c>
      <c r="E418" s="82" t="str">
        <f>Data!B417</f>
        <v>7842</v>
      </c>
      <c r="F418" s="44" t="str">
        <f>Data!A417</f>
        <v>Wilson, Garrett</v>
      </c>
      <c r="G418" s="55" t="str">
        <f>Data!C417</f>
        <v>12/30/1983</v>
      </c>
      <c r="H418" s="56">
        <f>Data!H417</f>
        <v>44533</v>
      </c>
      <c r="I418" s="56" t="str">
        <f>Data!I417</f>
        <v>12/11/2021</v>
      </c>
      <c r="J418" s="57">
        <f>Data!J417</f>
        <v>681.6</v>
      </c>
      <c r="K418" s="58">
        <f t="shared" ca="1" si="6"/>
        <v>159</v>
      </c>
      <c r="L418" s="58">
        <f>Data!M417</f>
        <v>0</v>
      </c>
      <c r="M418" s="37" t="s">
        <v>26</v>
      </c>
      <c r="N418" s="43" t="str">
        <f>VLOOKUP(M418,Table1[#All],3,FALSE)</f>
        <v>Note</v>
      </c>
      <c r="O418" s="40" t="str">
        <f>VLOOKUP(M418,Table1[#All],4,FALSE)</f>
        <v>Q1</v>
      </c>
      <c r="P418" s="39"/>
      <c r="Q418" s="40" t="str">
        <f>VLOOKUP(M418,Table1[#All],5,FALSE)</f>
        <v>Q2</v>
      </c>
      <c r="R418" s="79"/>
      <c r="S418" s="40" t="str">
        <f>VLOOKUP(M418,Table1[#All],6,FALSE)</f>
        <v>Q3</v>
      </c>
      <c r="T418" s="79"/>
      <c r="U418" s="40" t="str">
        <f>VLOOKUP(M418,Table1[#All],7,FALSE)</f>
        <v>Q4</v>
      </c>
      <c r="V418" s="79"/>
      <c r="W418" s="40" t="str">
        <f>VLOOKUP(M418,Table1[#All],8,FALSE)</f>
        <v>Q5</v>
      </c>
      <c r="X418" s="79"/>
      <c r="Y418" s="44" t="str">
        <f>VLOOKUP(M418,Table1[#All],2,FALSE)</f>
        <v>Action</v>
      </c>
      <c r="Z418" s="59" t="str">
        <f>VLOOKUP(M418,Table1[#All],9,FALSE)</f>
        <v>Additional Notes:</v>
      </c>
      <c r="AA418" s="76"/>
      <c r="AB418" s="76"/>
      <c r="AC418" s="90" t="s">
        <v>91</v>
      </c>
      <c r="AD418" s="76" t="s">
        <v>91</v>
      </c>
      <c r="AE418" s="77"/>
      <c r="AF418" s="77"/>
      <c r="AG418" s="41" t="s">
        <v>91</v>
      </c>
    </row>
    <row r="419" spans="1:33" ht="21" hidden="1" x14ac:dyDescent="0.55000000000000004">
      <c r="A419" s="44" t="str">
        <f>Data!K418</f>
        <v>DPOW-CCHP</v>
      </c>
      <c r="B419" s="44" t="str">
        <f>Data!L418</f>
        <v>4143899880</v>
      </c>
      <c r="C419" s="44" t="str">
        <f>Data!D418</f>
        <v>Gonzalez, Ayden</v>
      </c>
      <c r="D419" s="82" t="str">
        <f>Data!F418</f>
        <v>3446681931</v>
      </c>
      <c r="E419" s="82" t="str">
        <f>Data!B418</f>
        <v>752</v>
      </c>
      <c r="F419" s="44" t="str">
        <f>Data!A418</f>
        <v>Gonzalez, Ayden</v>
      </c>
      <c r="G419" s="55" t="str">
        <f>Data!C418</f>
        <v>8/9/2014</v>
      </c>
      <c r="H419" s="56">
        <f>Data!H418</f>
        <v>44503</v>
      </c>
      <c r="I419" s="56" t="str">
        <f>Data!I418</f>
        <v>12/11/2021</v>
      </c>
      <c r="J419" s="57">
        <f>Data!J418</f>
        <v>520</v>
      </c>
      <c r="K419" s="58">
        <f t="shared" ca="1" si="6"/>
        <v>159</v>
      </c>
      <c r="L419" s="58">
        <f>Data!M418</f>
        <v>0</v>
      </c>
      <c r="M419" s="37" t="s">
        <v>26</v>
      </c>
      <c r="N419" s="43" t="str">
        <f>VLOOKUP(M419,Table1[#All],3,FALSE)</f>
        <v>Note</v>
      </c>
      <c r="O419" s="40" t="str">
        <f>VLOOKUP(M419,Table1[#All],4,FALSE)</f>
        <v>Q1</v>
      </c>
      <c r="P419" s="39"/>
      <c r="Q419" s="40" t="str">
        <f>VLOOKUP(M419,Table1[#All],5,FALSE)</f>
        <v>Q2</v>
      </c>
      <c r="R419" s="79"/>
      <c r="S419" s="40" t="str">
        <f>VLOOKUP(M419,Table1[#All],6,FALSE)</f>
        <v>Q3</v>
      </c>
      <c r="T419" s="79"/>
      <c r="U419" s="40" t="str">
        <f>VLOOKUP(M419,Table1[#All],7,FALSE)</f>
        <v>Q4</v>
      </c>
      <c r="V419" s="79"/>
      <c r="W419" s="40" t="str">
        <f>VLOOKUP(M419,Table1[#All],8,FALSE)</f>
        <v>Q5</v>
      </c>
      <c r="X419" s="79"/>
      <c r="Y419" s="44" t="str">
        <f>VLOOKUP(M419,Table1[#All],2,FALSE)</f>
        <v>Action</v>
      </c>
      <c r="Z419" s="59" t="str">
        <f>VLOOKUP(M419,Table1[#All],9,FALSE)</f>
        <v>Additional Notes:</v>
      </c>
      <c r="AA419" s="76"/>
      <c r="AB419" s="76"/>
      <c r="AC419" s="90" t="s">
        <v>91</v>
      </c>
      <c r="AD419" s="76" t="s">
        <v>91</v>
      </c>
      <c r="AE419" s="77"/>
      <c r="AF419" s="77"/>
      <c r="AG419" s="41" t="s">
        <v>91</v>
      </c>
    </row>
    <row r="420" spans="1:33" ht="21" hidden="1" x14ac:dyDescent="0.55000000000000004">
      <c r="A420" s="44" t="str">
        <f>Data!K419</f>
        <v>DPOW-CCHP</v>
      </c>
      <c r="B420" s="44" t="str">
        <f>Data!L419</f>
        <v>4143899880</v>
      </c>
      <c r="C420" s="44" t="str">
        <f>Data!D419</f>
        <v>Gonzalez, Ayden</v>
      </c>
      <c r="D420" s="82" t="str">
        <f>Data!F419</f>
        <v>3446681931</v>
      </c>
      <c r="E420" s="82" t="str">
        <f>Data!B419</f>
        <v>752</v>
      </c>
      <c r="F420" s="44" t="str">
        <f>Data!A419</f>
        <v>Gonzalez, Ayden</v>
      </c>
      <c r="G420" s="55" t="str">
        <f>Data!C419</f>
        <v>8/9/2014</v>
      </c>
      <c r="H420" s="56">
        <f>Data!H419</f>
        <v>44540</v>
      </c>
      <c r="I420" s="56" t="str">
        <f>Data!I419</f>
        <v>12/11/2021</v>
      </c>
      <c r="J420" s="57">
        <f>Data!J419</f>
        <v>170.4</v>
      </c>
      <c r="K420" s="58">
        <f t="shared" ca="1" si="6"/>
        <v>159</v>
      </c>
      <c r="L420" s="58">
        <f>Data!M419</f>
        <v>0</v>
      </c>
      <c r="M420" s="37" t="s">
        <v>26</v>
      </c>
      <c r="N420" s="43" t="str">
        <f>VLOOKUP(M420,Table1[#All],3,FALSE)</f>
        <v>Note</v>
      </c>
      <c r="O420" s="40" t="str">
        <f>VLOOKUP(M420,Table1[#All],4,FALSE)</f>
        <v>Q1</v>
      </c>
      <c r="P420" s="39"/>
      <c r="Q420" s="40" t="str">
        <f>VLOOKUP(M420,Table1[#All],5,FALSE)</f>
        <v>Q2</v>
      </c>
      <c r="R420" s="79"/>
      <c r="S420" s="40" t="str">
        <f>VLOOKUP(M420,Table1[#All],6,FALSE)</f>
        <v>Q3</v>
      </c>
      <c r="T420" s="79"/>
      <c r="U420" s="40" t="str">
        <f>VLOOKUP(M420,Table1[#All],7,FALSE)</f>
        <v>Q4</v>
      </c>
      <c r="V420" s="79"/>
      <c r="W420" s="40" t="str">
        <f>VLOOKUP(M420,Table1[#All],8,FALSE)</f>
        <v>Q5</v>
      </c>
      <c r="X420" s="79"/>
      <c r="Y420" s="44" t="str">
        <f>VLOOKUP(M420,Table1[#All],2,FALSE)</f>
        <v>Action</v>
      </c>
      <c r="Z420" s="59" t="str">
        <f>VLOOKUP(M420,Table1[#All],9,FALSE)</f>
        <v>Additional Notes:</v>
      </c>
      <c r="AA420" s="76"/>
      <c r="AB420" s="76"/>
      <c r="AC420" s="90" t="s">
        <v>91</v>
      </c>
      <c r="AD420" s="76" t="s">
        <v>91</v>
      </c>
      <c r="AE420" s="77"/>
      <c r="AF420" s="77"/>
      <c r="AG420" s="41" t="s">
        <v>91</v>
      </c>
    </row>
    <row r="421" spans="1:33" ht="21" hidden="1" x14ac:dyDescent="0.55000000000000004">
      <c r="A421" s="44" t="str">
        <f>Data!K420</f>
        <v>DPOW-CCHP</v>
      </c>
      <c r="B421" s="44" t="str">
        <f>Data!L420</f>
        <v>4143899880</v>
      </c>
      <c r="C421" s="44" t="str">
        <f>Data!D420</f>
        <v xml:space="preserve">Rein Madden , Josie </v>
      </c>
      <c r="D421" s="82" t="str">
        <f>Data!F420</f>
        <v>0452224705</v>
      </c>
      <c r="E421" s="82" t="str">
        <f>Data!B420</f>
        <v>7081</v>
      </c>
      <c r="F421" s="44" t="str">
        <f>Data!A420</f>
        <v xml:space="preserve">Rein Madden , Josie </v>
      </c>
      <c r="G421" s="55" t="str">
        <f>Data!C420</f>
        <v>10/16/2017</v>
      </c>
      <c r="H421" s="56">
        <f>Data!H420</f>
        <v>44536</v>
      </c>
      <c r="I421" s="56" t="str">
        <f>Data!I420</f>
        <v>12/9/2021</v>
      </c>
      <c r="J421" s="57">
        <f>Data!J420</f>
        <v>138</v>
      </c>
      <c r="K421" s="58">
        <f t="shared" ca="1" si="6"/>
        <v>161</v>
      </c>
      <c r="L421" s="58">
        <f>Data!M420</f>
        <v>0</v>
      </c>
      <c r="M421" s="37" t="s">
        <v>26</v>
      </c>
      <c r="N421" s="43" t="str">
        <f>VLOOKUP(M421,Table1[#All],3,FALSE)</f>
        <v>Note</v>
      </c>
      <c r="O421" s="40" t="str">
        <f>VLOOKUP(M421,Table1[#All],4,FALSE)</f>
        <v>Q1</v>
      </c>
      <c r="P421" s="39"/>
      <c r="Q421" s="40" t="str">
        <f>VLOOKUP(M421,Table1[#All],5,FALSE)</f>
        <v>Q2</v>
      </c>
      <c r="R421" s="79"/>
      <c r="S421" s="40" t="str">
        <f>VLOOKUP(M421,Table1[#All],6,FALSE)</f>
        <v>Q3</v>
      </c>
      <c r="T421" s="79"/>
      <c r="U421" s="40" t="str">
        <f>VLOOKUP(M421,Table1[#All],7,FALSE)</f>
        <v>Q4</v>
      </c>
      <c r="V421" s="79"/>
      <c r="W421" s="40" t="str">
        <f>VLOOKUP(M421,Table1[#All],8,FALSE)</f>
        <v>Q5</v>
      </c>
      <c r="X421" s="79"/>
      <c r="Y421" s="44" t="str">
        <f>VLOOKUP(M421,Table1[#All],2,FALSE)</f>
        <v>Action</v>
      </c>
      <c r="Z421" s="59" t="str">
        <f>VLOOKUP(M421,Table1[#All],9,FALSE)</f>
        <v>Additional Notes:</v>
      </c>
      <c r="AA421" s="76"/>
      <c r="AB421" s="76"/>
      <c r="AC421" s="90" t="s">
        <v>91</v>
      </c>
      <c r="AD421" s="76" t="s">
        <v>91</v>
      </c>
      <c r="AE421" s="77"/>
      <c r="AF421" s="77"/>
      <c r="AG421" s="41" t="s">
        <v>91</v>
      </c>
    </row>
    <row r="422" spans="1:33" ht="21" hidden="1" x14ac:dyDescent="0.55000000000000004">
      <c r="A422" s="44" t="str">
        <f>Data!K421</f>
        <v>DPOW-CCHP</v>
      </c>
      <c r="B422" s="44" t="str">
        <f>Data!L421</f>
        <v>4143899880</v>
      </c>
      <c r="C422" s="44" t="str">
        <f>Data!D421</f>
        <v>Barron Cabriale , Laura</v>
      </c>
      <c r="D422" s="82" t="str">
        <f>Data!F421</f>
        <v>5424598757</v>
      </c>
      <c r="E422" s="82" t="str">
        <f>Data!B421</f>
        <v>8560</v>
      </c>
      <c r="F422" s="44" t="str">
        <f>Data!A421</f>
        <v>Barron Cabriale , Laura</v>
      </c>
      <c r="G422" s="55" t="str">
        <f>Data!C421</f>
        <v>5/1/1971</v>
      </c>
      <c r="H422" s="56">
        <f>Data!H421</f>
        <v>44537</v>
      </c>
      <c r="I422" s="56" t="str">
        <f>Data!I421</f>
        <v>12/9/2021</v>
      </c>
      <c r="J422" s="57">
        <f>Data!J421</f>
        <v>258.8</v>
      </c>
      <c r="K422" s="58">
        <f t="shared" ca="1" si="6"/>
        <v>161</v>
      </c>
      <c r="L422" s="58">
        <f>Data!M421</f>
        <v>0</v>
      </c>
      <c r="M422" s="37" t="s">
        <v>26</v>
      </c>
      <c r="N422" s="43" t="str">
        <f>VLOOKUP(M422,Table1[#All],3,FALSE)</f>
        <v>Note</v>
      </c>
      <c r="O422" s="40" t="str">
        <f>VLOOKUP(M422,Table1[#All],4,FALSE)</f>
        <v>Q1</v>
      </c>
      <c r="P422" s="39"/>
      <c r="Q422" s="40" t="str">
        <f>VLOOKUP(M422,Table1[#All],5,FALSE)</f>
        <v>Q2</v>
      </c>
      <c r="R422" s="79"/>
      <c r="S422" s="40" t="str">
        <f>VLOOKUP(M422,Table1[#All],6,FALSE)</f>
        <v>Q3</v>
      </c>
      <c r="T422" s="79"/>
      <c r="U422" s="40" t="str">
        <f>VLOOKUP(M422,Table1[#All],7,FALSE)</f>
        <v>Q4</v>
      </c>
      <c r="V422" s="79"/>
      <c r="W422" s="40" t="str">
        <f>VLOOKUP(M422,Table1[#All],8,FALSE)</f>
        <v>Q5</v>
      </c>
      <c r="X422" s="79"/>
      <c r="Y422" s="44" t="str">
        <f>VLOOKUP(M422,Table1[#All],2,FALSE)</f>
        <v>Action</v>
      </c>
      <c r="Z422" s="59" t="str">
        <f>VLOOKUP(M422,Table1[#All],9,FALSE)</f>
        <v>Additional Notes:</v>
      </c>
      <c r="AA422" s="76"/>
      <c r="AB422" s="76"/>
      <c r="AC422" s="90" t="s">
        <v>91</v>
      </c>
      <c r="AD422" s="76" t="s">
        <v>91</v>
      </c>
      <c r="AE422" s="77"/>
      <c r="AF422" s="77"/>
      <c r="AG422" s="41" t="s">
        <v>91</v>
      </c>
    </row>
    <row r="423" spans="1:33" ht="21" hidden="1" x14ac:dyDescent="0.55000000000000004">
      <c r="A423" s="44" t="str">
        <f>Data!K422</f>
        <v>DPOW-CCHP</v>
      </c>
      <c r="B423" s="44" t="str">
        <f>Data!L422</f>
        <v>4143899880</v>
      </c>
      <c r="C423" s="44" t="str">
        <f>Data!D422</f>
        <v xml:space="preserve">Santos , Jessica </v>
      </c>
      <c r="D423" s="82" t="str">
        <f>Data!F422</f>
        <v>4410225146</v>
      </c>
      <c r="E423" s="82" t="str">
        <f>Data!B422</f>
        <v>8561</v>
      </c>
      <c r="F423" s="44" t="str">
        <f>Data!A422</f>
        <v xml:space="preserve">Santos , Jessica </v>
      </c>
      <c r="G423" s="55" t="str">
        <f>Data!C422</f>
        <v>8/26/1995</v>
      </c>
      <c r="H423" s="56">
        <f>Data!H422</f>
        <v>44537</v>
      </c>
      <c r="I423" s="56" t="str">
        <f>Data!I422</f>
        <v>12/9/2021</v>
      </c>
      <c r="J423" s="57">
        <f>Data!J422</f>
        <v>88.8</v>
      </c>
      <c r="K423" s="58">
        <f t="shared" ca="1" si="6"/>
        <v>161</v>
      </c>
      <c r="L423" s="58">
        <f>Data!M422</f>
        <v>0</v>
      </c>
      <c r="M423" s="37" t="s">
        <v>26</v>
      </c>
      <c r="N423" s="43" t="str">
        <f>VLOOKUP(M423,Table1[#All],3,FALSE)</f>
        <v>Note</v>
      </c>
      <c r="O423" s="40" t="str">
        <f>VLOOKUP(M423,Table1[#All],4,FALSE)</f>
        <v>Q1</v>
      </c>
      <c r="P423" s="39"/>
      <c r="Q423" s="40" t="str">
        <f>VLOOKUP(M423,Table1[#All],5,FALSE)</f>
        <v>Q2</v>
      </c>
      <c r="R423" s="79"/>
      <c r="S423" s="40" t="str">
        <f>VLOOKUP(M423,Table1[#All],6,FALSE)</f>
        <v>Q3</v>
      </c>
      <c r="T423" s="79"/>
      <c r="U423" s="40" t="str">
        <f>VLOOKUP(M423,Table1[#All],7,FALSE)</f>
        <v>Q4</v>
      </c>
      <c r="V423" s="79"/>
      <c r="W423" s="40" t="str">
        <f>VLOOKUP(M423,Table1[#All],8,FALSE)</f>
        <v>Q5</v>
      </c>
      <c r="X423" s="79"/>
      <c r="Y423" s="44" t="str">
        <f>VLOOKUP(M423,Table1[#All],2,FALSE)</f>
        <v>Action</v>
      </c>
      <c r="Z423" s="59" t="str">
        <f>VLOOKUP(M423,Table1[#All],9,FALSE)</f>
        <v>Additional Notes:</v>
      </c>
      <c r="AA423" s="76"/>
      <c r="AB423" s="76"/>
      <c r="AC423" s="90" t="s">
        <v>91</v>
      </c>
      <c r="AD423" s="76" t="s">
        <v>91</v>
      </c>
      <c r="AE423" s="77"/>
      <c r="AF423" s="77"/>
      <c r="AG423" s="41" t="s">
        <v>91</v>
      </c>
    </row>
    <row r="424" spans="1:33" ht="21" hidden="1" x14ac:dyDescent="0.55000000000000004">
      <c r="A424" s="44" t="str">
        <f>Data!K423</f>
        <v>DPOW-CCHP</v>
      </c>
      <c r="B424" s="44" t="str">
        <f>Data!L423</f>
        <v>4143899880</v>
      </c>
      <c r="C424" s="44" t="str">
        <f>Data!D423</f>
        <v>Sanchez , Jose</v>
      </c>
      <c r="D424" s="82" t="str">
        <f>Data!F423</f>
        <v>6422017863</v>
      </c>
      <c r="E424" s="82" t="str">
        <f>Data!B423</f>
        <v>8555</v>
      </c>
      <c r="F424" s="44" t="str">
        <f>Data!A423</f>
        <v>Sanchez , Jose</v>
      </c>
      <c r="G424" s="55" t="str">
        <f>Data!C423</f>
        <v>9/1/1996</v>
      </c>
      <c r="H424" s="56">
        <f>Data!H423</f>
        <v>44537</v>
      </c>
      <c r="I424" s="56" t="str">
        <f>Data!I423</f>
        <v>12/9/2021</v>
      </c>
      <c r="J424" s="57">
        <f>Data!J423</f>
        <v>294.8</v>
      </c>
      <c r="K424" s="58">
        <f t="shared" ca="1" si="6"/>
        <v>161</v>
      </c>
      <c r="L424" s="58">
        <f>Data!M423</f>
        <v>0</v>
      </c>
      <c r="M424" s="37" t="s">
        <v>26</v>
      </c>
      <c r="N424" s="43" t="str">
        <f>VLOOKUP(M424,Table1[#All],3,FALSE)</f>
        <v>Note</v>
      </c>
      <c r="O424" s="40" t="str">
        <f>VLOOKUP(M424,Table1[#All],4,FALSE)</f>
        <v>Q1</v>
      </c>
      <c r="P424" s="39"/>
      <c r="Q424" s="40" t="str">
        <f>VLOOKUP(M424,Table1[#All],5,FALSE)</f>
        <v>Q2</v>
      </c>
      <c r="R424" s="79"/>
      <c r="S424" s="40" t="str">
        <f>VLOOKUP(M424,Table1[#All],6,FALSE)</f>
        <v>Q3</v>
      </c>
      <c r="T424" s="79"/>
      <c r="U424" s="40" t="str">
        <f>VLOOKUP(M424,Table1[#All],7,FALSE)</f>
        <v>Q4</v>
      </c>
      <c r="V424" s="79"/>
      <c r="W424" s="40" t="str">
        <f>VLOOKUP(M424,Table1[#All],8,FALSE)</f>
        <v>Q5</v>
      </c>
      <c r="X424" s="79"/>
      <c r="Y424" s="44" t="str">
        <f>VLOOKUP(M424,Table1[#All],2,FALSE)</f>
        <v>Action</v>
      </c>
      <c r="Z424" s="59" t="str">
        <f>VLOOKUP(M424,Table1[#All],9,FALSE)</f>
        <v>Additional Notes:</v>
      </c>
      <c r="AA424" s="76"/>
      <c r="AB424" s="76"/>
      <c r="AC424" s="90" t="s">
        <v>91</v>
      </c>
      <c r="AD424" s="76" t="s">
        <v>91</v>
      </c>
      <c r="AE424" s="77"/>
      <c r="AF424" s="77"/>
      <c r="AG424" s="41" t="s">
        <v>91</v>
      </c>
    </row>
    <row r="425" spans="1:33" ht="21" hidden="1" x14ac:dyDescent="0.55000000000000004">
      <c r="A425" s="44" t="str">
        <f>Data!K424</f>
        <v>DPOW-CCHP</v>
      </c>
      <c r="B425" s="44" t="str">
        <f>Data!L424</f>
        <v>4143899880</v>
      </c>
      <c r="C425" s="44" t="str">
        <f>Data!D424</f>
        <v xml:space="preserve">Lentini, Kolten </v>
      </c>
      <c r="D425" s="82" t="str">
        <f>Data!F424</f>
        <v>6440274767</v>
      </c>
      <c r="E425" s="82" t="str">
        <f>Data!B424</f>
        <v>7135</v>
      </c>
      <c r="F425" s="44" t="str">
        <f>Data!A424</f>
        <v xml:space="preserve">Lentini, Kolten </v>
      </c>
      <c r="G425" s="55" t="str">
        <f>Data!C424</f>
        <v>4/2/2011</v>
      </c>
      <c r="H425" s="56">
        <f>Data!H424</f>
        <v>44537</v>
      </c>
      <c r="I425" s="56" t="str">
        <f>Data!I424</f>
        <v>12/9/2021</v>
      </c>
      <c r="J425" s="57">
        <f>Data!J424</f>
        <v>718</v>
      </c>
      <c r="K425" s="58">
        <f t="shared" ca="1" si="6"/>
        <v>161</v>
      </c>
      <c r="L425" s="58">
        <f>Data!M424</f>
        <v>0</v>
      </c>
      <c r="M425" s="37" t="s">
        <v>26</v>
      </c>
      <c r="N425" s="43" t="str">
        <f>VLOOKUP(M425,Table1[#All],3,FALSE)</f>
        <v>Note</v>
      </c>
      <c r="O425" s="40" t="str">
        <f>VLOOKUP(M425,Table1[#All],4,FALSE)</f>
        <v>Q1</v>
      </c>
      <c r="P425" s="39"/>
      <c r="Q425" s="40" t="str">
        <f>VLOOKUP(M425,Table1[#All],5,FALSE)</f>
        <v>Q2</v>
      </c>
      <c r="R425" s="79"/>
      <c r="S425" s="40" t="str">
        <f>VLOOKUP(M425,Table1[#All],6,FALSE)</f>
        <v>Q3</v>
      </c>
      <c r="T425" s="79"/>
      <c r="U425" s="40" t="str">
        <f>VLOOKUP(M425,Table1[#All],7,FALSE)</f>
        <v>Q4</v>
      </c>
      <c r="V425" s="79"/>
      <c r="W425" s="40" t="str">
        <f>VLOOKUP(M425,Table1[#All],8,FALSE)</f>
        <v>Q5</v>
      </c>
      <c r="X425" s="79"/>
      <c r="Y425" s="44" t="str">
        <f>VLOOKUP(M425,Table1[#All],2,FALSE)</f>
        <v>Action</v>
      </c>
      <c r="Z425" s="59" t="str">
        <f>VLOOKUP(M425,Table1[#All],9,FALSE)</f>
        <v>Additional Notes:</v>
      </c>
      <c r="AA425" s="76"/>
      <c r="AB425" s="76"/>
      <c r="AC425" s="90" t="s">
        <v>91</v>
      </c>
      <c r="AD425" s="76" t="s">
        <v>91</v>
      </c>
      <c r="AE425" s="77"/>
      <c r="AF425" s="77"/>
      <c r="AG425" s="41" t="s">
        <v>91</v>
      </c>
    </row>
    <row r="426" spans="1:33" ht="21" hidden="1" x14ac:dyDescent="0.55000000000000004">
      <c r="A426" s="44" t="str">
        <f>Data!K425</f>
        <v>DPOW-CCHP</v>
      </c>
      <c r="B426" s="44" t="str">
        <f>Data!L425</f>
        <v>4143899880</v>
      </c>
      <c r="C426" s="44" t="str">
        <f>Data!D425</f>
        <v xml:space="preserve">LENTINI, SONJA </v>
      </c>
      <c r="D426" s="82" t="str">
        <f>Data!F425</f>
        <v>1418059811</v>
      </c>
      <c r="E426" s="82" t="str">
        <f>Data!B425</f>
        <v>3707</v>
      </c>
      <c r="F426" s="44" t="str">
        <f>Data!A425</f>
        <v xml:space="preserve">LENTINI, SONJA </v>
      </c>
      <c r="G426" s="55" t="str">
        <f>Data!C425</f>
        <v>2/15/1987</v>
      </c>
      <c r="H426" s="56">
        <f>Data!H425</f>
        <v>44537</v>
      </c>
      <c r="I426" s="56" t="str">
        <f>Data!I425</f>
        <v>12/9/2021</v>
      </c>
      <c r="J426" s="57">
        <f>Data!J425</f>
        <v>82.8</v>
      </c>
      <c r="K426" s="58">
        <f t="shared" ca="1" si="6"/>
        <v>161</v>
      </c>
      <c r="L426" s="58">
        <f>Data!M425</f>
        <v>0</v>
      </c>
      <c r="M426" s="37" t="s">
        <v>26</v>
      </c>
      <c r="N426" s="43" t="str">
        <f>VLOOKUP(M426,Table1[#All],3,FALSE)</f>
        <v>Note</v>
      </c>
      <c r="O426" s="40" t="str">
        <f>VLOOKUP(M426,Table1[#All],4,FALSE)</f>
        <v>Q1</v>
      </c>
      <c r="P426" s="39"/>
      <c r="Q426" s="40" t="str">
        <f>VLOOKUP(M426,Table1[#All],5,FALSE)</f>
        <v>Q2</v>
      </c>
      <c r="R426" s="79"/>
      <c r="S426" s="40" t="str">
        <f>VLOOKUP(M426,Table1[#All],6,FALSE)</f>
        <v>Q3</v>
      </c>
      <c r="T426" s="79"/>
      <c r="U426" s="40" t="str">
        <f>VLOOKUP(M426,Table1[#All],7,FALSE)</f>
        <v>Q4</v>
      </c>
      <c r="V426" s="79"/>
      <c r="W426" s="40" t="str">
        <f>VLOOKUP(M426,Table1[#All],8,FALSE)</f>
        <v>Q5</v>
      </c>
      <c r="X426" s="79"/>
      <c r="Y426" s="44" t="str">
        <f>VLOOKUP(M426,Table1[#All],2,FALSE)</f>
        <v>Action</v>
      </c>
      <c r="Z426" s="59" t="str">
        <f>VLOOKUP(M426,Table1[#All],9,FALSE)</f>
        <v>Additional Notes:</v>
      </c>
      <c r="AA426" s="76"/>
      <c r="AB426" s="76"/>
      <c r="AC426" s="90" t="s">
        <v>91</v>
      </c>
      <c r="AD426" s="76" t="s">
        <v>91</v>
      </c>
      <c r="AE426" s="77"/>
      <c r="AF426" s="77"/>
      <c r="AG426" s="41" t="s">
        <v>91</v>
      </c>
    </row>
    <row r="427" spans="1:33" ht="21" hidden="1" x14ac:dyDescent="0.55000000000000004">
      <c r="A427" s="44" t="str">
        <f>Data!K426</f>
        <v>DPOW-CCHP</v>
      </c>
      <c r="B427" s="44" t="str">
        <f>Data!L426</f>
        <v>4143899880</v>
      </c>
      <c r="C427" s="44" t="str">
        <f>Data!D426</f>
        <v>Hopgood, Shemika</v>
      </c>
      <c r="D427" s="82" t="str">
        <f>Data!F426</f>
        <v>5416730153</v>
      </c>
      <c r="E427" s="82" t="str">
        <f>Data!B426</f>
        <v>5596</v>
      </c>
      <c r="F427" s="44" t="str">
        <f>Data!A426</f>
        <v>Hopgood, Shemika</v>
      </c>
      <c r="G427" s="55" t="str">
        <f>Data!C426</f>
        <v>1/12/1984</v>
      </c>
      <c r="H427" s="56">
        <f>Data!H426</f>
        <v>44534</v>
      </c>
      <c r="I427" s="56" t="str">
        <f>Data!I426</f>
        <v>12/9/2021</v>
      </c>
      <c r="J427" s="57">
        <f>Data!J426</f>
        <v>149.6</v>
      </c>
      <c r="K427" s="58">
        <f t="shared" ca="1" si="6"/>
        <v>161</v>
      </c>
      <c r="L427" s="58">
        <f>Data!M426</f>
        <v>0</v>
      </c>
      <c r="M427" s="37" t="s">
        <v>26</v>
      </c>
      <c r="N427" s="43" t="str">
        <f>VLOOKUP(M427,Table1[#All],3,FALSE)</f>
        <v>Note</v>
      </c>
      <c r="O427" s="40" t="str">
        <f>VLOOKUP(M427,Table1[#All],4,FALSE)</f>
        <v>Q1</v>
      </c>
      <c r="P427" s="39"/>
      <c r="Q427" s="40" t="str">
        <f>VLOOKUP(M427,Table1[#All],5,FALSE)</f>
        <v>Q2</v>
      </c>
      <c r="R427" s="79"/>
      <c r="S427" s="40" t="str">
        <f>VLOOKUP(M427,Table1[#All],6,FALSE)</f>
        <v>Q3</v>
      </c>
      <c r="T427" s="79"/>
      <c r="U427" s="40" t="str">
        <f>VLOOKUP(M427,Table1[#All],7,FALSE)</f>
        <v>Q4</v>
      </c>
      <c r="V427" s="79"/>
      <c r="W427" s="40" t="str">
        <f>VLOOKUP(M427,Table1[#All],8,FALSE)</f>
        <v>Q5</v>
      </c>
      <c r="X427" s="79"/>
      <c r="Y427" s="44" t="str">
        <f>VLOOKUP(M427,Table1[#All],2,FALSE)</f>
        <v>Action</v>
      </c>
      <c r="Z427" s="59" t="str">
        <f>VLOOKUP(M427,Table1[#All],9,FALSE)</f>
        <v>Additional Notes:</v>
      </c>
      <c r="AA427" s="76"/>
      <c r="AB427" s="76"/>
      <c r="AC427" s="90" t="s">
        <v>91</v>
      </c>
      <c r="AD427" s="76" t="s">
        <v>91</v>
      </c>
      <c r="AE427" s="77"/>
      <c r="AF427" s="77"/>
      <c r="AG427" s="41" t="s">
        <v>91</v>
      </c>
    </row>
    <row r="428" spans="1:33" ht="21" hidden="1" x14ac:dyDescent="0.55000000000000004">
      <c r="A428" s="44" t="str">
        <f>Data!K427</f>
        <v>DPOW-CCHP</v>
      </c>
      <c r="B428" s="44" t="str">
        <f>Data!L427</f>
        <v>4143899880</v>
      </c>
      <c r="C428" s="44" t="str">
        <f>Data!D427</f>
        <v>Speckmann, Mikah</v>
      </c>
      <c r="D428" s="82" t="str">
        <f>Data!F427</f>
        <v>9448592493</v>
      </c>
      <c r="E428" s="82" t="str">
        <f>Data!B427</f>
        <v>8483</v>
      </c>
      <c r="F428" s="44" t="str">
        <f>Data!A427</f>
        <v>Speckmann, Mikah</v>
      </c>
      <c r="G428" s="55" t="str">
        <f>Data!C427</f>
        <v>8/29/2015</v>
      </c>
      <c r="H428" s="56">
        <f>Data!H427</f>
        <v>44533</v>
      </c>
      <c r="I428" s="56" t="str">
        <f>Data!I427</f>
        <v>12/9/2021</v>
      </c>
      <c r="J428" s="57">
        <f>Data!J427</f>
        <v>712</v>
      </c>
      <c r="K428" s="58">
        <f t="shared" ca="1" si="6"/>
        <v>161</v>
      </c>
      <c r="L428" s="58">
        <f>Data!M427</f>
        <v>0</v>
      </c>
      <c r="M428" s="37" t="s">
        <v>26</v>
      </c>
      <c r="N428" s="43" t="str">
        <f>VLOOKUP(M428,Table1[#All],3,FALSE)</f>
        <v>Note</v>
      </c>
      <c r="O428" s="40" t="str">
        <f>VLOOKUP(M428,Table1[#All],4,FALSE)</f>
        <v>Q1</v>
      </c>
      <c r="P428" s="39"/>
      <c r="Q428" s="40" t="str">
        <f>VLOOKUP(M428,Table1[#All],5,FALSE)</f>
        <v>Q2</v>
      </c>
      <c r="R428" s="79"/>
      <c r="S428" s="40" t="str">
        <f>VLOOKUP(M428,Table1[#All],6,FALSE)</f>
        <v>Q3</v>
      </c>
      <c r="T428" s="79"/>
      <c r="U428" s="40" t="str">
        <f>VLOOKUP(M428,Table1[#All],7,FALSE)</f>
        <v>Q4</v>
      </c>
      <c r="V428" s="79"/>
      <c r="W428" s="40" t="str">
        <f>VLOOKUP(M428,Table1[#All],8,FALSE)</f>
        <v>Q5</v>
      </c>
      <c r="X428" s="79"/>
      <c r="Y428" s="44" t="str">
        <f>VLOOKUP(M428,Table1[#All],2,FALSE)</f>
        <v>Action</v>
      </c>
      <c r="Z428" s="59" t="str">
        <f>VLOOKUP(M428,Table1[#All],9,FALSE)</f>
        <v>Additional Notes:</v>
      </c>
      <c r="AA428" s="76"/>
      <c r="AB428" s="76"/>
      <c r="AC428" s="90" t="s">
        <v>91</v>
      </c>
      <c r="AD428" s="76" t="s">
        <v>91</v>
      </c>
      <c r="AE428" s="77"/>
      <c r="AF428" s="77"/>
      <c r="AG428" s="41" t="s">
        <v>91</v>
      </c>
    </row>
    <row r="429" spans="1:33" ht="21" hidden="1" x14ac:dyDescent="0.55000000000000004">
      <c r="A429" s="44" t="str">
        <f>Data!K428</f>
        <v>DPOW-CCHP</v>
      </c>
      <c r="B429" s="44" t="str">
        <f>Data!L428</f>
        <v>4143899880</v>
      </c>
      <c r="C429" s="44" t="str">
        <f>Data!D428</f>
        <v>Lian, Ram</v>
      </c>
      <c r="D429" s="82" t="str">
        <f>Data!F428</f>
        <v>8449931487</v>
      </c>
      <c r="E429" s="82" t="str">
        <f>Data!B428</f>
        <v>8610</v>
      </c>
      <c r="F429" s="44" t="str">
        <f>Data!A428</f>
        <v>Lian, Ram</v>
      </c>
      <c r="G429" s="55" t="str">
        <f>Data!C428</f>
        <v>7/7/1983</v>
      </c>
      <c r="H429" s="56">
        <f>Data!H428</f>
        <v>44533</v>
      </c>
      <c r="I429" s="56" t="str">
        <f>Data!I428</f>
        <v>12/9/2021</v>
      </c>
      <c r="J429" s="57">
        <f>Data!J428</f>
        <v>589.20000000000005</v>
      </c>
      <c r="K429" s="58">
        <f t="shared" ca="1" si="6"/>
        <v>161</v>
      </c>
      <c r="L429" s="58">
        <f>Data!M428</f>
        <v>0</v>
      </c>
      <c r="M429" s="37" t="s">
        <v>26</v>
      </c>
      <c r="N429" s="43" t="str">
        <f>VLOOKUP(M429,Table1[#All],3,FALSE)</f>
        <v>Note</v>
      </c>
      <c r="O429" s="40" t="str">
        <f>VLOOKUP(M429,Table1[#All],4,FALSE)</f>
        <v>Q1</v>
      </c>
      <c r="P429" s="39"/>
      <c r="Q429" s="40" t="str">
        <f>VLOOKUP(M429,Table1[#All],5,FALSE)</f>
        <v>Q2</v>
      </c>
      <c r="R429" s="79"/>
      <c r="S429" s="40" t="str">
        <f>VLOOKUP(M429,Table1[#All],6,FALSE)</f>
        <v>Q3</v>
      </c>
      <c r="T429" s="79"/>
      <c r="U429" s="40" t="str">
        <f>VLOOKUP(M429,Table1[#All],7,FALSE)</f>
        <v>Q4</v>
      </c>
      <c r="V429" s="79"/>
      <c r="W429" s="40" t="str">
        <f>VLOOKUP(M429,Table1[#All],8,FALSE)</f>
        <v>Q5</v>
      </c>
      <c r="X429" s="79"/>
      <c r="Y429" s="44" t="str">
        <f>VLOOKUP(M429,Table1[#All],2,FALSE)</f>
        <v>Action</v>
      </c>
      <c r="Z429" s="59" t="str">
        <f>VLOOKUP(M429,Table1[#All],9,FALSE)</f>
        <v>Additional Notes:</v>
      </c>
      <c r="AA429" s="76"/>
      <c r="AB429" s="76"/>
      <c r="AC429" s="90" t="s">
        <v>91</v>
      </c>
      <c r="AD429" s="76" t="s">
        <v>91</v>
      </c>
      <c r="AE429" s="77"/>
      <c r="AF429" s="77"/>
      <c r="AG429" s="41" t="s">
        <v>91</v>
      </c>
    </row>
    <row r="430" spans="1:33" ht="21" hidden="1" x14ac:dyDescent="0.55000000000000004">
      <c r="A430" s="44" t="str">
        <f>Data!K429</f>
        <v>DPOW-CCHP</v>
      </c>
      <c r="B430" s="44" t="str">
        <f>Data!L429</f>
        <v>4143899880</v>
      </c>
      <c r="C430" s="44" t="str">
        <f>Data!D429</f>
        <v>Perez Rios, Shayra</v>
      </c>
      <c r="D430" s="82" t="str">
        <f>Data!F429</f>
        <v>7417360173</v>
      </c>
      <c r="E430" s="82" t="str">
        <f>Data!B429</f>
        <v>5720</v>
      </c>
      <c r="F430" s="44" t="str">
        <f>Data!A429</f>
        <v>Perez Rios, Shayra</v>
      </c>
      <c r="G430" s="55" t="str">
        <f>Data!C429</f>
        <v>2/25/1988</v>
      </c>
      <c r="H430" s="56">
        <f>Data!H429</f>
        <v>44532</v>
      </c>
      <c r="I430" s="56" t="str">
        <f>Data!I429</f>
        <v>12/22/2021</v>
      </c>
      <c r="J430" s="57">
        <f>Data!J429</f>
        <v>218.4</v>
      </c>
      <c r="K430" s="58">
        <f t="shared" ca="1" si="6"/>
        <v>148</v>
      </c>
      <c r="L430" s="58">
        <f>Data!M429</f>
        <v>0</v>
      </c>
      <c r="M430" s="37" t="s">
        <v>26</v>
      </c>
      <c r="N430" s="43" t="str">
        <f>VLOOKUP(M430,Table1[#All],3,FALSE)</f>
        <v>Note</v>
      </c>
      <c r="O430" s="40" t="str">
        <f>VLOOKUP(M430,Table1[#All],4,FALSE)</f>
        <v>Q1</v>
      </c>
      <c r="P430" s="39"/>
      <c r="Q430" s="40" t="str">
        <f>VLOOKUP(M430,Table1[#All],5,FALSE)</f>
        <v>Q2</v>
      </c>
      <c r="R430" s="79"/>
      <c r="S430" s="40" t="str">
        <f>VLOOKUP(M430,Table1[#All],6,FALSE)</f>
        <v>Q3</v>
      </c>
      <c r="T430" s="79"/>
      <c r="U430" s="40" t="str">
        <f>VLOOKUP(M430,Table1[#All],7,FALSE)</f>
        <v>Q4</v>
      </c>
      <c r="V430" s="79"/>
      <c r="W430" s="40" t="str">
        <f>VLOOKUP(M430,Table1[#All],8,FALSE)</f>
        <v>Q5</v>
      </c>
      <c r="X430" s="79"/>
      <c r="Y430" s="44" t="str">
        <f>VLOOKUP(M430,Table1[#All],2,FALSE)</f>
        <v>Action</v>
      </c>
      <c r="Z430" s="59" t="str">
        <f>VLOOKUP(M430,Table1[#All],9,FALSE)</f>
        <v>Additional Notes:</v>
      </c>
      <c r="AA430" s="76"/>
      <c r="AB430" s="76"/>
      <c r="AC430" s="90" t="s">
        <v>91</v>
      </c>
      <c r="AD430" s="76" t="s">
        <v>91</v>
      </c>
      <c r="AE430" s="77"/>
      <c r="AF430" s="77"/>
      <c r="AG430" s="41" t="s">
        <v>91</v>
      </c>
    </row>
    <row r="431" spans="1:33" ht="21" hidden="1" x14ac:dyDescent="0.55000000000000004">
      <c r="A431" s="44" t="str">
        <f>Data!K430</f>
        <v>DPOW-CCHP</v>
      </c>
      <c r="B431" s="44" t="str">
        <f>Data!L430</f>
        <v>4143899880</v>
      </c>
      <c r="C431" s="44" t="str">
        <f>Data!D430</f>
        <v>CRITES, SAVANNAH</v>
      </c>
      <c r="D431" s="82" t="str">
        <f>Data!F430</f>
        <v>9410562295</v>
      </c>
      <c r="E431" s="82" t="str">
        <f>Data!B430</f>
        <v>3144</v>
      </c>
      <c r="F431" s="44" t="str">
        <f>Data!A430</f>
        <v>CRITES, SAVANNAH</v>
      </c>
      <c r="G431" s="55" t="str">
        <f>Data!C430</f>
        <v>5/18/1998</v>
      </c>
      <c r="H431" s="56">
        <f>Data!H430</f>
        <v>44532</v>
      </c>
      <c r="I431" s="56" t="str">
        <f>Data!I430</f>
        <v>12/9/2021</v>
      </c>
      <c r="J431" s="57">
        <f>Data!J430</f>
        <v>266</v>
      </c>
      <c r="K431" s="58">
        <f t="shared" ca="1" si="6"/>
        <v>161</v>
      </c>
      <c r="L431" s="58">
        <f>Data!M430</f>
        <v>0</v>
      </c>
      <c r="M431" s="37" t="s">
        <v>26</v>
      </c>
      <c r="N431" s="43" t="str">
        <f>VLOOKUP(M431,Table1[#All],3,FALSE)</f>
        <v>Note</v>
      </c>
      <c r="O431" s="40" t="str">
        <f>VLOOKUP(M431,Table1[#All],4,FALSE)</f>
        <v>Q1</v>
      </c>
      <c r="P431" s="39"/>
      <c r="Q431" s="40" t="str">
        <f>VLOOKUP(M431,Table1[#All],5,FALSE)</f>
        <v>Q2</v>
      </c>
      <c r="R431" s="79"/>
      <c r="S431" s="40" t="str">
        <f>VLOOKUP(M431,Table1[#All],6,FALSE)</f>
        <v>Q3</v>
      </c>
      <c r="T431" s="79"/>
      <c r="U431" s="40" t="str">
        <f>VLOOKUP(M431,Table1[#All],7,FALSE)</f>
        <v>Q4</v>
      </c>
      <c r="V431" s="79"/>
      <c r="W431" s="40" t="str">
        <f>VLOOKUP(M431,Table1[#All],8,FALSE)</f>
        <v>Q5</v>
      </c>
      <c r="X431" s="79"/>
      <c r="Y431" s="44" t="str">
        <f>VLOOKUP(M431,Table1[#All],2,FALSE)</f>
        <v>Action</v>
      </c>
      <c r="Z431" s="59" t="str">
        <f>VLOOKUP(M431,Table1[#All],9,FALSE)</f>
        <v>Additional Notes:</v>
      </c>
      <c r="AA431" s="76"/>
      <c r="AB431" s="76"/>
      <c r="AC431" s="90" t="s">
        <v>91</v>
      </c>
      <c r="AD431" s="76" t="s">
        <v>91</v>
      </c>
      <c r="AE431" s="77"/>
      <c r="AF431" s="77"/>
      <c r="AG431" s="41" t="s">
        <v>91</v>
      </c>
    </row>
    <row r="432" spans="1:33" ht="21" hidden="1" x14ac:dyDescent="0.55000000000000004">
      <c r="A432" s="44" t="str">
        <f>Data!K431</f>
        <v>DPOW-CCHP</v>
      </c>
      <c r="B432" s="44" t="str">
        <f>Data!L431</f>
        <v>4143899880</v>
      </c>
      <c r="C432" s="44" t="str">
        <f>Data!D431</f>
        <v xml:space="preserve">Hogan Alford, Shamir </v>
      </c>
      <c r="D432" s="82" t="str">
        <f>Data!F431</f>
        <v>8437137080</v>
      </c>
      <c r="E432" s="82" t="str">
        <f>Data!B431</f>
        <v>8514</v>
      </c>
      <c r="F432" s="44" t="str">
        <f>Data!A431</f>
        <v xml:space="preserve">Hogan Alford, Shamir </v>
      </c>
      <c r="G432" s="55" t="str">
        <f>Data!C431</f>
        <v>10/26/2009</v>
      </c>
      <c r="H432" s="56">
        <f>Data!H431</f>
        <v>44532</v>
      </c>
      <c r="I432" s="56" t="str">
        <f>Data!I431</f>
        <v>12/9/2021</v>
      </c>
      <c r="J432" s="57">
        <f>Data!J431</f>
        <v>756</v>
      </c>
      <c r="K432" s="58">
        <f t="shared" ca="1" si="6"/>
        <v>161</v>
      </c>
      <c r="L432" s="58">
        <f>Data!M431</f>
        <v>0</v>
      </c>
      <c r="M432" s="37" t="s">
        <v>26</v>
      </c>
      <c r="N432" s="43" t="str">
        <f>VLOOKUP(M432,Table1[#All],3,FALSE)</f>
        <v>Note</v>
      </c>
      <c r="O432" s="40" t="str">
        <f>VLOOKUP(M432,Table1[#All],4,FALSE)</f>
        <v>Q1</v>
      </c>
      <c r="P432" s="39"/>
      <c r="Q432" s="40" t="str">
        <f>VLOOKUP(M432,Table1[#All],5,FALSE)</f>
        <v>Q2</v>
      </c>
      <c r="R432" s="79"/>
      <c r="S432" s="40" t="str">
        <f>VLOOKUP(M432,Table1[#All],6,FALSE)</f>
        <v>Q3</v>
      </c>
      <c r="T432" s="79"/>
      <c r="U432" s="40" t="str">
        <f>VLOOKUP(M432,Table1[#All],7,FALSE)</f>
        <v>Q4</v>
      </c>
      <c r="V432" s="79"/>
      <c r="W432" s="40" t="str">
        <f>VLOOKUP(M432,Table1[#All],8,FALSE)</f>
        <v>Q5</v>
      </c>
      <c r="X432" s="79"/>
      <c r="Y432" s="44" t="str">
        <f>VLOOKUP(M432,Table1[#All],2,FALSE)</f>
        <v>Action</v>
      </c>
      <c r="Z432" s="59" t="str">
        <f>VLOOKUP(M432,Table1[#All],9,FALSE)</f>
        <v>Additional Notes:</v>
      </c>
      <c r="AA432" s="76"/>
      <c r="AB432" s="76"/>
      <c r="AC432" s="90" t="s">
        <v>91</v>
      </c>
      <c r="AD432" s="76" t="s">
        <v>91</v>
      </c>
      <c r="AE432" s="77"/>
      <c r="AF432" s="77"/>
      <c r="AG432" s="41" t="s">
        <v>91</v>
      </c>
    </row>
    <row r="433" spans="1:33" ht="21" hidden="1" x14ac:dyDescent="0.55000000000000004">
      <c r="A433" s="44" t="str">
        <f>Data!K432</f>
        <v>DPOW-CCHP</v>
      </c>
      <c r="B433" s="44" t="str">
        <f>Data!L432</f>
        <v>4143899880</v>
      </c>
      <c r="C433" s="44" t="str">
        <f>Data!D432</f>
        <v>Lentini, Randy</v>
      </c>
      <c r="D433" s="82" t="str">
        <f>Data!F432</f>
        <v>9420219399</v>
      </c>
      <c r="E433" s="82" t="str">
        <f>Data!B432</f>
        <v>3546</v>
      </c>
      <c r="F433" s="44" t="str">
        <f>Data!A432</f>
        <v>Lentini, Randy</v>
      </c>
      <c r="G433" s="55" t="str">
        <f>Data!C432</f>
        <v>4/9/1984</v>
      </c>
      <c r="H433" s="56">
        <f>Data!H432</f>
        <v>44531</v>
      </c>
      <c r="I433" s="56" t="str">
        <f>Data!I432</f>
        <v>12/2/2021</v>
      </c>
      <c r="J433" s="57">
        <f>Data!J432</f>
        <v>266</v>
      </c>
      <c r="K433" s="58">
        <f t="shared" ca="1" si="6"/>
        <v>168</v>
      </c>
      <c r="L433" s="58">
        <f>Data!M432</f>
        <v>0</v>
      </c>
      <c r="M433" s="37" t="s">
        <v>26</v>
      </c>
      <c r="N433" s="43" t="str">
        <f>VLOOKUP(M433,Table1[#All],3,FALSE)</f>
        <v>Note</v>
      </c>
      <c r="O433" s="40" t="str">
        <f>VLOOKUP(M433,Table1[#All],4,FALSE)</f>
        <v>Q1</v>
      </c>
      <c r="P433" s="39"/>
      <c r="Q433" s="40" t="str">
        <f>VLOOKUP(M433,Table1[#All],5,FALSE)</f>
        <v>Q2</v>
      </c>
      <c r="R433" s="79"/>
      <c r="S433" s="40" t="str">
        <f>VLOOKUP(M433,Table1[#All],6,FALSE)</f>
        <v>Q3</v>
      </c>
      <c r="T433" s="79"/>
      <c r="U433" s="40" t="str">
        <f>VLOOKUP(M433,Table1[#All],7,FALSE)</f>
        <v>Q4</v>
      </c>
      <c r="V433" s="79"/>
      <c r="W433" s="40" t="str">
        <f>VLOOKUP(M433,Table1[#All],8,FALSE)</f>
        <v>Q5</v>
      </c>
      <c r="X433" s="79"/>
      <c r="Y433" s="44" t="str">
        <f>VLOOKUP(M433,Table1[#All],2,FALSE)</f>
        <v>Action</v>
      </c>
      <c r="Z433" s="59" t="str">
        <f>VLOOKUP(M433,Table1[#All],9,FALSE)</f>
        <v>Additional Notes:</v>
      </c>
      <c r="AA433" s="76"/>
      <c r="AB433" s="76"/>
      <c r="AC433" s="90" t="s">
        <v>91</v>
      </c>
      <c r="AD433" s="76" t="s">
        <v>91</v>
      </c>
      <c r="AE433" s="77"/>
      <c r="AF433" s="77"/>
      <c r="AG433" s="41" t="s">
        <v>91</v>
      </c>
    </row>
    <row r="434" spans="1:33" ht="21" hidden="1" x14ac:dyDescent="0.55000000000000004">
      <c r="A434" s="44" t="str">
        <f>Data!K433</f>
        <v>DPOW-CCHP</v>
      </c>
      <c r="B434" s="44" t="str">
        <f>Data!L433</f>
        <v>4143899880</v>
      </c>
      <c r="C434" s="44" t="str">
        <f>Data!D433</f>
        <v>Cartagena, Dante</v>
      </c>
      <c r="D434" s="82" t="str">
        <f>Data!F433</f>
        <v>7436217577</v>
      </c>
      <c r="E434" s="82" t="str">
        <f>Data!B433</f>
        <v>4132</v>
      </c>
      <c r="F434" s="44" t="str">
        <f>Data!A433</f>
        <v>Cartagena, Dante</v>
      </c>
      <c r="G434" s="55" t="str">
        <f>Data!C433</f>
        <v>5/26/2009</v>
      </c>
      <c r="H434" s="56">
        <f>Data!H433</f>
        <v>44530</v>
      </c>
      <c r="I434" s="56" t="str">
        <f>Data!I433</f>
        <v>12/2/2021</v>
      </c>
      <c r="J434" s="57">
        <f>Data!J433</f>
        <v>445.2</v>
      </c>
      <c r="K434" s="58">
        <f t="shared" ca="1" si="6"/>
        <v>168</v>
      </c>
      <c r="L434" s="58">
        <f>Data!M433</f>
        <v>0</v>
      </c>
      <c r="M434" s="37" t="s">
        <v>26</v>
      </c>
      <c r="N434" s="43" t="str">
        <f>VLOOKUP(M434,Table1[#All],3,FALSE)</f>
        <v>Note</v>
      </c>
      <c r="O434" s="40" t="str">
        <f>VLOOKUP(M434,Table1[#All],4,FALSE)</f>
        <v>Q1</v>
      </c>
      <c r="P434" s="39"/>
      <c r="Q434" s="40" t="str">
        <f>VLOOKUP(M434,Table1[#All],5,FALSE)</f>
        <v>Q2</v>
      </c>
      <c r="R434" s="79"/>
      <c r="S434" s="40" t="str">
        <f>VLOOKUP(M434,Table1[#All],6,FALSE)</f>
        <v>Q3</v>
      </c>
      <c r="T434" s="79"/>
      <c r="U434" s="40" t="str">
        <f>VLOOKUP(M434,Table1[#All],7,FALSE)</f>
        <v>Q4</v>
      </c>
      <c r="V434" s="79"/>
      <c r="W434" s="40" t="str">
        <f>VLOOKUP(M434,Table1[#All],8,FALSE)</f>
        <v>Q5</v>
      </c>
      <c r="X434" s="79"/>
      <c r="Y434" s="44" t="str">
        <f>VLOOKUP(M434,Table1[#All],2,FALSE)</f>
        <v>Action</v>
      </c>
      <c r="Z434" s="59" t="str">
        <f>VLOOKUP(M434,Table1[#All],9,FALSE)</f>
        <v>Additional Notes:</v>
      </c>
      <c r="AA434" s="76"/>
      <c r="AB434" s="76"/>
      <c r="AC434" s="90" t="s">
        <v>91</v>
      </c>
      <c r="AD434" s="76" t="s">
        <v>91</v>
      </c>
      <c r="AE434" s="77"/>
      <c r="AF434" s="77"/>
      <c r="AG434" s="41" t="s">
        <v>91</v>
      </c>
    </row>
    <row r="435" spans="1:33" ht="21" hidden="1" x14ac:dyDescent="0.55000000000000004">
      <c r="A435" s="44" t="str">
        <f>Data!K434</f>
        <v>DPOW-CCHP</v>
      </c>
      <c r="B435" s="44" t="str">
        <f>Data!L434</f>
        <v>4143899880</v>
      </c>
      <c r="C435" s="44" t="str">
        <f>Data!D434</f>
        <v xml:space="preserve">Mercado , Monica </v>
      </c>
      <c r="D435" s="82" t="str">
        <f>Data!F434</f>
        <v>5410621158</v>
      </c>
      <c r="E435" s="82" t="str">
        <f>Data!B434</f>
        <v>8575</v>
      </c>
      <c r="F435" s="44" t="str">
        <f>Data!A434</f>
        <v xml:space="preserve">Mercado , Monica </v>
      </c>
      <c r="G435" s="55" t="str">
        <f>Data!C434</f>
        <v>4/4/1978</v>
      </c>
      <c r="H435" s="56">
        <f>Data!H434</f>
        <v>44530</v>
      </c>
      <c r="I435" s="56" t="str">
        <f>Data!I434</f>
        <v>12/2/2021</v>
      </c>
      <c r="J435" s="57">
        <f>Data!J434</f>
        <v>294.8</v>
      </c>
      <c r="K435" s="58">
        <f t="shared" ca="1" si="6"/>
        <v>168</v>
      </c>
      <c r="L435" s="58">
        <f>Data!M434</f>
        <v>0</v>
      </c>
      <c r="M435" s="37" t="s">
        <v>26</v>
      </c>
      <c r="N435" s="43" t="str">
        <f>VLOOKUP(M435,Table1[#All],3,FALSE)</f>
        <v>Note</v>
      </c>
      <c r="O435" s="40" t="str">
        <f>VLOOKUP(M435,Table1[#All],4,FALSE)</f>
        <v>Q1</v>
      </c>
      <c r="P435" s="39"/>
      <c r="Q435" s="40" t="str">
        <f>VLOOKUP(M435,Table1[#All],5,FALSE)</f>
        <v>Q2</v>
      </c>
      <c r="R435" s="79"/>
      <c r="S435" s="40" t="str">
        <f>VLOOKUP(M435,Table1[#All],6,FALSE)</f>
        <v>Q3</v>
      </c>
      <c r="T435" s="79"/>
      <c r="U435" s="40" t="str">
        <f>VLOOKUP(M435,Table1[#All],7,FALSE)</f>
        <v>Q4</v>
      </c>
      <c r="V435" s="79"/>
      <c r="W435" s="40" t="str">
        <f>VLOOKUP(M435,Table1[#All],8,FALSE)</f>
        <v>Q5</v>
      </c>
      <c r="X435" s="79"/>
      <c r="Y435" s="44" t="str">
        <f>VLOOKUP(M435,Table1[#All],2,FALSE)</f>
        <v>Action</v>
      </c>
      <c r="Z435" s="59" t="str">
        <f>VLOOKUP(M435,Table1[#All],9,FALSE)</f>
        <v>Additional Notes:</v>
      </c>
      <c r="AA435" s="76"/>
      <c r="AB435" s="76"/>
      <c r="AC435" s="90" t="s">
        <v>91</v>
      </c>
      <c r="AD435" s="76" t="s">
        <v>91</v>
      </c>
      <c r="AE435" s="77"/>
      <c r="AF435" s="77"/>
      <c r="AG435" s="41" t="s">
        <v>91</v>
      </c>
    </row>
    <row r="436" spans="1:33" ht="21" hidden="1" x14ac:dyDescent="0.55000000000000004">
      <c r="A436" s="44" t="str">
        <f>Data!K435</f>
        <v>DPOW-CCHP</v>
      </c>
      <c r="B436" s="44" t="str">
        <f>Data!L435</f>
        <v>4143899880</v>
      </c>
      <c r="C436" s="44" t="str">
        <f>Data!D435</f>
        <v>Escobedo , Karla</v>
      </c>
      <c r="D436" s="82" t="str">
        <f>Data!F435</f>
        <v>5418395955</v>
      </c>
      <c r="E436" s="82" t="str">
        <f>Data!B435</f>
        <v>8546</v>
      </c>
      <c r="F436" s="44" t="str">
        <f>Data!A435</f>
        <v>Escobedo , Karla</v>
      </c>
      <c r="G436" s="55" t="str">
        <f>Data!C435</f>
        <v>9/10/2001</v>
      </c>
      <c r="H436" s="56">
        <f>Data!H435</f>
        <v>44530</v>
      </c>
      <c r="I436" s="56" t="str">
        <f>Data!I435</f>
        <v>12/1/2021</v>
      </c>
      <c r="J436" s="57">
        <f>Data!J435</f>
        <v>61.2</v>
      </c>
      <c r="K436" s="58">
        <f t="shared" ca="1" si="6"/>
        <v>169</v>
      </c>
      <c r="L436" s="58">
        <f>Data!M435</f>
        <v>0</v>
      </c>
      <c r="M436" s="37" t="s">
        <v>26</v>
      </c>
      <c r="N436" s="43" t="str">
        <f>VLOOKUP(M436,Table1[#All],3,FALSE)</f>
        <v>Note</v>
      </c>
      <c r="O436" s="40" t="str">
        <f>VLOOKUP(M436,Table1[#All],4,FALSE)</f>
        <v>Q1</v>
      </c>
      <c r="P436" s="39"/>
      <c r="Q436" s="40" t="str">
        <f>VLOOKUP(M436,Table1[#All],5,FALSE)</f>
        <v>Q2</v>
      </c>
      <c r="R436" s="79"/>
      <c r="S436" s="40" t="str">
        <f>VLOOKUP(M436,Table1[#All],6,FALSE)</f>
        <v>Q3</v>
      </c>
      <c r="T436" s="79"/>
      <c r="U436" s="40" t="str">
        <f>VLOOKUP(M436,Table1[#All],7,FALSE)</f>
        <v>Q4</v>
      </c>
      <c r="V436" s="79"/>
      <c r="W436" s="40" t="str">
        <f>VLOOKUP(M436,Table1[#All],8,FALSE)</f>
        <v>Q5</v>
      </c>
      <c r="X436" s="79"/>
      <c r="Y436" s="44" t="str">
        <f>VLOOKUP(M436,Table1[#All],2,FALSE)</f>
        <v>Action</v>
      </c>
      <c r="Z436" s="59" t="str">
        <f>VLOOKUP(M436,Table1[#All],9,FALSE)</f>
        <v>Additional Notes:</v>
      </c>
      <c r="AA436" s="76"/>
      <c r="AB436" s="76"/>
      <c r="AC436" s="90" t="s">
        <v>91</v>
      </c>
      <c r="AD436" s="76" t="s">
        <v>91</v>
      </c>
      <c r="AE436" s="77"/>
      <c r="AF436" s="77"/>
      <c r="AG436" s="41" t="s">
        <v>91</v>
      </c>
    </row>
    <row r="437" spans="1:33" ht="21" hidden="1" x14ac:dyDescent="0.55000000000000004">
      <c r="A437" s="44" t="str">
        <f>Data!K436</f>
        <v>DPOW-CCHP</v>
      </c>
      <c r="B437" s="44" t="str">
        <f>Data!L436</f>
        <v>4143899880</v>
      </c>
      <c r="C437" s="44" t="str">
        <f>Data!D436</f>
        <v xml:space="preserve">Cox , Mosiah </v>
      </c>
      <c r="D437" s="82" t="str">
        <f>Data!F436</f>
        <v>7449851172</v>
      </c>
      <c r="E437" s="82" t="str">
        <f>Data!B436</f>
        <v>6770</v>
      </c>
      <c r="F437" s="44" t="str">
        <f>Data!A436</f>
        <v xml:space="preserve">Cox , Mosiah </v>
      </c>
      <c r="G437" s="55" t="str">
        <f>Data!C436</f>
        <v>5/2/2016</v>
      </c>
      <c r="H437" s="56">
        <f>Data!H436</f>
        <v>44529</v>
      </c>
      <c r="I437" s="56" t="str">
        <f>Data!I436</f>
        <v>12/1/2021</v>
      </c>
      <c r="J437" s="57">
        <f>Data!J436</f>
        <v>365.6</v>
      </c>
      <c r="K437" s="58">
        <f t="shared" ca="1" si="6"/>
        <v>169</v>
      </c>
      <c r="L437" s="58">
        <f>Data!M436</f>
        <v>0</v>
      </c>
      <c r="M437" s="37" t="s">
        <v>26</v>
      </c>
      <c r="N437" s="43" t="str">
        <f>VLOOKUP(M437,Table1[#All],3,FALSE)</f>
        <v>Note</v>
      </c>
      <c r="O437" s="40" t="str">
        <f>VLOOKUP(M437,Table1[#All],4,FALSE)</f>
        <v>Q1</v>
      </c>
      <c r="P437" s="39"/>
      <c r="Q437" s="40" t="str">
        <f>VLOOKUP(M437,Table1[#All],5,FALSE)</f>
        <v>Q2</v>
      </c>
      <c r="R437" s="79"/>
      <c r="S437" s="40" t="str">
        <f>VLOOKUP(M437,Table1[#All],6,FALSE)</f>
        <v>Q3</v>
      </c>
      <c r="T437" s="79"/>
      <c r="U437" s="40" t="str">
        <f>VLOOKUP(M437,Table1[#All],7,FALSE)</f>
        <v>Q4</v>
      </c>
      <c r="V437" s="79"/>
      <c r="W437" s="40" t="str">
        <f>VLOOKUP(M437,Table1[#All],8,FALSE)</f>
        <v>Q5</v>
      </c>
      <c r="X437" s="79"/>
      <c r="Y437" s="44" t="str">
        <f>VLOOKUP(M437,Table1[#All],2,FALSE)</f>
        <v>Action</v>
      </c>
      <c r="Z437" s="59" t="str">
        <f>VLOOKUP(M437,Table1[#All],9,FALSE)</f>
        <v>Additional Notes:</v>
      </c>
      <c r="AA437" s="76"/>
      <c r="AB437" s="76"/>
      <c r="AC437" s="90" t="s">
        <v>91</v>
      </c>
      <c r="AD437" s="76" t="s">
        <v>91</v>
      </c>
      <c r="AE437" s="77"/>
      <c r="AF437" s="77"/>
      <c r="AG437" s="41" t="s">
        <v>91</v>
      </c>
    </row>
    <row r="438" spans="1:33" ht="21" hidden="1" x14ac:dyDescent="0.55000000000000004">
      <c r="A438" s="44" t="str">
        <f>Data!K437</f>
        <v>DPOW-CCHP</v>
      </c>
      <c r="B438" s="44" t="str">
        <f>Data!L437</f>
        <v>4143899880</v>
      </c>
      <c r="C438" s="44" t="str">
        <f>Data!D437</f>
        <v>Butterfield, Ryelund</v>
      </c>
      <c r="D438" s="82" t="str">
        <f>Data!F437</f>
        <v>1446404811</v>
      </c>
      <c r="E438" s="82" t="str">
        <f>Data!B437</f>
        <v>7904</v>
      </c>
      <c r="F438" s="44" t="str">
        <f>Data!A437</f>
        <v>Butterfield, Ryelund</v>
      </c>
      <c r="G438" s="55" t="str">
        <f>Data!C437</f>
        <v>6/14/2014</v>
      </c>
      <c r="H438" s="56">
        <f>Data!H437</f>
        <v>44523</v>
      </c>
      <c r="I438" s="56" t="str">
        <f>Data!I437</f>
        <v>12/1/2021</v>
      </c>
      <c r="J438" s="57">
        <f>Data!J437</f>
        <v>406</v>
      </c>
      <c r="K438" s="58">
        <f t="shared" ca="1" si="6"/>
        <v>169</v>
      </c>
      <c r="L438" s="58">
        <f>Data!M437</f>
        <v>0</v>
      </c>
      <c r="M438" s="37" t="s">
        <v>26</v>
      </c>
      <c r="N438" s="43" t="str">
        <f>VLOOKUP(M438,Table1[#All],3,FALSE)</f>
        <v>Note</v>
      </c>
      <c r="O438" s="40" t="str">
        <f>VLOOKUP(M438,Table1[#All],4,FALSE)</f>
        <v>Q1</v>
      </c>
      <c r="P438" s="39"/>
      <c r="Q438" s="40" t="str">
        <f>VLOOKUP(M438,Table1[#All],5,FALSE)</f>
        <v>Q2</v>
      </c>
      <c r="R438" s="79"/>
      <c r="S438" s="40" t="str">
        <f>VLOOKUP(M438,Table1[#All],6,FALSE)</f>
        <v>Q3</v>
      </c>
      <c r="T438" s="79"/>
      <c r="U438" s="40" t="str">
        <f>VLOOKUP(M438,Table1[#All],7,FALSE)</f>
        <v>Q4</v>
      </c>
      <c r="V438" s="79"/>
      <c r="W438" s="40" t="str">
        <f>VLOOKUP(M438,Table1[#All],8,FALSE)</f>
        <v>Q5</v>
      </c>
      <c r="X438" s="79"/>
      <c r="Y438" s="44" t="str">
        <f>VLOOKUP(M438,Table1[#All],2,FALSE)</f>
        <v>Action</v>
      </c>
      <c r="Z438" s="59" t="str">
        <f>VLOOKUP(M438,Table1[#All],9,FALSE)</f>
        <v>Additional Notes:</v>
      </c>
      <c r="AA438" s="76"/>
      <c r="AB438" s="76"/>
      <c r="AC438" s="90" t="s">
        <v>91</v>
      </c>
      <c r="AD438" s="76" t="s">
        <v>91</v>
      </c>
      <c r="AE438" s="77"/>
      <c r="AF438" s="77"/>
      <c r="AG438" s="41" t="s">
        <v>91</v>
      </c>
    </row>
    <row r="439" spans="1:33" ht="21" hidden="1" x14ac:dyDescent="0.55000000000000004">
      <c r="A439" s="44" t="str">
        <f>Data!K438</f>
        <v>DPOW-CCHP</v>
      </c>
      <c r="B439" s="44" t="str">
        <f>Data!L438</f>
        <v>4143899880</v>
      </c>
      <c r="C439" s="44" t="str">
        <f>Data!D438</f>
        <v xml:space="preserve">Piotrowski , Amelia </v>
      </c>
      <c r="D439" s="82" t="str">
        <f>Data!F438</f>
        <v>2452911623</v>
      </c>
      <c r="E439" s="82" t="str">
        <f>Data!B438</f>
        <v>8470</v>
      </c>
      <c r="F439" s="44" t="str">
        <f>Data!A438</f>
        <v xml:space="preserve">Piotrowski , Amelia </v>
      </c>
      <c r="G439" s="55" t="str">
        <f>Data!C438</f>
        <v>2/28/2018</v>
      </c>
      <c r="H439" s="56">
        <f>Data!H438</f>
        <v>44522</v>
      </c>
      <c r="I439" s="56" t="str">
        <f>Data!I438</f>
        <v>12/1/2021</v>
      </c>
      <c r="J439" s="57">
        <f>Data!J438</f>
        <v>166.8</v>
      </c>
      <c r="K439" s="58">
        <f t="shared" ca="1" si="6"/>
        <v>169</v>
      </c>
      <c r="L439" s="58">
        <f>Data!M438</f>
        <v>0</v>
      </c>
      <c r="M439" s="37" t="s">
        <v>26</v>
      </c>
      <c r="N439" s="43" t="str">
        <f>VLOOKUP(M439,Table1[#All],3,FALSE)</f>
        <v>Note</v>
      </c>
      <c r="O439" s="40" t="str">
        <f>VLOOKUP(M439,Table1[#All],4,FALSE)</f>
        <v>Q1</v>
      </c>
      <c r="P439" s="39"/>
      <c r="Q439" s="40" t="str">
        <f>VLOOKUP(M439,Table1[#All],5,FALSE)</f>
        <v>Q2</v>
      </c>
      <c r="R439" s="79"/>
      <c r="S439" s="40" t="str">
        <f>VLOOKUP(M439,Table1[#All],6,FALSE)</f>
        <v>Q3</v>
      </c>
      <c r="T439" s="79"/>
      <c r="U439" s="40" t="str">
        <f>VLOOKUP(M439,Table1[#All],7,FALSE)</f>
        <v>Q4</v>
      </c>
      <c r="V439" s="79"/>
      <c r="W439" s="40" t="str">
        <f>VLOOKUP(M439,Table1[#All],8,FALSE)</f>
        <v>Q5</v>
      </c>
      <c r="X439" s="79"/>
      <c r="Y439" s="44" t="str">
        <f>VLOOKUP(M439,Table1[#All],2,FALSE)</f>
        <v>Action</v>
      </c>
      <c r="Z439" s="59" t="str">
        <f>VLOOKUP(M439,Table1[#All],9,FALSE)</f>
        <v>Additional Notes:</v>
      </c>
      <c r="AA439" s="76"/>
      <c r="AB439" s="76"/>
      <c r="AC439" s="90" t="s">
        <v>91</v>
      </c>
      <c r="AD439" s="76" t="s">
        <v>91</v>
      </c>
      <c r="AE439" s="77"/>
      <c r="AF439" s="77"/>
      <c r="AG439" s="41" t="s">
        <v>91</v>
      </c>
    </row>
    <row r="440" spans="1:33" ht="21" hidden="1" x14ac:dyDescent="0.55000000000000004">
      <c r="A440" s="44" t="str">
        <f>Data!K439</f>
        <v>DPOW-CCHP</v>
      </c>
      <c r="B440" s="44" t="str">
        <f>Data!L439</f>
        <v>4143899880</v>
      </c>
      <c r="C440" s="44" t="str">
        <f>Data!D439</f>
        <v xml:space="preserve">Nunez, David </v>
      </c>
      <c r="D440" s="82" t="str">
        <f>Data!F439</f>
        <v>0437588009</v>
      </c>
      <c r="E440" s="82" t="str">
        <f>Data!B439</f>
        <v>8508</v>
      </c>
      <c r="F440" s="44" t="str">
        <f>Data!A439</f>
        <v xml:space="preserve">Nunez, David </v>
      </c>
      <c r="G440" s="55" t="str">
        <f>Data!C439</f>
        <v>4/13/2005</v>
      </c>
      <c r="H440" s="56">
        <f>Data!H439</f>
        <v>44519</v>
      </c>
      <c r="I440" s="56" t="str">
        <f>Data!I439</f>
        <v>12/1/2021</v>
      </c>
      <c r="J440" s="57">
        <f>Data!J439</f>
        <v>804</v>
      </c>
      <c r="K440" s="58">
        <f t="shared" ca="1" si="6"/>
        <v>169</v>
      </c>
      <c r="L440" s="58">
        <f>Data!M439</f>
        <v>0</v>
      </c>
      <c r="M440" s="37" t="s">
        <v>26</v>
      </c>
      <c r="N440" s="43" t="str">
        <f>VLOOKUP(M440,Table1[#All],3,FALSE)</f>
        <v>Note</v>
      </c>
      <c r="O440" s="40" t="str">
        <f>VLOOKUP(M440,Table1[#All],4,FALSE)</f>
        <v>Q1</v>
      </c>
      <c r="P440" s="39"/>
      <c r="Q440" s="40" t="str">
        <f>VLOOKUP(M440,Table1[#All],5,FALSE)</f>
        <v>Q2</v>
      </c>
      <c r="R440" s="79"/>
      <c r="S440" s="40" t="str">
        <f>VLOOKUP(M440,Table1[#All],6,FALSE)</f>
        <v>Q3</v>
      </c>
      <c r="T440" s="79"/>
      <c r="U440" s="40" t="str">
        <f>VLOOKUP(M440,Table1[#All],7,FALSE)</f>
        <v>Q4</v>
      </c>
      <c r="V440" s="79"/>
      <c r="W440" s="40" t="str">
        <f>VLOOKUP(M440,Table1[#All],8,FALSE)</f>
        <v>Q5</v>
      </c>
      <c r="X440" s="79"/>
      <c r="Y440" s="44" t="str">
        <f>VLOOKUP(M440,Table1[#All],2,FALSE)</f>
        <v>Action</v>
      </c>
      <c r="Z440" s="59" t="str">
        <f>VLOOKUP(M440,Table1[#All],9,FALSE)</f>
        <v>Additional Notes:</v>
      </c>
      <c r="AA440" s="76"/>
      <c r="AB440" s="76"/>
      <c r="AC440" s="90" t="s">
        <v>91</v>
      </c>
      <c r="AD440" s="76" t="s">
        <v>91</v>
      </c>
      <c r="AE440" s="77"/>
      <c r="AF440" s="77"/>
      <c r="AG440" s="41" t="s">
        <v>91</v>
      </c>
    </row>
    <row r="441" spans="1:33" ht="21" hidden="1" x14ac:dyDescent="0.55000000000000004">
      <c r="A441" s="44" t="str">
        <f>Data!K440</f>
        <v>DPOW-CCHP</v>
      </c>
      <c r="B441" s="44" t="str">
        <f>Data!L440</f>
        <v>4143899880</v>
      </c>
      <c r="C441" s="44" t="str">
        <f>Data!D440</f>
        <v>Forrest, Lenora</v>
      </c>
      <c r="D441" s="82" t="str">
        <f>Data!F440</f>
        <v>5407108551</v>
      </c>
      <c r="E441" s="82" t="str">
        <f>Data!B440</f>
        <v>1982</v>
      </c>
      <c r="F441" s="44" t="str">
        <f>Data!A440</f>
        <v>Forrest, Lenora</v>
      </c>
      <c r="G441" s="55" t="str">
        <f>Data!C440</f>
        <v>10/28/1986</v>
      </c>
      <c r="H441" s="56">
        <f>Data!H440</f>
        <v>44518</v>
      </c>
      <c r="I441" s="56" t="str">
        <f>Data!I440</f>
        <v>12/1/2021</v>
      </c>
      <c r="J441" s="57">
        <f>Data!J440</f>
        <v>253.2</v>
      </c>
      <c r="K441" s="58">
        <f t="shared" ca="1" si="6"/>
        <v>169</v>
      </c>
      <c r="L441" s="58">
        <f>Data!M440</f>
        <v>0</v>
      </c>
      <c r="M441" s="37" t="s">
        <v>26</v>
      </c>
      <c r="N441" s="43" t="str">
        <f>VLOOKUP(M441,Table1[#All],3,FALSE)</f>
        <v>Note</v>
      </c>
      <c r="O441" s="40" t="str">
        <f>VLOOKUP(M441,Table1[#All],4,FALSE)</f>
        <v>Q1</v>
      </c>
      <c r="P441" s="39"/>
      <c r="Q441" s="40" t="str">
        <f>VLOOKUP(M441,Table1[#All],5,FALSE)</f>
        <v>Q2</v>
      </c>
      <c r="R441" s="79"/>
      <c r="S441" s="40" t="str">
        <f>VLOOKUP(M441,Table1[#All],6,FALSE)</f>
        <v>Q3</v>
      </c>
      <c r="T441" s="79"/>
      <c r="U441" s="40" t="str">
        <f>VLOOKUP(M441,Table1[#All],7,FALSE)</f>
        <v>Q4</v>
      </c>
      <c r="V441" s="79"/>
      <c r="W441" s="40" t="str">
        <f>VLOOKUP(M441,Table1[#All],8,FALSE)</f>
        <v>Q5</v>
      </c>
      <c r="X441" s="79"/>
      <c r="Y441" s="44" t="str">
        <f>VLOOKUP(M441,Table1[#All],2,FALSE)</f>
        <v>Action</v>
      </c>
      <c r="Z441" s="59" t="str">
        <f>VLOOKUP(M441,Table1[#All],9,FALSE)</f>
        <v>Additional Notes:</v>
      </c>
      <c r="AA441" s="76"/>
      <c r="AB441" s="76"/>
      <c r="AC441" s="90" t="s">
        <v>91</v>
      </c>
      <c r="AD441" s="76" t="s">
        <v>91</v>
      </c>
      <c r="AE441" s="77"/>
      <c r="AF441" s="77"/>
      <c r="AG441" s="41" t="s">
        <v>91</v>
      </c>
    </row>
    <row r="442" spans="1:33" ht="21" hidden="1" x14ac:dyDescent="0.55000000000000004">
      <c r="A442" s="44" t="str">
        <f>Data!K441</f>
        <v>DPOW-CCHP</v>
      </c>
      <c r="B442" s="44" t="str">
        <f>Data!L441</f>
        <v>4143899880</v>
      </c>
      <c r="C442" s="44" t="str">
        <f>Data!D441</f>
        <v xml:space="preserve">Cuccia Ramos, Liliana </v>
      </c>
      <c r="D442" s="82" t="str">
        <f>Data!F441</f>
        <v>3445324531</v>
      </c>
      <c r="E442" s="82" t="str">
        <f>Data!B441</f>
        <v>1661</v>
      </c>
      <c r="F442" s="44" t="str">
        <f>Data!A441</f>
        <v xml:space="preserve">Cuccia Ramos, Liliana </v>
      </c>
      <c r="G442" s="55" t="str">
        <f>Data!C441</f>
        <v>9/24/2013</v>
      </c>
      <c r="H442" s="56">
        <f>Data!H441</f>
        <v>44518</v>
      </c>
      <c r="I442" s="56" t="str">
        <f>Data!I441</f>
        <v>11/30/2021</v>
      </c>
      <c r="J442" s="57">
        <f>Data!J441</f>
        <v>365.6</v>
      </c>
      <c r="K442" s="58">
        <f t="shared" ca="1" si="6"/>
        <v>170</v>
      </c>
      <c r="L442" s="58">
        <f>Data!M441</f>
        <v>0</v>
      </c>
      <c r="M442" s="37" t="s">
        <v>26</v>
      </c>
      <c r="N442" s="43" t="str">
        <f>VLOOKUP(M442,Table1[#All],3,FALSE)</f>
        <v>Note</v>
      </c>
      <c r="O442" s="40" t="str">
        <f>VLOOKUP(M442,Table1[#All],4,FALSE)</f>
        <v>Q1</v>
      </c>
      <c r="P442" s="39"/>
      <c r="Q442" s="40" t="str">
        <f>VLOOKUP(M442,Table1[#All],5,FALSE)</f>
        <v>Q2</v>
      </c>
      <c r="R442" s="79"/>
      <c r="S442" s="40" t="str">
        <f>VLOOKUP(M442,Table1[#All],6,FALSE)</f>
        <v>Q3</v>
      </c>
      <c r="T442" s="79"/>
      <c r="U442" s="40" t="str">
        <f>VLOOKUP(M442,Table1[#All],7,FALSE)</f>
        <v>Q4</v>
      </c>
      <c r="V442" s="79"/>
      <c r="W442" s="40" t="str">
        <f>VLOOKUP(M442,Table1[#All],8,FALSE)</f>
        <v>Q5</v>
      </c>
      <c r="X442" s="79"/>
      <c r="Y442" s="44" t="str">
        <f>VLOOKUP(M442,Table1[#All],2,FALSE)</f>
        <v>Action</v>
      </c>
      <c r="Z442" s="59" t="str">
        <f>VLOOKUP(M442,Table1[#All],9,FALSE)</f>
        <v>Additional Notes:</v>
      </c>
      <c r="AA442" s="76"/>
      <c r="AB442" s="76"/>
      <c r="AC442" s="90" t="s">
        <v>91</v>
      </c>
      <c r="AD442" s="76" t="s">
        <v>91</v>
      </c>
      <c r="AE442" s="77"/>
      <c r="AF442" s="77"/>
      <c r="AG442" s="41" t="s">
        <v>91</v>
      </c>
    </row>
    <row r="443" spans="1:33" ht="21" hidden="1" x14ac:dyDescent="0.55000000000000004">
      <c r="A443" s="44" t="str">
        <f>Data!K442</f>
        <v>DPOW-CCHP</v>
      </c>
      <c r="B443" s="44" t="str">
        <f>Data!L442</f>
        <v>4143899880</v>
      </c>
      <c r="C443" s="44" t="str">
        <f>Data!D442</f>
        <v xml:space="preserve">Villa, Jaquelin </v>
      </c>
      <c r="D443" s="82" t="str">
        <f>Data!F442</f>
        <v>9418631296</v>
      </c>
      <c r="E443" s="82" t="str">
        <f>Data!B442</f>
        <v>8214</v>
      </c>
      <c r="F443" s="44" t="str">
        <f>Data!A442</f>
        <v xml:space="preserve">Villa, Jaquelin </v>
      </c>
      <c r="G443" s="55" t="str">
        <f>Data!C442</f>
        <v>10/17/2004</v>
      </c>
      <c r="H443" s="56">
        <f>Data!H442</f>
        <v>44518</v>
      </c>
      <c r="I443" s="56" t="str">
        <f>Data!I442</f>
        <v>11/30/2021</v>
      </c>
      <c r="J443" s="57">
        <f>Data!J442</f>
        <v>403.2</v>
      </c>
      <c r="K443" s="58">
        <f t="shared" ca="1" si="6"/>
        <v>170</v>
      </c>
      <c r="L443" s="58">
        <f>Data!M442</f>
        <v>0</v>
      </c>
      <c r="M443" s="37" t="s">
        <v>26</v>
      </c>
      <c r="N443" s="43" t="str">
        <f>VLOOKUP(M443,Table1[#All],3,FALSE)</f>
        <v>Note</v>
      </c>
      <c r="O443" s="40" t="str">
        <f>VLOOKUP(M443,Table1[#All],4,FALSE)</f>
        <v>Q1</v>
      </c>
      <c r="P443" s="39"/>
      <c r="Q443" s="40" t="str">
        <f>VLOOKUP(M443,Table1[#All],5,FALSE)</f>
        <v>Q2</v>
      </c>
      <c r="R443" s="79"/>
      <c r="S443" s="40" t="str">
        <f>VLOOKUP(M443,Table1[#All],6,FALSE)</f>
        <v>Q3</v>
      </c>
      <c r="T443" s="79"/>
      <c r="U443" s="40" t="str">
        <f>VLOOKUP(M443,Table1[#All],7,FALSE)</f>
        <v>Q4</v>
      </c>
      <c r="V443" s="79"/>
      <c r="W443" s="40" t="str">
        <f>VLOOKUP(M443,Table1[#All],8,FALSE)</f>
        <v>Q5</v>
      </c>
      <c r="X443" s="79"/>
      <c r="Y443" s="44" t="str">
        <f>VLOOKUP(M443,Table1[#All],2,FALSE)</f>
        <v>Action</v>
      </c>
      <c r="Z443" s="59" t="str">
        <f>VLOOKUP(M443,Table1[#All],9,FALSE)</f>
        <v>Additional Notes:</v>
      </c>
      <c r="AA443" s="76"/>
      <c r="AB443" s="76"/>
      <c r="AC443" s="90" t="s">
        <v>91</v>
      </c>
      <c r="AD443" s="76" t="s">
        <v>91</v>
      </c>
      <c r="AE443" s="77"/>
      <c r="AF443" s="77"/>
      <c r="AG443" s="41" t="s">
        <v>91</v>
      </c>
    </row>
    <row r="444" spans="1:33" ht="21" hidden="1" x14ac:dyDescent="0.55000000000000004">
      <c r="A444" s="44" t="str">
        <f>Data!K443</f>
        <v>DPOW-CCHP</v>
      </c>
      <c r="B444" s="44" t="str">
        <f>Data!L443</f>
        <v>4143899880</v>
      </c>
      <c r="C444" s="44" t="str">
        <f>Data!D443</f>
        <v>ASSIM, ALYAN</v>
      </c>
      <c r="D444" s="82" t="str">
        <f>Data!F443</f>
        <v>3442533333</v>
      </c>
      <c r="E444" s="82" t="str">
        <f>Data!B443</f>
        <v>3914</v>
      </c>
      <c r="F444" s="44" t="str">
        <f>Data!A443</f>
        <v>ASSIM, ALYAN</v>
      </c>
      <c r="G444" s="55" t="str">
        <f>Data!C443</f>
        <v>1/19/2012</v>
      </c>
      <c r="H444" s="56">
        <f>Data!H443</f>
        <v>44517</v>
      </c>
      <c r="I444" s="56" t="str">
        <f>Data!I443</f>
        <v>11/30/2021</v>
      </c>
      <c r="J444" s="57">
        <f>Data!J443</f>
        <v>227.6</v>
      </c>
      <c r="K444" s="58">
        <f t="shared" ca="1" si="6"/>
        <v>170</v>
      </c>
      <c r="L444" s="58">
        <f>Data!M443</f>
        <v>0</v>
      </c>
      <c r="M444" s="37" t="s">
        <v>26</v>
      </c>
      <c r="N444" s="43" t="str">
        <f>VLOOKUP(M444,Table1[#All],3,FALSE)</f>
        <v>Note</v>
      </c>
      <c r="O444" s="40" t="str">
        <f>VLOOKUP(M444,Table1[#All],4,FALSE)</f>
        <v>Q1</v>
      </c>
      <c r="P444" s="39"/>
      <c r="Q444" s="40" t="str">
        <f>VLOOKUP(M444,Table1[#All],5,FALSE)</f>
        <v>Q2</v>
      </c>
      <c r="R444" s="79"/>
      <c r="S444" s="40" t="str">
        <f>VLOOKUP(M444,Table1[#All],6,FALSE)</f>
        <v>Q3</v>
      </c>
      <c r="T444" s="79"/>
      <c r="U444" s="40" t="str">
        <f>VLOOKUP(M444,Table1[#All],7,FALSE)</f>
        <v>Q4</v>
      </c>
      <c r="V444" s="79"/>
      <c r="W444" s="40" t="str">
        <f>VLOOKUP(M444,Table1[#All],8,FALSE)</f>
        <v>Q5</v>
      </c>
      <c r="X444" s="79"/>
      <c r="Y444" s="44" t="str">
        <f>VLOOKUP(M444,Table1[#All],2,FALSE)</f>
        <v>Action</v>
      </c>
      <c r="Z444" s="59" t="str">
        <f>VLOOKUP(M444,Table1[#All],9,FALSE)</f>
        <v>Additional Notes:</v>
      </c>
      <c r="AA444" s="76"/>
      <c r="AB444" s="76"/>
      <c r="AC444" s="90" t="s">
        <v>91</v>
      </c>
      <c r="AD444" s="76" t="s">
        <v>91</v>
      </c>
      <c r="AE444" s="77"/>
      <c r="AF444" s="77"/>
      <c r="AG444" s="41" t="s">
        <v>91</v>
      </c>
    </row>
    <row r="445" spans="1:33" ht="21" hidden="1" x14ac:dyDescent="0.55000000000000004">
      <c r="A445" s="44" t="str">
        <f>Data!K444</f>
        <v>DPOW-CCHP</v>
      </c>
      <c r="B445" s="44" t="str">
        <f>Data!L444</f>
        <v>4143899880</v>
      </c>
      <c r="C445" s="44" t="str">
        <f>Data!D444</f>
        <v>ASSIM, YOUSIF</v>
      </c>
      <c r="D445" s="82" t="str">
        <f>Data!F444</f>
        <v>5447591759</v>
      </c>
      <c r="E445" s="82" t="str">
        <f>Data!B444</f>
        <v>3960</v>
      </c>
      <c r="F445" s="44" t="str">
        <f>Data!A444</f>
        <v>ASSIM, YOUSIF</v>
      </c>
      <c r="G445" s="55" t="str">
        <f>Data!C444</f>
        <v>1/26/2015</v>
      </c>
      <c r="H445" s="56">
        <f>Data!H444</f>
        <v>44517</v>
      </c>
      <c r="I445" s="56" t="str">
        <f>Data!I444</f>
        <v>11/30/2021</v>
      </c>
      <c r="J445" s="57">
        <f>Data!J444</f>
        <v>227.6</v>
      </c>
      <c r="K445" s="58">
        <f t="shared" ca="1" si="6"/>
        <v>170</v>
      </c>
      <c r="L445" s="58">
        <f>Data!M444</f>
        <v>0</v>
      </c>
      <c r="M445" s="37" t="s">
        <v>26</v>
      </c>
      <c r="N445" s="43" t="str">
        <f>VLOOKUP(M445,Table1[#All],3,FALSE)</f>
        <v>Note</v>
      </c>
      <c r="O445" s="40" t="str">
        <f>VLOOKUP(M445,Table1[#All],4,FALSE)</f>
        <v>Q1</v>
      </c>
      <c r="P445" s="39"/>
      <c r="Q445" s="40" t="str">
        <f>VLOOKUP(M445,Table1[#All],5,FALSE)</f>
        <v>Q2</v>
      </c>
      <c r="R445" s="79"/>
      <c r="S445" s="40" t="str">
        <f>VLOOKUP(M445,Table1[#All],6,FALSE)</f>
        <v>Q3</v>
      </c>
      <c r="T445" s="79"/>
      <c r="U445" s="40" t="str">
        <f>VLOOKUP(M445,Table1[#All],7,FALSE)</f>
        <v>Q4</v>
      </c>
      <c r="V445" s="79"/>
      <c r="W445" s="40" t="str">
        <f>VLOOKUP(M445,Table1[#All],8,FALSE)</f>
        <v>Q5</v>
      </c>
      <c r="X445" s="79"/>
      <c r="Y445" s="44" t="str">
        <f>VLOOKUP(M445,Table1[#All],2,FALSE)</f>
        <v>Action</v>
      </c>
      <c r="Z445" s="59" t="str">
        <f>VLOOKUP(M445,Table1[#All],9,FALSE)</f>
        <v>Additional Notes:</v>
      </c>
      <c r="AA445" s="76"/>
      <c r="AB445" s="76"/>
      <c r="AC445" s="90" t="s">
        <v>91</v>
      </c>
      <c r="AD445" s="76" t="s">
        <v>91</v>
      </c>
      <c r="AE445" s="77"/>
      <c r="AF445" s="77"/>
      <c r="AG445" s="41" t="s">
        <v>91</v>
      </c>
    </row>
    <row r="446" spans="1:33" ht="21" hidden="1" x14ac:dyDescent="0.55000000000000004">
      <c r="A446" s="44" t="str">
        <f>Data!K445</f>
        <v>DPOW-CCHP</v>
      </c>
      <c r="B446" s="44" t="str">
        <f>Data!L445</f>
        <v>4143899880</v>
      </c>
      <c r="C446" s="44" t="str">
        <f>Data!D445</f>
        <v xml:space="preserve">Gonzales, Olivia </v>
      </c>
      <c r="D446" s="82" t="str">
        <f>Data!F445</f>
        <v>3412199036</v>
      </c>
      <c r="E446" s="82" t="str">
        <f>Data!B445</f>
        <v>5419</v>
      </c>
      <c r="F446" s="44" t="str">
        <f>Data!A445</f>
        <v xml:space="preserve">Gonzales, Olivia </v>
      </c>
      <c r="G446" s="55" t="str">
        <f>Data!C445</f>
        <v>12/2/1990</v>
      </c>
      <c r="H446" s="56">
        <f>Data!H445</f>
        <v>44517</v>
      </c>
      <c r="I446" s="56" t="str">
        <f>Data!I445</f>
        <v>11/30/2021</v>
      </c>
      <c r="J446" s="57">
        <f>Data!J445</f>
        <v>287.60000000000002</v>
      </c>
      <c r="K446" s="58">
        <f t="shared" ca="1" si="6"/>
        <v>170</v>
      </c>
      <c r="L446" s="58">
        <f>Data!M445</f>
        <v>0</v>
      </c>
      <c r="M446" s="37" t="s">
        <v>26</v>
      </c>
      <c r="N446" s="43" t="str">
        <f>VLOOKUP(M446,Table1[#All],3,FALSE)</f>
        <v>Note</v>
      </c>
      <c r="O446" s="40" t="str">
        <f>VLOOKUP(M446,Table1[#All],4,FALSE)</f>
        <v>Q1</v>
      </c>
      <c r="P446" s="39"/>
      <c r="Q446" s="40" t="str">
        <f>VLOOKUP(M446,Table1[#All],5,FALSE)</f>
        <v>Q2</v>
      </c>
      <c r="R446" s="79"/>
      <c r="S446" s="40" t="str">
        <f>VLOOKUP(M446,Table1[#All],6,FALSE)</f>
        <v>Q3</v>
      </c>
      <c r="T446" s="79"/>
      <c r="U446" s="40" t="str">
        <f>VLOOKUP(M446,Table1[#All],7,FALSE)</f>
        <v>Q4</v>
      </c>
      <c r="V446" s="79"/>
      <c r="W446" s="40" t="str">
        <f>VLOOKUP(M446,Table1[#All],8,FALSE)</f>
        <v>Q5</v>
      </c>
      <c r="X446" s="79"/>
      <c r="Y446" s="44" t="str">
        <f>VLOOKUP(M446,Table1[#All],2,FALSE)</f>
        <v>Action</v>
      </c>
      <c r="Z446" s="59" t="str">
        <f>VLOOKUP(M446,Table1[#All],9,FALSE)</f>
        <v>Additional Notes:</v>
      </c>
      <c r="AA446" s="76"/>
      <c r="AB446" s="76"/>
      <c r="AC446" s="90" t="s">
        <v>91</v>
      </c>
      <c r="AD446" s="76" t="s">
        <v>91</v>
      </c>
      <c r="AE446" s="77"/>
      <c r="AF446" s="77"/>
      <c r="AG446" s="41" t="s">
        <v>91</v>
      </c>
    </row>
    <row r="447" spans="1:33" ht="21" hidden="1" x14ac:dyDescent="0.55000000000000004">
      <c r="A447" s="44" t="str">
        <f>Data!K446</f>
        <v>DPOW-CCHP</v>
      </c>
      <c r="B447" s="44" t="str">
        <f>Data!L446</f>
        <v>4143899880</v>
      </c>
      <c r="C447" s="44" t="str">
        <f>Data!D446</f>
        <v>Sconzert , Jennifer</v>
      </c>
      <c r="D447" s="82" t="str">
        <f>Data!F446</f>
        <v>8414635083</v>
      </c>
      <c r="E447" s="82" t="str">
        <f>Data!B446</f>
        <v>7983</v>
      </c>
      <c r="F447" s="44" t="str">
        <f>Data!A446</f>
        <v>Sconzert , Jennifer</v>
      </c>
      <c r="G447" s="55" t="str">
        <f>Data!C446</f>
        <v>4/26/1988</v>
      </c>
      <c r="H447" s="56">
        <f>Data!H446</f>
        <v>44516</v>
      </c>
      <c r="I447" s="56" t="str">
        <f>Data!I446</f>
        <v>11/30/2021</v>
      </c>
      <c r="J447" s="57">
        <f>Data!J446</f>
        <v>61.2</v>
      </c>
      <c r="K447" s="58">
        <f t="shared" ca="1" si="6"/>
        <v>170</v>
      </c>
      <c r="L447" s="58">
        <f>Data!M446</f>
        <v>0</v>
      </c>
      <c r="M447" s="37" t="s">
        <v>26</v>
      </c>
      <c r="N447" s="43" t="str">
        <f>VLOOKUP(M447,Table1[#All],3,FALSE)</f>
        <v>Note</v>
      </c>
      <c r="O447" s="40" t="str">
        <f>VLOOKUP(M447,Table1[#All],4,FALSE)</f>
        <v>Q1</v>
      </c>
      <c r="P447" s="39"/>
      <c r="Q447" s="40" t="str">
        <f>VLOOKUP(M447,Table1[#All],5,FALSE)</f>
        <v>Q2</v>
      </c>
      <c r="R447" s="79"/>
      <c r="S447" s="40" t="str">
        <f>VLOOKUP(M447,Table1[#All],6,FALSE)</f>
        <v>Q3</v>
      </c>
      <c r="T447" s="79"/>
      <c r="U447" s="40" t="str">
        <f>VLOOKUP(M447,Table1[#All],7,FALSE)</f>
        <v>Q4</v>
      </c>
      <c r="V447" s="79"/>
      <c r="W447" s="40" t="str">
        <f>VLOOKUP(M447,Table1[#All],8,FALSE)</f>
        <v>Q5</v>
      </c>
      <c r="X447" s="79"/>
      <c r="Y447" s="44" t="str">
        <f>VLOOKUP(M447,Table1[#All],2,FALSE)</f>
        <v>Action</v>
      </c>
      <c r="Z447" s="59" t="str">
        <f>VLOOKUP(M447,Table1[#All],9,FALSE)</f>
        <v>Additional Notes:</v>
      </c>
      <c r="AA447" s="76"/>
      <c r="AB447" s="76"/>
      <c r="AC447" s="90" t="s">
        <v>91</v>
      </c>
      <c r="AD447" s="76" t="s">
        <v>91</v>
      </c>
      <c r="AE447" s="77"/>
      <c r="AF447" s="77"/>
      <c r="AG447" s="41" t="s">
        <v>91</v>
      </c>
    </row>
    <row r="448" spans="1:33" ht="21" hidden="1" x14ac:dyDescent="0.55000000000000004">
      <c r="A448" s="44" t="str">
        <f>Data!K447</f>
        <v>DPOW-CCHP</v>
      </c>
      <c r="B448" s="44" t="str">
        <f>Data!L447</f>
        <v>4143899880</v>
      </c>
      <c r="C448" s="44" t="str">
        <f>Data!D447</f>
        <v xml:space="preserve">Emmanuel Hollow , Ishmael </v>
      </c>
      <c r="D448" s="82" t="str">
        <f>Data!F447</f>
        <v>8424118481</v>
      </c>
      <c r="E448" s="82" t="str">
        <f>Data!B447</f>
        <v>8480</v>
      </c>
      <c r="F448" s="44" t="str">
        <f>Data!A447</f>
        <v xml:space="preserve">Emmanuel Hollow , Ishmael </v>
      </c>
      <c r="G448" s="55" t="str">
        <f>Data!C447</f>
        <v>5/31/2005</v>
      </c>
      <c r="H448" s="56">
        <f>Data!H447</f>
        <v>44516</v>
      </c>
      <c r="I448" s="56" t="str">
        <f>Data!I447</f>
        <v>11/30/2021</v>
      </c>
      <c r="J448" s="57">
        <f>Data!J447</f>
        <v>199.2</v>
      </c>
      <c r="K448" s="58">
        <f t="shared" ca="1" si="6"/>
        <v>170</v>
      </c>
      <c r="L448" s="58">
        <f>Data!M447</f>
        <v>0</v>
      </c>
      <c r="M448" s="37" t="s">
        <v>26</v>
      </c>
      <c r="N448" s="43" t="str">
        <f>VLOOKUP(M448,Table1[#All],3,FALSE)</f>
        <v>Note</v>
      </c>
      <c r="O448" s="40" t="str">
        <f>VLOOKUP(M448,Table1[#All],4,FALSE)</f>
        <v>Q1</v>
      </c>
      <c r="P448" s="39"/>
      <c r="Q448" s="40" t="str">
        <f>VLOOKUP(M448,Table1[#All],5,FALSE)</f>
        <v>Q2</v>
      </c>
      <c r="R448" s="79"/>
      <c r="S448" s="40" t="str">
        <f>VLOOKUP(M448,Table1[#All],6,FALSE)</f>
        <v>Q3</v>
      </c>
      <c r="T448" s="79"/>
      <c r="U448" s="40" t="str">
        <f>VLOOKUP(M448,Table1[#All],7,FALSE)</f>
        <v>Q4</v>
      </c>
      <c r="V448" s="79"/>
      <c r="W448" s="40" t="str">
        <f>VLOOKUP(M448,Table1[#All],8,FALSE)</f>
        <v>Q5</v>
      </c>
      <c r="X448" s="79"/>
      <c r="Y448" s="44" t="str">
        <f>VLOOKUP(M448,Table1[#All],2,FALSE)</f>
        <v>Action</v>
      </c>
      <c r="Z448" s="59" t="str">
        <f>VLOOKUP(M448,Table1[#All],9,FALSE)</f>
        <v>Additional Notes:</v>
      </c>
      <c r="AA448" s="76"/>
      <c r="AB448" s="76"/>
      <c r="AC448" s="90" t="s">
        <v>91</v>
      </c>
      <c r="AD448" s="76" t="s">
        <v>91</v>
      </c>
      <c r="AE448" s="77"/>
      <c r="AF448" s="77"/>
      <c r="AG448" s="41" t="s">
        <v>91</v>
      </c>
    </row>
    <row r="449" spans="1:33" ht="21" hidden="1" x14ac:dyDescent="0.55000000000000004">
      <c r="A449" s="44" t="str">
        <f>Data!K448</f>
        <v>DPOW-CCHP</v>
      </c>
      <c r="B449" s="44" t="str">
        <f>Data!L448</f>
        <v>4143899880</v>
      </c>
      <c r="C449" s="44" t="str">
        <f>Data!D448</f>
        <v xml:space="preserve">Archibald , Veyda </v>
      </c>
      <c r="D449" s="82" t="str">
        <f>Data!F448</f>
        <v>0439245800</v>
      </c>
      <c r="E449" s="82" t="str">
        <f>Data!B448</f>
        <v>5568</v>
      </c>
      <c r="F449" s="44" t="str">
        <f>Data!A448</f>
        <v xml:space="preserve">Archibald , Veyda </v>
      </c>
      <c r="G449" s="55" t="str">
        <f>Data!C448</f>
        <v>10/5/2010</v>
      </c>
      <c r="H449" s="56">
        <f>Data!H448</f>
        <v>44516</v>
      </c>
      <c r="I449" s="56" t="str">
        <f>Data!I448</f>
        <v>11/30/2021</v>
      </c>
      <c r="J449" s="57">
        <f>Data!J448</f>
        <v>350.8</v>
      </c>
      <c r="K449" s="58">
        <f t="shared" ca="1" si="6"/>
        <v>170</v>
      </c>
      <c r="L449" s="58">
        <f>Data!M448</f>
        <v>0</v>
      </c>
      <c r="M449" s="37" t="s">
        <v>26</v>
      </c>
      <c r="N449" s="43" t="str">
        <f>VLOOKUP(M449,Table1[#All],3,FALSE)</f>
        <v>Note</v>
      </c>
      <c r="O449" s="40" t="str">
        <f>VLOOKUP(M449,Table1[#All],4,FALSE)</f>
        <v>Q1</v>
      </c>
      <c r="P449" s="39"/>
      <c r="Q449" s="40" t="str">
        <f>VLOOKUP(M449,Table1[#All],5,FALSE)</f>
        <v>Q2</v>
      </c>
      <c r="R449" s="79"/>
      <c r="S449" s="40" t="str">
        <f>VLOOKUP(M449,Table1[#All],6,FALSE)</f>
        <v>Q3</v>
      </c>
      <c r="T449" s="79"/>
      <c r="U449" s="40" t="str">
        <f>VLOOKUP(M449,Table1[#All],7,FALSE)</f>
        <v>Q4</v>
      </c>
      <c r="V449" s="79"/>
      <c r="W449" s="40" t="str">
        <f>VLOOKUP(M449,Table1[#All],8,FALSE)</f>
        <v>Q5</v>
      </c>
      <c r="X449" s="79"/>
      <c r="Y449" s="44" t="str">
        <f>VLOOKUP(M449,Table1[#All],2,FALSE)</f>
        <v>Action</v>
      </c>
      <c r="Z449" s="59" t="str">
        <f>VLOOKUP(M449,Table1[#All],9,FALSE)</f>
        <v>Additional Notes:</v>
      </c>
      <c r="AA449" s="76"/>
      <c r="AB449" s="76"/>
      <c r="AC449" s="90" t="s">
        <v>91</v>
      </c>
      <c r="AD449" s="76" t="s">
        <v>91</v>
      </c>
      <c r="AE449" s="77"/>
      <c r="AF449" s="77"/>
      <c r="AG449" s="41" t="s">
        <v>91</v>
      </c>
    </row>
    <row r="450" spans="1:33" ht="21" hidden="1" x14ac:dyDescent="0.55000000000000004">
      <c r="A450" s="44" t="str">
        <f>Data!K449</f>
        <v>DPOW-CCHP</v>
      </c>
      <c r="B450" s="44" t="str">
        <f>Data!L449</f>
        <v>4143899880</v>
      </c>
      <c r="C450" s="44" t="str">
        <f>Data!D449</f>
        <v>Lee, Urya</v>
      </c>
      <c r="D450" s="82" t="str">
        <f>Data!F449</f>
        <v>9416912492</v>
      </c>
      <c r="E450" s="82" t="str">
        <f>Data!B449</f>
        <v>1750</v>
      </c>
      <c r="F450" s="44" t="str">
        <f>Data!A449</f>
        <v>Lee, Urya</v>
      </c>
      <c r="G450" s="55" t="str">
        <f>Data!C449</f>
        <v>9/28/1993</v>
      </c>
      <c r="H450" s="56">
        <f>Data!H449</f>
        <v>44515</v>
      </c>
      <c r="I450" s="56" t="str">
        <f>Data!I449</f>
        <v>11/30/2021</v>
      </c>
      <c r="J450" s="57">
        <f>Data!J449</f>
        <v>88.8</v>
      </c>
      <c r="K450" s="58">
        <f t="shared" ca="1" si="6"/>
        <v>170</v>
      </c>
      <c r="L450" s="58">
        <f>Data!M449</f>
        <v>0</v>
      </c>
      <c r="M450" s="37" t="s">
        <v>26</v>
      </c>
      <c r="N450" s="43" t="str">
        <f>VLOOKUP(M450,Table1[#All],3,FALSE)</f>
        <v>Note</v>
      </c>
      <c r="O450" s="40" t="str">
        <f>VLOOKUP(M450,Table1[#All],4,FALSE)</f>
        <v>Q1</v>
      </c>
      <c r="P450" s="39"/>
      <c r="Q450" s="40" t="str">
        <f>VLOOKUP(M450,Table1[#All],5,FALSE)</f>
        <v>Q2</v>
      </c>
      <c r="R450" s="79"/>
      <c r="S450" s="40" t="str">
        <f>VLOOKUP(M450,Table1[#All],6,FALSE)</f>
        <v>Q3</v>
      </c>
      <c r="T450" s="79"/>
      <c r="U450" s="40" t="str">
        <f>VLOOKUP(M450,Table1[#All],7,FALSE)</f>
        <v>Q4</v>
      </c>
      <c r="V450" s="79"/>
      <c r="W450" s="40" t="str">
        <f>VLOOKUP(M450,Table1[#All],8,FALSE)</f>
        <v>Q5</v>
      </c>
      <c r="X450" s="79"/>
      <c r="Y450" s="44" t="str">
        <f>VLOOKUP(M450,Table1[#All],2,FALSE)</f>
        <v>Action</v>
      </c>
      <c r="Z450" s="59" t="str">
        <f>VLOOKUP(M450,Table1[#All],9,FALSE)</f>
        <v>Additional Notes:</v>
      </c>
      <c r="AA450" s="76"/>
      <c r="AB450" s="76"/>
      <c r="AC450" s="90" t="s">
        <v>91</v>
      </c>
      <c r="AD450" s="76" t="s">
        <v>91</v>
      </c>
      <c r="AE450" s="77"/>
      <c r="AF450" s="77"/>
      <c r="AG450" s="41" t="s">
        <v>91</v>
      </c>
    </row>
    <row r="451" spans="1:33" ht="21" hidden="1" x14ac:dyDescent="0.55000000000000004">
      <c r="A451" s="44" t="str">
        <f>Data!K450</f>
        <v>DPOW-CCHP</v>
      </c>
      <c r="B451" s="44" t="str">
        <f>Data!L450</f>
        <v>4143899880</v>
      </c>
      <c r="C451" s="44" t="str">
        <f>Data!D450</f>
        <v xml:space="preserve">Vazquez, Niomy </v>
      </c>
      <c r="D451" s="82" t="str">
        <f>Data!F450</f>
        <v>1414563116</v>
      </c>
      <c r="E451" s="82" t="str">
        <f>Data!B450</f>
        <v>6646</v>
      </c>
      <c r="F451" s="44" t="str">
        <f>Data!A450</f>
        <v xml:space="preserve">Vazquez, Niomy </v>
      </c>
      <c r="G451" s="55" t="str">
        <f>Data!C450</f>
        <v>5/13/1989</v>
      </c>
      <c r="H451" s="56">
        <f>Data!H450</f>
        <v>44518</v>
      </c>
      <c r="I451" s="56" t="str">
        <f>Data!I450</f>
        <v>11/30/2021</v>
      </c>
      <c r="J451" s="57">
        <f>Data!J450</f>
        <v>505.2</v>
      </c>
      <c r="K451" s="58">
        <f t="shared" ca="1" si="6"/>
        <v>170</v>
      </c>
      <c r="L451" s="58">
        <f>Data!M450</f>
        <v>0</v>
      </c>
      <c r="M451" s="37" t="s">
        <v>26</v>
      </c>
      <c r="N451" s="43" t="str">
        <f>VLOOKUP(M451,Table1[#All],3,FALSE)</f>
        <v>Note</v>
      </c>
      <c r="O451" s="40" t="str">
        <f>VLOOKUP(M451,Table1[#All],4,FALSE)</f>
        <v>Q1</v>
      </c>
      <c r="P451" s="39"/>
      <c r="Q451" s="40" t="str">
        <f>VLOOKUP(M451,Table1[#All],5,FALSE)</f>
        <v>Q2</v>
      </c>
      <c r="R451" s="79"/>
      <c r="S451" s="40" t="str">
        <f>VLOOKUP(M451,Table1[#All],6,FALSE)</f>
        <v>Q3</v>
      </c>
      <c r="T451" s="79"/>
      <c r="U451" s="40" t="str">
        <f>VLOOKUP(M451,Table1[#All],7,FALSE)</f>
        <v>Q4</v>
      </c>
      <c r="V451" s="79"/>
      <c r="W451" s="40" t="str">
        <f>VLOOKUP(M451,Table1[#All],8,FALSE)</f>
        <v>Q5</v>
      </c>
      <c r="X451" s="79"/>
      <c r="Y451" s="44" t="str">
        <f>VLOOKUP(M451,Table1[#All],2,FALSE)</f>
        <v>Action</v>
      </c>
      <c r="Z451" s="59" t="str">
        <f>VLOOKUP(M451,Table1[#All],9,FALSE)</f>
        <v>Additional Notes:</v>
      </c>
      <c r="AA451" s="76"/>
      <c r="AB451" s="76"/>
      <c r="AC451" s="90" t="s">
        <v>91</v>
      </c>
      <c r="AD451" s="76" t="s">
        <v>91</v>
      </c>
      <c r="AE451" s="77"/>
      <c r="AF451" s="77"/>
      <c r="AG451" s="41" t="s">
        <v>91</v>
      </c>
    </row>
    <row r="452" spans="1:33" ht="21" hidden="1" x14ac:dyDescent="0.55000000000000004">
      <c r="A452" s="44" t="str">
        <f>Data!K451</f>
        <v>DPOW-CCHP</v>
      </c>
      <c r="B452" s="44" t="str">
        <f>Data!L451</f>
        <v>4143899880</v>
      </c>
      <c r="C452" s="44" t="str">
        <f>Data!D451</f>
        <v xml:space="preserve">Lee , Isa </v>
      </c>
      <c r="D452" s="82" t="str">
        <f>Data!F451</f>
        <v>0453436609</v>
      </c>
      <c r="E452" s="82" t="str">
        <f>Data!B451</f>
        <v>8421</v>
      </c>
      <c r="F452" s="44" t="str">
        <f>Data!A451</f>
        <v xml:space="preserve">Lee , Isa </v>
      </c>
      <c r="G452" s="55" t="str">
        <f>Data!C451</f>
        <v>7/19/2018</v>
      </c>
      <c r="H452" s="56">
        <f>Data!H451</f>
        <v>44518</v>
      </c>
      <c r="I452" s="56" t="str">
        <f>Data!I451</f>
        <v>11/30/2021</v>
      </c>
      <c r="J452" s="57">
        <f>Data!J451</f>
        <v>166.8</v>
      </c>
      <c r="K452" s="58">
        <f t="shared" ca="1" si="6"/>
        <v>170</v>
      </c>
      <c r="L452" s="58">
        <f>Data!M451</f>
        <v>0</v>
      </c>
      <c r="M452" s="37" t="s">
        <v>26</v>
      </c>
      <c r="N452" s="43" t="str">
        <f>VLOOKUP(M452,Table1[#All],3,FALSE)</f>
        <v>Note</v>
      </c>
      <c r="O452" s="40" t="str">
        <f>VLOOKUP(M452,Table1[#All],4,FALSE)</f>
        <v>Q1</v>
      </c>
      <c r="P452" s="39"/>
      <c r="Q452" s="40" t="str">
        <f>VLOOKUP(M452,Table1[#All],5,FALSE)</f>
        <v>Q2</v>
      </c>
      <c r="R452" s="79"/>
      <c r="S452" s="40" t="str">
        <f>VLOOKUP(M452,Table1[#All],6,FALSE)</f>
        <v>Q3</v>
      </c>
      <c r="T452" s="79"/>
      <c r="U452" s="40" t="str">
        <f>VLOOKUP(M452,Table1[#All],7,FALSE)</f>
        <v>Q4</v>
      </c>
      <c r="V452" s="79"/>
      <c r="W452" s="40" t="str">
        <f>VLOOKUP(M452,Table1[#All],8,FALSE)</f>
        <v>Q5</v>
      </c>
      <c r="X452" s="79"/>
      <c r="Y452" s="44" t="str">
        <f>VLOOKUP(M452,Table1[#All],2,FALSE)</f>
        <v>Action</v>
      </c>
      <c r="Z452" s="59" t="str">
        <f>VLOOKUP(M452,Table1[#All],9,FALSE)</f>
        <v>Additional Notes:</v>
      </c>
      <c r="AA452" s="76"/>
      <c r="AB452" s="76"/>
      <c r="AC452" s="90" t="s">
        <v>91</v>
      </c>
      <c r="AD452" s="76" t="s">
        <v>91</v>
      </c>
      <c r="AE452" s="77"/>
      <c r="AF452" s="77"/>
      <c r="AG452" s="41" t="s">
        <v>91</v>
      </c>
    </row>
    <row r="453" spans="1:33" ht="21" hidden="1" x14ac:dyDescent="0.55000000000000004">
      <c r="A453" s="44" t="str">
        <f>Data!K452</f>
        <v>DPOW-CCHP</v>
      </c>
      <c r="B453" s="44" t="str">
        <f>Data!L452</f>
        <v>4143899880</v>
      </c>
      <c r="C453" s="44" t="str">
        <f>Data!D452</f>
        <v>Payne, Michael</v>
      </c>
      <c r="D453" s="82" t="str">
        <f>Data!F452</f>
        <v>1441048618</v>
      </c>
      <c r="E453" s="82" t="str">
        <f>Data!B452</f>
        <v>3514</v>
      </c>
      <c r="F453" s="44" t="str">
        <f>Data!A452</f>
        <v>Payne, Michael</v>
      </c>
      <c r="G453" s="55" t="str">
        <f>Data!C452</f>
        <v>9/8/2011</v>
      </c>
      <c r="H453" s="56">
        <f>Data!H452</f>
        <v>44515</v>
      </c>
      <c r="I453" s="56" t="str">
        <f>Data!I452</f>
        <v>11/30/2021</v>
      </c>
      <c r="J453" s="57">
        <f>Data!J452</f>
        <v>244.4</v>
      </c>
      <c r="K453" s="58">
        <f t="shared" ca="1" si="6"/>
        <v>170</v>
      </c>
      <c r="L453" s="58">
        <f>Data!M452</f>
        <v>0</v>
      </c>
      <c r="M453" s="37" t="s">
        <v>26</v>
      </c>
      <c r="N453" s="43" t="str">
        <f>VLOOKUP(M453,Table1[#All],3,FALSE)</f>
        <v>Note</v>
      </c>
      <c r="O453" s="40" t="str">
        <f>VLOOKUP(M453,Table1[#All],4,FALSE)</f>
        <v>Q1</v>
      </c>
      <c r="P453" s="39"/>
      <c r="Q453" s="40" t="str">
        <f>VLOOKUP(M453,Table1[#All],5,FALSE)</f>
        <v>Q2</v>
      </c>
      <c r="R453" s="79"/>
      <c r="S453" s="40" t="str">
        <f>VLOOKUP(M453,Table1[#All],6,FALSE)</f>
        <v>Q3</v>
      </c>
      <c r="T453" s="79"/>
      <c r="U453" s="40" t="str">
        <f>VLOOKUP(M453,Table1[#All],7,FALSE)</f>
        <v>Q4</v>
      </c>
      <c r="V453" s="79"/>
      <c r="W453" s="40" t="str">
        <f>VLOOKUP(M453,Table1[#All],8,FALSE)</f>
        <v>Q5</v>
      </c>
      <c r="X453" s="79"/>
      <c r="Y453" s="44" t="str">
        <f>VLOOKUP(M453,Table1[#All],2,FALSE)</f>
        <v>Action</v>
      </c>
      <c r="Z453" s="59" t="str">
        <f>VLOOKUP(M453,Table1[#All],9,FALSE)</f>
        <v>Additional Notes:</v>
      </c>
      <c r="AA453" s="76"/>
      <c r="AB453" s="76"/>
      <c r="AC453" s="90" t="s">
        <v>91</v>
      </c>
      <c r="AD453" s="76" t="s">
        <v>91</v>
      </c>
      <c r="AE453" s="77"/>
      <c r="AF453" s="77"/>
      <c r="AG453" s="41" t="s">
        <v>91</v>
      </c>
    </row>
    <row r="454" spans="1:33" ht="21" hidden="1" x14ac:dyDescent="0.55000000000000004">
      <c r="A454" s="44" t="str">
        <f>Data!K453</f>
        <v>DPOW-CCHP</v>
      </c>
      <c r="B454" s="44" t="str">
        <f>Data!L453</f>
        <v>4143899880</v>
      </c>
      <c r="C454" s="44" t="str">
        <f>Data!D453</f>
        <v>RAMSEY, COURTNEY</v>
      </c>
      <c r="D454" s="82" t="str">
        <f>Data!F453</f>
        <v>4430083541</v>
      </c>
      <c r="E454" s="82" t="str">
        <f>Data!B453</f>
        <v>3447</v>
      </c>
      <c r="F454" s="44" t="str">
        <f>Data!A453</f>
        <v>RAMSEY, COURTNEY</v>
      </c>
      <c r="G454" s="55" t="str">
        <f>Data!C453</f>
        <v>12/31/1990</v>
      </c>
      <c r="H454" s="56">
        <f>Data!H453</f>
        <v>44515</v>
      </c>
      <c r="I454" s="56" t="str">
        <f>Data!I453</f>
        <v>11/30/2021</v>
      </c>
      <c r="J454" s="57">
        <f>Data!J453</f>
        <v>138</v>
      </c>
      <c r="K454" s="58">
        <f t="shared" ref="K454:K482" ca="1" si="7">TODAY()-I454</f>
        <v>170</v>
      </c>
      <c r="L454" s="58">
        <f>Data!M453</f>
        <v>0</v>
      </c>
      <c r="M454" s="37" t="s">
        <v>26</v>
      </c>
      <c r="N454" s="43" t="str">
        <f>VLOOKUP(M454,Table1[#All],3,FALSE)</f>
        <v>Note</v>
      </c>
      <c r="O454" s="40" t="str">
        <f>VLOOKUP(M454,Table1[#All],4,FALSE)</f>
        <v>Q1</v>
      </c>
      <c r="P454" s="39"/>
      <c r="Q454" s="40" t="str">
        <f>VLOOKUP(M454,Table1[#All],5,FALSE)</f>
        <v>Q2</v>
      </c>
      <c r="R454" s="79"/>
      <c r="S454" s="40" t="str">
        <f>VLOOKUP(M454,Table1[#All],6,FALSE)</f>
        <v>Q3</v>
      </c>
      <c r="T454" s="79"/>
      <c r="U454" s="40" t="str">
        <f>VLOOKUP(M454,Table1[#All],7,FALSE)</f>
        <v>Q4</v>
      </c>
      <c r="V454" s="79"/>
      <c r="W454" s="40" t="str">
        <f>VLOOKUP(M454,Table1[#All],8,FALSE)</f>
        <v>Q5</v>
      </c>
      <c r="X454" s="79"/>
      <c r="Y454" s="44" t="str">
        <f>VLOOKUP(M454,Table1[#All],2,FALSE)</f>
        <v>Action</v>
      </c>
      <c r="Z454" s="59" t="str">
        <f>VLOOKUP(M454,Table1[#All],9,FALSE)</f>
        <v>Additional Notes:</v>
      </c>
      <c r="AA454" s="76"/>
      <c r="AB454" s="76"/>
      <c r="AC454" s="90" t="s">
        <v>91</v>
      </c>
      <c r="AD454" s="76" t="s">
        <v>91</v>
      </c>
      <c r="AE454" s="77"/>
      <c r="AF454" s="77"/>
      <c r="AG454" s="41" t="s">
        <v>91</v>
      </c>
    </row>
    <row r="455" spans="1:33" ht="21" hidden="1" x14ac:dyDescent="0.55000000000000004">
      <c r="A455" s="44" t="str">
        <f>Data!K454</f>
        <v>DPOW-CCHP</v>
      </c>
      <c r="B455" s="44" t="str">
        <f>Data!L454</f>
        <v>4143899880</v>
      </c>
      <c r="C455" s="44" t="str">
        <f>Data!D454</f>
        <v>Gonzalez, Ayden</v>
      </c>
      <c r="D455" s="82" t="str">
        <f>Data!F454</f>
        <v>3446681931</v>
      </c>
      <c r="E455" s="82" t="str">
        <f>Data!B454</f>
        <v>752</v>
      </c>
      <c r="F455" s="44" t="str">
        <f>Data!A454</f>
        <v>Gonzalez, Ayden</v>
      </c>
      <c r="G455" s="55" t="str">
        <f>Data!C454</f>
        <v>8/9/2014</v>
      </c>
      <c r="H455" s="56">
        <f>Data!H454</f>
        <v>44515</v>
      </c>
      <c r="I455" s="56" t="str">
        <f>Data!I454</f>
        <v>11/18/2021</v>
      </c>
      <c r="J455" s="57">
        <f>Data!J454</f>
        <v>82.8</v>
      </c>
      <c r="K455" s="58">
        <f t="shared" ca="1" si="7"/>
        <v>182</v>
      </c>
      <c r="L455" s="58">
        <f>Data!M454</f>
        <v>0</v>
      </c>
      <c r="M455" s="37" t="s">
        <v>26</v>
      </c>
      <c r="N455" s="43" t="str">
        <f>VLOOKUP(M455,Table1[#All],3,FALSE)</f>
        <v>Note</v>
      </c>
      <c r="O455" s="40" t="str">
        <f>VLOOKUP(M455,Table1[#All],4,FALSE)</f>
        <v>Q1</v>
      </c>
      <c r="P455" s="39"/>
      <c r="Q455" s="40" t="str">
        <f>VLOOKUP(M455,Table1[#All],5,FALSE)</f>
        <v>Q2</v>
      </c>
      <c r="R455" s="79"/>
      <c r="S455" s="40" t="str">
        <f>VLOOKUP(M455,Table1[#All],6,FALSE)</f>
        <v>Q3</v>
      </c>
      <c r="T455" s="79"/>
      <c r="U455" s="40" t="str">
        <f>VLOOKUP(M455,Table1[#All],7,FALSE)</f>
        <v>Q4</v>
      </c>
      <c r="V455" s="79"/>
      <c r="W455" s="40" t="str">
        <f>VLOOKUP(M455,Table1[#All],8,FALSE)</f>
        <v>Q5</v>
      </c>
      <c r="X455" s="79"/>
      <c r="Y455" s="44" t="str">
        <f>VLOOKUP(M455,Table1[#All],2,FALSE)</f>
        <v>Action</v>
      </c>
      <c r="Z455" s="59" t="str">
        <f>VLOOKUP(M455,Table1[#All],9,FALSE)</f>
        <v>Additional Notes:</v>
      </c>
      <c r="AA455" s="76"/>
      <c r="AB455" s="76"/>
      <c r="AC455" s="90" t="s">
        <v>91</v>
      </c>
      <c r="AD455" s="76" t="s">
        <v>91</v>
      </c>
      <c r="AE455" s="77"/>
      <c r="AF455" s="77"/>
      <c r="AG455" s="41" t="s">
        <v>91</v>
      </c>
    </row>
    <row r="456" spans="1:33" ht="21" hidden="1" x14ac:dyDescent="0.55000000000000004">
      <c r="A456" s="44" t="str">
        <f>Data!K455</f>
        <v>DPOW-CCHP</v>
      </c>
      <c r="B456" s="44" t="str">
        <f>Data!L455</f>
        <v>4143899880</v>
      </c>
      <c r="C456" s="44" t="str">
        <f>Data!D455</f>
        <v xml:space="preserve">Maldonado, Jadxel </v>
      </c>
      <c r="D456" s="82" t="str">
        <f>Data!F455</f>
        <v>0448178109</v>
      </c>
      <c r="E456" s="82" t="str">
        <f>Data!B455</f>
        <v>5240</v>
      </c>
      <c r="F456" s="44" t="str">
        <f>Data!A455</f>
        <v xml:space="preserve">Maldonado, Jadxel </v>
      </c>
      <c r="G456" s="55" t="str">
        <f>Data!C455</f>
        <v>5/23/2015</v>
      </c>
      <c r="H456" s="56">
        <f>Data!H455</f>
        <v>44515</v>
      </c>
      <c r="I456" s="56" t="str">
        <f>Data!I455</f>
        <v>11/18/2021</v>
      </c>
      <c r="J456" s="57">
        <f>Data!J455</f>
        <v>278.39999999999998</v>
      </c>
      <c r="K456" s="58">
        <f t="shared" ca="1" si="7"/>
        <v>182</v>
      </c>
      <c r="L456" s="58">
        <f>Data!M455</f>
        <v>0</v>
      </c>
      <c r="M456" s="37" t="s">
        <v>26</v>
      </c>
      <c r="N456" s="43" t="str">
        <f>VLOOKUP(M456,Table1[#All],3,FALSE)</f>
        <v>Note</v>
      </c>
      <c r="O456" s="40" t="str">
        <f>VLOOKUP(M456,Table1[#All],4,FALSE)</f>
        <v>Q1</v>
      </c>
      <c r="P456" s="39"/>
      <c r="Q456" s="40" t="str">
        <f>VLOOKUP(M456,Table1[#All],5,FALSE)</f>
        <v>Q2</v>
      </c>
      <c r="R456" s="79"/>
      <c r="S456" s="40" t="str">
        <f>VLOOKUP(M456,Table1[#All],6,FALSE)</f>
        <v>Q3</v>
      </c>
      <c r="T456" s="79"/>
      <c r="U456" s="40" t="str">
        <f>VLOOKUP(M456,Table1[#All],7,FALSE)</f>
        <v>Q4</v>
      </c>
      <c r="V456" s="79"/>
      <c r="W456" s="40" t="str">
        <f>VLOOKUP(M456,Table1[#All],8,FALSE)</f>
        <v>Q5</v>
      </c>
      <c r="X456" s="79"/>
      <c r="Y456" s="44" t="str">
        <f>VLOOKUP(M456,Table1[#All],2,FALSE)</f>
        <v>Action</v>
      </c>
      <c r="Z456" s="59" t="str">
        <f>VLOOKUP(M456,Table1[#All],9,FALSE)</f>
        <v>Additional Notes:</v>
      </c>
      <c r="AA456" s="76"/>
      <c r="AB456" s="76"/>
      <c r="AC456" s="90" t="s">
        <v>91</v>
      </c>
      <c r="AD456" s="76" t="s">
        <v>91</v>
      </c>
      <c r="AE456" s="77"/>
      <c r="AF456" s="77"/>
      <c r="AG456" s="41" t="s">
        <v>91</v>
      </c>
    </row>
    <row r="457" spans="1:33" ht="21" hidden="1" x14ac:dyDescent="0.55000000000000004">
      <c r="A457" s="44" t="str">
        <f>Data!K456</f>
        <v>DPOW-CCHP</v>
      </c>
      <c r="B457" s="44" t="str">
        <f>Data!L456</f>
        <v>4143899880</v>
      </c>
      <c r="C457" s="44" t="str">
        <f>Data!D456</f>
        <v>Mohammed, Sadiya</v>
      </c>
      <c r="D457" s="82" t="str">
        <f>Data!F456</f>
        <v>3447163933</v>
      </c>
      <c r="E457" s="82" t="str">
        <f>Data!B456</f>
        <v>7348</v>
      </c>
      <c r="F457" s="44" t="str">
        <f>Data!A456</f>
        <v>Mohammed, Sadiya</v>
      </c>
      <c r="G457" s="55" t="str">
        <f>Data!C456</f>
        <v>1/1/1985</v>
      </c>
      <c r="H457" s="56">
        <f>Data!H456</f>
        <v>44513</v>
      </c>
      <c r="I457" s="56" t="str">
        <f>Data!I456</f>
        <v>11/18/2021</v>
      </c>
      <c r="J457" s="57">
        <f>Data!J456</f>
        <v>138</v>
      </c>
      <c r="K457" s="58">
        <f t="shared" ca="1" si="7"/>
        <v>182</v>
      </c>
      <c r="L457" s="58">
        <f>Data!M456</f>
        <v>0</v>
      </c>
      <c r="M457" s="37" t="s">
        <v>26</v>
      </c>
      <c r="N457" s="43" t="str">
        <f>VLOOKUP(M457,Table1[#All],3,FALSE)</f>
        <v>Note</v>
      </c>
      <c r="O457" s="40" t="str">
        <f>VLOOKUP(M457,Table1[#All],4,FALSE)</f>
        <v>Q1</v>
      </c>
      <c r="P457" s="39"/>
      <c r="Q457" s="40" t="str">
        <f>VLOOKUP(M457,Table1[#All],5,FALSE)</f>
        <v>Q2</v>
      </c>
      <c r="R457" s="79"/>
      <c r="S457" s="40" t="str">
        <f>VLOOKUP(M457,Table1[#All],6,FALSE)</f>
        <v>Q3</v>
      </c>
      <c r="T457" s="79"/>
      <c r="U457" s="40" t="str">
        <f>VLOOKUP(M457,Table1[#All],7,FALSE)</f>
        <v>Q4</v>
      </c>
      <c r="V457" s="79"/>
      <c r="W457" s="40" t="str">
        <f>VLOOKUP(M457,Table1[#All],8,FALSE)</f>
        <v>Q5</v>
      </c>
      <c r="X457" s="79"/>
      <c r="Y457" s="44" t="str">
        <f>VLOOKUP(M457,Table1[#All],2,FALSE)</f>
        <v>Action</v>
      </c>
      <c r="Z457" s="59" t="str">
        <f>VLOOKUP(M457,Table1[#All],9,FALSE)</f>
        <v>Additional Notes:</v>
      </c>
      <c r="AA457" s="76"/>
      <c r="AB457" s="76"/>
      <c r="AC457" s="90" t="s">
        <v>91</v>
      </c>
      <c r="AD457" s="76" t="s">
        <v>91</v>
      </c>
      <c r="AE457" s="77"/>
      <c r="AF457" s="77"/>
      <c r="AG457" s="41" t="s">
        <v>91</v>
      </c>
    </row>
    <row r="458" spans="1:33" ht="21" hidden="1" x14ac:dyDescent="0.55000000000000004">
      <c r="A458" s="44" t="str">
        <f>Data!K457</f>
        <v>DPOW-CCHP</v>
      </c>
      <c r="B458" s="44" t="str">
        <f>Data!L457</f>
        <v>4143899880</v>
      </c>
      <c r="C458" s="44" t="str">
        <f>Data!D457</f>
        <v xml:space="preserve">Nelson, Amy </v>
      </c>
      <c r="D458" s="82" t="str">
        <f>Data!F457</f>
        <v>2436866627</v>
      </c>
      <c r="E458" s="82" t="str">
        <f>Data!B457</f>
        <v>7273</v>
      </c>
      <c r="F458" s="44" t="str">
        <f>Data!A457</f>
        <v xml:space="preserve">Nelson, Amy </v>
      </c>
      <c r="G458" s="55" t="str">
        <f>Data!C457</f>
        <v>5/9/1991</v>
      </c>
      <c r="H458" s="56">
        <f>Data!H457</f>
        <v>44512</v>
      </c>
      <c r="I458" s="56" t="str">
        <f>Data!I457</f>
        <v>11/18/2021</v>
      </c>
      <c r="J458" s="57">
        <f>Data!J457</f>
        <v>285.60000000000002</v>
      </c>
      <c r="K458" s="58">
        <f t="shared" ca="1" si="7"/>
        <v>182</v>
      </c>
      <c r="L458" s="58">
        <f>Data!M457</f>
        <v>0</v>
      </c>
      <c r="M458" s="37" t="s">
        <v>26</v>
      </c>
      <c r="N458" s="43" t="str">
        <f>VLOOKUP(M458,Table1[#All],3,FALSE)</f>
        <v>Note</v>
      </c>
      <c r="O458" s="40" t="str">
        <f>VLOOKUP(M458,Table1[#All],4,FALSE)</f>
        <v>Q1</v>
      </c>
      <c r="P458" s="39"/>
      <c r="Q458" s="40" t="str">
        <f>VLOOKUP(M458,Table1[#All],5,FALSE)</f>
        <v>Q2</v>
      </c>
      <c r="R458" s="79"/>
      <c r="S458" s="40" t="str">
        <f>VLOOKUP(M458,Table1[#All],6,FALSE)</f>
        <v>Q3</v>
      </c>
      <c r="T458" s="79"/>
      <c r="U458" s="40" t="str">
        <f>VLOOKUP(M458,Table1[#All],7,FALSE)</f>
        <v>Q4</v>
      </c>
      <c r="V458" s="79"/>
      <c r="W458" s="40" t="str">
        <f>VLOOKUP(M458,Table1[#All],8,FALSE)</f>
        <v>Q5</v>
      </c>
      <c r="X458" s="79"/>
      <c r="Y458" s="44" t="str">
        <f>VLOOKUP(M458,Table1[#All],2,FALSE)</f>
        <v>Action</v>
      </c>
      <c r="Z458" s="59" t="str">
        <f>VLOOKUP(M458,Table1[#All],9,FALSE)</f>
        <v>Additional Notes:</v>
      </c>
      <c r="AA458" s="76"/>
      <c r="AB458" s="76"/>
      <c r="AC458" s="90" t="s">
        <v>91</v>
      </c>
      <c r="AD458" s="76" t="s">
        <v>91</v>
      </c>
      <c r="AE458" s="77"/>
      <c r="AF458" s="77"/>
      <c r="AG458" s="41" t="s">
        <v>91</v>
      </c>
    </row>
    <row r="459" spans="1:33" ht="21" hidden="1" x14ac:dyDescent="0.55000000000000004">
      <c r="A459" s="44" t="str">
        <f>Data!K458</f>
        <v>DPOW-CCHP</v>
      </c>
      <c r="B459" s="44" t="str">
        <f>Data!L458</f>
        <v>4143899880</v>
      </c>
      <c r="C459" s="44" t="str">
        <f>Data!D458</f>
        <v xml:space="preserve">Torres Santos , Aracelis </v>
      </c>
      <c r="D459" s="82" t="str">
        <f>Data!F458</f>
        <v>3424097632</v>
      </c>
      <c r="E459" s="82" t="str">
        <f>Data!B458</f>
        <v>5798</v>
      </c>
      <c r="F459" s="44" t="str">
        <f>Data!A458</f>
        <v xml:space="preserve">Torres Santos , Aracelis </v>
      </c>
      <c r="G459" s="55" t="str">
        <f>Data!C458</f>
        <v>7/9/1995</v>
      </c>
      <c r="H459" s="56">
        <f>Data!H458</f>
        <v>44512</v>
      </c>
      <c r="I459" s="56" t="str">
        <f>Data!I458</f>
        <v>11/18/2021</v>
      </c>
      <c r="J459" s="57">
        <f>Data!J458</f>
        <v>314.39999999999998</v>
      </c>
      <c r="K459" s="58">
        <f t="shared" ca="1" si="7"/>
        <v>182</v>
      </c>
      <c r="L459" s="58">
        <f>Data!M458</f>
        <v>0</v>
      </c>
      <c r="M459" s="37" t="s">
        <v>26</v>
      </c>
      <c r="N459" s="43" t="str">
        <f>VLOOKUP(M459,Table1[#All],3,FALSE)</f>
        <v>Note</v>
      </c>
      <c r="O459" s="40" t="str">
        <f>VLOOKUP(M459,Table1[#All],4,FALSE)</f>
        <v>Q1</v>
      </c>
      <c r="P459" s="39"/>
      <c r="Q459" s="40" t="str">
        <f>VLOOKUP(M459,Table1[#All],5,FALSE)</f>
        <v>Q2</v>
      </c>
      <c r="R459" s="79"/>
      <c r="S459" s="40" t="str">
        <f>VLOOKUP(M459,Table1[#All],6,FALSE)</f>
        <v>Q3</v>
      </c>
      <c r="T459" s="79"/>
      <c r="U459" s="40" t="str">
        <f>VLOOKUP(M459,Table1[#All],7,FALSE)</f>
        <v>Q4</v>
      </c>
      <c r="V459" s="79"/>
      <c r="W459" s="40" t="str">
        <f>VLOOKUP(M459,Table1[#All],8,FALSE)</f>
        <v>Q5</v>
      </c>
      <c r="X459" s="79"/>
      <c r="Y459" s="44" t="str">
        <f>VLOOKUP(M459,Table1[#All],2,FALSE)</f>
        <v>Action</v>
      </c>
      <c r="Z459" s="59" t="str">
        <f>VLOOKUP(M459,Table1[#All],9,FALSE)</f>
        <v>Additional Notes:</v>
      </c>
      <c r="AA459" s="76"/>
      <c r="AB459" s="76"/>
      <c r="AC459" s="90" t="s">
        <v>91</v>
      </c>
      <c r="AD459" s="76" t="s">
        <v>91</v>
      </c>
      <c r="AE459" s="77"/>
      <c r="AF459" s="77"/>
      <c r="AG459" s="41" t="s">
        <v>91</v>
      </c>
    </row>
    <row r="460" spans="1:33" ht="21" hidden="1" x14ac:dyDescent="0.55000000000000004">
      <c r="A460" s="44" t="str">
        <f>Data!K459</f>
        <v>DPOW-CCHP</v>
      </c>
      <c r="B460" s="44" t="str">
        <f>Data!L459</f>
        <v>4143899880</v>
      </c>
      <c r="C460" s="44" t="str">
        <f>Data!D459</f>
        <v xml:space="preserve">Martinez Perez , Shaelys </v>
      </c>
      <c r="D460" s="82" t="str">
        <f>Data!F459</f>
        <v>1452171718</v>
      </c>
      <c r="E460" s="82" t="str">
        <f>Data!B459</f>
        <v>5533</v>
      </c>
      <c r="F460" s="44" t="str">
        <f>Data!A459</f>
        <v xml:space="preserve">Martinez Perez , Shaelys </v>
      </c>
      <c r="G460" s="55" t="str">
        <f>Data!C459</f>
        <v>10/17/2013</v>
      </c>
      <c r="H460" s="56">
        <f>Data!H459</f>
        <v>44511</v>
      </c>
      <c r="I460" s="56" t="str">
        <f>Data!I459</f>
        <v>11/12/2021</v>
      </c>
      <c r="J460" s="57">
        <f>Data!J459</f>
        <v>935.6</v>
      </c>
      <c r="K460" s="58">
        <f t="shared" ca="1" si="7"/>
        <v>188</v>
      </c>
      <c r="L460" s="58">
        <f>Data!M459</f>
        <v>0</v>
      </c>
      <c r="M460" s="37" t="s">
        <v>26</v>
      </c>
      <c r="N460" s="43" t="str">
        <f>VLOOKUP(M460,Table1[#All],3,FALSE)</f>
        <v>Note</v>
      </c>
      <c r="O460" s="40" t="str">
        <f>VLOOKUP(M460,Table1[#All],4,FALSE)</f>
        <v>Q1</v>
      </c>
      <c r="P460" s="39"/>
      <c r="Q460" s="40" t="str">
        <f>VLOOKUP(M460,Table1[#All],5,FALSE)</f>
        <v>Q2</v>
      </c>
      <c r="R460" s="79"/>
      <c r="S460" s="40" t="str">
        <f>VLOOKUP(M460,Table1[#All],6,FALSE)</f>
        <v>Q3</v>
      </c>
      <c r="T460" s="79"/>
      <c r="U460" s="40" t="str">
        <f>VLOOKUP(M460,Table1[#All],7,FALSE)</f>
        <v>Q4</v>
      </c>
      <c r="V460" s="79"/>
      <c r="W460" s="40" t="str">
        <f>VLOOKUP(M460,Table1[#All],8,FALSE)</f>
        <v>Q5</v>
      </c>
      <c r="X460" s="79"/>
      <c r="Y460" s="44" t="str">
        <f>VLOOKUP(M460,Table1[#All],2,FALSE)</f>
        <v>Action</v>
      </c>
      <c r="Z460" s="59" t="str">
        <f>VLOOKUP(M460,Table1[#All],9,FALSE)</f>
        <v>Additional Notes:</v>
      </c>
      <c r="AA460" s="76"/>
      <c r="AB460" s="76"/>
      <c r="AC460" s="90" t="s">
        <v>91</v>
      </c>
      <c r="AD460" s="76" t="s">
        <v>91</v>
      </c>
      <c r="AE460" s="77"/>
      <c r="AF460" s="77"/>
      <c r="AG460" s="41" t="s">
        <v>91</v>
      </c>
    </row>
    <row r="461" spans="1:33" ht="21" hidden="1" x14ac:dyDescent="0.55000000000000004">
      <c r="A461" s="44" t="str">
        <f>Data!K460</f>
        <v>DPOW-CCHP</v>
      </c>
      <c r="B461" s="44" t="str">
        <f>Data!L460</f>
        <v>4143899880</v>
      </c>
      <c r="C461" s="44" t="str">
        <f>Data!D460</f>
        <v>Tapia Cruz, Bertha Alicia</v>
      </c>
      <c r="D461" s="82" t="str">
        <f>Data!F460</f>
        <v>2428283022</v>
      </c>
      <c r="E461" s="82" t="str">
        <f>Data!B460</f>
        <v>5256</v>
      </c>
      <c r="F461" s="44" t="str">
        <f>Data!A460</f>
        <v>Tapia Cruz, Bertha Alicia</v>
      </c>
      <c r="G461" s="55" t="str">
        <f>Data!C460</f>
        <v>1/14/1987</v>
      </c>
      <c r="H461" s="56">
        <f>Data!H460</f>
        <v>44511</v>
      </c>
      <c r="I461" s="56" t="str">
        <f>Data!I460</f>
        <v>11/12/2021</v>
      </c>
      <c r="J461" s="57">
        <f>Data!J460</f>
        <v>404</v>
      </c>
      <c r="K461" s="58">
        <f t="shared" ca="1" si="7"/>
        <v>188</v>
      </c>
      <c r="L461" s="58">
        <f>Data!M460</f>
        <v>0</v>
      </c>
      <c r="M461" s="37" t="s">
        <v>26</v>
      </c>
      <c r="N461" s="43" t="str">
        <f>VLOOKUP(M461,Table1[#All],3,FALSE)</f>
        <v>Note</v>
      </c>
      <c r="O461" s="40" t="str">
        <f>VLOOKUP(M461,Table1[#All],4,FALSE)</f>
        <v>Q1</v>
      </c>
      <c r="P461" s="39"/>
      <c r="Q461" s="40" t="str">
        <f>VLOOKUP(M461,Table1[#All],5,FALSE)</f>
        <v>Q2</v>
      </c>
      <c r="R461" s="79"/>
      <c r="S461" s="40" t="str">
        <f>VLOOKUP(M461,Table1[#All],6,FALSE)</f>
        <v>Q3</v>
      </c>
      <c r="T461" s="79"/>
      <c r="U461" s="40" t="str">
        <f>VLOOKUP(M461,Table1[#All],7,FALSE)</f>
        <v>Q4</v>
      </c>
      <c r="V461" s="79"/>
      <c r="W461" s="40" t="str">
        <f>VLOOKUP(M461,Table1[#All],8,FALSE)</f>
        <v>Q5</v>
      </c>
      <c r="X461" s="79"/>
      <c r="Y461" s="44" t="str">
        <f>VLOOKUP(M461,Table1[#All],2,FALSE)</f>
        <v>Action</v>
      </c>
      <c r="Z461" s="59" t="str">
        <f>VLOOKUP(M461,Table1[#All],9,FALSE)</f>
        <v>Additional Notes:</v>
      </c>
      <c r="AA461" s="76"/>
      <c r="AB461" s="76"/>
      <c r="AC461" s="90" t="s">
        <v>91</v>
      </c>
      <c r="AD461" s="76" t="s">
        <v>91</v>
      </c>
      <c r="AE461" s="77"/>
      <c r="AF461" s="77"/>
      <c r="AG461" s="41" t="s">
        <v>91</v>
      </c>
    </row>
    <row r="462" spans="1:33" ht="21" hidden="1" x14ac:dyDescent="0.55000000000000004">
      <c r="A462" s="44" t="str">
        <f>Data!K461</f>
        <v>DPOW-CCHP</v>
      </c>
      <c r="B462" s="44" t="str">
        <f>Data!L461</f>
        <v>4143899880</v>
      </c>
      <c r="C462" s="44" t="str">
        <f>Data!D461</f>
        <v xml:space="preserve">Martinez Perez, Ezequiel </v>
      </c>
      <c r="D462" s="82" t="str">
        <f>Data!F461</f>
        <v>0452171709</v>
      </c>
      <c r="E462" s="82" t="str">
        <f>Data!B461</f>
        <v>5532</v>
      </c>
      <c r="F462" s="44" t="str">
        <f>Data!A461</f>
        <v xml:space="preserve">Martinez Perez, Ezequiel </v>
      </c>
      <c r="G462" s="55" t="str">
        <f>Data!C461</f>
        <v>7/2/2012</v>
      </c>
      <c r="H462" s="56">
        <f>Data!H461</f>
        <v>44511</v>
      </c>
      <c r="I462" s="56" t="str">
        <f>Data!I461</f>
        <v>11/12/2021</v>
      </c>
      <c r="J462" s="57">
        <f>Data!J461</f>
        <v>532</v>
      </c>
      <c r="K462" s="58">
        <f t="shared" ca="1" si="7"/>
        <v>188</v>
      </c>
      <c r="L462" s="58">
        <f>Data!M461</f>
        <v>0</v>
      </c>
      <c r="M462" s="37" t="s">
        <v>26</v>
      </c>
      <c r="N462" s="43" t="str">
        <f>VLOOKUP(M462,Table1[#All],3,FALSE)</f>
        <v>Note</v>
      </c>
      <c r="O462" s="40" t="str">
        <f>VLOOKUP(M462,Table1[#All],4,FALSE)</f>
        <v>Q1</v>
      </c>
      <c r="P462" s="39"/>
      <c r="Q462" s="40" t="str">
        <f>VLOOKUP(M462,Table1[#All],5,FALSE)</f>
        <v>Q2</v>
      </c>
      <c r="R462" s="79"/>
      <c r="S462" s="40" t="str">
        <f>VLOOKUP(M462,Table1[#All],6,FALSE)</f>
        <v>Q3</v>
      </c>
      <c r="T462" s="79"/>
      <c r="U462" s="40" t="str">
        <f>VLOOKUP(M462,Table1[#All],7,FALSE)</f>
        <v>Q4</v>
      </c>
      <c r="V462" s="79"/>
      <c r="W462" s="40" t="str">
        <f>VLOOKUP(M462,Table1[#All],8,FALSE)</f>
        <v>Q5</v>
      </c>
      <c r="X462" s="79"/>
      <c r="Y462" s="44" t="str">
        <f>VLOOKUP(M462,Table1[#All],2,FALSE)</f>
        <v>Action</v>
      </c>
      <c r="Z462" s="59" t="str">
        <f>VLOOKUP(M462,Table1[#All],9,FALSE)</f>
        <v>Additional Notes:</v>
      </c>
      <c r="AA462" s="76"/>
      <c r="AB462" s="76"/>
      <c r="AC462" s="90" t="s">
        <v>91</v>
      </c>
      <c r="AD462" s="76" t="s">
        <v>91</v>
      </c>
      <c r="AE462" s="77"/>
      <c r="AF462" s="77"/>
      <c r="AG462" s="41" t="s">
        <v>91</v>
      </c>
    </row>
    <row r="463" spans="1:33" ht="21" hidden="1" x14ac:dyDescent="0.55000000000000004">
      <c r="A463" s="44" t="str">
        <f>Data!K462</f>
        <v>DPOW-CCHP</v>
      </c>
      <c r="B463" s="44" t="str">
        <f>Data!L462</f>
        <v>4143899880</v>
      </c>
      <c r="C463" s="44" t="str">
        <f>Data!D462</f>
        <v xml:space="preserve">Perez , Branden </v>
      </c>
      <c r="D463" s="82" t="str">
        <f>Data!F462</f>
        <v>0429013809</v>
      </c>
      <c r="E463" s="82" t="str">
        <f>Data!B462</f>
        <v>5735</v>
      </c>
      <c r="F463" s="44" t="str">
        <f>Data!A462</f>
        <v xml:space="preserve">Perez , Branden </v>
      </c>
      <c r="G463" s="55" t="str">
        <f>Data!C462</f>
        <v>7/24/2007</v>
      </c>
      <c r="H463" s="56">
        <f>Data!H462</f>
        <v>44511</v>
      </c>
      <c r="I463" s="56" t="str">
        <f>Data!I462</f>
        <v>11/12/2021</v>
      </c>
      <c r="J463" s="57">
        <f>Data!J462</f>
        <v>108</v>
      </c>
      <c r="K463" s="58">
        <f t="shared" ca="1" si="7"/>
        <v>188</v>
      </c>
      <c r="L463" s="58">
        <f>Data!M462</f>
        <v>0</v>
      </c>
      <c r="M463" s="37" t="s">
        <v>26</v>
      </c>
      <c r="N463" s="43" t="str">
        <f>VLOOKUP(M463,Table1[#All],3,FALSE)</f>
        <v>Note</v>
      </c>
      <c r="O463" s="40" t="str">
        <f>VLOOKUP(M463,Table1[#All],4,FALSE)</f>
        <v>Q1</v>
      </c>
      <c r="P463" s="39"/>
      <c r="Q463" s="40" t="str">
        <f>VLOOKUP(M463,Table1[#All],5,FALSE)</f>
        <v>Q2</v>
      </c>
      <c r="R463" s="79"/>
      <c r="S463" s="40" t="str">
        <f>VLOOKUP(M463,Table1[#All],6,FALSE)</f>
        <v>Q3</v>
      </c>
      <c r="T463" s="79"/>
      <c r="U463" s="40" t="str">
        <f>VLOOKUP(M463,Table1[#All],7,FALSE)</f>
        <v>Q4</v>
      </c>
      <c r="V463" s="79"/>
      <c r="W463" s="40" t="str">
        <f>VLOOKUP(M463,Table1[#All],8,FALSE)</f>
        <v>Q5</v>
      </c>
      <c r="X463" s="79"/>
      <c r="Y463" s="44" t="str">
        <f>VLOOKUP(M463,Table1[#All],2,FALSE)</f>
        <v>Action</v>
      </c>
      <c r="Z463" s="59" t="str">
        <f>VLOOKUP(M463,Table1[#All],9,FALSE)</f>
        <v>Additional Notes:</v>
      </c>
      <c r="AA463" s="76"/>
      <c r="AB463" s="76"/>
      <c r="AC463" s="90" t="s">
        <v>91</v>
      </c>
      <c r="AD463" s="76" t="s">
        <v>91</v>
      </c>
      <c r="AE463" s="77"/>
      <c r="AF463" s="77"/>
      <c r="AG463" s="41" t="s">
        <v>91</v>
      </c>
    </row>
    <row r="464" spans="1:33" ht="21" hidden="1" x14ac:dyDescent="0.55000000000000004">
      <c r="A464" s="44" t="str">
        <f>Data!K463</f>
        <v>DPOW-CCHP</v>
      </c>
      <c r="B464" s="44" t="str">
        <f>Data!L463</f>
        <v>4143899880</v>
      </c>
      <c r="C464" s="44" t="str">
        <f>Data!D463</f>
        <v>Kindred, Latesha</v>
      </c>
      <c r="D464" s="82" t="str">
        <f>Data!F463</f>
        <v>0445207205</v>
      </c>
      <c r="E464" s="82" t="str">
        <f>Data!B463</f>
        <v>8039</v>
      </c>
      <c r="F464" s="44" t="str">
        <f>Data!A463</f>
        <v>Kindred, Latesha</v>
      </c>
      <c r="G464" s="55" t="str">
        <f>Data!C463</f>
        <v>2/8/1988</v>
      </c>
      <c r="H464" s="56">
        <f>Data!H463</f>
        <v>44511</v>
      </c>
      <c r="I464" s="56" t="str">
        <f>Data!I463</f>
        <v>11/12/2021</v>
      </c>
      <c r="J464" s="57">
        <f>Data!J463</f>
        <v>432</v>
      </c>
      <c r="K464" s="58">
        <f t="shared" ca="1" si="7"/>
        <v>188</v>
      </c>
      <c r="L464" s="58">
        <f>Data!M463</f>
        <v>0</v>
      </c>
      <c r="M464" s="37" t="s">
        <v>26</v>
      </c>
      <c r="N464" s="43" t="str">
        <f>VLOOKUP(M464,Table1[#All],3,FALSE)</f>
        <v>Note</v>
      </c>
      <c r="O464" s="40" t="str">
        <f>VLOOKUP(M464,Table1[#All],4,FALSE)</f>
        <v>Q1</v>
      </c>
      <c r="P464" s="39"/>
      <c r="Q464" s="40" t="str">
        <f>VLOOKUP(M464,Table1[#All],5,FALSE)</f>
        <v>Q2</v>
      </c>
      <c r="R464" s="79"/>
      <c r="S464" s="40" t="str">
        <f>VLOOKUP(M464,Table1[#All],6,FALSE)</f>
        <v>Q3</v>
      </c>
      <c r="T464" s="79"/>
      <c r="U464" s="40" t="str">
        <f>VLOOKUP(M464,Table1[#All],7,FALSE)</f>
        <v>Q4</v>
      </c>
      <c r="V464" s="79"/>
      <c r="W464" s="40" t="str">
        <f>VLOOKUP(M464,Table1[#All],8,FALSE)</f>
        <v>Q5</v>
      </c>
      <c r="X464" s="79"/>
      <c r="Y464" s="44" t="str">
        <f>VLOOKUP(M464,Table1[#All],2,FALSE)</f>
        <v>Action</v>
      </c>
      <c r="Z464" s="59" t="str">
        <f>VLOOKUP(M464,Table1[#All],9,FALSE)</f>
        <v>Additional Notes:</v>
      </c>
      <c r="AA464" s="76"/>
      <c r="AB464" s="76"/>
      <c r="AC464" s="90" t="s">
        <v>91</v>
      </c>
      <c r="AD464" s="76" t="s">
        <v>91</v>
      </c>
      <c r="AE464" s="77"/>
      <c r="AF464" s="77"/>
      <c r="AG464" s="41" t="s">
        <v>91</v>
      </c>
    </row>
    <row r="465" spans="1:33" ht="21" hidden="1" x14ac:dyDescent="0.55000000000000004">
      <c r="A465" s="44" t="str">
        <f>Data!K464</f>
        <v>DPOW-CCHP</v>
      </c>
      <c r="B465" s="44" t="str">
        <f>Data!L464</f>
        <v>4143899880</v>
      </c>
      <c r="C465" s="44" t="str">
        <f>Data!D464</f>
        <v>Lee, Isaiah</v>
      </c>
      <c r="D465" s="82" t="str">
        <f>Data!F464</f>
        <v>2451192925</v>
      </c>
      <c r="E465" s="82" t="str">
        <f>Data!B464</f>
        <v>1749</v>
      </c>
      <c r="F465" s="44" t="str">
        <f>Data!A464</f>
        <v>Lee, Isaiah</v>
      </c>
      <c r="G465" s="55" t="str">
        <f>Data!C464</f>
        <v>2/12/2017</v>
      </c>
      <c r="H465" s="56">
        <f>Data!H464</f>
        <v>44510</v>
      </c>
      <c r="I465" s="56" t="str">
        <f>Data!I464</f>
        <v>11/12/2021</v>
      </c>
      <c r="J465" s="57">
        <f>Data!J464</f>
        <v>227.6</v>
      </c>
      <c r="K465" s="58">
        <f t="shared" ca="1" si="7"/>
        <v>188</v>
      </c>
      <c r="L465" s="58">
        <f>Data!M464</f>
        <v>0</v>
      </c>
      <c r="M465" s="37" t="s">
        <v>26</v>
      </c>
      <c r="N465" s="43" t="str">
        <f>VLOOKUP(M465,Table1[#All],3,FALSE)</f>
        <v>Note</v>
      </c>
      <c r="O465" s="40" t="str">
        <f>VLOOKUP(M465,Table1[#All],4,FALSE)</f>
        <v>Q1</v>
      </c>
      <c r="P465" s="39"/>
      <c r="Q465" s="40" t="str">
        <f>VLOOKUP(M465,Table1[#All],5,FALSE)</f>
        <v>Q2</v>
      </c>
      <c r="R465" s="79"/>
      <c r="S465" s="40" t="str">
        <f>VLOOKUP(M465,Table1[#All],6,FALSE)</f>
        <v>Q3</v>
      </c>
      <c r="T465" s="79"/>
      <c r="U465" s="40" t="str">
        <f>VLOOKUP(M465,Table1[#All],7,FALSE)</f>
        <v>Q4</v>
      </c>
      <c r="V465" s="79"/>
      <c r="W465" s="40" t="str">
        <f>VLOOKUP(M465,Table1[#All],8,FALSE)</f>
        <v>Q5</v>
      </c>
      <c r="X465" s="79"/>
      <c r="Y465" s="44" t="str">
        <f>VLOOKUP(M465,Table1[#All],2,FALSE)</f>
        <v>Action</v>
      </c>
      <c r="Z465" s="59" t="str">
        <f>VLOOKUP(M465,Table1[#All],9,FALSE)</f>
        <v>Additional Notes:</v>
      </c>
      <c r="AA465" s="76"/>
      <c r="AB465" s="76"/>
      <c r="AC465" s="90" t="s">
        <v>91</v>
      </c>
      <c r="AD465" s="76" t="s">
        <v>91</v>
      </c>
      <c r="AE465" s="77"/>
      <c r="AF465" s="77"/>
      <c r="AG465" s="41" t="s">
        <v>91</v>
      </c>
    </row>
    <row r="466" spans="1:33" ht="21" hidden="1" x14ac:dyDescent="0.55000000000000004">
      <c r="A466" s="44" t="str">
        <f>Data!K465</f>
        <v>DPOW-CCHP</v>
      </c>
      <c r="B466" s="44" t="str">
        <f>Data!L465</f>
        <v>4143899880</v>
      </c>
      <c r="C466" s="44" t="str">
        <f>Data!D465</f>
        <v>Sharma , Sanjeev</v>
      </c>
      <c r="D466" s="82" t="str">
        <f>Data!F465</f>
        <v>9445104099</v>
      </c>
      <c r="E466" s="82" t="str">
        <f>Data!B465</f>
        <v>8347</v>
      </c>
      <c r="F466" s="44" t="str">
        <f>Data!A465</f>
        <v>Sharma , Sanjeev</v>
      </c>
      <c r="G466" s="55" t="str">
        <f>Data!C465</f>
        <v>12/6/1978</v>
      </c>
      <c r="H466" s="56">
        <f>Data!H465</f>
        <v>44510</v>
      </c>
      <c r="I466" s="56" t="str">
        <f>Data!I465</f>
        <v>11/12/2021</v>
      </c>
      <c r="J466" s="57">
        <f>Data!J465</f>
        <v>82.8</v>
      </c>
      <c r="K466" s="58">
        <f t="shared" ca="1" si="7"/>
        <v>188</v>
      </c>
      <c r="L466" s="58">
        <f>Data!M465</f>
        <v>0</v>
      </c>
      <c r="M466" s="37" t="s">
        <v>26</v>
      </c>
      <c r="N466" s="43" t="str">
        <f>VLOOKUP(M466,Table1[#All],3,FALSE)</f>
        <v>Note</v>
      </c>
      <c r="O466" s="40" t="str">
        <f>VLOOKUP(M466,Table1[#All],4,FALSE)</f>
        <v>Q1</v>
      </c>
      <c r="P466" s="39"/>
      <c r="Q466" s="40" t="str">
        <f>VLOOKUP(M466,Table1[#All],5,FALSE)</f>
        <v>Q2</v>
      </c>
      <c r="R466" s="79"/>
      <c r="S466" s="40" t="str">
        <f>VLOOKUP(M466,Table1[#All],6,FALSE)</f>
        <v>Q3</v>
      </c>
      <c r="T466" s="79"/>
      <c r="U466" s="40" t="str">
        <f>VLOOKUP(M466,Table1[#All],7,FALSE)</f>
        <v>Q4</v>
      </c>
      <c r="V466" s="79"/>
      <c r="W466" s="40" t="str">
        <f>VLOOKUP(M466,Table1[#All],8,FALSE)</f>
        <v>Q5</v>
      </c>
      <c r="X466" s="79"/>
      <c r="Y466" s="44" t="str">
        <f>VLOOKUP(M466,Table1[#All],2,FALSE)</f>
        <v>Action</v>
      </c>
      <c r="Z466" s="59" t="str">
        <f>VLOOKUP(M466,Table1[#All],9,FALSE)</f>
        <v>Additional Notes:</v>
      </c>
      <c r="AA466" s="76"/>
      <c r="AB466" s="76"/>
      <c r="AC466" s="90" t="s">
        <v>91</v>
      </c>
      <c r="AD466" s="76" t="s">
        <v>91</v>
      </c>
      <c r="AE466" s="77"/>
      <c r="AF466" s="77"/>
      <c r="AG466" s="41" t="s">
        <v>91</v>
      </c>
    </row>
    <row r="467" spans="1:33" ht="21" hidden="1" x14ac:dyDescent="0.55000000000000004">
      <c r="A467" s="44" t="str">
        <f>Data!K466</f>
        <v>DPOW-CCHP</v>
      </c>
      <c r="B467" s="44" t="str">
        <f>Data!L466</f>
        <v>4143899880</v>
      </c>
      <c r="C467" s="44" t="str">
        <f>Data!D466</f>
        <v xml:space="preserve">Lee , Isarella </v>
      </c>
      <c r="D467" s="82" t="str">
        <f>Data!F466</f>
        <v>1455552518</v>
      </c>
      <c r="E467" s="82" t="str">
        <f>Data!B466</f>
        <v>8420</v>
      </c>
      <c r="F467" s="44" t="str">
        <f>Data!A466</f>
        <v xml:space="preserve">Lee , Isarella </v>
      </c>
      <c r="G467" s="55" t="str">
        <f>Data!C466</f>
        <v>7/25/2019</v>
      </c>
      <c r="H467" s="56">
        <f>Data!H466</f>
        <v>44510</v>
      </c>
      <c r="I467" s="56" t="str">
        <f>Data!I466</f>
        <v>11/12/2021</v>
      </c>
      <c r="J467" s="57">
        <f>Data!J466</f>
        <v>166.8</v>
      </c>
      <c r="K467" s="58">
        <f t="shared" ca="1" si="7"/>
        <v>188</v>
      </c>
      <c r="L467" s="58">
        <f>Data!M466</f>
        <v>0</v>
      </c>
      <c r="M467" s="37" t="s">
        <v>26</v>
      </c>
      <c r="N467" s="43" t="str">
        <f>VLOOKUP(M467,Table1[#All],3,FALSE)</f>
        <v>Note</v>
      </c>
      <c r="O467" s="40" t="str">
        <f>VLOOKUP(M467,Table1[#All],4,FALSE)</f>
        <v>Q1</v>
      </c>
      <c r="P467" s="39"/>
      <c r="Q467" s="40" t="str">
        <f>VLOOKUP(M467,Table1[#All],5,FALSE)</f>
        <v>Q2</v>
      </c>
      <c r="R467" s="79"/>
      <c r="S467" s="40" t="str">
        <f>VLOOKUP(M467,Table1[#All],6,FALSE)</f>
        <v>Q3</v>
      </c>
      <c r="T467" s="79"/>
      <c r="U467" s="40" t="str">
        <f>VLOOKUP(M467,Table1[#All],7,FALSE)</f>
        <v>Q4</v>
      </c>
      <c r="V467" s="79"/>
      <c r="W467" s="40" t="str">
        <f>VLOOKUP(M467,Table1[#All],8,FALSE)</f>
        <v>Q5</v>
      </c>
      <c r="X467" s="79"/>
      <c r="Y467" s="44" t="str">
        <f>VLOOKUP(M467,Table1[#All],2,FALSE)</f>
        <v>Action</v>
      </c>
      <c r="Z467" s="59" t="str">
        <f>VLOOKUP(M467,Table1[#All],9,FALSE)</f>
        <v>Additional Notes:</v>
      </c>
      <c r="AA467" s="76"/>
      <c r="AB467" s="76"/>
      <c r="AC467" s="90" t="s">
        <v>91</v>
      </c>
      <c r="AD467" s="76" t="s">
        <v>91</v>
      </c>
      <c r="AE467" s="77"/>
      <c r="AF467" s="77"/>
      <c r="AG467" s="41" t="s">
        <v>91</v>
      </c>
    </row>
    <row r="468" spans="1:33" ht="21" hidden="1" x14ac:dyDescent="0.55000000000000004">
      <c r="A468" s="44" t="str">
        <f>Data!K467</f>
        <v>DPOW-CCHP</v>
      </c>
      <c r="B468" s="44" t="str">
        <f>Data!L467</f>
        <v>4143899880</v>
      </c>
      <c r="C468" s="44" t="str">
        <f>Data!D467</f>
        <v>Williams , Caden</v>
      </c>
      <c r="D468" s="82" t="str">
        <f>Data!F467</f>
        <v>3428264339</v>
      </c>
      <c r="E468" s="82" t="str">
        <f>Data!B467</f>
        <v>8299</v>
      </c>
      <c r="F468" s="44" t="str">
        <f>Data!A467</f>
        <v>Williams , Caden</v>
      </c>
      <c r="G468" s="55" t="str">
        <f>Data!C467</f>
        <v>1/25/2007</v>
      </c>
      <c r="H468" s="56">
        <f>Data!H467</f>
        <v>44509</v>
      </c>
      <c r="I468" s="56" t="str">
        <f>Data!I467</f>
        <v>11/12/2021</v>
      </c>
      <c r="J468" s="57">
        <f>Data!J467</f>
        <v>294.8</v>
      </c>
      <c r="K468" s="58">
        <f t="shared" ca="1" si="7"/>
        <v>188</v>
      </c>
      <c r="L468" s="58">
        <f>Data!M467</f>
        <v>0</v>
      </c>
      <c r="M468" s="37" t="s">
        <v>26</v>
      </c>
      <c r="N468" s="43" t="str">
        <f>VLOOKUP(M468,Table1[#All],3,FALSE)</f>
        <v>Note</v>
      </c>
      <c r="O468" s="40" t="str">
        <f>VLOOKUP(M468,Table1[#All],4,FALSE)</f>
        <v>Q1</v>
      </c>
      <c r="P468" s="39"/>
      <c r="Q468" s="40" t="str">
        <f>VLOOKUP(M468,Table1[#All],5,FALSE)</f>
        <v>Q2</v>
      </c>
      <c r="R468" s="79"/>
      <c r="S468" s="40" t="str">
        <f>VLOOKUP(M468,Table1[#All],6,FALSE)</f>
        <v>Q3</v>
      </c>
      <c r="T468" s="79"/>
      <c r="U468" s="40" t="str">
        <f>VLOOKUP(M468,Table1[#All],7,FALSE)</f>
        <v>Q4</v>
      </c>
      <c r="V468" s="79"/>
      <c r="W468" s="40" t="str">
        <f>VLOOKUP(M468,Table1[#All],8,FALSE)</f>
        <v>Q5</v>
      </c>
      <c r="X468" s="79"/>
      <c r="Y468" s="44" t="str">
        <f>VLOOKUP(M468,Table1[#All],2,FALSE)</f>
        <v>Action</v>
      </c>
      <c r="Z468" s="59" t="str">
        <f>VLOOKUP(M468,Table1[#All],9,FALSE)</f>
        <v>Additional Notes:</v>
      </c>
      <c r="AA468" s="76"/>
      <c r="AB468" s="76"/>
      <c r="AC468" s="90" t="s">
        <v>91</v>
      </c>
      <c r="AD468" s="76" t="s">
        <v>91</v>
      </c>
      <c r="AE468" s="77"/>
      <c r="AF468" s="77"/>
      <c r="AG468" s="41" t="s">
        <v>91</v>
      </c>
    </row>
    <row r="469" spans="1:33" ht="21" hidden="1" x14ac:dyDescent="0.55000000000000004">
      <c r="A469" s="44" t="str">
        <f>Data!K468</f>
        <v>DPOW-CCHP</v>
      </c>
      <c r="B469" s="44" t="str">
        <f>Data!L468</f>
        <v>4143899880</v>
      </c>
      <c r="C469" s="44" t="str">
        <f>Data!D468</f>
        <v xml:space="preserve">Quiroz , Nolen </v>
      </c>
      <c r="D469" s="82" t="str">
        <f>Data!F468</f>
        <v>1435081510</v>
      </c>
      <c r="E469" s="82" t="str">
        <f>Data!B468</f>
        <v>8275</v>
      </c>
      <c r="F469" s="44" t="str">
        <f>Data!A468</f>
        <v xml:space="preserve">Quiroz , Nolen </v>
      </c>
      <c r="G469" s="55" t="str">
        <f>Data!C468</f>
        <v>11/18/2008</v>
      </c>
      <c r="H469" s="56">
        <f>Data!H468</f>
        <v>44509</v>
      </c>
      <c r="I469" s="56" t="str">
        <f>Data!I468</f>
        <v>11/12/2021</v>
      </c>
      <c r="J469" s="57">
        <f>Data!J468</f>
        <v>180</v>
      </c>
      <c r="K469" s="58">
        <f t="shared" ca="1" si="7"/>
        <v>188</v>
      </c>
      <c r="L469" s="58">
        <f>Data!M468</f>
        <v>0</v>
      </c>
      <c r="M469" s="37" t="s">
        <v>26</v>
      </c>
      <c r="N469" s="43" t="str">
        <f>VLOOKUP(M469,Table1[#All],3,FALSE)</f>
        <v>Note</v>
      </c>
      <c r="O469" s="40" t="str">
        <f>VLOOKUP(M469,Table1[#All],4,FALSE)</f>
        <v>Q1</v>
      </c>
      <c r="P469" s="39"/>
      <c r="Q469" s="40" t="str">
        <f>VLOOKUP(M469,Table1[#All],5,FALSE)</f>
        <v>Q2</v>
      </c>
      <c r="R469" s="79"/>
      <c r="S469" s="40" t="str">
        <f>VLOOKUP(M469,Table1[#All],6,FALSE)</f>
        <v>Q3</v>
      </c>
      <c r="T469" s="79"/>
      <c r="U469" s="40" t="str">
        <f>VLOOKUP(M469,Table1[#All],7,FALSE)</f>
        <v>Q4</v>
      </c>
      <c r="V469" s="79"/>
      <c r="W469" s="40" t="str">
        <f>VLOOKUP(M469,Table1[#All],8,FALSE)</f>
        <v>Q5</v>
      </c>
      <c r="X469" s="79"/>
      <c r="Y469" s="44" t="str">
        <f>VLOOKUP(M469,Table1[#All],2,FALSE)</f>
        <v>Action</v>
      </c>
      <c r="Z469" s="59" t="str">
        <f>VLOOKUP(M469,Table1[#All],9,FALSE)</f>
        <v>Additional Notes:</v>
      </c>
      <c r="AA469" s="76"/>
      <c r="AB469" s="76"/>
      <c r="AC469" s="90" t="s">
        <v>91</v>
      </c>
      <c r="AD469" s="76" t="s">
        <v>91</v>
      </c>
      <c r="AE469" s="77"/>
      <c r="AF469" s="77"/>
      <c r="AG469" s="41" t="s">
        <v>91</v>
      </c>
    </row>
    <row r="470" spans="1:33" ht="21" hidden="1" x14ac:dyDescent="0.55000000000000004">
      <c r="A470" s="44" t="str">
        <f>Data!K469</f>
        <v>DPOW-CCHP</v>
      </c>
      <c r="B470" s="44" t="str">
        <f>Data!L469</f>
        <v>4143899880</v>
      </c>
      <c r="C470" s="44" t="str">
        <f>Data!D469</f>
        <v xml:space="preserve">Dundon, Kody </v>
      </c>
      <c r="D470" s="82" t="str">
        <f>Data!F469</f>
        <v>8418778784</v>
      </c>
      <c r="E470" s="82" t="str">
        <f>Data!B469</f>
        <v>7759</v>
      </c>
      <c r="F470" s="44" t="str">
        <f>Data!A469</f>
        <v xml:space="preserve">Dundon, Kody </v>
      </c>
      <c r="G470" s="55" t="str">
        <f>Data!C469</f>
        <v>12/30/1991</v>
      </c>
      <c r="H470" s="56">
        <f>Data!H469</f>
        <v>44462</v>
      </c>
      <c r="I470" s="56" t="str">
        <f>Data!I469</f>
        <v>10/27/2021</v>
      </c>
      <c r="J470" s="57">
        <f>Data!J469</f>
        <v>180</v>
      </c>
      <c r="K470" s="58">
        <f t="shared" ca="1" si="7"/>
        <v>204</v>
      </c>
      <c r="L470" s="58">
        <f>Data!M469</f>
        <v>0</v>
      </c>
      <c r="M470" s="37" t="s">
        <v>26</v>
      </c>
      <c r="N470" s="43" t="str">
        <f>VLOOKUP(M470,Table1[#All],3,FALSE)</f>
        <v>Note</v>
      </c>
      <c r="O470" s="40" t="str">
        <f>VLOOKUP(M470,Table1[#All],4,FALSE)</f>
        <v>Q1</v>
      </c>
      <c r="P470" s="39"/>
      <c r="Q470" s="40" t="str">
        <f>VLOOKUP(M470,Table1[#All],5,FALSE)</f>
        <v>Q2</v>
      </c>
      <c r="R470" s="79"/>
      <c r="S470" s="40" t="str">
        <f>VLOOKUP(M470,Table1[#All],6,FALSE)</f>
        <v>Q3</v>
      </c>
      <c r="T470" s="79"/>
      <c r="U470" s="40" t="str">
        <f>VLOOKUP(M470,Table1[#All],7,FALSE)</f>
        <v>Q4</v>
      </c>
      <c r="V470" s="79"/>
      <c r="W470" s="40" t="str">
        <f>VLOOKUP(M470,Table1[#All],8,FALSE)</f>
        <v>Q5</v>
      </c>
      <c r="X470" s="79"/>
      <c r="Y470" s="44" t="str">
        <f>VLOOKUP(M470,Table1[#All],2,FALSE)</f>
        <v>Action</v>
      </c>
      <c r="Z470" s="59" t="str">
        <f>VLOOKUP(M470,Table1[#All],9,FALSE)</f>
        <v>Additional Notes:</v>
      </c>
      <c r="AA470" s="76"/>
      <c r="AB470" s="76"/>
      <c r="AC470" s="90" t="s">
        <v>91</v>
      </c>
      <c r="AD470" s="76" t="s">
        <v>91</v>
      </c>
      <c r="AE470" s="77"/>
      <c r="AF470" s="77"/>
      <c r="AG470" s="41" t="s">
        <v>91</v>
      </c>
    </row>
    <row r="471" spans="1:33" ht="21" hidden="1" x14ac:dyDescent="0.55000000000000004">
      <c r="A471" s="44" t="str">
        <f>Data!K470</f>
        <v>DPOW-CCHP</v>
      </c>
      <c r="B471" s="44" t="str">
        <f>Data!L470</f>
        <v>4143899880</v>
      </c>
      <c r="C471" s="44" t="str">
        <f>Data!D470</f>
        <v>Riemer , Josie</v>
      </c>
      <c r="D471" s="82" t="str">
        <f>Data!F470</f>
        <v>6412392661</v>
      </c>
      <c r="E471" s="82" t="str">
        <f>Data!B470</f>
        <v>6769</v>
      </c>
      <c r="F471" s="44" t="str">
        <f>Data!A470</f>
        <v>Riemer , Josie</v>
      </c>
      <c r="G471" s="55" t="str">
        <f>Data!C470</f>
        <v>9/14/1991</v>
      </c>
      <c r="H471" s="56">
        <f>Data!H470</f>
        <v>44417</v>
      </c>
      <c r="I471" s="56" t="str">
        <f>Data!I470</f>
        <v>11/11/2021</v>
      </c>
      <c r="J471" s="57">
        <f>Data!J470</f>
        <v>88.8</v>
      </c>
      <c r="K471" s="58">
        <f t="shared" ca="1" si="7"/>
        <v>189</v>
      </c>
      <c r="L471" s="58">
        <f>Data!M470</f>
        <v>0</v>
      </c>
      <c r="M471" s="37" t="s">
        <v>26</v>
      </c>
      <c r="N471" s="43" t="str">
        <f>VLOOKUP(M471,Table1[#All],3,FALSE)</f>
        <v>Note</v>
      </c>
      <c r="O471" s="40" t="str">
        <f>VLOOKUP(M471,Table1[#All],4,FALSE)</f>
        <v>Q1</v>
      </c>
      <c r="P471" s="39"/>
      <c r="Q471" s="40" t="str">
        <f>VLOOKUP(M471,Table1[#All],5,FALSE)</f>
        <v>Q2</v>
      </c>
      <c r="R471" s="79"/>
      <c r="S471" s="40" t="str">
        <f>VLOOKUP(M471,Table1[#All],6,FALSE)</f>
        <v>Q3</v>
      </c>
      <c r="T471" s="79"/>
      <c r="U471" s="40" t="str">
        <f>VLOOKUP(M471,Table1[#All],7,FALSE)</f>
        <v>Q4</v>
      </c>
      <c r="V471" s="79"/>
      <c r="W471" s="40" t="str">
        <f>VLOOKUP(M471,Table1[#All],8,FALSE)</f>
        <v>Q5</v>
      </c>
      <c r="X471" s="79"/>
      <c r="Y471" s="44" t="str">
        <f>VLOOKUP(M471,Table1[#All],2,FALSE)</f>
        <v>Action</v>
      </c>
      <c r="Z471" s="59" t="str">
        <f>VLOOKUP(M471,Table1[#All],9,FALSE)</f>
        <v>Additional Notes:</v>
      </c>
      <c r="AA471" s="76"/>
      <c r="AB471" s="76"/>
      <c r="AC471" s="90" t="s">
        <v>91</v>
      </c>
      <c r="AD471" s="76" t="s">
        <v>91</v>
      </c>
      <c r="AE471" s="77"/>
      <c r="AF471" s="77"/>
      <c r="AG471" s="41" t="s">
        <v>91</v>
      </c>
    </row>
    <row r="472" spans="1:33" ht="21" hidden="1" x14ac:dyDescent="0.55000000000000004">
      <c r="A472" s="44" t="str">
        <f>Data!K471</f>
        <v>DPOW-CCHP</v>
      </c>
      <c r="B472" s="44" t="str">
        <f>Data!L471</f>
        <v>4143899880</v>
      </c>
      <c r="C472" s="44" t="str">
        <f>Data!D471</f>
        <v>Tipton, Calarey</v>
      </c>
      <c r="D472" s="82" t="str">
        <f>Data!F471</f>
        <v>8448442181</v>
      </c>
      <c r="E472" s="82" t="str">
        <f>Data!B471</f>
        <v>7846</v>
      </c>
      <c r="F472" s="44" t="str">
        <f>Data!A471</f>
        <v>Tipton, Calarey</v>
      </c>
      <c r="G472" s="55" t="str">
        <f>Data!C471</f>
        <v>7/8/2007</v>
      </c>
      <c r="H472" s="56">
        <f>Data!H471</f>
        <v>44483</v>
      </c>
      <c r="I472" s="56" t="str">
        <f>Data!I471</f>
        <v>11/11/2021</v>
      </c>
      <c r="J472" s="57">
        <f>Data!J471</f>
        <v>556.79999999999995</v>
      </c>
      <c r="K472" s="58">
        <f t="shared" ca="1" si="7"/>
        <v>189</v>
      </c>
      <c r="L472" s="58">
        <f>Data!M471</f>
        <v>0</v>
      </c>
      <c r="M472" s="37" t="s">
        <v>26</v>
      </c>
      <c r="N472" s="43" t="str">
        <f>VLOOKUP(M472,Table1[#All],3,FALSE)</f>
        <v>Note</v>
      </c>
      <c r="O472" s="40" t="str">
        <f>VLOOKUP(M472,Table1[#All],4,FALSE)</f>
        <v>Q1</v>
      </c>
      <c r="P472" s="39"/>
      <c r="Q472" s="40" t="str">
        <f>VLOOKUP(M472,Table1[#All],5,FALSE)</f>
        <v>Q2</v>
      </c>
      <c r="R472" s="79"/>
      <c r="S472" s="40" t="str">
        <f>VLOOKUP(M472,Table1[#All],6,FALSE)</f>
        <v>Q3</v>
      </c>
      <c r="T472" s="79"/>
      <c r="U472" s="40" t="str">
        <f>VLOOKUP(M472,Table1[#All],7,FALSE)</f>
        <v>Q4</v>
      </c>
      <c r="V472" s="79"/>
      <c r="W472" s="40" t="str">
        <f>VLOOKUP(M472,Table1[#All],8,FALSE)</f>
        <v>Q5</v>
      </c>
      <c r="X472" s="79"/>
      <c r="Y472" s="44" t="str">
        <f>VLOOKUP(M472,Table1[#All],2,FALSE)</f>
        <v>Action</v>
      </c>
      <c r="Z472" s="59" t="str">
        <f>VLOOKUP(M472,Table1[#All],9,FALSE)</f>
        <v>Additional Notes:</v>
      </c>
      <c r="AA472" s="76"/>
      <c r="AB472" s="76"/>
      <c r="AC472" s="90" t="s">
        <v>91</v>
      </c>
      <c r="AD472" s="76" t="s">
        <v>91</v>
      </c>
      <c r="AE472" s="77"/>
      <c r="AF472" s="77"/>
      <c r="AG472" s="41" t="s">
        <v>91</v>
      </c>
    </row>
    <row r="473" spans="1:33" ht="21" hidden="1" x14ac:dyDescent="0.55000000000000004">
      <c r="A473" s="44" t="str">
        <f>Data!K472</f>
        <v>DPOW-CCHP</v>
      </c>
      <c r="B473" s="44" t="str">
        <f>Data!L472</f>
        <v>4143899880</v>
      </c>
      <c r="C473" s="44" t="str">
        <f>Data!D472</f>
        <v xml:space="preserve">Penkalski, Autumn </v>
      </c>
      <c r="D473" s="82" t="str">
        <f>Data!F472</f>
        <v>4436714748</v>
      </c>
      <c r="E473" s="82" t="str">
        <f>Data!B472</f>
        <v>7828</v>
      </c>
      <c r="F473" s="44" t="str">
        <f>Data!A472</f>
        <v xml:space="preserve">Penkalski, Autumn </v>
      </c>
      <c r="G473" s="55" t="str">
        <f>Data!C472</f>
        <v>8/29/2009</v>
      </c>
      <c r="H473" s="56">
        <f>Data!H472</f>
        <v>44508</v>
      </c>
      <c r="I473" s="56" t="str">
        <f>Data!I472</f>
        <v>11/11/2021</v>
      </c>
      <c r="J473" s="57">
        <f>Data!J472</f>
        <v>114</v>
      </c>
      <c r="K473" s="58">
        <f t="shared" ca="1" si="7"/>
        <v>189</v>
      </c>
      <c r="L473" s="58">
        <f>Data!M472</f>
        <v>0</v>
      </c>
      <c r="M473" s="37" t="s">
        <v>26</v>
      </c>
      <c r="N473" s="43" t="str">
        <f>VLOOKUP(M473,Table1[#All],3,FALSE)</f>
        <v>Note</v>
      </c>
      <c r="O473" s="40" t="str">
        <f>VLOOKUP(M473,Table1[#All],4,FALSE)</f>
        <v>Q1</v>
      </c>
      <c r="P473" s="39"/>
      <c r="Q473" s="40" t="str">
        <f>VLOOKUP(M473,Table1[#All],5,FALSE)</f>
        <v>Q2</v>
      </c>
      <c r="R473" s="79"/>
      <c r="S473" s="40" t="str">
        <f>VLOOKUP(M473,Table1[#All],6,FALSE)</f>
        <v>Q3</v>
      </c>
      <c r="T473" s="79"/>
      <c r="U473" s="40" t="str">
        <f>VLOOKUP(M473,Table1[#All],7,FALSE)</f>
        <v>Q4</v>
      </c>
      <c r="V473" s="79"/>
      <c r="W473" s="40" t="str">
        <f>VLOOKUP(M473,Table1[#All],8,FALSE)</f>
        <v>Q5</v>
      </c>
      <c r="X473" s="79"/>
      <c r="Y473" s="44" t="str">
        <f>VLOOKUP(M473,Table1[#All],2,FALSE)</f>
        <v>Action</v>
      </c>
      <c r="Z473" s="59" t="str">
        <f>VLOOKUP(M473,Table1[#All],9,FALSE)</f>
        <v>Additional Notes:</v>
      </c>
      <c r="AA473" s="76"/>
      <c r="AB473" s="76"/>
      <c r="AC473" s="90" t="s">
        <v>91</v>
      </c>
      <c r="AD473" s="76" t="s">
        <v>91</v>
      </c>
      <c r="AE473" s="77"/>
      <c r="AF473" s="77"/>
      <c r="AG473" s="41" t="s">
        <v>91</v>
      </c>
    </row>
    <row r="474" spans="1:33" ht="21" hidden="1" x14ac:dyDescent="0.55000000000000004">
      <c r="A474" s="44" t="str">
        <f>Data!K473</f>
        <v>DPOW-CCHP</v>
      </c>
      <c r="B474" s="44" t="str">
        <f>Data!L473</f>
        <v>4143899880</v>
      </c>
      <c r="C474" s="44" t="str">
        <f>Data!D473</f>
        <v>Blanks, Chaniyah</v>
      </c>
      <c r="D474" s="82" t="str">
        <f>Data!F473</f>
        <v>9455301695</v>
      </c>
      <c r="E474" s="82" t="str">
        <f>Data!B473</f>
        <v>3011</v>
      </c>
      <c r="F474" s="44" t="str">
        <f>Data!A473</f>
        <v>Blanks, Chaniyah</v>
      </c>
      <c r="G474" s="55" t="str">
        <f>Data!C473</f>
        <v>1/14/2012</v>
      </c>
      <c r="H474" s="56">
        <f>Data!H473</f>
        <v>44508</v>
      </c>
      <c r="I474" s="56" t="str">
        <f>Data!I473</f>
        <v>11/11/2021</v>
      </c>
      <c r="J474" s="57">
        <f>Data!J473</f>
        <v>61.2</v>
      </c>
      <c r="K474" s="58">
        <f t="shared" ca="1" si="7"/>
        <v>189</v>
      </c>
      <c r="L474" s="58">
        <f>Data!M473</f>
        <v>0</v>
      </c>
      <c r="M474" s="37" t="s">
        <v>26</v>
      </c>
      <c r="N474" s="43" t="str">
        <f>VLOOKUP(M474,Table1[#All],3,FALSE)</f>
        <v>Note</v>
      </c>
      <c r="O474" s="40" t="str">
        <f>VLOOKUP(M474,Table1[#All],4,FALSE)</f>
        <v>Q1</v>
      </c>
      <c r="P474" s="39"/>
      <c r="Q474" s="40" t="str">
        <f>VLOOKUP(M474,Table1[#All],5,FALSE)</f>
        <v>Q2</v>
      </c>
      <c r="R474" s="79"/>
      <c r="S474" s="40" t="str">
        <f>VLOOKUP(M474,Table1[#All],6,FALSE)</f>
        <v>Q3</v>
      </c>
      <c r="T474" s="79"/>
      <c r="U474" s="40" t="str">
        <f>VLOOKUP(M474,Table1[#All],7,FALSE)</f>
        <v>Q4</v>
      </c>
      <c r="V474" s="79"/>
      <c r="W474" s="40" t="str">
        <f>VLOOKUP(M474,Table1[#All],8,FALSE)</f>
        <v>Q5</v>
      </c>
      <c r="X474" s="79"/>
      <c r="Y474" s="44" t="str">
        <f>VLOOKUP(M474,Table1[#All],2,FALSE)</f>
        <v>Action</v>
      </c>
      <c r="Z474" s="59" t="str">
        <f>VLOOKUP(M474,Table1[#All],9,FALSE)</f>
        <v>Additional Notes:</v>
      </c>
      <c r="AA474" s="76"/>
      <c r="AB474" s="76"/>
      <c r="AC474" s="90" t="s">
        <v>91</v>
      </c>
      <c r="AD474" s="76" t="s">
        <v>91</v>
      </c>
      <c r="AE474" s="77"/>
      <c r="AF474" s="77"/>
      <c r="AG474" s="41" t="s">
        <v>91</v>
      </c>
    </row>
    <row r="475" spans="1:33" ht="21" hidden="1" x14ac:dyDescent="0.55000000000000004">
      <c r="A475" s="44" t="str">
        <f>Data!K474</f>
        <v>DPOW-CCHP</v>
      </c>
      <c r="B475" s="44" t="str">
        <f>Data!L474</f>
        <v>4143899880</v>
      </c>
      <c r="C475" s="44" t="str">
        <f>Data!D474</f>
        <v>Peeples, Michele</v>
      </c>
      <c r="D475" s="82" t="str">
        <f>Data!F474</f>
        <v>0424122006</v>
      </c>
      <c r="E475" s="82" t="str">
        <f>Data!B474</f>
        <v>2825</v>
      </c>
      <c r="F475" s="44" t="str">
        <f>Data!A474</f>
        <v>Peeples, Michele</v>
      </c>
      <c r="G475" s="55" t="str">
        <f>Data!C474</f>
        <v>3/30/1970</v>
      </c>
      <c r="H475" s="56">
        <f>Data!H474</f>
        <v>44508</v>
      </c>
      <c r="I475" s="56" t="str">
        <f>Data!I474</f>
        <v>11/11/2021</v>
      </c>
      <c r="J475" s="57">
        <f>Data!J474</f>
        <v>250.8</v>
      </c>
      <c r="K475" s="58">
        <f t="shared" ca="1" si="7"/>
        <v>189</v>
      </c>
      <c r="L475" s="58">
        <f>Data!M474</f>
        <v>0</v>
      </c>
      <c r="M475" s="37" t="s">
        <v>26</v>
      </c>
      <c r="N475" s="43" t="str">
        <f>VLOOKUP(M475,Table1[#All],3,FALSE)</f>
        <v>Note</v>
      </c>
      <c r="O475" s="40" t="str">
        <f>VLOOKUP(M475,Table1[#All],4,FALSE)</f>
        <v>Q1</v>
      </c>
      <c r="P475" s="39"/>
      <c r="Q475" s="40" t="str">
        <f>VLOOKUP(M475,Table1[#All],5,FALSE)</f>
        <v>Q2</v>
      </c>
      <c r="R475" s="79"/>
      <c r="S475" s="40" t="str">
        <f>VLOOKUP(M475,Table1[#All],6,FALSE)</f>
        <v>Q3</v>
      </c>
      <c r="T475" s="79"/>
      <c r="U475" s="40" t="str">
        <f>VLOOKUP(M475,Table1[#All],7,FALSE)</f>
        <v>Q4</v>
      </c>
      <c r="V475" s="79"/>
      <c r="W475" s="40" t="str">
        <f>VLOOKUP(M475,Table1[#All],8,FALSE)</f>
        <v>Q5</v>
      </c>
      <c r="X475" s="79"/>
      <c r="Y475" s="44" t="str">
        <f>VLOOKUP(M475,Table1[#All],2,FALSE)</f>
        <v>Action</v>
      </c>
      <c r="Z475" s="59" t="str">
        <f>VLOOKUP(M475,Table1[#All],9,FALSE)</f>
        <v>Additional Notes:</v>
      </c>
      <c r="AA475" s="76"/>
      <c r="AB475" s="76"/>
      <c r="AC475" s="90" t="s">
        <v>91</v>
      </c>
      <c r="AD475" s="76" t="s">
        <v>91</v>
      </c>
      <c r="AE475" s="77"/>
      <c r="AF475" s="77"/>
      <c r="AG475" s="41" t="s">
        <v>91</v>
      </c>
    </row>
    <row r="476" spans="1:33" ht="21" hidden="1" x14ac:dyDescent="0.55000000000000004">
      <c r="A476" s="44" t="str">
        <f>Data!K475</f>
        <v>DPOW-CCHP</v>
      </c>
      <c r="B476" s="44" t="str">
        <f>Data!L475</f>
        <v>4143899880</v>
      </c>
      <c r="C476" s="44" t="str">
        <f>Data!D475</f>
        <v xml:space="preserve">Penkalski , Angela </v>
      </c>
      <c r="D476" s="82" t="str">
        <f>Data!F475</f>
        <v>2414716126</v>
      </c>
      <c r="E476" s="82" t="str">
        <f>Data!B475</f>
        <v>5147</v>
      </c>
      <c r="F476" s="44" t="str">
        <f>Data!A475</f>
        <v xml:space="preserve">Penkalski , Angela </v>
      </c>
      <c r="G476" s="55" t="str">
        <f>Data!C475</f>
        <v>9/6/1987</v>
      </c>
      <c r="H476" s="56">
        <f>Data!H475</f>
        <v>44508</v>
      </c>
      <c r="I476" s="56" t="str">
        <f>Data!I475</f>
        <v>11/9/2021</v>
      </c>
      <c r="J476" s="57">
        <f>Data!J475</f>
        <v>511.2</v>
      </c>
      <c r="K476" s="58">
        <f t="shared" ca="1" si="7"/>
        <v>191</v>
      </c>
      <c r="L476" s="58">
        <f>Data!M475</f>
        <v>0</v>
      </c>
      <c r="M476" s="37" t="s">
        <v>26</v>
      </c>
      <c r="N476" s="43" t="str">
        <f>VLOOKUP(M476,Table1[#All],3,FALSE)</f>
        <v>Note</v>
      </c>
      <c r="O476" s="40" t="str">
        <f>VLOOKUP(M476,Table1[#All],4,FALSE)</f>
        <v>Q1</v>
      </c>
      <c r="P476" s="39"/>
      <c r="Q476" s="40" t="str">
        <f>VLOOKUP(M476,Table1[#All],5,FALSE)</f>
        <v>Q2</v>
      </c>
      <c r="R476" s="79"/>
      <c r="S476" s="40" t="str">
        <f>VLOOKUP(M476,Table1[#All],6,FALSE)</f>
        <v>Q3</v>
      </c>
      <c r="T476" s="79"/>
      <c r="U476" s="40" t="str">
        <f>VLOOKUP(M476,Table1[#All],7,FALSE)</f>
        <v>Q4</v>
      </c>
      <c r="V476" s="79"/>
      <c r="W476" s="40" t="str">
        <f>VLOOKUP(M476,Table1[#All],8,FALSE)</f>
        <v>Q5</v>
      </c>
      <c r="X476" s="79"/>
      <c r="Y476" s="44" t="str">
        <f>VLOOKUP(M476,Table1[#All],2,FALSE)</f>
        <v>Action</v>
      </c>
      <c r="Z476" s="59" t="str">
        <f>VLOOKUP(M476,Table1[#All],9,FALSE)</f>
        <v>Additional Notes:</v>
      </c>
      <c r="AA476" s="76"/>
      <c r="AB476" s="76"/>
      <c r="AC476" s="90" t="s">
        <v>91</v>
      </c>
      <c r="AD476" s="76" t="s">
        <v>91</v>
      </c>
      <c r="AE476" s="77"/>
      <c r="AF476" s="77"/>
      <c r="AG476" s="41" t="s">
        <v>91</v>
      </c>
    </row>
    <row r="477" spans="1:33" ht="21" hidden="1" x14ac:dyDescent="0.55000000000000004">
      <c r="A477" s="44" t="str">
        <f>Data!K476</f>
        <v>DPOW-CCHP</v>
      </c>
      <c r="B477" s="44" t="str">
        <f>Data!L476</f>
        <v>4143899880</v>
      </c>
      <c r="C477" s="44" t="str">
        <f>Data!D476</f>
        <v>Griffin, Vataurus</v>
      </c>
      <c r="D477" s="82" t="str">
        <f>Data!F476</f>
        <v>1416371711</v>
      </c>
      <c r="E477" s="82" t="str">
        <f>Data!B476</f>
        <v>4291</v>
      </c>
      <c r="F477" s="44" t="str">
        <f>Data!A476</f>
        <v>Griffin, Vataurus</v>
      </c>
      <c r="G477" s="55" t="str">
        <f>Data!C476</f>
        <v>12/23/1984</v>
      </c>
      <c r="H477" s="56">
        <f>Data!H476</f>
        <v>44508</v>
      </c>
      <c r="I477" s="56" t="str">
        <f>Data!I476</f>
        <v>11/9/2021</v>
      </c>
      <c r="J477" s="57">
        <f>Data!J476</f>
        <v>244.8</v>
      </c>
      <c r="K477" s="58">
        <f t="shared" ca="1" si="7"/>
        <v>191</v>
      </c>
      <c r="L477" s="58">
        <f>Data!M476</f>
        <v>0</v>
      </c>
      <c r="M477" s="37" t="s">
        <v>26</v>
      </c>
      <c r="N477" s="43" t="str">
        <f>VLOOKUP(M477,Table1[#All],3,FALSE)</f>
        <v>Note</v>
      </c>
      <c r="O477" s="40" t="str">
        <f>VLOOKUP(M477,Table1[#All],4,FALSE)</f>
        <v>Q1</v>
      </c>
      <c r="P477" s="39"/>
      <c r="Q477" s="40" t="str">
        <f>VLOOKUP(M477,Table1[#All],5,FALSE)</f>
        <v>Q2</v>
      </c>
      <c r="R477" s="79"/>
      <c r="S477" s="40" t="str">
        <f>VLOOKUP(M477,Table1[#All],6,FALSE)</f>
        <v>Q3</v>
      </c>
      <c r="T477" s="79"/>
      <c r="U477" s="40" t="str">
        <f>VLOOKUP(M477,Table1[#All],7,FALSE)</f>
        <v>Q4</v>
      </c>
      <c r="V477" s="79"/>
      <c r="W477" s="40" t="str">
        <f>VLOOKUP(M477,Table1[#All],8,FALSE)</f>
        <v>Q5</v>
      </c>
      <c r="X477" s="79"/>
      <c r="Y477" s="44" t="str">
        <f>VLOOKUP(M477,Table1[#All],2,FALSE)</f>
        <v>Action</v>
      </c>
      <c r="Z477" s="59" t="str">
        <f>VLOOKUP(M477,Table1[#All],9,FALSE)</f>
        <v>Additional Notes:</v>
      </c>
      <c r="AA477" s="76"/>
      <c r="AB477" s="76"/>
      <c r="AC477" s="90" t="s">
        <v>91</v>
      </c>
      <c r="AD477" s="76" t="s">
        <v>91</v>
      </c>
      <c r="AE477" s="77"/>
      <c r="AF477" s="77"/>
      <c r="AG477" s="41" t="s">
        <v>91</v>
      </c>
    </row>
    <row r="478" spans="1:33" ht="21" hidden="1" x14ac:dyDescent="0.55000000000000004">
      <c r="A478" s="44" t="str">
        <f>Data!K477</f>
        <v>DPOW-CCHP</v>
      </c>
      <c r="B478" s="44" t="str">
        <f>Data!L477</f>
        <v>4143899880</v>
      </c>
      <c r="C478" s="44" t="str">
        <f>Data!D477</f>
        <v xml:space="preserve">Archibald , Veyda </v>
      </c>
      <c r="D478" s="82" t="str">
        <f>Data!F477</f>
        <v>0439245800</v>
      </c>
      <c r="E478" s="82" t="str">
        <f>Data!B477</f>
        <v>5568</v>
      </c>
      <c r="F478" s="44" t="str">
        <f>Data!A477</f>
        <v xml:space="preserve">Archibald , Veyda </v>
      </c>
      <c r="G478" s="55" t="str">
        <f>Data!C477</f>
        <v>10/5/2010</v>
      </c>
      <c r="H478" s="56">
        <f>Data!H477</f>
        <v>44508</v>
      </c>
      <c r="I478" s="56" t="str">
        <f>Data!I477</f>
        <v>11/9/2021</v>
      </c>
      <c r="J478" s="57">
        <f>Data!J477</f>
        <v>460.4</v>
      </c>
      <c r="K478" s="58">
        <f t="shared" ca="1" si="7"/>
        <v>191</v>
      </c>
      <c r="L478" s="58">
        <f>Data!M477</f>
        <v>0</v>
      </c>
      <c r="M478" s="37" t="s">
        <v>26</v>
      </c>
      <c r="N478" s="43" t="str">
        <f>VLOOKUP(M478,Table1[#All],3,FALSE)</f>
        <v>Note</v>
      </c>
      <c r="O478" s="40" t="str">
        <f>VLOOKUP(M478,Table1[#All],4,FALSE)</f>
        <v>Q1</v>
      </c>
      <c r="P478" s="39"/>
      <c r="Q478" s="40" t="str">
        <f>VLOOKUP(M478,Table1[#All],5,FALSE)</f>
        <v>Q2</v>
      </c>
      <c r="R478" s="79"/>
      <c r="S478" s="40" t="str">
        <f>VLOOKUP(M478,Table1[#All],6,FALSE)</f>
        <v>Q3</v>
      </c>
      <c r="T478" s="79"/>
      <c r="U478" s="40" t="str">
        <f>VLOOKUP(M478,Table1[#All],7,FALSE)</f>
        <v>Q4</v>
      </c>
      <c r="V478" s="79"/>
      <c r="W478" s="40" t="str">
        <f>VLOOKUP(M478,Table1[#All],8,FALSE)</f>
        <v>Q5</v>
      </c>
      <c r="X478" s="79"/>
      <c r="Y478" s="44" t="str">
        <f>VLOOKUP(M478,Table1[#All],2,FALSE)</f>
        <v>Action</v>
      </c>
      <c r="Z478" s="59" t="str">
        <f>VLOOKUP(M478,Table1[#All],9,FALSE)</f>
        <v>Additional Notes:</v>
      </c>
      <c r="AA478" s="76"/>
      <c r="AB478" s="76"/>
      <c r="AC478" s="90" t="s">
        <v>91</v>
      </c>
      <c r="AD478" s="76" t="s">
        <v>91</v>
      </c>
      <c r="AE478" s="77"/>
      <c r="AF478" s="77"/>
      <c r="AG478" s="41" t="s">
        <v>91</v>
      </c>
    </row>
    <row r="479" spans="1:33" ht="21" hidden="1" x14ac:dyDescent="0.55000000000000004">
      <c r="A479" s="44" t="str">
        <f>Data!K478</f>
        <v>DPOW-CCHP</v>
      </c>
      <c r="B479" s="44" t="str">
        <f>Data!L478</f>
        <v>4143899880</v>
      </c>
      <c r="C479" s="44" t="str">
        <f>Data!D478</f>
        <v>GARCIA, LYNETTE</v>
      </c>
      <c r="D479" s="82" t="str">
        <f>Data!F478</f>
        <v>5414589950</v>
      </c>
      <c r="E479" s="82" t="str">
        <f>Data!B478</f>
        <v>8388</v>
      </c>
      <c r="F479" s="44" t="str">
        <f>Data!A478</f>
        <v>GARCIA, LYNETTE</v>
      </c>
      <c r="G479" s="55" t="str">
        <f>Data!C478</f>
        <v>12/16/1987</v>
      </c>
      <c r="H479" s="56">
        <f>Data!H478</f>
        <v>44509</v>
      </c>
      <c r="I479" s="56" t="str">
        <f>Data!I478</f>
        <v>11/9/2021</v>
      </c>
      <c r="J479" s="57">
        <f>Data!J478</f>
        <v>199.2</v>
      </c>
      <c r="K479" s="58">
        <f t="shared" ca="1" si="7"/>
        <v>191</v>
      </c>
      <c r="L479" s="58">
        <f>Data!M478</f>
        <v>0</v>
      </c>
      <c r="M479" s="37" t="s">
        <v>26</v>
      </c>
      <c r="N479" s="43" t="str">
        <f>VLOOKUP(M479,Table1[#All],3,FALSE)</f>
        <v>Note</v>
      </c>
      <c r="O479" s="40" t="str">
        <f>VLOOKUP(M479,Table1[#All],4,FALSE)</f>
        <v>Q1</v>
      </c>
      <c r="P479" s="39"/>
      <c r="Q479" s="40" t="str">
        <f>VLOOKUP(M479,Table1[#All],5,FALSE)</f>
        <v>Q2</v>
      </c>
      <c r="R479" s="79"/>
      <c r="S479" s="40" t="str">
        <f>VLOOKUP(M479,Table1[#All],6,FALSE)</f>
        <v>Q3</v>
      </c>
      <c r="T479" s="79"/>
      <c r="U479" s="40" t="str">
        <f>VLOOKUP(M479,Table1[#All],7,FALSE)</f>
        <v>Q4</v>
      </c>
      <c r="V479" s="79"/>
      <c r="W479" s="40" t="str">
        <f>VLOOKUP(M479,Table1[#All],8,FALSE)</f>
        <v>Q5</v>
      </c>
      <c r="X479" s="79"/>
      <c r="Y479" s="44" t="str">
        <f>VLOOKUP(M479,Table1[#All],2,FALSE)</f>
        <v>Action</v>
      </c>
      <c r="Z479" s="59" t="str">
        <f>VLOOKUP(M479,Table1[#All],9,FALSE)</f>
        <v>Additional Notes:</v>
      </c>
      <c r="AA479" s="76"/>
      <c r="AB479" s="76"/>
      <c r="AC479" s="90" t="s">
        <v>91</v>
      </c>
      <c r="AD479" s="76" t="s">
        <v>91</v>
      </c>
      <c r="AE479" s="77"/>
      <c r="AF479" s="77"/>
      <c r="AG479" s="41" t="s">
        <v>91</v>
      </c>
    </row>
    <row r="480" spans="1:33" ht="21" hidden="1" x14ac:dyDescent="0.55000000000000004">
      <c r="A480" s="44" t="str">
        <f>Data!K479</f>
        <v>DPOW-CCHP</v>
      </c>
      <c r="B480" s="44" t="str">
        <f>Data!L479</f>
        <v>4143899880</v>
      </c>
      <c r="C480" s="44" t="str">
        <f>Data!D479</f>
        <v>Chavez Esquivia, Juan</v>
      </c>
      <c r="D480" s="82" t="str">
        <f>Data!F479</f>
        <v>8439417381</v>
      </c>
      <c r="E480" s="82" t="str">
        <f>Data!B479</f>
        <v>3105</v>
      </c>
      <c r="F480" s="44" t="str">
        <f>Data!A479</f>
        <v>Chavez Esquivia, Juan</v>
      </c>
      <c r="G480" s="55" t="str">
        <f>Data!C479</f>
        <v>10/13/2010</v>
      </c>
      <c r="H480" s="56">
        <f>Data!H479</f>
        <v>44505</v>
      </c>
      <c r="I480" s="56" t="str">
        <f>Data!I479</f>
        <v>11/9/2021</v>
      </c>
      <c r="J480" s="57">
        <f>Data!J479</f>
        <v>61.2</v>
      </c>
      <c r="K480" s="58">
        <f t="shared" ca="1" si="7"/>
        <v>191</v>
      </c>
      <c r="L480" s="58">
        <f>Data!M479</f>
        <v>0</v>
      </c>
      <c r="M480" s="37" t="s">
        <v>26</v>
      </c>
      <c r="N480" s="43" t="str">
        <f>VLOOKUP(M480,Table1[#All],3,FALSE)</f>
        <v>Note</v>
      </c>
      <c r="O480" s="40" t="str">
        <f>VLOOKUP(M480,Table1[#All],4,FALSE)</f>
        <v>Q1</v>
      </c>
      <c r="P480" s="39"/>
      <c r="Q480" s="40" t="str">
        <f>VLOOKUP(M480,Table1[#All],5,FALSE)</f>
        <v>Q2</v>
      </c>
      <c r="R480" s="79"/>
      <c r="S480" s="40" t="str">
        <f>VLOOKUP(M480,Table1[#All],6,FALSE)</f>
        <v>Q3</v>
      </c>
      <c r="T480" s="79"/>
      <c r="U480" s="40" t="str">
        <f>VLOOKUP(M480,Table1[#All],7,FALSE)</f>
        <v>Q4</v>
      </c>
      <c r="V480" s="79"/>
      <c r="W480" s="40" t="str">
        <f>VLOOKUP(M480,Table1[#All],8,FALSE)</f>
        <v>Q5</v>
      </c>
      <c r="X480" s="79"/>
      <c r="Y480" s="44" t="str">
        <f>VLOOKUP(M480,Table1[#All],2,FALSE)</f>
        <v>Action</v>
      </c>
      <c r="Z480" s="59" t="str">
        <f>VLOOKUP(M480,Table1[#All],9,FALSE)</f>
        <v>Additional Notes:</v>
      </c>
      <c r="AA480" s="76"/>
      <c r="AB480" s="76"/>
      <c r="AC480" s="90" t="s">
        <v>91</v>
      </c>
      <c r="AD480" s="76" t="s">
        <v>91</v>
      </c>
      <c r="AE480" s="77"/>
      <c r="AF480" s="77"/>
      <c r="AG480" s="41" t="s">
        <v>91</v>
      </c>
    </row>
    <row r="481" spans="1:33" ht="21" hidden="1" x14ac:dyDescent="0.55000000000000004">
      <c r="A481" s="44" t="str">
        <f>Data!K480</f>
        <v>DPOW-CCHP</v>
      </c>
      <c r="B481" s="44" t="str">
        <f>Data!L480</f>
        <v>4143899880</v>
      </c>
      <c r="C481" s="44" t="str">
        <f>Data!D480</f>
        <v>Dahadha, Malik</v>
      </c>
      <c r="D481" s="82" t="str">
        <f>Data!F480</f>
        <v>7444330972</v>
      </c>
      <c r="E481" s="82" t="str">
        <f>Data!B480</f>
        <v>8334</v>
      </c>
      <c r="F481" s="44" t="str">
        <f>Data!A480</f>
        <v>Dahadha, Malik</v>
      </c>
      <c r="G481" s="55" t="str">
        <f>Data!C480</f>
        <v>7/14/2013</v>
      </c>
      <c r="H481" s="56">
        <f>Data!H480</f>
        <v>44505</v>
      </c>
      <c r="I481" s="56" t="str">
        <f>Data!I480</f>
        <v>11/9/2021</v>
      </c>
      <c r="J481" s="57">
        <f>Data!J480</f>
        <v>61.2</v>
      </c>
      <c r="K481" s="58">
        <f t="shared" ca="1" si="7"/>
        <v>191</v>
      </c>
      <c r="L481" s="58">
        <f>Data!M480</f>
        <v>0</v>
      </c>
      <c r="M481" s="37" t="s">
        <v>26</v>
      </c>
      <c r="N481" s="43" t="str">
        <f>VLOOKUP(M481,Table1[#All],3,FALSE)</f>
        <v>Note</v>
      </c>
      <c r="O481" s="40" t="str">
        <f>VLOOKUP(M481,Table1[#All],4,FALSE)</f>
        <v>Q1</v>
      </c>
      <c r="P481" s="39"/>
      <c r="Q481" s="40" t="str">
        <f>VLOOKUP(M481,Table1[#All],5,FALSE)</f>
        <v>Q2</v>
      </c>
      <c r="R481" s="79"/>
      <c r="S481" s="40" t="str">
        <f>VLOOKUP(M481,Table1[#All],6,FALSE)</f>
        <v>Q3</v>
      </c>
      <c r="T481" s="79"/>
      <c r="U481" s="40" t="str">
        <f>VLOOKUP(M481,Table1[#All],7,FALSE)</f>
        <v>Q4</v>
      </c>
      <c r="V481" s="79"/>
      <c r="W481" s="40" t="str">
        <f>VLOOKUP(M481,Table1[#All],8,FALSE)</f>
        <v>Q5</v>
      </c>
      <c r="X481" s="79"/>
      <c r="Y481" s="44" t="str">
        <f>VLOOKUP(M481,Table1[#All],2,FALSE)</f>
        <v>Action</v>
      </c>
      <c r="Z481" s="59" t="str">
        <f>VLOOKUP(M481,Table1[#All],9,FALSE)</f>
        <v>Additional Notes:</v>
      </c>
      <c r="AA481" s="76"/>
      <c r="AB481" s="76"/>
      <c r="AC481" s="90" t="s">
        <v>91</v>
      </c>
      <c r="AD481" s="76" t="s">
        <v>91</v>
      </c>
      <c r="AE481" s="77"/>
      <c r="AF481" s="77"/>
      <c r="AG481" s="41" t="s">
        <v>91</v>
      </c>
    </row>
    <row r="482" spans="1:33" ht="21" hidden="1" x14ac:dyDescent="0.55000000000000004">
      <c r="A482" s="44" t="str">
        <f>Data!K481</f>
        <v>DPOW-CCHP</v>
      </c>
      <c r="B482" s="44" t="str">
        <f>Data!L481</f>
        <v>4143899880</v>
      </c>
      <c r="C482" s="44" t="str">
        <f>Data!D481</f>
        <v xml:space="preserve">Martinez Perez, Ezequiel </v>
      </c>
      <c r="D482" s="82" t="str">
        <f>Data!F481</f>
        <v>0452171709</v>
      </c>
      <c r="E482" s="82" t="str">
        <f>Data!B481</f>
        <v>5532</v>
      </c>
      <c r="F482" s="44" t="str">
        <f>Data!A481</f>
        <v xml:space="preserve">Martinez Perez, Ezequiel </v>
      </c>
      <c r="G482" s="55" t="str">
        <f>Data!C481</f>
        <v>7/2/2012</v>
      </c>
      <c r="H482" s="56">
        <f>Data!H481</f>
        <v>44504</v>
      </c>
      <c r="I482" s="56" t="str">
        <f>Data!I481</f>
        <v>11/9/2021</v>
      </c>
      <c r="J482" s="57">
        <f>Data!J481</f>
        <v>748</v>
      </c>
      <c r="K482" s="58">
        <f t="shared" ca="1" si="7"/>
        <v>191</v>
      </c>
      <c r="L482" s="58">
        <f>Data!M481</f>
        <v>0</v>
      </c>
      <c r="M482" s="37" t="s">
        <v>26</v>
      </c>
      <c r="N482" s="43" t="str">
        <f>VLOOKUP(M482,Table1[#All],3,FALSE)</f>
        <v>Note</v>
      </c>
      <c r="O482" s="40" t="str">
        <f>VLOOKUP(M482,Table1[#All],4,FALSE)</f>
        <v>Q1</v>
      </c>
      <c r="P482" s="39"/>
      <c r="Q482" s="40" t="str">
        <f>VLOOKUP(M482,Table1[#All],5,FALSE)</f>
        <v>Q2</v>
      </c>
      <c r="R482" s="79"/>
      <c r="S482" s="40" t="str">
        <f>VLOOKUP(M482,Table1[#All],6,FALSE)</f>
        <v>Q3</v>
      </c>
      <c r="T482" s="79"/>
      <c r="U482" s="40" t="str">
        <f>VLOOKUP(M482,Table1[#All],7,FALSE)</f>
        <v>Q4</v>
      </c>
      <c r="V482" s="79"/>
      <c r="W482" s="40" t="str">
        <f>VLOOKUP(M482,Table1[#All],8,FALSE)</f>
        <v>Q5</v>
      </c>
      <c r="X482" s="79"/>
      <c r="Y482" s="44" t="str">
        <f>VLOOKUP(M482,Table1[#All],2,FALSE)</f>
        <v>Action</v>
      </c>
      <c r="Z482" s="59" t="str">
        <f>VLOOKUP(M482,Table1[#All],9,FALSE)</f>
        <v>Additional Notes:</v>
      </c>
      <c r="AA482" s="76"/>
      <c r="AB482" s="76"/>
      <c r="AC482" s="90" t="s">
        <v>91</v>
      </c>
      <c r="AD482" s="76" t="s">
        <v>91</v>
      </c>
      <c r="AE482" s="77"/>
      <c r="AF482" s="77"/>
      <c r="AG482" s="41" t="s">
        <v>91</v>
      </c>
    </row>
    <row r="483" spans="1:33" ht="21" hidden="1" x14ac:dyDescent="0.55000000000000004">
      <c r="A483" s="44" t="str">
        <f>Data!K482</f>
        <v>DPOW-CCHP</v>
      </c>
      <c r="B483" s="44" t="str">
        <f>Data!L482</f>
        <v>4143899880</v>
      </c>
      <c r="C483" s="44" t="str">
        <f>Data!D482</f>
        <v>Jensen Wright , Heather Ann</v>
      </c>
      <c r="D483" s="82" t="str">
        <f>Data!F482</f>
        <v>7420037370</v>
      </c>
      <c r="E483" s="82" t="str">
        <f>Data!B482</f>
        <v>6353</v>
      </c>
      <c r="F483" s="44" t="str">
        <f>Data!A482</f>
        <v>Jensen Wright , Heather Ann</v>
      </c>
      <c r="G483" s="55" t="str">
        <f>Data!C482</f>
        <v>11/27/1979</v>
      </c>
      <c r="H483" s="56">
        <f>Data!H482</f>
        <v>44504</v>
      </c>
      <c r="I483" s="56" t="str">
        <f>Data!I482</f>
        <v>11/9/2021</v>
      </c>
      <c r="J483" s="57">
        <f>Data!J482</f>
        <v>199.2</v>
      </c>
      <c r="K483" s="58">
        <f t="shared" ref="K483:K487" ca="1" si="8">TODAY()-I483</f>
        <v>191</v>
      </c>
      <c r="L483" s="58">
        <f>Data!M482</f>
        <v>0</v>
      </c>
      <c r="M483" s="37" t="s">
        <v>26</v>
      </c>
      <c r="N483" s="43" t="str">
        <f>VLOOKUP(M483,Table1[#All],3,FALSE)</f>
        <v>Note</v>
      </c>
      <c r="O483" s="40" t="str">
        <f>VLOOKUP(M483,Table1[#All],4,FALSE)</f>
        <v>Q1</v>
      </c>
      <c r="P483" s="39"/>
      <c r="Q483" s="40" t="str">
        <f>VLOOKUP(M483,Table1[#All],5,FALSE)</f>
        <v>Q2</v>
      </c>
      <c r="R483" s="79"/>
      <c r="S483" s="40" t="str">
        <f>VLOOKUP(M483,Table1[#All],6,FALSE)</f>
        <v>Q3</v>
      </c>
      <c r="T483" s="79"/>
      <c r="U483" s="40" t="str">
        <f>VLOOKUP(M483,Table1[#All],7,FALSE)</f>
        <v>Q4</v>
      </c>
      <c r="V483" s="79"/>
      <c r="W483" s="40" t="str">
        <f>VLOOKUP(M483,Table1[#All],8,FALSE)</f>
        <v>Q5</v>
      </c>
      <c r="X483" s="79"/>
      <c r="Y483" s="44" t="str">
        <f>VLOOKUP(M483,Table1[#All],2,FALSE)</f>
        <v>Action</v>
      </c>
      <c r="Z483" s="59" t="str">
        <f>VLOOKUP(M483,Table1[#All],9,FALSE)</f>
        <v>Additional Notes:</v>
      </c>
      <c r="AA483" s="76"/>
      <c r="AB483" s="76"/>
      <c r="AC483" s="90" t="s">
        <v>91</v>
      </c>
      <c r="AD483" s="76" t="s">
        <v>91</v>
      </c>
      <c r="AE483" s="77"/>
      <c r="AF483" s="77"/>
      <c r="AG483" s="41" t="s">
        <v>91</v>
      </c>
    </row>
    <row r="484" spans="1:33" ht="21" hidden="1" x14ac:dyDescent="0.55000000000000004">
      <c r="A484" s="44" t="str">
        <f>Data!K483</f>
        <v>DPOW-CCHP</v>
      </c>
      <c r="B484" s="44" t="str">
        <f>Data!L483</f>
        <v>4143899880</v>
      </c>
      <c r="C484" s="44" t="str">
        <f>Data!D483</f>
        <v xml:space="preserve">Hamed , Majd </v>
      </c>
      <c r="D484" s="82" t="str">
        <f>Data!F483</f>
        <v>5450181957</v>
      </c>
      <c r="E484" s="82" t="str">
        <f>Data!B483</f>
        <v>5821</v>
      </c>
      <c r="F484" s="44" t="str">
        <f>Data!A483</f>
        <v xml:space="preserve">Hamed , Majd </v>
      </c>
      <c r="G484" s="55" t="str">
        <f>Data!C483</f>
        <v>7/23/2016</v>
      </c>
      <c r="H484" s="56">
        <f>Data!H483</f>
        <v>44505</v>
      </c>
      <c r="I484" s="56" t="str">
        <f>Data!I483</f>
        <v>11/8/2021</v>
      </c>
      <c r="J484" s="57">
        <f>Data!J483</f>
        <v>88.8</v>
      </c>
      <c r="K484" s="58">
        <f t="shared" ca="1" si="8"/>
        <v>192</v>
      </c>
      <c r="L484" s="58">
        <f>Data!M483</f>
        <v>0</v>
      </c>
      <c r="M484" s="37" t="s">
        <v>26</v>
      </c>
      <c r="N484" s="43" t="str">
        <f>VLOOKUP(M484,Table1[#All],3,FALSE)</f>
        <v>Note</v>
      </c>
      <c r="O484" s="40" t="str">
        <f>VLOOKUP(M484,Table1[#All],4,FALSE)</f>
        <v>Q1</v>
      </c>
      <c r="P484" s="39"/>
      <c r="Q484" s="40" t="str">
        <f>VLOOKUP(M484,Table1[#All],5,FALSE)</f>
        <v>Q2</v>
      </c>
      <c r="R484" s="79"/>
      <c r="S484" s="40" t="str">
        <f>VLOOKUP(M484,Table1[#All],6,FALSE)</f>
        <v>Q3</v>
      </c>
      <c r="T484" s="79"/>
      <c r="U484" s="40" t="str">
        <f>VLOOKUP(M484,Table1[#All],7,FALSE)</f>
        <v>Q4</v>
      </c>
      <c r="V484" s="79"/>
      <c r="W484" s="40" t="str">
        <f>VLOOKUP(M484,Table1[#All],8,FALSE)</f>
        <v>Q5</v>
      </c>
      <c r="X484" s="79"/>
      <c r="Y484" s="44" t="str">
        <f>VLOOKUP(M484,Table1[#All],2,FALSE)</f>
        <v>Action</v>
      </c>
      <c r="Z484" s="59" t="str">
        <f>VLOOKUP(M484,Table1[#All],9,FALSE)</f>
        <v>Additional Notes:</v>
      </c>
      <c r="AA484" s="76"/>
      <c r="AB484" s="76"/>
      <c r="AC484" s="90" t="s">
        <v>91</v>
      </c>
      <c r="AD484" s="76" t="s">
        <v>91</v>
      </c>
      <c r="AE484" s="77"/>
      <c r="AF484" s="77"/>
      <c r="AG484" s="41" t="s">
        <v>91</v>
      </c>
    </row>
    <row r="485" spans="1:33" ht="21" hidden="1" x14ac:dyDescent="0.55000000000000004">
      <c r="A485" s="44" t="str">
        <f>Data!K484</f>
        <v>DPOW-CCHP</v>
      </c>
      <c r="B485" s="44" t="str">
        <f>Data!L484</f>
        <v>4143899880</v>
      </c>
      <c r="C485" s="44" t="str">
        <f>Data!D484</f>
        <v xml:space="preserve">Hood , Brandon </v>
      </c>
      <c r="D485" s="82" t="str">
        <f>Data!F484</f>
        <v>7441151473</v>
      </c>
      <c r="E485" s="82" t="str">
        <f>Data!B484</f>
        <v>8397</v>
      </c>
      <c r="F485" s="44" t="str">
        <f>Data!A484</f>
        <v xml:space="preserve">Hood , Brandon </v>
      </c>
      <c r="G485" s="55" t="str">
        <f>Data!C484</f>
        <v>9/28/2011</v>
      </c>
      <c r="H485" s="56">
        <f>Data!H484</f>
        <v>44505</v>
      </c>
      <c r="I485" s="56" t="str">
        <f>Data!I484</f>
        <v>11/8/2021</v>
      </c>
      <c r="J485" s="57">
        <f>Data!J484</f>
        <v>420.8</v>
      </c>
      <c r="K485" s="58">
        <f t="shared" ca="1" si="8"/>
        <v>192</v>
      </c>
      <c r="L485" s="58">
        <f>Data!M484</f>
        <v>0</v>
      </c>
      <c r="M485" s="37" t="s">
        <v>26</v>
      </c>
      <c r="N485" s="43" t="str">
        <f>VLOOKUP(M485,Table1[#All],3,FALSE)</f>
        <v>Note</v>
      </c>
      <c r="O485" s="40" t="str">
        <f>VLOOKUP(M485,Table1[#All],4,FALSE)</f>
        <v>Q1</v>
      </c>
      <c r="P485" s="39"/>
      <c r="Q485" s="40" t="str">
        <f>VLOOKUP(M485,Table1[#All],5,FALSE)</f>
        <v>Q2</v>
      </c>
      <c r="R485" s="79"/>
      <c r="S485" s="40" t="str">
        <f>VLOOKUP(M485,Table1[#All],6,FALSE)</f>
        <v>Q3</v>
      </c>
      <c r="T485" s="79"/>
      <c r="U485" s="40" t="str">
        <f>VLOOKUP(M485,Table1[#All],7,FALSE)</f>
        <v>Q4</v>
      </c>
      <c r="V485" s="79"/>
      <c r="W485" s="40" t="str">
        <f>VLOOKUP(M485,Table1[#All],8,FALSE)</f>
        <v>Q5</v>
      </c>
      <c r="X485" s="79"/>
      <c r="Y485" s="44" t="str">
        <f>VLOOKUP(M485,Table1[#All],2,FALSE)</f>
        <v>Action</v>
      </c>
      <c r="Z485" s="59" t="str">
        <f>VLOOKUP(M485,Table1[#All],9,FALSE)</f>
        <v>Additional Notes:</v>
      </c>
      <c r="AA485" s="76"/>
      <c r="AB485" s="76"/>
      <c r="AC485" s="90" t="s">
        <v>91</v>
      </c>
      <c r="AD485" s="76" t="s">
        <v>91</v>
      </c>
      <c r="AE485" s="77"/>
      <c r="AF485" s="77"/>
      <c r="AG485" s="41" t="s">
        <v>91</v>
      </c>
    </row>
    <row r="486" spans="1:33" ht="21" hidden="1" x14ac:dyDescent="0.55000000000000004">
      <c r="A486" s="44" t="str">
        <f>Data!K485</f>
        <v>DPOW-CCHP</v>
      </c>
      <c r="B486" s="44" t="str">
        <f>Data!L485</f>
        <v>4143899880</v>
      </c>
      <c r="C486" s="44" t="str">
        <f>Data!D485</f>
        <v>Peeples, Michele</v>
      </c>
      <c r="D486" s="82" t="str">
        <f>Data!F485</f>
        <v>0424122006</v>
      </c>
      <c r="E486" s="82" t="str">
        <f>Data!B485</f>
        <v>2825</v>
      </c>
      <c r="F486" s="44" t="str">
        <f>Data!A485</f>
        <v>Peeples, Michele</v>
      </c>
      <c r="G486" s="55" t="str">
        <f>Data!C485</f>
        <v>3/30/1970</v>
      </c>
      <c r="H486" s="56">
        <f>Data!H485</f>
        <v>44502</v>
      </c>
      <c r="I486" s="56" t="str">
        <f>Data!I485</f>
        <v>11/8/2021</v>
      </c>
      <c r="J486" s="57">
        <f>Data!J485</f>
        <v>266</v>
      </c>
      <c r="K486" s="58">
        <f t="shared" ca="1" si="8"/>
        <v>192</v>
      </c>
      <c r="L486" s="58">
        <f>Data!M485</f>
        <v>0</v>
      </c>
      <c r="M486" s="37" t="s">
        <v>26</v>
      </c>
      <c r="N486" s="43" t="str">
        <f>VLOOKUP(M486,Table1[#All],3,FALSE)</f>
        <v>Note</v>
      </c>
      <c r="O486" s="40" t="str">
        <f>VLOOKUP(M486,Table1[#All],4,FALSE)</f>
        <v>Q1</v>
      </c>
      <c r="P486" s="39"/>
      <c r="Q486" s="40" t="str">
        <f>VLOOKUP(M486,Table1[#All],5,FALSE)</f>
        <v>Q2</v>
      </c>
      <c r="R486" s="79"/>
      <c r="S486" s="40" t="str">
        <f>VLOOKUP(M486,Table1[#All],6,FALSE)</f>
        <v>Q3</v>
      </c>
      <c r="T486" s="79"/>
      <c r="U486" s="40" t="str">
        <f>VLOOKUP(M486,Table1[#All],7,FALSE)</f>
        <v>Q4</v>
      </c>
      <c r="V486" s="79"/>
      <c r="W486" s="40" t="str">
        <f>VLOOKUP(M486,Table1[#All],8,FALSE)</f>
        <v>Q5</v>
      </c>
      <c r="X486" s="79"/>
      <c r="Y486" s="44" t="str">
        <f>VLOOKUP(M486,Table1[#All],2,FALSE)</f>
        <v>Action</v>
      </c>
      <c r="Z486" s="59" t="str">
        <f>VLOOKUP(M486,Table1[#All],9,FALSE)</f>
        <v>Additional Notes:</v>
      </c>
      <c r="AA486" s="76"/>
      <c r="AB486" s="76"/>
      <c r="AC486" s="90" t="s">
        <v>91</v>
      </c>
      <c r="AD486" s="76" t="s">
        <v>91</v>
      </c>
      <c r="AE486" s="77"/>
      <c r="AF486" s="77"/>
      <c r="AG486" s="41" t="s">
        <v>91</v>
      </c>
    </row>
    <row r="487" spans="1:33" ht="21" hidden="1" x14ac:dyDescent="0.55000000000000004">
      <c r="A487" s="44" t="str">
        <f>Data!K486</f>
        <v>DPOW-CCHP</v>
      </c>
      <c r="B487" s="44" t="str">
        <f>Data!L486</f>
        <v>4143899880</v>
      </c>
      <c r="C487" s="44" t="str">
        <f>Data!D486</f>
        <v>West, Cathryn</v>
      </c>
      <c r="D487" s="82" t="str">
        <f>Data!F486</f>
        <v>2414425121</v>
      </c>
      <c r="E487" s="82" t="str">
        <f>Data!B486</f>
        <v>8359</v>
      </c>
      <c r="F487" s="44" t="str">
        <f>Data!A486</f>
        <v>West, Cathryn</v>
      </c>
      <c r="G487" s="55" t="str">
        <f>Data!C486</f>
        <v>9/6/1972</v>
      </c>
      <c r="H487" s="56">
        <f>Data!H486</f>
        <v>44502</v>
      </c>
      <c r="I487" s="56" t="str">
        <f>Data!I486</f>
        <v>11/8/2021</v>
      </c>
      <c r="J487" s="57">
        <f>Data!J486</f>
        <v>175.2</v>
      </c>
      <c r="K487" s="58">
        <f t="shared" ca="1" si="8"/>
        <v>192</v>
      </c>
      <c r="L487" s="58">
        <f>Data!M486</f>
        <v>0</v>
      </c>
      <c r="M487" s="37" t="s">
        <v>26</v>
      </c>
      <c r="N487" s="43" t="str">
        <f>VLOOKUP(M487,Table1[#All],3,FALSE)</f>
        <v>Note</v>
      </c>
      <c r="O487" s="40" t="str">
        <f>VLOOKUP(M487,Table1[#All],4,FALSE)</f>
        <v>Q1</v>
      </c>
      <c r="P487" s="39"/>
      <c r="Q487" s="40" t="str">
        <f>VLOOKUP(M487,Table1[#All],5,FALSE)</f>
        <v>Q2</v>
      </c>
      <c r="R487" s="79"/>
      <c r="S487" s="40" t="str">
        <f>VLOOKUP(M487,Table1[#All],6,FALSE)</f>
        <v>Q3</v>
      </c>
      <c r="T487" s="79"/>
      <c r="U487" s="40" t="str">
        <f>VLOOKUP(M487,Table1[#All],7,FALSE)</f>
        <v>Q4</v>
      </c>
      <c r="V487" s="79"/>
      <c r="W487" s="40" t="str">
        <f>VLOOKUP(M487,Table1[#All],8,FALSE)</f>
        <v>Q5</v>
      </c>
      <c r="X487" s="79"/>
      <c r="Y487" s="44" t="str">
        <f>VLOOKUP(M487,Table1[#All],2,FALSE)</f>
        <v>Action</v>
      </c>
      <c r="Z487" s="59" t="str">
        <f>VLOOKUP(M487,Table1[#All],9,FALSE)</f>
        <v>Additional Notes:</v>
      </c>
      <c r="AA487" s="76"/>
      <c r="AB487" s="76"/>
      <c r="AC487" s="90" t="s">
        <v>91</v>
      </c>
      <c r="AD487" s="76" t="s">
        <v>91</v>
      </c>
      <c r="AE487" s="77"/>
      <c r="AF487" s="77"/>
      <c r="AG487" s="41" t="s">
        <v>91</v>
      </c>
    </row>
    <row r="488" spans="1:33" ht="21" hidden="1" x14ac:dyDescent="0.55000000000000004">
      <c r="A488" s="44" t="str">
        <f>Data!K487</f>
        <v>DPOW-CCHP</v>
      </c>
      <c r="B488" s="44" t="str">
        <f>Data!L487</f>
        <v>4143899880</v>
      </c>
      <c r="C488" s="44" t="str">
        <f>Data!D487</f>
        <v>Torres, Alexander</v>
      </c>
      <c r="D488" s="82" t="str">
        <f>Data!F487</f>
        <v>5434825357</v>
      </c>
      <c r="E488" s="82" t="str">
        <f>Data!B487</f>
        <v>5841</v>
      </c>
      <c r="F488" s="44" t="str">
        <f>Data!A487</f>
        <v>Torres, Alexander</v>
      </c>
      <c r="G488" s="55" t="str">
        <f>Data!C487</f>
        <v>9/4/2008</v>
      </c>
      <c r="H488" s="56">
        <f>Data!H487</f>
        <v>44502</v>
      </c>
      <c r="I488" s="56" t="str">
        <f>Data!I487</f>
        <v>11/8/2021</v>
      </c>
      <c r="J488" s="57">
        <f>Data!J487</f>
        <v>698</v>
      </c>
      <c r="K488" s="58">
        <f t="shared" ref="K488:K551" ca="1" si="9">TODAY()-I488</f>
        <v>192</v>
      </c>
      <c r="L488" s="58">
        <f>Data!M487</f>
        <v>0</v>
      </c>
      <c r="M488" s="37" t="s">
        <v>26</v>
      </c>
      <c r="N488" s="43" t="str">
        <f>VLOOKUP(M488,Table1[#All],3,FALSE)</f>
        <v>Note</v>
      </c>
      <c r="O488" s="40" t="str">
        <f>VLOOKUP(M488,Table1[#All],4,FALSE)</f>
        <v>Q1</v>
      </c>
      <c r="P488" s="39"/>
      <c r="Q488" s="40" t="str">
        <f>VLOOKUP(M488,Table1[#All],5,FALSE)</f>
        <v>Q2</v>
      </c>
      <c r="R488" s="79"/>
      <c r="S488" s="40" t="str">
        <f>VLOOKUP(M488,Table1[#All],6,FALSE)</f>
        <v>Q3</v>
      </c>
      <c r="T488" s="79"/>
      <c r="U488" s="40" t="str">
        <f>VLOOKUP(M488,Table1[#All],7,FALSE)</f>
        <v>Q4</v>
      </c>
      <c r="V488" s="79"/>
      <c r="W488" s="40" t="str">
        <f>VLOOKUP(M488,Table1[#All],8,FALSE)</f>
        <v>Q5</v>
      </c>
      <c r="X488" s="79"/>
      <c r="Y488" s="44" t="str">
        <f>VLOOKUP(M488,Table1[#All],2,FALSE)</f>
        <v>Action</v>
      </c>
      <c r="Z488" s="59" t="str">
        <f>VLOOKUP(M488,Table1[#All],9,FALSE)</f>
        <v>Additional Notes:</v>
      </c>
      <c r="AA488" s="76"/>
      <c r="AB488" s="76"/>
      <c r="AC488" s="90" t="s">
        <v>91</v>
      </c>
      <c r="AD488" s="76" t="s">
        <v>91</v>
      </c>
      <c r="AE488" s="77"/>
      <c r="AF488" s="77"/>
      <c r="AG488" s="41" t="s">
        <v>91</v>
      </c>
    </row>
    <row r="489" spans="1:33" ht="21" hidden="1" x14ac:dyDescent="0.55000000000000004">
      <c r="A489" s="44" t="str">
        <f>Data!K488</f>
        <v>DPOW-CCHP</v>
      </c>
      <c r="B489" s="44" t="str">
        <f>Data!L488</f>
        <v>4143899880</v>
      </c>
      <c r="C489" s="44" t="str">
        <f>Data!D488</f>
        <v>EDWARDS, MESSIAH</v>
      </c>
      <c r="D489" s="82" t="str">
        <f>Data!F488</f>
        <v>6446707363</v>
      </c>
      <c r="E489" s="82" t="str">
        <f>Data!B488</f>
        <v>3881</v>
      </c>
      <c r="F489" s="44" t="str">
        <f>Data!A488</f>
        <v>EDWARDS, MESSIAH</v>
      </c>
      <c r="G489" s="55" t="str">
        <f>Data!C488</f>
        <v>8/18/2014</v>
      </c>
      <c r="H489" s="56">
        <f>Data!H488</f>
        <v>44502</v>
      </c>
      <c r="I489" s="56" t="str">
        <f>Data!I488</f>
        <v>11/8/2021</v>
      </c>
      <c r="J489" s="57">
        <f>Data!J488</f>
        <v>437.2</v>
      </c>
      <c r="K489" s="58">
        <f t="shared" ca="1" si="9"/>
        <v>192</v>
      </c>
      <c r="L489" s="58">
        <f>Data!M488</f>
        <v>0</v>
      </c>
      <c r="M489" s="37" t="s">
        <v>26</v>
      </c>
      <c r="N489" s="43" t="str">
        <f>VLOOKUP(M489,Table1[#All],3,FALSE)</f>
        <v>Note</v>
      </c>
      <c r="O489" s="40" t="str">
        <f>VLOOKUP(M489,Table1[#All],4,FALSE)</f>
        <v>Q1</v>
      </c>
      <c r="P489" s="39"/>
      <c r="Q489" s="40" t="str">
        <f>VLOOKUP(M489,Table1[#All],5,FALSE)</f>
        <v>Q2</v>
      </c>
      <c r="R489" s="79"/>
      <c r="S489" s="40" t="str">
        <f>VLOOKUP(M489,Table1[#All],6,FALSE)</f>
        <v>Q3</v>
      </c>
      <c r="T489" s="79"/>
      <c r="U489" s="40" t="str">
        <f>VLOOKUP(M489,Table1[#All],7,FALSE)</f>
        <v>Q4</v>
      </c>
      <c r="V489" s="79"/>
      <c r="W489" s="40" t="str">
        <f>VLOOKUP(M489,Table1[#All],8,FALSE)</f>
        <v>Q5</v>
      </c>
      <c r="X489" s="79"/>
      <c r="Y489" s="44" t="str">
        <f>VLOOKUP(M489,Table1[#All],2,FALSE)</f>
        <v>Action</v>
      </c>
      <c r="Z489" s="59" t="str">
        <f>VLOOKUP(M489,Table1[#All],9,FALSE)</f>
        <v>Additional Notes:</v>
      </c>
      <c r="AA489" s="76"/>
      <c r="AB489" s="76"/>
      <c r="AC489" s="90" t="s">
        <v>91</v>
      </c>
      <c r="AD489" s="76" t="s">
        <v>91</v>
      </c>
      <c r="AE489" s="77"/>
      <c r="AF489" s="77"/>
      <c r="AG489" s="41" t="s">
        <v>91</v>
      </c>
    </row>
    <row r="490" spans="1:33" ht="21" hidden="1" x14ac:dyDescent="0.55000000000000004">
      <c r="A490" s="44" t="str">
        <f>Data!K489</f>
        <v>DPOW-CCHP</v>
      </c>
      <c r="B490" s="44" t="str">
        <f>Data!L489</f>
        <v>4143899880</v>
      </c>
      <c r="C490" s="44" t="str">
        <f>Data!D489</f>
        <v>RAMSEY, COURTNEY</v>
      </c>
      <c r="D490" s="82" t="str">
        <f>Data!F489</f>
        <v>4430083541</v>
      </c>
      <c r="E490" s="82" t="str">
        <f>Data!B489</f>
        <v>3447</v>
      </c>
      <c r="F490" s="44" t="str">
        <f>Data!A489</f>
        <v>RAMSEY, COURTNEY</v>
      </c>
      <c r="G490" s="55" t="str">
        <f>Data!C489</f>
        <v>12/31/1990</v>
      </c>
      <c r="H490" s="56">
        <f>Data!H489</f>
        <v>44503</v>
      </c>
      <c r="I490" s="56" t="str">
        <f>Data!I489</f>
        <v>11/6/2021</v>
      </c>
      <c r="J490" s="57">
        <f>Data!J489</f>
        <v>266</v>
      </c>
      <c r="K490" s="58">
        <f t="shared" ca="1" si="9"/>
        <v>194</v>
      </c>
      <c r="L490" s="58">
        <f>Data!M489</f>
        <v>0</v>
      </c>
      <c r="M490" s="37" t="s">
        <v>26</v>
      </c>
      <c r="N490" s="43" t="str">
        <f>VLOOKUP(M490,Table1[#All],3,FALSE)</f>
        <v>Note</v>
      </c>
      <c r="O490" s="40" t="str">
        <f>VLOOKUP(M490,Table1[#All],4,FALSE)</f>
        <v>Q1</v>
      </c>
      <c r="P490" s="39"/>
      <c r="Q490" s="40" t="str">
        <f>VLOOKUP(M490,Table1[#All],5,FALSE)</f>
        <v>Q2</v>
      </c>
      <c r="R490" s="79"/>
      <c r="S490" s="40" t="str">
        <f>VLOOKUP(M490,Table1[#All],6,FALSE)</f>
        <v>Q3</v>
      </c>
      <c r="T490" s="79"/>
      <c r="U490" s="40" t="str">
        <f>VLOOKUP(M490,Table1[#All],7,FALSE)</f>
        <v>Q4</v>
      </c>
      <c r="V490" s="79"/>
      <c r="W490" s="40" t="str">
        <f>VLOOKUP(M490,Table1[#All],8,FALSE)</f>
        <v>Q5</v>
      </c>
      <c r="X490" s="79"/>
      <c r="Y490" s="44" t="str">
        <f>VLOOKUP(M490,Table1[#All],2,FALSE)</f>
        <v>Action</v>
      </c>
      <c r="Z490" s="59" t="str">
        <f>VLOOKUP(M490,Table1[#All],9,FALSE)</f>
        <v>Additional Notes:</v>
      </c>
      <c r="AA490" s="76"/>
      <c r="AB490" s="76"/>
      <c r="AC490" s="90" t="s">
        <v>91</v>
      </c>
      <c r="AD490" s="76" t="s">
        <v>91</v>
      </c>
      <c r="AE490" s="77"/>
      <c r="AF490" s="77"/>
      <c r="AG490" s="41" t="s">
        <v>91</v>
      </c>
    </row>
    <row r="491" spans="1:33" ht="21" hidden="1" x14ac:dyDescent="0.55000000000000004">
      <c r="A491" s="44" t="str">
        <f>Data!K490</f>
        <v>DPOW-CCHP</v>
      </c>
      <c r="B491" s="44" t="str">
        <f>Data!L490</f>
        <v>4143899880</v>
      </c>
      <c r="C491" s="44" t="str">
        <f>Data!D490</f>
        <v xml:space="preserve">LENTINI, SONJA </v>
      </c>
      <c r="D491" s="82" t="str">
        <f>Data!F490</f>
        <v>1418059811</v>
      </c>
      <c r="E491" s="82" t="str">
        <f>Data!B490</f>
        <v>3707</v>
      </c>
      <c r="F491" s="44" t="str">
        <f>Data!A490</f>
        <v xml:space="preserve">LENTINI, SONJA </v>
      </c>
      <c r="G491" s="55" t="str">
        <f>Data!C490</f>
        <v>2/15/1987</v>
      </c>
      <c r="H491" s="56">
        <f>Data!H490</f>
        <v>44503</v>
      </c>
      <c r="I491" s="56" t="str">
        <f>Data!I490</f>
        <v>11/6/2021</v>
      </c>
      <c r="J491" s="57">
        <f>Data!J490</f>
        <v>303.60000000000002</v>
      </c>
      <c r="K491" s="58">
        <f t="shared" ca="1" si="9"/>
        <v>194</v>
      </c>
      <c r="L491" s="58">
        <f>Data!M490</f>
        <v>0</v>
      </c>
      <c r="M491" s="37" t="s">
        <v>26</v>
      </c>
      <c r="N491" s="43" t="str">
        <f>VLOOKUP(M491,Table1[#All],3,FALSE)</f>
        <v>Note</v>
      </c>
      <c r="O491" s="40" t="str">
        <f>VLOOKUP(M491,Table1[#All],4,FALSE)</f>
        <v>Q1</v>
      </c>
      <c r="P491" s="39"/>
      <c r="Q491" s="40" t="str">
        <f>VLOOKUP(M491,Table1[#All],5,FALSE)</f>
        <v>Q2</v>
      </c>
      <c r="R491" s="79"/>
      <c r="S491" s="40" t="str">
        <f>VLOOKUP(M491,Table1[#All],6,FALSE)</f>
        <v>Q3</v>
      </c>
      <c r="T491" s="79"/>
      <c r="U491" s="40" t="str">
        <f>VLOOKUP(M491,Table1[#All],7,FALSE)</f>
        <v>Q4</v>
      </c>
      <c r="V491" s="79"/>
      <c r="W491" s="40" t="str">
        <f>VLOOKUP(M491,Table1[#All],8,FALSE)</f>
        <v>Q5</v>
      </c>
      <c r="X491" s="79"/>
      <c r="Y491" s="44" t="str">
        <f>VLOOKUP(M491,Table1[#All],2,FALSE)</f>
        <v>Action</v>
      </c>
      <c r="Z491" s="59" t="str">
        <f>VLOOKUP(M491,Table1[#All],9,FALSE)</f>
        <v>Additional Notes:</v>
      </c>
      <c r="AA491" s="76"/>
      <c r="AB491" s="76"/>
      <c r="AC491" s="90" t="s">
        <v>91</v>
      </c>
      <c r="AD491" s="76" t="s">
        <v>91</v>
      </c>
      <c r="AE491" s="77"/>
      <c r="AF491" s="77"/>
      <c r="AG491" s="41" t="s">
        <v>91</v>
      </c>
    </row>
    <row r="492" spans="1:33" ht="21" hidden="1" x14ac:dyDescent="0.55000000000000004">
      <c r="A492" s="44" t="str">
        <f>Data!K491</f>
        <v>DPOW-CCHP</v>
      </c>
      <c r="B492" s="44" t="str">
        <f>Data!L491</f>
        <v>4143899880</v>
      </c>
      <c r="C492" s="44" t="str">
        <f>Data!D491</f>
        <v xml:space="preserve">Martinez Perez, Eliud </v>
      </c>
      <c r="D492" s="82" t="str">
        <f>Data!F491</f>
        <v>9452171693</v>
      </c>
      <c r="E492" s="82" t="str">
        <f>Data!B491</f>
        <v>5531</v>
      </c>
      <c r="F492" s="44" t="str">
        <f>Data!A491</f>
        <v xml:space="preserve">Martinez Perez, Eliud </v>
      </c>
      <c r="G492" s="55" t="str">
        <f>Data!C491</f>
        <v>10/7/2010</v>
      </c>
      <c r="H492" s="56">
        <f>Data!H491</f>
        <v>44504</v>
      </c>
      <c r="I492" s="56" t="str">
        <f>Data!I491</f>
        <v>11/5/2021</v>
      </c>
      <c r="J492" s="57">
        <f>Data!J491</f>
        <v>61.2</v>
      </c>
      <c r="K492" s="58">
        <f t="shared" ca="1" si="9"/>
        <v>195</v>
      </c>
      <c r="L492" s="58">
        <f>Data!M491</f>
        <v>0</v>
      </c>
      <c r="M492" s="37" t="s">
        <v>26</v>
      </c>
      <c r="N492" s="43" t="str">
        <f>VLOOKUP(M492,Table1[#All],3,FALSE)</f>
        <v>Note</v>
      </c>
      <c r="O492" s="40" t="str">
        <f>VLOOKUP(M492,Table1[#All],4,FALSE)</f>
        <v>Q1</v>
      </c>
      <c r="P492" s="39"/>
      <c r="Q492" s="40" t="str">
        <f>VLOOKUP(M492,Table1[#All],5,FALSE)</f>
        <v>Q2</v>
      </c>
      <c r="R492" s="79"/>
      <c r="S492" s="40" t="str">
        <f>VLOOKUP(M492,Table1[#All],6,FALSE)</f>
        <v>Q3</v>
      </c>
      <c r="T492" s="79"/>
      <c r="U492" s="40" t="str">
        <f>VLOOKUP(M492,Table1[#All],7,FALSE)</f>
        <v>Q4</v>
      </c>
      <c r="V492" s="79"/>
      <c r="W492" s="40" t="str">
        <f>VLOOKUP(M492,Table1[#All],8,FALSE)</f>
        <v>Q5</v>
      </c>
      <c r="X492" s="79"/>
      <c r="Y492" s="44" t="str">
        <f>VLOOKUP(M492,Table1[#All],2,FALSE)</f>
        <v>Action</v>
      </c>
      <c r="Z492" s="59" t="str">
        <f>VLOOKUP(M492,Table1[#All],9,FALSE)</f>
        <v>Additional Notes:</v>
      </c>
      <c r="AA492" s="76"/>
      <c r="AB492" s="76"/>
      <c r="AC492" s="90" t="s">
        <v>91</v>
      </c>
      <c r="AD492" s="76" t="s">
        <v>91</v>
      </c>
      <c r="AE492" s="77"/>
      <c r="AF492" s="77"/>
      <c r="AG492" s="41" t="s">
        <v>91</v>
      </c>
    </row>
    <row r="493" spans="1:33" ht="21" hidden="1" x14ac:dyDescent="0.55000000000000004">
      <c r="A493" s="44" t="str">
        <f>Data!K492</f>
        <v>DPOW-CCHP</v>
      </c>
      <c r="B493" s="44" t="str">
        <f>Data!L492</f>
        <v>4143899880</v>
      </c>
      <c r="C493" s="44" t="str">
        <f>Data!D492</f>
        <v>Calderon Padill, Mara</v>
      </c>
      <c r="D493" s="82" t="str">
        <f>Data!F492</f>
        <v>4450221842</v>
      </c>
      <c r="E493" s="82" t="str">
        <f>Data!B492</f>
        <v>8323</v>
      </c>
      <c r="F493" s="44" t="str">
        <f>Data!A492</f>
        <v>Calderon Padill, Mara</v>
      </c>
      <c r="G493" s="55" t="str">
        <f>Data!C492</f>
        <v>12/17/1986</v>
      </c>
      <c r="H493" s="56">
        <f>Data!H492</f>
        <v>44503</v>
      </c>
      <c r="I493" s="56" t="str">
        <f>Data!I492</f>
        <v>11/5/2021</v>
      </c>
      <c r="J493" s="57">
        <f>Data!J492</f>
        <v>238</v>
      </c>
      <c r="K493" s="58">
        <f t="shared" ca="1" si="9"/>
        <v>195</v>
      </c>
      <c r="L493" s="58">
        <f>Data!M492</f>
        <v>0</v>
      </c>
      <c r="M493" s="37" t="s">
        <v>26</v>
      </c>
      <c r="N493" s="43" t="str">
        <f>VLOOKUP(M493,Table1[#All],3,FALSE)</f>
        <v>Note</v>
      </c>
      <c r="O493" s="40" t="str">
        <f>VLOOKUP(M493,Table1[#All],4,FALSE)</f>
        <v>Q1</v>
      </c>
      <c r="P493" s="39"/>
      <c r="Q493" s="40" t="str">
        <f>VLOOKUP(M493,Table1[#All],5,FALSE)</f>
        <v>Q2</v>
      </c>
      <c r="R493" s="79"/>
      <c r="S493" s="40" t="str">
        <f>VLOOKUP(M493,Table1[#All],6,FALSE)</f>
        <v>Q3</v>
      </c>
      <c r="T493" s="79"/>
      <c r="U493" s="40" t="str">
        <f>VLOOKUP(M493,Table1[#All],7,FALSE)</f>
        <v>Q4</v>
      </c>
      <c r="V493" s="79"/>
      <c r="W493" s="40" t="str">
        <f>VLOOKUP(M493,Table1[#All],8,FALSE)</f>
        <v>Q5</v>
      </c>
      <c r="X493" s="79"/>
      <c r="Y493" s="44" t="str">
        <f>VLOOKUP(M493,Table1[#All],2,FALSE)</f>
        <v>Action</v>
      </c>
      <c r="Z493" s="59" t="str">
        <f>VLOOKUP(M493,Table1[#All],9,FALSE)</f>
        <v>Additional Notes:</v>
      </c>
      <c r="AA493" s="76"/>
      <c r="AB493" s="76"/>
      <c r="AC493" s="90" t="s">
        <v>91</v>
      </c>
      <c r="AD493" s="76" t="s">
        <v>91</v>
      </c>
      <c r="AE493" s="77"/>
      <c r="AF493" s="77"/>
      <c r="AG493" s="41" t="s">
        <v>91</v>
      </c>
    </row>
    <row r="494" spans="1:33" ht="21" hidden="1" x14ac:dyDescent="0.55000000000000004">
      <c r="A494" s="44" t="str">
        <f>Data!K493</f>
        <v>DPOW-CCHP</v>
      </c>
      <c r="B494" s="44" t="str">
        <f>Data!L493</f>
        <v>4143899880</v>
      </c>
      <c r="C494" s="44" t="str">
        <f>Data!D493</f>
        <v>Lopez, Neolani</v>
      </c>
      <c r="D494" s="82" t="str">
        <f>Data!F493</f>
        <v>3425041134</v>
      </c>
      <c r="E494" s="82" t="str">
        <f>Data!B493</f>
        <v>8329</v>
      </c>
      <c r="F494" s="44" t="str">
        <f>Data!A493</f>
        <v>Lopez, Neolani</v>
      </c>
      <c r="G494" s="55" t="str">
        <f>Data!C493</f>
        <v>12/17/2005</v>
      </c>
      <c r="H494" s="56">
        <f>Data!H493</f>
        <v>44502</v>
      </c>
      <c r="I494" s="56" t="str">
        <f>Data!I493</f>
        <v>11/5/2021</v>
      </c>
      <c r="J494" s="57">
        <f>Data!J493</f>
        <v>756</v>
      </c>
      <c r="K494" s="58">
        <f t="shared" ca="1" si="9"/>
        <v>195</v>
      </c>
      <c r="L494" s="58">
        <f>Data!M493</f>
        <v>0</v>
      </c>
      <c r="M494" s="37" t="s">
        <v>26</v>
      </c>
      <c r="N494" s="43" t="str">
        <f>VLOOKUP(M494,Table1[#All],3,FALSE)</f>
        <v>Note</v>
      </c>
      <c r="O494" s="40" t="str">
        <f>VLOOKUP(M494,Table1[#All],4,FALSE)</f>
        <v>Q1</v>
      </c>
      <c r="P494" s="39"/>
      <c r="Q494" s="40" t="str">
        <f>VLOOKUP(M494,Table1[#All],5,FALSE)</f>
        <v>Q2</v>
      </c>
      <c r="R494" s="79"/>
      <c r="S494" s="40" t="str">
        <f>VLOOKUP(M494,Table1[#All],6,FALSE)</f>
        <v>Q3</v>
      </c>
      <c r="T494" s="79"/>
      <c r="U494" s="40" t="str">
        <f>VLOOKUP(M494,Table1[#All],7,FALSE)</f>
        <v>Q4</v>
      </c>
      <c r="V494" s="79"/>
      <c r="W494" s="40" t="str">
        <f>VLOOKUP(M494,Table1[#All],8,FALSE)</f>
        <v>Q5</v>
      </c>
      <c r="X494" s="79"/>
      <c r="Y494" s="44" t="str">
        <f>VLOOKUP(M494,Table1[#All],2,FALSE)</f>
        <v>Action</v>
      </c>
      <c r="Z494" s="59" t="str">
        <f>VLOOKUP(M494,Table1[#All],9,FALSE)</f>
        <v>Additional Notes:</v>
      </c>
      <c r="AA494" s="76"/>
      <c r="AB494" s="76"/>
      <c r="AC494" s="90" t="s">
        <v>91</v>
      </c>
      <c r="AD494" s="76" t="s">
        <v>91</v>
      </c>
      <c r="AE494" s="77"/>
      <c r="AF494" s="77"/>
      <c r="AG494" s="41" t="s">
        <v>91</v>
      </c>
    </row>
    <row r="495" spans="1:33" ht="21" hidden="1" x14ac:dyDescent="0.55000000000000004">
      <c r="A495" s="44" t="str">
        <f>Data!K494</f>
        <v>DPOW-CCHP</v>
      </c>
      <c r="B495" s="44" t="str">
        <f>Data!L494</f>
        <v>4143899880</v>
      </c>
      <c r="C495" s="44" t="str">
        <f>Data!D494</f>
        <v>Sharma , Sanjeev</v>
      </c>
      <c r="D495" s="82" t="str">
        <f>Data!F494</f>
        <v>9445104099</v>
      </c>
      <c r="E495" s="82" t="str">
        <f>Data!B494</f>
        <v>8347</v>
      </c>
      <c r="F495" s="44" t="str">
        <f>Data!A494</f>
        <v>Sharma , Sanjeev</v>
      </c>
      <c r="G495" s="55" t="str">
        <f>Data!C494</f>
        <v>12/6/1978</v>
      </c>
      <c r="H495" s="56">
        <f>Data!H494</f>
        <v>44501</v>
      </c>
      <c r="I495" s="56" t="str">
        <f>Data!I494</f>
        <v>11/5/2021</v>
      </c>
      <c r="J495" s="57">
        <f>Data!J494</f>
        <v>226.8</v>
      </c>
      <c r="K495" s="58">
        <f t="shared" ca="1" si="9"/>
        <v>195</v>
      </c>
      <c r="L495" s="58">
        <f>Data!M494</f>
        <v>0</v>
      </c>
      <c r="M495" s="37" t="s">
        <v>26</v>
      </c>
      <c r="N495" s="43" t="str">
        <f>VLOOKUP(M495,Table1[#All],3,FALSE)</f>
        <v>Note</v>
      </c>
      <c r="O495" s="40" t="str">
        <f>VLOOKUP(M495,Table1[#All],4,FALSE)</f>
        <v>Q1</v>
      </c>
      <c r="P495" s="39"/>
      <c r="Q495" s="40" t="str">
        <f>VLOOKUP(M495,Table1[#All],5,FALSE)</f>
        <v>Q2</v>
      </c>
      <c r="R495" s="79"/>
      <c r="S495" s="40" t="str">
        <f>VLOOKUP(M495,Table1[#All],6,FALSE)</f>
        <v>Q3</v>
      </c>
      <c r="T495" s="79"/>
      <c r="U495" s="40" t="str">
        <f>VLOOKUP(M495,Table1[#All],7,FALSE)</f>
        <v>Q4</v>
      </c>
      <c r="V495" s="79"/>
      <c r="W495" s="40" t="str">
        <f>VLOOKUP(M495,Table1[#All],8,FALSE)</f>
        <v>Q5</v>
      </c>
      <c r="X495" s="79"/>
      <c r="Y495" s="44" t="str">
        <f>VLOOKUP(M495,Table1[#All],2,FALSE)</f>
        <v>Action</v>
      </c>
      <c r="Z495" s="59" t="str">
        <f>VLOOKUP(M495,Table1[#All],9,FALSE)</f>
        <v>Additional Notes:</v>
      </c>
      <c r="AA495" s="76"/>
      <c r="AB495" s="76"/>
      <c r="AC495" s="90" t="s">
        <v>91</v>
      </c>
      <c r="AD495" s="76" t="s">
        <v>91</v>
      </c>
      <c r="AE495" s="77"/>
      <c r="AF495" s="77"/>
      <c r="AG495" s="41" t="s">
        <v>91</v>
      </c>
    </row>
    <row r="496" spans="1:33" ht="21" hidden="1" x14ac:dyDescent="0.55000000000000004">
      <c r="A496" s="44" t="str">
        <f>Data!K495</f>
        <v>DPOW-CCHP</v>
      </c>
      <c r="B496" s="44" t="str">
        <f>Data!L495</f>
        <v>4143899880</v>
      </c>
      <c r="C496" s="44" t="str">
        <f>Data!D495</f>
        <v xml:space="preserve">Rebollar , Marilu </v>
      </c>
      <c r="D496" s="82" t="str">
        <f>Data!F495</f>
        <v>2402176229</v>
      </c>
      <c r="E496" s="82" t="str">
        <f>Data!B495</f>
        <v>8338</v>
      </c>
      <c r="F496" s="44" t="str">
        <f>Data!A495</f>
        <v xml:space="preserve">Rebollar , Marilu </v>
      </c>
      <c r="G496" s="55" t="str">
        <f>Data!C495</f>
        <v>10/3/1995</v>
      </c>
      <c r="H496" s="56">
        <f>Data!H495</f>
        <v>44501</v>
      </c>
      <c r="I496" s="56" t="str">
        <f>Data!I495</f>
        <v>11/5/2021</v>
      </c>
      <c r="J496" s="57">
        <f>Data!J495</f>
        <v>332.4</v>
      </c>
      <c r="K496" s="58">
        <f t="shared" ca="1" si="9"/>
        <v>195</v>
      </c>
      <c r="L496" s="58">
        <f>Data!M495</f>
        <v>0</v>
      </c>
      <c r="M496" s="37" t="s">
        <v>26</v>
      </c>
      <c r="N496" s="43" t="str">
        <f>VLOOKUP(M496,Table1[#All],3,FALSE)</f>
        <v>Note</v>
      </c>
      <c r="O496" s="40" t="str">
        <f>VLOOKUP(M496,Table1[#All],4,FALSE)</f>
        <v>Q1</v>
      </c>
      <c r="P496" s="39"/>
      <c r="Q496" s="40" t="str">
        <f>VLOOKUP(M496,Table1[#All],5,FALSE)</f>
        <v>Q2</v>
      </c>
      <c r="R496" s="79"/>
      <c r="S496" s="40" t="str">
        <f>VLOOKUP(M496,Table1[#All],6,FALSE)</f>
        <v>Q3</v>
      </c>
      <c r="T496" s="79"/>
      <c r="U496" s="40" t="str">
        <f>VLOOKUP(M496,Table1[#All],7,FALSE)</f>
        <v>Q4</v>
      </c>
      <c r="V496" s="79"/>
      <c r="W496" s="40" t="str">
        <f>VLOOKUP(M496,Table1[#All],8,FALSE)</f>
        <v>Q5</v>
      </c>
      <c r="X496" s="79"/>
      <c r="Y496" s="44" t="str">
        <f>VLOOKUP(M496,Table1[#All],2,FALSE)</f>
        <v>Action</v>
      </c>
      <c r="Z496" s="59" t="str">
        <f>VLOOKUP(M496,Table1[#All],9,FALSE)</f>
        <v>Additional Notes:</v>
      </c>
      <c r="AA496" s="76"/>
      <c r="AB496" s="76"/>
      <c r="AC496" s="90" t="s">
        <v>91</v>
      </c>
      <c r="AD496" s="76" t="s">
        <v>91</v>
      </c>
      <c r="AE496" s="77"/>
      <c r="AF496" s="77"/>
      <c r="AG496" s="41" t="s">
        <v>91</v>
      </c>
    </row>
    <row r="497" spans="1:33" ht="21" hidden="1" x14ac:dyDescent="0.55000000000000004">
      <c r="A497" s="44" t="str">
        <f>Data!K496</f>
        <v>DPOW-CCHP</v>
      </c>
      <c r="B497" s="44" t="str">
        <f>Data!L496</f>
        <v>4143899880</v>
      </c>
      <c r="C497" s="44" t="str">
        <f>Data!D496</f>
        <v xml:space="preserve">Bedard , Annabella </v>
      </c>
      <c r="D497" s="82" t="str">
        <f>Data!F496</f>
        <v>0454998309</v>
      </c>
      <c r="E497" s="82" t="str">
        <f>Data!B496</f>
        <v>5489</v>
      </c>
      <c r="F497" s="44" t="str">
        <f>Data!A496</f>
        <v xml:space="preserve">Bedard , Annabella </v>
      </c>
      <c r="G497" s="55" t="str">
        <f>Data!C496</f>
        <v>8/2/2019</v>
      </c>
      <c r="H497" s="56">
        <f>Data!H496</f>
        <v>44498</v>
      </c>
      <c r="I497" s="56" t="str">
        <f>Data!I496</f>
        <v>11/2/2021</v>
      </c>
      <c r="J497" s="57">
        <f>Data!J496</f>
        <v>138</v>
      </c>
      <c r="K497" s="58">
        <f t="shared" ca="1" si="9"/>
        <v>198</v>
      </c>
      <c r="L497" s="58">
        <f>Data!M496</f>
        <v>0</v>
      </c>
      <c r="M497" s="37" t="s">
        <v>26</v>
      </c>
      <c r="N497" s="43" t="str">
        <f>VLOOKUP(M497,Table1[#All],3,FALSE)</f>
        <v>Note</v>
      </c>
      <c r="O497" s="40" t="str">
        <f>VLOOKUP(M497,Table1[#All],4,FALSE)</f>
        <v>Q1</v>
      </c>
      <c r="P497" s="39"/>
      <c r="Q497" s="40" t="str">
        <f>VLOOKUP(M497,Table1[#All],5,FALSE)</f>
        <v>Q2</v>
      </c>
      <c r="R497" s="79"/>
      <c r="S497" s="40" t="str">
        <f>VLOOKUP(M497,Table1[#All],6,FALSE)</f>
        <v>Q3</v>
      </c>
      <c r="T497" s="79"/>
      <c r="U497" s="40" t="str">
        <f>VLOOKUP(M497,Table1[#All],7,FALSE)</f>
        <v>Q4</v>
      </c>
      <c r="V497" s="79"/>
      <c r="W497" s="40" t="str">
        <f>VLOOKUP(M497,Table1[#All],8,FALSE)</f>
        <v>Q5</v>
      </c>
      <c r="X497" s="79"/>
      <c r="Y497" s="44" t="str">
        <f>VLOOKUP(M497,Table1[#All],2,FALSE)</f>
        <v>Action</v>
      </c>
      <c r="Z497" s="59" t="str">
        <f>VLOOKUP(M497,Table1[#All],9,FALSE)</f>
        <v>Additional Notes:</v>
      </c>
      <c r="AA497" s="76"/>
      <c r="AB497" s="76"/>
      <c r="AC497" s="90" t="s">
        <v>91</v>
      </c>
      <c r="AD497" s="76" t="s">
        <v>91</v>
      </c>
      <c r="AE497" s="77"/>
      <c r="AF497" s="77"/>
      <c r="AG497" s="41" t="s">
        <v>91</v>
      </c>
    </row>
    <row r="498" spans="1:33" ht="21" hidden="1" x14ac:dyDescent="0.55000000000000004">
      <c r="A498" s="44" t="str">
        <f>Data!K497</f>
        <v>DPOW-CCHP</v>
      </c>
      <c r="B498" s="44" t="str">
        <f>Data!L497</f>
        <v>4143899880</v>
      </c>
      <c r="C498" s="44" t="str">
        <f>Data!D497</f>
        <v xml:space="preserve">Ruiz , Angelina </v>
      </c>
      <c r="D498" s="82" t="str">
        <f>Data!F497</f>
        <v>3435601833</v>
      </c>
      <c r="E498" s="82" t="str">
        <f>Data!B497</f>
        <v>2568</v>
      </c>
      <c r="F498" s="44" t="str">
        <f>Data!A497</f>
        <v xml:space="preserve">Ruiz , Angelina </v>
      </c>
      <c r="G498" s="55" t="str">
        <f>Data!C497</f>
        <v>1/3/2009</v>
      </c>
      <c r="H498" s="56">
        <f>Data!H497</f>
        <v>44498</v>
      </c>
      <c r="I498" s="56" t="str">
        <f>Data!I497</f>
        <v>11/2/2021</v>
      </c>
      <c r="J498" s="57">
        <f>Data!J497</f>
        <v>244.4</v>
      </c>
      <c r="K498" s="58">
        <f t="shared" ca="1" si="9"/>
        <v>198</v>
      </c>
      <c r="L498" s="58">
        <f>Data!M497</f>
        <v>0</v>
      </c>
      <c r="M498" s="37" t="s">
        <v>26</v>
      </c>
      <c r="N498" s="43" t="str">
        <f>VLOOKUP(M498,Table1[#All],3,FALSE)</f>
        <v>Note</v>
      </c>
      <c r="O498" s="40" t="str">
        <f>VLOOKUP(M498,Table1[#All],4,FALSE)</f>
        <v>Q1</v>
      </c>
      <c r="P498" s="39"/>
      <c r="Q498" s="40" t="str">
        <f>VLOOKUP(M498,Table1[#All],5,FALSE)</f>
        <v>Q2</v>
      </c>
      <c r="R498" s="79"/>
      <c r="S498" s="40" t="str">
        <f>VLOOKUP(M498,Table1[#All],6,FALSE)</f>
        <v>Q3</v>
      </c>
      <c r="T498" s="79"/>
      <c r="U498" s="40" t="str">
        <f>VLOOKUP(M498,Table1[#All],7,FALSE)</f>
        <v>Q4</v>
      </c>
      <c r="V498" s="79"/>
      <c r="W498" s="40" t="str">
        <f>VLOOKUP(M498,Table1[#All],8,FALSE)</f>
        <v>Q5</v>
      </c>
      <c r="X498" s="79"/>
      <c r="Y498" s="44" t="str">
        <f>VLOOKUP(M498,Table1[#All],2,FALSE)</f>
        <v>Action</v>
      </c>
      <c r="Z498" s="59" t="str">
        <f>VLOOKUP(M498,Table1[#All],9,FALSE)</f>
        <v>Additional Notes:</v>
      </c>
      <c r="AA498" s="76"/>
      <c r="AB498" s="76"/>
      <c r="AC498" s="90" t="s">
        <v>91</v>
      </c>
      <c r="AD498" s="76" t="s">
        <v>91</v>
      </c>
      <c r="AE498" s="77"/>
      <c r="AF498" s="77"/>
      <c r="AG498" s="41" t="s">
        <v>91</v>
      </c>
    </row>
    <row r="499" spans="1:33" ht="21" hidden="1" x14ac:dyDescent="0.55000000000000004">
      <c r="A499" s="44" t="str">
        <f>Data!K498</f>
        <v>DPOW-CCHP</v>
      </c>
      <c r="B499" s="44" t="str">
        <f>Data!L498</f>
        <v>4143899880</v>
      </c>
      <c r="C499" s="44" t="str">
        <f>Data!D498</f>
        <v xml:space="preserve">Maldonado , Zuleyka </v>
      </c>
      <c r="D499" s="82" t="str">
        <f>Data!F498</f>
        <v>1404580212</v>
      </c>
      <c r="E499" s="82" t="str">
        <f>Data!B498</f>
        <v>5290</v>
      </c>
      <c r="F499" s="44" t="str">
        <f>Data!A498</f>
        <v xml:space="preserve">Maldonado , Zuleyka </v>
      </c>
      <c r="G499" s="55" t="str">
        <f>Data!C498</f>
        <v>9/7/1987</v>
      </c>
      <c r="H499" s="56">
        <f>Data!H498</f>
        <v>44501</v>
      </c>
      <c r="I499" s="56" t="str">
        <f>Data!I498</f>
        <v>11/2/2021</v>
      </c>
      <c r="J499" s="57">
        <f>Data!J498</f>
        <v>266</v>
      </c>
      <c r="K499" s="58">
        <f t="shared" ca="1" si="9"/>
        <v>198</v>
      </c>
      <c r="L499" s="58">
        <f>Data!M498</f>
        <v>0</v>
      </c>
      <c r="M499" s="37" t="s">
        <v>26</v>
      </c>
      <c r="N499" s="43" t="str">
        <f>VLOOKUP(M499,Table1[#All],3,FALSE)</f>
        <v>Note</v>
      </c>
      <c r="O499" s="40" t="str">
        <f>VLOOKUP(M499,Table1[#All],4,FALSE)</f>
        <v>Q1</v>
      </c>
      <c r="P499" s="39"/>
      <c r="Q499" s="40" t="str">
        <f>VLOOKUP(M499,Table1[#All],5,FALSE)</f>
        <v>Q2</v>
      </c>
      <c r="R499" s="79"/>
      <c r="S499" s="40" t="str">
        <f>VLOOKUP(M499,Table1[#All],6,FALSE)</f>
        <v>Q3</v>
      </c>
      <c r="T499" s="79"/>
      <c r="U499" s="40" t="str">
        <f>VLOOKUP(M499,Table1[#All],7,FALSE)</f>
        <v>Q4</v>
      </c>
      <c r="V499" s="79"/>
      <c r="W499" s="40" t="str">
        <f>VLOOKUP(M499,Table1[#All],8,FALSE)</f>
        <v>Q5</v>
      </c>
      <c r="X499" s="79"/>
      <c r="Y499" s="44" t="str">
        <f>VLOOKUP(M499,Table1[#All],2,FALSE)</f>
        <v>Action</v>
      </c>
      <c r="Z499" s="59" t="str">
        <f>VLOOKUP(M499,Table1[#All],9,FALSE)</f>
        <v>Additional Notes:</v>
      </c>
      <c r="AA499" s="76"/>
      <c r="AB499" s="76"/>
      <c r="AC499" s="90" t="s">
        <v>91</v>
      </c>
      <c r="AD499" s="76" t="s">
        <v>91</v>
      </c>
      <c r="AE499" s="77"/>
      <c r="AF499" s="77"/>
      <c r="AG499" s="41" t="s">
        <v>91</v>
      </c>
    </row>
    <row r="500" spans="1:33" ht="21" hidden="1" x14ac:dyDescent="0.55000000000000004">
      <c r="A500" s="44" t="str">
        <f>Data!K499</f>
        <v>DPOW-CCHP</v>
      </c>
      <c r="B500" s="44" t="str">
        <f>Data!L499</f>
        <v>4143899880</v>
      </c>
      <c r="C500" s="44" t="str">
        <f>Data!D499</f>
        <v>Saldivar Venega, Javier</v>
      </c>
      <c r="D500" s="82" t="str">
        <f>Data!F499</f>
        <v>9440306998</v>
      </c>
      <c r="E500" s="82" t="str">
        <f>Data!B499</f>
        <v>2502</v>
      </c>
      <c r="F500" s="44" t="str">
        <f>Data!A499</f>
        <v>Saldivar Venega, Javier</v>
      </c>
      <c r="G500" s="55" t="str">
        <f>Data!C499</f>
        <v>4/5/2011</v>
      </c>
      <c r="H500" s="56">
        <f>Data!H499</f>
        <v>44499</v>
      </c>
      <c r="I500" s="56" t="str">
        <f>Data!I499</f>
        <v>11/1/2021</v>
      </c>
      <c r="J500" s="57">
        <f>Data!J499</f>
        <v>244.4</v>
      </c>
      <c r="K500" s="58">
        <f t="shared" ca="1" si="9"/>
        <v>199</v>
      </c>
      <c r="L500" s="58">
        <f>Data!M499</f>
        <v>0</v>
      </c>
      <c r="M500" s="37" t="s">
        <v>26</v>
      </c>
      <c r="N500" s="43" t="str">
        <f>VLOOKUP(M500,Table1[#All],3,FALSE)</f>
        <v>Note</v>
      </c>
      <c r="O500" s="40" t="str">
        <f>VLOOKUP(M500,Table1[#All],4,FALSE)</f>
        <v>Q1</v>
      </c>
      <c r="P500" s="39"/>
      <c r="Q500" s="40" t="str">
        <f>VLOOKUP(M500,Table1[#All],5,FALSE)</f>
        <v>Q2</v>
      </c>
      <c r="R500" s="79"/>
      <c r="S500" s="40" t="str">
        <f>VLOOKUP(M500,Table1[#All],6,FALSE)</f>
        <v>Q3</v>
      </c>
      <c r="T500" s="79"/>
      <c r="U500" s="40" t="str">
        <f>VLOOKUP(M500,Table1[#All],7,FALSE)</f>
        <v>Q4</v>
      </c>
      <c r="V500" s="79"/>
      <c r="W500" s="40" t="str">
        <f>VLOOKUP(M500,Table1[#All],8,FALSE)</f>
        <v>Q5</v>
      </c>
      <c r="X500" s="79"/>
      <c r="Y500" s="44" t="str">
        <f>VLOOKUP(M500,Table1[#All],2,FALSE)</f>
        <v>Action</v>
      </c>
      <c r="Z500" s="59" t="str">
        <f>VLOOKUP(M500,Table1[#All],9,FALSE)</f>
        <v>Additional Notes:</v>
      </c>
      <c r="AA500" s="76"/>
      <c r="AB500" s="76"/>
      <c r="AC500" s="90" t="s">
        <v>91</v>
      </c>
      <c r="AD500" s="76" t="s">
        <v>91</v>
      </c>
      <c r="AE500" s="77"/>
      <c r="AF500" s="77"/>
      <c r="AG500" s="41" t="s">
        <v>91</v>
      </c>
    </row>
    <row r="501" spans="1:33" ht="21" hidden="1" x14ac:dyDescent="0.55000000000000004">
      <c r="A501" s="44" t="str">
        <f>Data!K500</f>
        <v>DPOW-CCHP</v>
      </c>
      <c r="B501" s="44" t="str">
        <f>Data!L500</f>
        <v>4143899880</v>
      </c>
      <c r="C501" s="44" t="str">
        <f>Data!D500</f>
        <v>Saldivar Venega, Pamela</v>
      </c>
      <c r="D501" s="82" t="str">
        <f>Data!F500</f>
        <v>0448181703</v>
      </c>
      <c r="E501" s="82" t="str">
        <f>Data!B500</f>
        <v>2503</v>
      </c>
      <c r="F501" s="44" t="str">
        <f>Data!A500</f>
        <v>Saldivar Venega, Pamela</v>
      </c>
      <c r="G501" s="55" t="str">
        <f>Data!C500</f>
        <v>5/14/2015</v>
      </c>
      <c r="H501" s="56">
        <f>Data!H500</f>
        <v>44499</v>
      </c>
      <c r="I501" s="56" t="str">
        <f>Data!I500</f>
        <v>11/1/2021</v>
      </c>
      <c r="J501" s="57">
        <f>Data!J500</f>
        <v>424.4</v>
      </c>
      <c r="K501" s="58">
        <f t="shared" ca="1" si="9"/>
        <v>199</v>
      </c>
      <c r="L501" s="58">
        <f>Data!M500</f>
        <v>0</v>
      </c>
      <c r="M501" s="37" t="s">
        <v>26</v>
      </c>
      <c r="N501" s="43" t="str">
        <f>VLOOKUP(M501,Table1[#All],3,FALSE)</f>
        <v>Note</v>
      </c>
      <c r="O501" s="40" t="str">
        <f>VLOOKUP(M501,Table1[#All],4,FALSE)</f>
        <v>Q1</v>
      </c>
      <c r="P501" s="39"/>
      <c r="Q501" s="40" t="str">
        <f>VLOOKUP(M501,Table1[#All],5,FALSE)</f>
        <v>Q2</v>
      </c>
      <c r="R501" s="79"/>
      <c r="S501" s="40" t="str">
        <f>VLOOKUP(M501,Table1[#All],6,FALSE)</f>
        <v>Q3</v>
      </c>
      <c r="T501" s="79"/>
      <c r="U501" s="40" t="str">
        <f>VLOOKUP(M501,Table1[#All],7,FALSE)</f>
        <v>Q4</v>
      </c>
      <c r="V501" s="79"/>
      <c r="W501" s="40" t="str">
        <f>VLOOKUP(M501,Table1[#All],8,FALSE)</f>
        <v>Q5</v>
      </c>
      <c r="X501" s="79"/>
      <c r="Y501" s="44" t="str">
        <f>VLOOKUP(M501,Table1[#All],2,FALSE)</f>
        <v>Action</v>
      </c>
      <c r="Z501" s="59" t="str">
        <f>VLOOKUP(M501,Table1[#All],9,FALSE)</f>
        <v>Additional Notes:</v>
      </c>
      <c r="AA501" s="76"/>
      <c r="AB501" s="76"/>
      <c r="AC501" s="90" t="s">
        <v>91</v>
      </c>
      <c r="AD501" s="76" t="s">
        <v>91</v>
      </c>
      <c r="AE501" s="77"/>
      <c r="AF501" s="77"/>
      <c r="AG501" s="41" t="s">
        <v>91</v>
      </c>
    </row>
    <row r="502" spans="1:33" ht="21" hidden="1" x14ac:dyDescent="0.55000000000000004">
      <c r="A502" s="44" t="str">
        <f>Data!K501</f>
        <v>DPOW-CCHP</v>
      </c>
      <c r="B502" s="44" t="str">
        <f>Data!L501</f>
        <v>4143899880</v>
      </c>
      <c r="C502" s="44" t="str">
        <f>Data!D501</f>
        <v xml:space="preserve">Febres Orta , Carol </v>
      </c>
      <c r="D502" s="82" t="str">
        <f>Data!F501</f>
        <v>0450067807</v>
      </c>
      <c r="E502" s="82" t="str">
        <f>Data!B501</f>
        <v>8290</v>
      </c>
      <c r="F502" s="44" t="str">
        <f>Data!A501</f>
        <v xml:space="preserve">Febres Orta , Carol </v>
      </c>
      <c r="G502" s="55" t="str">
        <f>Data!C501</f>
        <v>7/13/1990</v>
      </c>
      <c r="H502" s="56">
        <f>Data!H501</f>
        <v>44499</v>
      </c>
      <c r="I502" s="56" t="str">
        <f>Data!I501</f>
        <v>11/1/2021</v>
      </c>
      <c r="J502" s="57">
        <f>Data!J501</f>
        <v>294.8</v>
      </c>
      <c r="K502" s="58">
        <f t="shared" ca="1" si="9"/>
        <v>199</v>
      </c>
      <c r="L502" s="58">
        <f>Data!M501</f>
        <v>0</v>
      </c>
      <c r="M502" s="37" t="s">
        <v>26</v>
      </c>
      <c r="N502" s="43" t="str">
        <f>VLOOKUP(M502,Table1[#All],3,FALSE)</f>
        <v>Note</v>
      </c>
      <c r="O502" s="40" t="str">
        <f>VLOOKUP(M502,Table1[#All],4,FALSE)</f>
        <v>Q1</v>
      </c>
      <c r="P502" s="39"/>
      <c r="Q502" s="40" t="str">
        <f>VLOOKUP(M502,Table1[#All],5,FALSE)</f>
        <v>Q2</v>
      </c>
      <c r="R502" s="79"/>
      <c r="S502" s="40" t="str">
        <f>VLOOKUP(M502,Table1[#All],6,FALSE)</f>
        <v>Q3</v>
      </c>
      <c r="T502" s="79"/>
      <c r="U502" s="40" t="str">
        <f>VLOOKUP(M502,Table1[#All],7,FALSE)</f>
        <v>Q4</v>
      </c>
      <c r="V502" s="79"/>
      <c r="W502" s="40" t="str">
        <f>VLOOKUP(M502,Table1[#All],8,FALSE)</f>
        <v>Q5</v>
      </c>
      <c r="X502" s="79"/>
      <c r="Y502" s="44" t="str">
        <f>VLOOKUP(M502,Table1[#All],2,FALSE)</f>
        <v>Action</v>
      </c>
      <c r="Z502" s="59" t="str">
        <f>VLOOKUP(M502,Table1[#All],9,FALSE)</f>
        <v>Additional Notes:</v>
      </c>
      <c r="AA502" s="76"/>
      <c r="AB502" s="76"/>
      <c r="AC502" s="90" t="s">
        <v>91</v>
      </c>
      <c r="AD502" s="76" t="s">
        <v>91</v>
      </c>
      <c r="AE502" s="77"/>
      <c r="AF502" s="77"/>
      <c r="AG502" s="41" t="s">
        <v>91</v>
      </c>
    </row>
    <row r="503" spans="1:33" ht="21" hidden="1" x14ac:dyDescent="0.55000000000000004">
      <c r="A503" s="44" t="str">
        <f>Data!K502</f>
        <v>DPOW-CCHP</v>
      </c>
      <c r="B503" s="44" t="str">
        <f>Data!L502</f>
        <v>4143899880</v>
      </c>
      <c r="C503" s="44" t="str">
        <f>Data!D502</f>
        <v xml:space="preserve">Candelaria, Jariel </v>
      </c>
      <c r="D503" s="82" t="str">
        <f>Data!F502</f>
        <v>6453471264</v>
      </c>
      <c r="E503" s="82" t="str">
        <f>Data!B502</f>
        <v>7833</v>
      </c>
      <c r="F503" s="44" t="str">
        <f>Data!A502</f>
        <v xml:space="preserve">Candelaria, Jariel </v>
      </c>
      <c r="G503" s="55" t="str">
        <f>Data!C502</f>
        <v>5/21/2008</v>
      </c>
      <c r="H503" s="56">
        <f>Data!H502</f>
        <v>44499</v>
      </c>
      <c r="I503" s="56" t="str">
        <f>Data!I502</f>
        <v>11/1/2021</v>
      </c>
      <c r="J503" s="57">
        <f>Data!J502</f>
        <v>532</v>
      </c>
      <c r="K503" s="58">
        <f t="shared" ca="1" si="9"/>
        <v>199</v>
      </c>
      <c r="L503" s="58">
        <f>Data!M502</f>
        <v>0</v>
      </c>
      <c r="M503" s="37" t="s">
        <v>26</v>
      </c>
      <c r="N503" s="43" t="str">
        <f>VLOOKUP(M503,Table1[#All],3,FALSE)</f>
        <v>Note</v>
      </c>
      <c r="O503" s="40" t="str">
        <f>VLOOKUP(M503,Table1[#All],4,FALSE)</f>
        <v>Q1</v>
      </c>
      <c r="P503" s="39"/>
      <c r="Q503" s="40" t="str">
        <f>VLOOKUP(M503,Table1[#All],5,FALSE)</f>
        <v>Q2</v>
      </c>
      <c r="R503" s="79"/>
      <c r="S503" s="40" t="str">
        <f>VLOOKUP(M503,Table1[#All],6,FALSE)</f>
        <v>Q3</v>
      </c>
      <c r="T503" s="79"/>
      <c r="U503" s="40" t="str">
        <f>VLOOKUP(M503,Table1[#All],7,FALSE)</f>
        <v>Q4</v>
      </c>
      <c r="V503" s="79"/>
      <c r="W503" s="40" t="str">
        <f>VLOOKUP(M503,Table1[#All],8,FALSE)</f>
        <v>Q5</v>
      </c>
      <c r="X503" s="79"/>
      <c r="Y503" s="44" t="str">
        <f>VLOOKUP(M503,Table1[#All],2,FALSE)</f>
        <v>Action</v>
      </c>
      <c r="Z503" s="59" t="str">
        <f>VLOOKUP(M503,Table1[#All],9,FALSE)</f>
        <v>Additional Notes:</v>
      </c>
      <c r="AA503" s="76"/>
      <c r="AB503" s="76"/>
      <c r="AC503" s="90" t="s">
        <v>91</v>
      </c>
      <c r="AD503" s="76" t="s">
        <v>91</v>
      </c>
      <c r="AE503" s="77"/>
      <c r="AF503" s="77"/>
      <c r="AG503" s="41" t="s">
        <v>91</v>
      </c>
    </row>
    <row r="504" spans="1:33" ht="21" hidden="1" x14ac:dyDescent="0.55000000000000004">
      <c r="A504" s="44" t="str">
        <f>Data!K503</f>
        <v>DPOW-CCHP</v>
      </c>
      <c r="B504" s="44" t="str">
        <f>Data!L503</f>
        <v>4143899880</v>
      </c>
      <c r="C504" s="44" t="str">
        <f>Data!D503</f>
        <v>Siso, Samuel</v>
      </c>
      <c r="D504" s="82" t="str">
        <f>Data!F503</f>
        <v>9430513699</v>
      </c>
      <c r="E504" s="82" t="str">
        <f>Data!B503</f>
        <v>2688</v>
      </c>
      <c r="F504" s="44" t="str">
        <f>Data!A503</f>
        <v>Siso, Samuel</v>
      </c>
      <c r="G504" s="55" t="str">
        <f>Data!C503</f>
        <v>6/11/2008</v>
      </c>
      <c r="H504" s="56">
        <f>Data!H503</f>
        <v>44497</v>
      </c>
      <c r="I504" s="56" t="str">
        <f>Data!I503</f>
        <v>11/1/2021</v>
      </c>
      <c r="J504" s="57">
        <f>Data!J503</f>
        <v>244.4</v>
      </c>
      <c r="K504" s="58">
        <f t="shared" ca="1" si="9"/>
        <v>199</v>
      </c>
      <c r="L504" s="58">
        <f>Data!M503</f>
        <v>0</v>
      </c>
      <c r="M504" s="37" t="s">
        <v>26</v>
      </c>
      <c r="N504" s="43" t="str">
        <f>VLOOKUP(M504,Table1[#All],3,FALSE)</f>
        <v>Note</v>
      </c>
      <c r="O504" s="40" t="str">
        <f>VLOOKUP(M504,Table1[#All],4,FALSE)</f>
        <v>Q1</v>
      </c>
      <c r="P504" s="39"/>
      <c r="Q504" s="40" t="str">
        <f>VLOOKUP(M504,Table1[#All],5,FALSE)</f>
        <v>Q2</v>
      </c>
      <c r="R504" s="79"/>
      <c r="S504" s="40" t="str">
        <f>VLOOKUP(M504,Table1[#All],6,FALSE)</f>
        <v>Q3</v>
      </c>
      <c r="T504" s="79"/>
      <c r="U504" s="40" t="str">
        <f>VLOOKUP(M504,Table1[#All],7,FALSE)</f>
        <v>Q4</v>
      </c>
      <c r="V504" s="79"/>
      <c r="W504" s="40" t="str">
        <f>VLOOKUP(M504,Table1[#All],8,FALSE)</f>
        <v>Q5</v>
      </c>
      <c r="X504" s="79"/>
      <c r="Y504" s="44" t="str">
        <f>VLOOKUP(M504,Table1[#All],2,FALSE)</f>
        <v>Action</v>
      </c>
      <c r="Z504" s="59" t="str">
        <f>VLOOKUP(M504,Table1[#All],9,FALSE)</f>
        <v>Additional Notes:</v>
      </c>
      <c r="AA504" s="76"/>
      <c r="AB504" s="76"/>
      <c r="AC504" s="90" t="s">
        <v>91</v>
      </c>
      <c r="AD504" s="76" t="s">
        <v>91</v>
      </c>
      <c r="AE504" s="77"/>
      <c r="AF504" s="77"/>
      <c r="AG504" s="41" t="s">
        <v>91</v>
      </c>
    </row>
    <row r="505" spans="1:33" ht="21" hidden="1" x14ac:dyDescent="0.55000000000000004">
      <c r="A505" s="44" t="str">
        <f>Data!K504</f>
        <v>DPOW-CCHP</v>
      </c>
      <c r="B505" s="44" t="str">
        <f>Data!L504</f>
        <v>4143899880</v>
      </c>
      <c r="C505" s="44" t="str">
        <f>Data!D504</f>
        <v>Rahmani, Perparim</v>
      </c>
      <c r="D505" s="82" t="str">
        <f>Data!F504</f>
        <v>2420049322</v>
      </c>
      <c r="E505" s="82" t="str">
        <f>Data!B504</f>
        <v>8340</v>
      </c>
      <c r="F505" s="44" t="str">
        <f>Data!A504</f>
        <v>Rahmani, Perparim</v>
      </c>
      <c r="G505" s="55" t="str">
        <f>Data!C504</f>
        <v>2/10/1992</v>
      </c>
      <c r="H505" s="56">
        <f>Data!H504</f>
        <v>44497</v>
      </c>
      <c r="I505" s="56" t="str">
        <f>Data!I504</f>
        <v>11/1/2021</v>
      </c>
      <c r="J505" s="57">
        <f>Data!J504</f>
        <v>216</v>
      </c>
      <c r="K505" s="58">
        <f t="shared" ca="1" si="9"/>
        <v>199</v>
      </c>
      <c r="L505" s="58">
        <f>Data!M504</f>
        <v>0</v>
      </c>
      <c r="M505" s="37" t="s">
        <v>26</v>
      </c>
      <c r="N505" s="43" t="str">
        <f>VLOOKUP(M505,Table1[#All],3,FALSE)</f>
        <v>Note</v>
      </c>
      <c r="O505" s="40" t="str">
        <f>VLOOKUP(M505,Table1[#All],4,FALSE)</f>
        <v>Q1</v>
      </c>
      <c r="P505" s="39"/>
      <c r="Q505" s="40" t="str">
        <f>VLOOKUP(M505,Table1[#All],5,FALSE)</f>
        <v>Q2</v>
      </c>
      <c r="R505" s="79"/>
      <c r="S505" s="40" t="str">
        <f>VLOOKUP(M505,Table1[#All],6,FALSE)</f>
        <v>Q3</v>
      </c>
      <c r="T505" s="79"/>
      <c r="U505" s="40" t="str">
        <f>VLOOKUP(M505,Table1[#All],7,FALSE)</f>
        <v>Q4</v>
      </c>
      <c r="V505" s="79"/>
      <c r="W505" s="40" t="str">
        <f>VLOOKUP(M505,Table1[#All],8,FALSE)</f>
        <v>Q5</v>
      </c>
      <c r="X505" s="79"/>
      <c r="Y505" s="44" t="str">
        <f>VLOOKUP(M505,Table1[#All],2,FALSE)</f>
        <v>Action</v>
      </c>
      <c r="Z505" s="59" t="str">
        <f>VLOOKUP(M505,Table1[#All],9,FALSE)</f>
        <v>Additional Notes:</v>
      </c>
      <c r="AA505" s="76"/>
      <c r="AB505" s="76"/>
      <c r="AC505" s="90" t="s">
        <v>91</v>
      </c>
      <c r="AD505" s="76" t="s">
        <v>91</v>
      </c>
      <c r="AE505" s="77"/>
      <c r="AF505" s="77"/>
      <c r="AG505" s="41" t="s">
        <v>91</v>
      </c>
    </row>
    <row r="506" spans="1:33" ht="21" hidden="1" x14ac:dyDescent="0.55000000000000004">
      <c r="A506" s="44" t="str">
        <f>Data!K505</f>
        <v>DPOW-CCHP</v>
      </c>
      <c r="B506" s="44" t="str">
        <f>Data!L505</f>
        <v>4143899880</v>
      </c>
      <c r="C506" s="44" t="str">
        <f>Data!D505</f>
        <v>Howell, Jamaria</v>
      </c>
      <c r="D506" s="82" t="str">
        <f>Data!F505</f>
        <v>7411210871</v>
      </c>
      <c r="E506" s="82" t="str">
        <f>Data!B505</f>
        <v>8348</v>
      </c>
      <c r="F506" s="44" t="str">
        <f>Data!A505</f>
        <v>Howell, Jamaria</v>
      </c>
      <c r="G506" s="55" t="str">
        <f>Data!C505</f>
        <v>8/24/2002</v>
      </c>
      <c r="H506" s="56">
        <f>Data!H505</f>
        <v>44498</v>
      </c>
      <c r="I506" s="56" t="str">
        <f>Data!I505</f>
        <v>11/1/2021</v>
      </c>
      <c r="J506" s="57">
        <f>Data!J505</f>
        <v>175.2</v>
      </c>
      <c r="K506" s="58">
        <f t="shared" ca="1" si="9"/>
        <v>199</v>
      </c>
      <c r="L506" s="58">
        <f>Data!M505</f>
        <v>0</v>
      </c>
      <c r="M506" s="37" t="s">
        <v>26</v>
      </c>
      <c r="N506" s="43" t="str">
        <f>VLOOKUP(M506,Table1[#All],3,FALSE)</f>
        <v>Note</v>
      </c>
      <c r="O506" s="40" t="str">
        <f>VLOOKUP(M506,Table1[#All],4,FALSE)</f>
        <v>Q1</v>
      </c>
      <c r="P506" s="39"/>
      <c r="Q506" s="40" t="str">
        <f>VLOOKUP(M506,Table1[#All],5,FALSE)</f>
        <v>Q2</v>
      </c>
      <c r="R506" s="79"/>
      <c r="S506" s="40" t="str">
        <f>VLOOKUP(M506,Table1[#All],6,FALSE)</f>
        <v>Q3</v>
      </c>
      <c r="T506" s="79"/>
      <c r="U506" s="40" t="str">
        <f>VLOOKUP(M506,Table1[#All],7,FALSE)</f>
        <v>Q4</v>
      </c>
      <c r="V506" s="79"/>
      <c r="W506" s="40" t="str">
        <f>VLOOKUP(M506,Table1[#All],8,FALSE)</f>
        <v>Q5</v>
      </c>
      <c r="X506" s="79"/>
      <c r="Y506" s="44" t="str">
        <f>VLOOKUP(M506,Table1[#All],2,FALSE)</f>
        <v>Action</v>
      </c>
      <c r="Z506" s="59" t="str">
        <f>VLOOKUP(M506,Table1[#All],9,FALSE)</f>
        <v>Additional Notes:</v>
      </c>
      <c r="AA506" s="76"/>
      <c r="AB506" s="76"/>
      <c r="AC506" s="90" t="s">
        <v>91</v>
      </c>
      <c r="AD506" s="76" t="s">
        <v>91</v>
      </c>
      <c r="AE506" s="77"/>
      <c r="AF506" s="77"/>
      <c r="AG506" s="41" t="s">
        <v>91</v>
      </c>
    </row>
    <row r="507" spans="1:33" ht="21" hidden="1" x14ac:dyDescent="0.55000000000000004">
      <c r="A507" s="44" t="str">
        <f>Data!K506</f>
        <v>DPOW-CCHP</v>
      </c>
      <c r="B507" s="44" t="str">
        <f>Data!L506</f>
        <v>4143899880</v>
      </c>
      <c r="C507" s="44" t="str">
        <f>Data!D506</f>
        <v>Gonzalez, Ayden</v>
      </c>
      <c r="D507" s="82" t="str">
        <f>Data!F506</f>
        <v>3446681931</v>
      </c>
      <c r="E507" s="82" t="str">
        <f>Data!B506</f>
        <v>752</v>
      </c>
      <c r="F507" s="44" t="str">
        <f>Data!A506</f>
        <v>Gonzalez, Ayden</v>
      </c>
      <c r="G507" s="55" t="str">
        <f>Data!C506</f>
        <v>8/9/2014</v>
      </c>
      <c r="H507" s="56">
        <f>Data!H506</f>
        <v>44498</v>
      </c>
      <c r="I507" s="56" t="str">
        <f>Data!I506</f>
        <v>11/1/2021</v>
      </c>
      <c r="J507" s="57">
        <f>Data!J506</f>
        <v>227.6</v>
      </c>
      <c r="K507" s="58">
        <f t="shared" ca="1" si="9"/>
        <v>199</v>
      </c>
      <c r="L507" s="58">
        <f>Data!M506</f>
        <v>0</v>
      </c>
      <c r="M507" s="37" t="s">
        <v>26</v>
      </c>
      <c r="N507" s="43" t="str">
        <f>VLOOKUP(M507,Table1[#All],3,FALSE)</f>
        <v>Note</v>
      </c>
      <c r="O507" s="40" t="str">
        <f>VLOOKUP(M507,Table1[#All],4,FALSE)</f>
        <v>Q1</v>
      </c>
      <c r="P507" s="39"/>
      <c r="Q507" s="40" t="str">
        <f>VLOOKUP(M507,Table1[#All],5,FALSE)</f>
        <v>Q2</v>
      </c>
      <c r="R507" s="79"/>
      <c r="S507" s="40" t="str">
        <f>VLOOKUP(M507,Table1[#All],6,FALSE)</f>
        <v>Q3</v>
      </c>
      <c r="T507" s="79"/>
      <c r="U507" s="40" t="str">
        <f>VLOOKUP(M507,Table1[#All],7,FALSE)</f>
        <v>Q4</v>
      </c>
      <c r="V507" s="79"/>
      <c r="W507" s="40" t="str">
        <f>VLOOKUP(M507,Table1[#All],8,FALSE)</f>
        <v>Q5</v>
      </c>
      <c r="X507" s="79"/>
      <c r="Y507" s="44" t="str">
        <f>VLOOKUP(M507,Table1[#All],2,FALSE)</f>
        <v>Action</v>
      </c>
      <c r="Z507" s="59" t="str">
        <f>VLOOKUP(M507,Table1[#All],9,FALSE)</f>
        <v>Additional Notes:</v>
      </c>
      <c r="AA507" s="76"/>
      <c r="AB507" s="76"/>
      <c r="AC507" s="90" t="s">
        <v>91</v>
      </c>
      <c r="AD507" s="76" t="s">
        <v>91</v>
      </c>
      <c r="AE507" s="77"/>
      <c r="AF507" s="77"/>
      <c r="AG507" s="41" t="s">
        <v>91</v>
      </c>
    </row>
    <row r="508" spans="1:33" ht="21" hidden="1" x14ac:dyDescent="0.55000000000000004">
      <c r="A508" s="44" t="str">
        <f>Data!K507</f>
        <v>DPOW-CCHP</v>
      </c>
      <c r="B508" s="44" t="str">
        <f>Data!L507</f>
        <v>4143899880</v>
      </c>
      <c r="C508" s="44" t="str">
        <f>Data!D507</f>
        <v>Gonzalez, Sophia</v>
      </c>
      <c r="D508" s="82" t="str">
        <f>Data!F507</f>
        <v>2440784729</v>
      </c>
      <c r="E508" s="82" t="str">
        <f>Data!B507</f>
        <v>1188</v>
      </c>
      <c r="F508" s="44" t="str">
        <f>Data!A507</f>
        <v>Gonzalez, Sophia</v>
      </c>
      <c r="G508" s="55" t="str">
        <f>Data!C507</f>
        <v>7/19/2011</v>
      </c>
      <c r="H508" s="56">
        <f>Data!H507</f>
        <v>44498</v>
      </c>
      <c r="I508" s="56" t="str">
        <f>Data!I507</f>
        <v>11/1/2021</v>
      </c>
      <c r="J508" s="57">
        <f>Data!J507</f>
        <v>244.4</v>
      </c>
      <c r="K508" s="58">
        <f t="shared" ca="1" si="9"/>
        <v>199</v>
      </c>
      <c r="L508" s="58">
        <f>Data!M507</f>
        <v>0</v>
      </c>
      <c r="M508" s="37" t="s">
        <v>26</v>
      </c>
      <c r="N508" s="43" t="str">
        <f>VLOOKUP(M508,Table1[#All],3,FALSE)</f>
        <v>Note</v>
      </c>
      <c r="O508" s="40" t="str">
        <f>VLOOKUP(M508,Table1[#All],4,FALSE)</f>
        <v>Q1</v>
      </c>
      <c r="P508" s="39"/>
      <c r="Q508" s="40" t="str">
        <f>VLOOKUP(M508,Table1[#All],5,FALSE)</f>
        <v>Q2</v>
      </c>
      <c r="R508" s="79"/>
      <c r="S508" s="40" t="str">
        <f>VLOOKUP(M508,Table1[#All],6,FALSE)</f>
        <v>Q3</v>
      </c>
      <c r="T508" s="79"/>
      <c r="U508" s="40" t="str">
        <f>VLOOKUP(M508,Table1[#All],7,FALSE)</f>
        <v>Q4</v>
      </c>
      <c r="V508" s="79"/>
      <c r="W508" s="40" t="str">
        <f>VLOOKUP(M508,Table1[#All],8,FALSE)</f>
        <v>Q5</v>
      </c>
      <c r="X508" s="79"/>
      <c r="Y508" s="44" t="str">
        <f>VLOOKUP(M508,Table1[#All],2,FALSE)</f>
        <v>Action</v>
      </c>
      <c r="Z508" s="59" t="str">
        <f>VLOOKUP(M508,Table1[#All],9,FALSE)</f>
        <v>Additional Notes:</v>
      </c>
      <c r="AA508" s="76"/>
      <c r="AB508" s="76"/>
      <c r="AC508" s="90" t="s">
        <v>91</v>
      </c>
      <c r="AD508" s="76" t="s">
        <v>91</v>
      </c>
      <c r="AE508" s="77"/>
      <c r="AF508" s="77"/>
      <c r="AG508" s="41" t="s">
        <v>91</v>
      </c>
    </row>
    <row r="509" spans="1:33" ht="21" hidden="1" x14ac:dyDescent="0.55000000000000004">
      <c r="A509" s="44" t="str">
        <f>Data!K508</f>
        <v>DPOW-CCHP</v>
      </c>
      <c r="B509" s="44" t="str">
        <f>Data!L508</f>
        <v>4143899880</v>
      </c>
      <c r="C509" s="44" t="str">
        <f>Data!D508</f>
        <v xml:space="preserve">Santiago Cervan, Alondra </v>
      </c>
      <c r="D509" s="82" t="str">
        <f>Data!F508</f>
        <v>4440130640</v>
      </c>
      <c r="E509" s="82" t="str">
        <f>Data!B508</f>
        <v>8227</v>
      </c>
      <c r="F509" s="44" t="str">
        <f>Data!A508</f>
        <v xml:space="preserve">Santiago Cervan, Alondra </v>
      </c>
      <c r="G509" s="55" t="str">
        <f>Data!C508</f>
        <v>3/3/2011</v>
      </c>
      <c r="H509" s="56">
        <f>Data!H508</f>
        <v>44498</v>
      </c>
      <c r="I509" s="56" t="str">
        <f>Data!I508</f>
        <v>11/1/2021</v>
      </c>
      <c r="J509" s="57">
        <f>Data!J508</f>
        <v>454</v>
      </c>
      <c r="K509" s="58">
        <f t="shared" ca="1" si="9"/>
        <v>199</v>
      </c>
      <c r="L509" s="58">
        <f>Data!M508</f>
        <v>0</v>
      </c>
      <c r="M509" s="37" t="s">
        <v>26</v>
      </c>
      <c r="N509" s="43" t="str">
        <f>VLOOKUP(M509,Table1[#All],3,FALSE)</f>
        <v>Note</v>
      </c>
      <c r="O509" s="40" t="str">
        <f>VLOOKUP(M509,Table1[#All],4,FALSE)</f>
        <v>Q1</v>
      </c>
      <c r="P509" s="39"/>
      <c r="Q509" s="40" t="str">
        <f>VLOOKUP(M509,Table1[#All],5,FALSE)</f>
        <v>Q2</v>
      </c>
      <c r="R509" s="79"/>
      <c r="S509" s="40" t="str">
        <f>VLOOKUP(M509,Table1[#All],6,FALSE)</f>
        <v>Q3</v>
      </c>
      <c r="T509" s="79"/>
      <c r="U509" s="40" t="str">
        <f>VLOOKUP(M509,Table1[#All],7,FALSE)</f>
        <v>Q4</v>
      </c>
      <c r="V509" s="79"/>
      <c r="W509" s="40" t="str">
        <f>VLOOKUP(M509,Table1[#All],8,FALSE)</f>
        <v>Q5</v>
      </c>
      <c r="X509" s="79"/>
      <c r="Y509" s="44" t="str">
        <f>VLOOKUP(M509,Table1[#All],2,FALSE)</f>
        <v>Action</v>
      </c>
      <c r="Z509" s="59" t="str">
        <f>VLOOKUP(M509,Table1[#All],9,FALSE)</f>
        <v>Additional Notes:</v>
      </c>
      <c r="AA509" s="76"/>
      <c r="AB509" s="76"/>
      <c r="AC509" s="90" t="s">
        <v>91</v>
      </c>
      <c r="AD509" s="76" t="s">
        <v>91</v>
      </c>
      <c r="AE509" s="77"/>
      <c r="AF509" s="77"/>
      <c r="AG509" s="41" t="s">
        <v>91</v>
      </c>
    </row>
    <row r="510" spans="1:33" ht="21" hidden="1" x14ac:dyDescent="0.55000000000000004">
      <c r="A510" s="44" t="str">
        <f>Data!K509</f>
        <v>DPOW-CCHP</v>
      </c>
      <c r="B510" s="44" t="str">
        <f>Data!L509</f>
        <v>4143899880</v>
      </c>
      <c r="C510" s="44" t="str">
        <f>Data!D509</f>
        <v xml:space="preserve">Rahmani , Elvina </v>
      </c>
      <c r="D510" s="82" t="str">
        <f>Data!F509</f>
        <v>8445558382</v>
      </c>
      <c r="E510" s="82" t="str">
        <f>Data!B509</f>
        <v>6958</v>
      </c>
      <c r="F510" s="44" t="str">
        <f>Data!A509</f>
        <v xml:space="preserve">Rahmani , Elvina </v>
      </c>
      <c r="G510" s="55" t="str">
        <f>Data!C509</f>
        <v>2/17/2014</v>
      </c>
      <c r="H510" s="56">
        <f>Data!H509</f>
        <v>44497</v>
      </c>
      <c r="I510" s="56" t="str">
        <f>Data!I509</f>
        <v>11/1/2021</v>
      </c>
      <c r="J510" s="57">
        <f>Data!J509</f>
        <v>227.6</v>
      </c>
      <c r="K510" s="58">
        <f t="shared" ca="1" si="9"/>
        <v>199</v>
      </c>
      <c r="L510" s="58">
        <f>Data!M509</f>
        <v>0</v>
      </c>
      <c r="M510" s="37" t="s">
        <v>26</v>
      </c>
      <c r="N510" s="43" t="str">
        <f>VLOOKUP(M510,Table1[#All],3,FALSE)</f>
        <v>Note</v>
      </c>
      <c r="O510" s="40" t="str">
        <f>VLOOKUP(M510,Table1[#All],4,FALSE)</f>
        <v>Q1</v>
      </c>
      <c r="P510" s="39"/>
      <c r="Q510" s="40" t="str">
        <f>VLOOKUP(M510,Table1[#All],5,FALSE)</f>
        <v>Q2</v>
      </c>
      <c r="R510" s="79"/>
      <c r="S510" s="40" t="str">
        <f>VLOOKUP(M510,Table1[#All],6,FALSE)</f>
        <v>Q3</v>
      </c>
      <c r="T510" s="79"/>
      <c r="U510" s="40" t="str">
        <f>VLOOKUP(M510,Table1[#All],7,FALSE)</f>
        <v>Q4</v>
      </c>
      <c r="V510" s="79"/>
      <c r="W510" s="40" t="str">
        <f>VLOOKUP(M510,Table1[#All],8,FALSE)</f>
        <v>Q5</v>
      </c>
      <c r="X510" s="79"/>
      <c r="Y510" s="44" t="str">
        <f>VLOOKUP(M510,Table1[#All],2,FALSE)</f>
        <v>Action</v>
      </c>
      <c r="Z510" s="59" t="str">
        <f>VLOOKUP(M510,Table1[#All],9,FALSE)</f>
        <v>Additional Notes:</v>
      </c>
      <c r="AA510" s="76"/>
      <c r="AB510" s="76"/>
      <c r="AC510" s="90" t="s">
        <v>91</v>
      </c>
      <c r="AD510" s="76" t="s">
        <v>91</v>
      </c>
      <c r="AE510" s="77"/>
      <c r="AF510" s="77"/>
      <c r="AG510" s="41" t="s">
        <v>91</v>
      </c>
    </row>
    <row r="511" spans="1:33" ht="21" hidden="1" x14ac:dyDescent="0.55000000000000004">
      <c r="A511" s="44" t="str">
        <f>Data!K510</f>
        <v>DPOW-CCHP</v>
      </c>
      <c r="B511" s="44" t="str">
        <f>Data!L510</f>
        <v>4143899880</v>
      </c>
      <c r="C511" s="44" t="str">
        <f>Data!D510</f>
        <v xml:space="preserve">Mohammed Ali , Ahmed </v>
      </c>
      <c r="D511" s="82" t="str">
        <f>Data!F510</f>
        <v>5443483056</v>
      </c>
      <c r="E511" s="82" t="str">
        <f>Data!B510</f>
        <v>5488</v>
      </c>
      <c r="F511" s="44" t="str">
        <f>Data!A510</f>
        <v xml:space="preserve">Mohammed Ali , Ahmed </v>
      </c>
      <c r="G511" s="55" t="str">
        <f>Data!C510</f>
        <v>5/14/1999</v>
      </c>
      <c r="H511" s="56">
        <f>Data!H510</f>
        <v>44497</v>
      </c>
      <c r="I511" s="56" t="str">
        <f>Data!I510</f>
        <v>11/1/2021</v>
      </c>
      <c r="J511" s="57">
        <f>Data!J510</f>
        <v>266</v>
      </c>
      <c r="K511" s="58">
        <f t="shared" ca="1" si="9"/>
        <v>199</v>
      </c>
      <c r="L511" s="58">
        <f>Data!M510</f>
        <v>0</v>
      </c>
      <c r="M511" s="37" t="s">
        <v>26</v>
      </c>
      <c r="N511" s="43" t="str">
        <f>VLOOKUP(M511,Table1[#All],3,FALSE)</f>
        <v>Note</v>
      </c>
      <c r="O511" s="40" t="str">
        <f>VLOOKUP(M511,Table1[#All],4,FALSE)</f>
        <v>Q1</v>
      </c>
      <c r="P511" s="39"/>
      <c r="Q511" s="40" t="str">
        <f>VLOOKUP(M511,Table1[#All],5,FALSE)</f>
        <v>Q2</v>
      </c>
      <c r="R511" s="79"/>
      <c r="S511" s="40" t="str">
        <f>VLOOKUP(M511,Table1[#All],6,FALSE)</f>
        <v>Q3</v>
      </c>
      <c r="T511" s="79"/>
      <c r="U511" s="40" t="str">
        <f>VLOOKUP(M511,Table1[#All],7,FALSE)</f>
        <v>Q4</v>
      </c>
      <c r="V511" s="79"/>
      <c r="W511" s="40" t="str">
        <f>VLOOKUP(M511,Table1[#All],8,FALSE)</f>
        <v>Q5</v>
      </c>
      <c r="X511" s="79"/>
      <c r="Y511" s="44" t="str">
        <f>VLOOKUP(M511,Table1[#All],2,FALSE)</f>
        <v>Action</v>
      </c>
      <c r="Z511" s="59" t="str">
        <f>VLOOKUP(M511,Table1[#All],9,FALSE)</f>
        <v>Additional Notes:</v>
      </c>
      <c r="AA511" s="76"/>
      <c r="AB511" s="76"/>
      <c r="AC511" s="90" t="s">
        <v>91</v>
      </c>
      <c r="AD511" s="76" t="s">
        <v>91</v>
      </c>
      <c r="AE511" s="77"/>
      <c r="AF511" s="77"/>
      <c r="AG511" s="41" t="s">
        <v>91</v>
      </c>
    </row>
    <row r="512" spans="1:33" ht="21" hidden="1" x14ac:dyDescent="0.55000000000000004">
      <c r="A512" s="44" t="str">
        <f>Data!K511</f>
        <v>DPOW-CCHP</v>
      </c>
      <c r="B512" s="44" t="str">
        <f>Data!L511</f>
        <v>4143899880</v>
      </c>
      <c r="C512" s="44" t="str">
        <f>Data!D511</f>
        <v>Butterfield, Ryelund</v>
      </c>
      <c r="D512" s="82" t="str">
        <f>Data!F511</f>
        <v>1446404811</v>
      </c>
      <c r="E512" s="82" t="str">
        <f>Data!B511</f>
        <v>7904</v>
      </c>
      <c r="F512" s="44" t="str">
        <f>Data!A511</f>
        <v>Butterfield, Ryelund</v>
      </c>
      <c r="G512" s="55" t="str">
        <f>Data!C511</f>
        <v>6/14/2014</v>
      </c>
      <c r="H512" s="56">
        <f>Data!H511</f>
        <v>44497</v>
      </c>
      <c r="I512" s="56" t="str">
        <f>Data!I511</f>
        <v>11/1/2021</v>
      </c>
      <c r="J512" s="57">
        <f>Data!J511</f>
        <v>1216</v>
      </c>
      <c r="K512" s="58">
        <f t="shared" ca="1" si="9"/>
        <v>199</v>
      </c>
      <c r="L512" s="58">
        <f>Data!M511</f>
        <v>0</v>
      </c>
      <c r="M512" s="37" t="s">
        <v>26</v>
      </c>
      <c r="N512" s="43" t="str">
        <f>VLOOKUP(M512,Table1[#All],3,FALSE)</f>
        <v>Note</v>
      </c>
      <c r="O512" s="40" t="str">
        <f>VLOOKUP(M512,Table1[#All],4,FALSE)</f>
        <v>Q1</v>
      </c>
      <c r="P512" s="39"/>
      <c r="Q512" s="40" t="str">
        <f>VLOOKUP(M512,Table1[#All],5,FALSE)</f>
        <v>Q2</v>
      </c>
      <c r="R512" s="79"/>
      <c r="S512" s="40" t="str">
        <f>VLOOKUP(M512,Table1[#All],6,FALSE)</f>
        <v>Q3</v>
      </c>
      <c r="T512" s="79"/>
      <c r="U512" s="40" t="str">
        <f>VLOOKUP(M512,Table1[#All],7,FALSE)</f>
        <v>Q4</v>
      </c>
      <c r="V512" s="79"/>
      <c r="W512" s="40" t="str">
        <f>VLOOKUP(M512,Table1[#All],8,FALSE)</f>
        <v>Q5</v>
      </c>
      <c r="X512" s="79"/>
      <c r="Y512" s="44" t="str">
        <f>VLOOKUP(M512,Table1[#All],2,FALSE)</f>
        <v>Action</v>
      </c>
      <c r="Z512" s="59" t="str">
        <f>VLOOKUP(M512,Table1[#All],9,FALSE)</f>
        <v>Additional Notes:</v>
      </c>
      <c r="AA512" s="76"/>
      <c r="AB512" s="76"/>
      <c r="AC512" s="90" t="s">
        <v>91</v>
      </c>
      <c r="AD512" s="76" t="s">
        <v>91</v>
      </c>
      <c r="AE512" s="77"/>
      <c r="AF512" s="77"/>
      <c r="AG512" s="41" t="s">
        <v>91</v>
      </c>
    </row>
    <row r="513" spans="1:33" ht="21" hidden="1" x14ac:dyDescent="0.55000000000000004">
      <c r="A513" s="44" t="str">
        <f>Data!K512</f>
        <v>DPOW-CCHP</v>
      </c>
      <c r="B513" s="44" t="str">
        <f>Data!L512</f>
        <v>4143899880</v>
      </c>
      <c r="C513" s="44" t="str">
        <f>Data!D512</f>
        <v>Calderon Padill, Mara</v>
      </c>
      <c r="D513" s="82" t="str">
        <f>Data!F512</f>
        <v>4450221842</v>
      </c>
      <c r="E513" s="82" t="str">
        <f>Data!B512</f>
        <v>8323</v>
      </c>
      <c r="F513" s="44" t="str">
        <f>Data!A512</f>
        <v>Calderon Padill, Mara</v>
      </c>
      <c r="G513" s="55" t="str">
        <f>Data!C512</f>
        <v>12/17/1986</v>
      </c>
      <c r="H513" s="56">
        <f>Data!H512</f>
        <v>44497</v>
      </c>
      <c r="I513" s="56" t="str">
        <f>Data!I512</f>
        <v>11/1/2021</v>
      </c>
      <c r="J513" s="57">
        <f>Data!J512</f>
        <v>175.2</v>
      </c>
      <c r="K513" s="58">
        <f t="shared" ca="1" si="9"/>
        <v>199</v>
      </c>
      <c r="L513" s="58">
        <f>Data!M512</f>
        <v>0</v>
      </c>
      <c r="M513" s="37" t="s">
        <v>26</v>
      </c>
      <c r="N513" s="43" t="str">
        <f>VLOOKUP(M513,Table1[#All],3,FALSE)</f>
        <v>Note</v>
      </c>
      <c r="O513" s="40" t="str">
        <f>VLOOKUP(M513,Table1[#All],4,FALSE)</f>
        <v>Q1</v>
      </c>
      <c r="P513" s="39"/>
      <c r="Q513" s="40" t="str">
        <f>VLOOKUP(M513,Table1[#All],5,FALSE)</f>
        <v>Q2</v>
      </c>
      <c r="R513" s="79"/>
      <c r="S513" s="40" t="str">
        <f>VLOOKUP(M513,Table1[#All],6,FALSE)</f>
        <v>Q3</v>
      </c>
      <c r="T513" s="79"/>
      <c r="U513" s="40" t="str">
        <f>VLOOKUP(M513,Table1[#All],7,FALSE)</f>
        <v>Q4</v>
      </c>
      <c r="V513" s="79"/>
      <c r="W513" s="40" t="str">
        <f>VLOOKUP(M513,Table1[#All],8,FALSE)</f>
        <v>Q5</v>
      </c>
      <c r="X513" s="79"/>
      <c r="Y513" s="44" t="str">
        <f>VLOOKUP(M513,Table1[#All],2,FALSE)</f>
        <v>Action</v>
      </c>
      <c r="Z513" s="59" t="str">
        <f>VLOOKUP(M513,Table1[#All],9,FALSE)</f>
        <v>Additional Notes:</v>
      </c>
      <c r="AA513" s="76"/>
      <c r="AB513" s="76"/>
      <c r="AC513" s="90" t="s">
        <v>91</v>
      </c>
      <c r="AD513" s="76" t="s">
        <v>91</v>
      </c>
      <c r="AE513" s="77"/>
      <c r="AF513" s="77"/>
      <c r="AG513" s="41" t="s">
        <v>91</v>
      </c>
    </row>
    <row r="514" spans="1:33" ht="21" hidden="1" x14ac:dyDescent="0.55000000000000004">
      <c r="A514" s="44" t="str">
        <f>Data!K513</f>
        <v>DPOW-CCHP</v>
      </c>
      <c r="B514" s="44" t="str">
        <f>Data!L513</f>
        <v>4143899880</v>
      </c>
      <c r="C514" s="44" t="str">
        <f>Data!D513</f>
        <v xml:space="preserve">Chiappe , Alyssa </v>
      </c>
      <c r="D514" s="82" t="str">
        <f>Data!F513</f>
        <v>8415013680</v>
      </c>
      <c r="E514" s="82" t="str">
        <f>Data!B513</f>
        <v>8286</v>
      </c>
      <c r="F514" s="44" t="str">
        <f>Data!A513</f>
        <v xml:space="preserve">Chiappe , Alyssa </v>
      </c>
      <c r="G514" s="55" t="str">
        <f>Data!C513</f>
        <v>6/26/1994</v>
      </c>
      <c r="H514" s="56">
        <f>Data!H513</f>
        <v>44501</v>
      </c>
      <c r="I514" s="56" t="str">
        <f>Data!I513</f>
        <v>11/1/2021</v>
      </c>
      <c r="J514" s="57">
        <f>Data!J513</f>
        <v>61.2</v>
      </c>
      <c r="K514" s="58">
        <f t="shared" ca="1" si="9"/>
        <v>199</v>
      </c>
      <c r="L514" s="58">
        <f>Data!M513</f>
        <v>0</v>
      </c>
      <c r="M514" s="37" t="s">
        <v>26</v>
      </c>
      <c r="N514" s="43" t="str">
        <f>VLOOKUP(M514,Table1[#All],3,FALSE)</f>
        <v>Note</v>
      </c>
      <c r="O514" s="40" t="str">
        <f>VLOOKUP(M514,Table1[#All],4,FALSE)</f>
        <v>Q1</v>
      </c>
      <c r="P514" s="39"/>
      <c r="Q514" s="40" t="str">
        <f>VLOOKUP(M514,Table1[#All],5,FALSE)</f>
        <v>Q2</v>
      </c>
      <c r="R514" s="79"/>
      <c r="S514" s="40" t="str">
        <f>VLOOKUP(M514,Table1[#All],6,FALSE)</f>
        <v>Q3</v>
      </c>
      <c r="T514" s="79"/>
      <c r="U514" s="40" t="str">
        <f>VLOOKUP(M514,Table1[#All],7,FALSE)</f>
        <v>Q4</v>
      </c>
      <c r="V514" s="79"/>
      <c r="W514" s="40" t="str">
        <f>VLOOKUP(M514,Table1[#All],8,FALSE)</f>
        <v>Q5</v>
      </c>
      <c r="X514" s="79"/>
      <c r="Y514" s="44" t="str">
        <f>VLOOKUP(M514,Table1[#All],2,FALSE)</f>
        <v>Action</v>
      </c>
      <c r="Z514" s="59" t="str">
        <f>VLOOKUP(M514,Table1[#All],9,FALSE)</f>
        <v>Additional Notes:</v>
      </c>
      <c r="AA514" s="76"/>
      <c r="AB514" s="76"/>
      <c r="AC514" s="90" t="s">
        <v>91</v>
      </c>
      <c r="AD514" s="76" t="s">
        <v>91</v>
      </c>
      <c r="AE514" s="77"/>
      <c r="AF514" s="77"/>
      <c r="AG514" s="41" t="s">
        <v>91</v>
      </c>
    </row>
    <row r="515" spans="1:33" ht="21" hidden="1" x14ac:dyDescent="0.55000000000000004">
      <c r="A515" s="44" t="str">
        <f>Data!K514</f>
        <v>DPOW-CCHP</v>
      </c>
      <c r="B515" s="44" t="str">
        <f>Data!L514</f>
        <v>4143899880</v>
      </c>
      <c r="C515" s="44" t="str">
        <f>Data!D514</f>
        <v xml:space="preserve">Asala, Lacianna </v>
      </c>
      <c r="D515" s="82" t="str">
        <f>Data!F514</f>
        <v>3449173138</v>
      </c>
      <c r="E515" s="82" t="str">
        <f>Data!B514</f>
        <v>6367</v>
      </c>
      <c r="F515" s="44" t="str">
        <f>Data!A514</f>
        <v xml:space="preserve">Asala, Lacianna </v>
      </c>
      <c r="G515" s="55" t="str">
        <f>Data!C514</f>
        <v>12/12/2015</v>
      </c>
      <c r="H515" s="56">
        <f>Data!H514</f>
        <v>44501</v>
      </c>
      <c r="I515" s="56" t="str">
        <f>Data!I514</f>
        <v>11/1/2021</v>
      </c>
      <c r="J515" s="57">
        <f>Data!J514</f>
        <v>474.4</v>
      </c>
      <c r="K515" s="58">
        <f t="shared" ca="1" si="9"/>
        <v>199</v>
      </c>
      <c r="L515" s="58">
        <f>Data!M514</f>
        <v>0</v>
      </c>
      <c r="M515" s="37" t="s">
        <v>26</v>
      </c>
      <c r="N515" s="43" t="str">
        <f>VLOOKUP(M515,Table1[#All],3,FALSE)</f>
        <v>Note</v>
      </c>
      <c r="O515" s="40" t="str">
        <f>VLOOKUP(M515,Table1[#All],4,FALSE)</f>
        <v>Q1</v>
      </c>
      <c r="P515" s="39"/>
      <c r="Q515" s="40" t="str">
        <f>VLOOKUP(M515,Table1[#All],5,FALSE)</f>
        <v>Q2</v>
      </c>
      <c r="R515" s="79"/>
      <c r="S515" s="40" t="str">
        <f>VLOOKUP(M515,Table1[#All],6,FALSE)</f>
        <v>Q3</v>
      </c>
      <c r="T515" s="79"/>
      <c r="U515" s="40" t="str">
        <f>VLOOKUP(M515,Table1[#All],7,FALSE)</f>
        <v>Q4</v>
      </c>
      <c r="V515" s="79"/>
      <c r="W515" s="40" t="str">
        <f>VLOOKUP(M515,Table1[#All],8,FALSE)</f>
        <v>Q5</v>
      </c>
      <c r="X515" s="79"/>
      <c r="Y515" s="44" t="str">
        <f>VLOOKUP(M515,Table1[#All],2,FALSE)</f>
        <v>Action</v>
      </c>
      <c r="Z515" s="59" t="str">
        <f>VLOOKUP(M515,Table1[#All],9,FALSE)</f>
        <v>Additional Notes:</v>
      </c>
      <c r="AA515" s="76"/>
      <c r="AB515" s="76"/>
      <c r="AC515" s="90" t="s">
        <v>91</v>
      </c>
      <c r="AD515" s="76" t="s">
        <v>91</v>
      </c>
      <c r="AE515" s="77"/>
      <c r="AF515" s="77"/>
      <c r="AG515" s="41" t="s">
        <v>91</v>
      </c>
    </row>
    <row r="516" spans="1:33" ht="21" hidden="1" x14ac:dyDescent="0.55000000000000004">
      <c r="A516" s="44" t="str">
        <f>Data!K515</f>
        <v>DPOW-CCHP</v>
      </c>
      <c r="B516" s="44" t="str">
        <f>Data!L515</f>
        <v>4143899880</v>
      </c>
      <c r="C516" s="44" t="str">
        <f>Data!D515</f>
        <v>Augustus, Tahjaie</v>
      </c>
      <c r="D516" s="82" t="str">
        <f>Data!F515</f>
        <v>7419875375</v>
      </c>
      <c r="E516" s="82" t="str">
        <f>Data!B515</f>
        <v>1627</v>
      </c>
      <c r="F516" s="44" t="str">
        <f>Data!A515</f>
        <v>Augustus, Tahjaie</v>
      </c>
      <c r="G516" s="55" t="str">
        <f>Data!C515</f>
        <v>4/2/1998</v>
      </c>
      <c r="H516" s="56">
        <f>Data!H515</f>
        <v>44496</v>
      </c>
      <c r="I516" s="56" t="str">
        <f>Data!I515</f>
        <v>10/29/2021</v>
      </c>
      <c r="J516" s="57">
        <f>Data!J515</f>
        <v>138</v>
      </c>
      <c r="K516" s="58">
        <f t="shared" ca="1" si="9"/>
        <v>202</v>
      </c>
      <c r="L516" s="58">
        <f>Data!M515</f>
        <v>0</v>
      </c>
      <c r="M516" s="37" t="s">
        <v>26</v>
      </c>
      <c r="N516" s="43" t="str">
        <f>VLOOKUP(M516,Table1[#All],3,FALSE)</f>
        <v>Note</v>
      </c>
      <c r="O516" s="40" t="str">
        <f>VLOOKUP(M516,Table1[#All],4,FALSE)</f>
        <v>Q1</v>
      </c>
      <c r="P516" s="39"/>
      <c r="Q516" s="40" t="str">
        <f>VLOOKUP(M516,Table1[#All],5,FALSE)</f>
        <v>Q2</v>
      </c>
      <c r="R516" s="79"/>
      <c r="S516" s="40" t="str">
        <f>VLOOKUP(M516,Table1[#All],6,FALSE)</f>
        <v>Q3</v>
      </c>
      <c r="T516" s="79"/>
      <c r="U516" s="40" t="str">
        <f>VLOOKUP(M516,Table1[#All],7,FALSE)</f>
        <v>Q4</v>
      </c>
      <c r="V516" s="79"/>
      <c r="W516" s="40" t="str">
        <f>VLOOKUP(M516,Table1[#All],8,FALSE)</f>
        <v>Q5</v>
      </c>
      <c r="X516" s="79"/>
      <c r="Y516" s="44" t="str">
        <f>VLOOKUP(M516,Table1[#All],2,FALSE)</f>
        <v>Action</v>
      </c>
      <c r="Z516" s="59" t="str">
        <f>VLOOKUP(M516,Table1[#All],9,FALSE)</f>
        <v>Additional Notes:</v>
      </c>
      <c r="AA516" s="76"/>
      <c r="AB516" s="76"/>
      <c r="AC516" s="90" t="s">
        <v>91</v>
      </c>
      <c r="AD516" s="76" t="s">
        <v>91</v>
      </c>
      <c r="AE516" s="77"/>
      <c r="AF516" s="77"/>
      <c r="AG516" s="41" t="s">
        <v>91</v>
      </c>
    </row>
    <row r="517" spans="1:33" ht="21" hidden="1" x14ac:dyDescent="0.55000000000000004">
      <c r="A517" s="44" t="str">
        <f>Data!K516</f>
        <v>DPOW-CCHP</v>
      </c>
      <c r="B517" s="44" t="str">
        <f>Data!L516</f>
        <v>4143899880</v>
      </c>
      <c r="C517" s="44" t="str">
        <f>Data!D516</f>
        <v>Mather, Jade</v>
      </c>
      <c r="D517" s="82" t="str">
        <f>Data!F516</f>
        <v>9423460895</v>
      </c>
      <c r="E517" s="82" t="str">
        <f>Data!B516</f>
        <v>6136</v>
      </c>
      <c r="F517" s="44" t="str">
        <f>Data!A516</f>
        <v>Mather, Jade</v>
      </c>
      <c r="G517" s="55" t="str">
        <f>Data!C516</f>
        <v>1/31/2005</v>
      </c>
      <c r="H517" s="56">
        <f>Data!H516</f>
        <v>44495</v>
      </c>
      <c r="I517" s="56" t="str">
        <f>Data!I516</f>
        <v>10/28/2021</v>
      </c>
      <c r="J517" s="57">
        <f>Data!J516</f>
        <v>266</v>
      </c>
      <c r="K517" s="58">
        <f t="shared" ca="1" si="9"/>
        <v>203</v>
      </c>
      <c r="L517" s="58">
        <f>Data!M516</f>
        <v>0</v>
      </c>
      <c r="M517" s="37" t="s">
        <v>26</v>
      </c>
      <c r="N517" s="43" t="str">
        <f>VLOOKUP(M517,Table1[#All],3,FALSE)</f>
        <v>Note</v>
      </c>
      <c r="O517" s="40" t="str">
        <f>VLOOKUP(M517,Table1[#All],4,FALSE)</f>
        <v>Q1</v>
      </c>
      <c r="P517" s="39"/>
      <c r="Q517" s="40" t="str">
        <f>VLOOKUP(M517,Table1[#All],5,FALSE)</f>
        <v>Q2</v>
      </c>
      <c r="R517" s="79"/>
      <c r="S517" s="40" t="str">
        <f>VLOOKUP(M517,Table1[#All],6,FALSE)</f>
        <v>Q3</v>
      </c>
      <c r="T517" s="79"/>
      <c r="U517" s="40" t="str">
        <f>VLOOKUP(M517,Table1[#All],7,FALSE)</f>
        <v>Q4</v>
      </c>
      <c r="V517" s="79"/>
      <c r="W517" s="40" t="str">
        <f>VLOOKUP(M517,Table1[#All],8,FALSE)</f>
        <v>Q5</v>
      </c>
      <c r="X517" s="79"/>
      <c r="Y517" s="44" t="str">
        <f>VLOOKUP(M517,Table1[#All],2,FALSE)</f>
        <v>Action</v>
      </c>
      <c r="Z517" s="59" t="str">
        <f>VLOOKUP(M517,Table1[#All],9,FALSE)</f>
        <v>Additional Notes:</v>
      </c>
      <c r="AA517" s="76"/>
      <c r="AB517" s="76"/>
      <c r="AC517" s="90" t="s">
        <v>91</v>
      </c>
      <c r="AD517" s="76" t="s">
        <v>91</v>
      </c>
      <c r="AE517" s="77"/>
      <c r="AF517" s="77"/>
      <c r="AG517" s="41" t="s">
        <v>91</v>
      </c>
    </row>
    <row r="518" spans="1:33" ht="21" hidden="1" x14ac:dyDescent="0.55000000000000004">
      <c r="A518" s="44" t="str">
        <f>Data!K517</f>
        <v>DPOW-CCHP</v>
      </c>
      <c r="B518" s="44" t="str">
        <f>Data!L517</f>
        <v>4143899880</v>
      </c>
      <c r="C518" s="44" t="str">
        <f>Data!D517</f>
        <v>Butterfield, Ryelund</v>
      </c>
      <c r="D518" s="82" t="str">
        <f>Data!F517</f>
        <v>1446404811</v>
      </c>
      <c r="E518" s="82" t="str">
        <f>Data!B517</f>
        <v>7904</v>
      </c>
      <c r="F518" s="44" t="str">
        <f>Data!A517</f>
        <v>Butterfield, Ryelund</v>
      </c>
      <c r="G518" s="55" t="str">
        <f>Data!C517</f>
        <v>6/14/2014</v>
      </c>
      <c r="H518" s="56">
        <f>Data!H517</f>
        <v>44495</v>
      </c>
      <c r="I518" s="56" t="str">
        <f>Data!I517</f>
        <v>10/28/2021</v>
      </c>
      <c r="J518" s="57">
        <f>Data!J517</f>
        <v>863.2</v>
      </c>
      <c r="K518" s="58">
        <f t="shared" ca="1" si="9"/>
        <v>203</v>
      </c>
      <c r="L518" s="58">
        <f>Data!M517</f>
        <v>0</v>
      </c>
      <c r="M518" s="37" t="s">
        <v>26</v>
      </c>
      <c r="N518" s="43" t="str">
        <f>VLOOKUP(M518,Table1[#All],3,FALSE)</f>
        <v>Note</v>
      </c>
      <c r="O518" s="40" t="str">
        <f>VLOOKUP(M518,Table1[#All],4,FALSE)</f>
        <v>Q1</v>
      </c>
      <c r="P518" s="39"/>
      <c r="Q518" s="40" t="str">
        <f>VLOOKUP(M518,Table1[#All],5,FALSE)</f>
        <v>Q2</v>
      </c>
      <c r="R518" s="79"/>
      <c r="S518" s="40" t="str">
        <f>VLOOKUP(M518,Table1[#All],6,FALSE)</f>
        <v>Q3</v>
      </c>
      <c r="T518" s="79"/>
      <c r="U518" s="40" t="str">
        <f>VLOOKUP(M518,Table1[#All],7,FALSE)</f>
        <v>Q4</v>
      </c>
      <c r="V518" s="79"/>
      <c r="W518" s="40" t="str">
        <f>VLOOKUP(M518,Table1[#All],8,FALSE)</f>
        <v>Q5</v>
      </c>
      <c r="X518" s="79"/>
      <c r="Y518" s="44" t="str">
        <f>VLOOKUP(M518,Table1[#All],2,FALSE)</f>
        <v>Action</v>
      </c>
      <c r="Z518" s="59" t="str">
        <f>VLOOKUP(M518,Table1[#All],9,FALSE)</f>
        <v>Additional Notes:</v>
      </c>
      <c r="AA518" s="76"/>
      <c r="AB518" s="76"/>
      <c r="AC518" s="90" t="s">
        <v>91</v>
      </c>
      <c r="AD518" s="76" t="s">
        <v>91</v>
      </c>
      <c r="AE518" s="77"/>
      <c r="AF518" s="77"/>
      <c r="AG518" s="41" t="s">
        <v>91</v>
      </c>
    </row>
    <row r="519" spans="1:33" ht="21" hidden="1" x14ac:dyDescent="0.55000000000000004">
      <c r="A519" s="44" t="str">
        <f>Data!K518</f>
        <v>DPOW-CCHP</v>
      </c>
      <c r="B519" s="44" t="str">
        <f>Data!L518</f>
        <v>4143899880</v>
      </c>
      <c r="C519" s="44" t="str">
        <f>Data!D518</f>
        <v xml:space="preserve">Mccoy , Rhyan </v>
      </c>
      <c r="D519" s="82" t="str">
        <f>Data!F518</f>
        <v>9439549696</v>
      </c>
      <c r="E519" s="82" t="str">
        <f>Data!B518</f>
        <v>6501</v>
      </c>
      <c r="F519" s="44" t="str">
        <f>Data!A518</f>
        <v xml:space="preserve">Mccoy , Rhyan </v>
      </c>
      <c r="G519" s="55" t="str">
        <f>Data!C518</f>
        <v>11/25/2010</v>
      </c>
      <c r="H519" s="56">
        <f>Data!H518</f>
        <v>44492</v>
      </c>
      <c r="I519" s="56" t="str">
        <f>Data!I518</f>
        <v>10/28/2021</v>
      </c>
      <c r="J519" s="57">
        <f>Data!J518</f>
        <v>396</v>
      </c>
      <c r="K519" s="58">
        <f t="shared" ca="1" si="9"/>
        <v>203</v>
      </c>
      <c r="L519" s="58">
        <f>Data!M518</f>
        <v>0</v>
      </c>
      <c r="M519" s="37" t="s">
        <v>26</v>
      </c>
      <c r="N519" s="43" t="str">
        <f>VLOOKUP(M519,Table1[#All],3,FALSE)</f>
        <v>Note</v>
      </c>
      <c r="O519" s="40" t="str">
        <f>VLOOKUP(M519,Table1[#All],4,FALSE)</f>
        <v>Q1</v>
      </c>
      <c r="P519" s="39"/>
      <c r="Q519" s="40" t="str">
        <f>VLOOKUP(M519,Table1[#All],5,FALSE)</f>
        <v>Q2</v>
      </c>
      <c r="R519" s="79"/>
      <c r="S519" s="40" t="str">
        <f>VLOOKUP(M519,Table1[#All],6,FALSE)</f>
        <v>Q3</v>
      </c>
      <c r="T519" s="79"/>
      <c r="U519" s="40" t="str">
        <f>VLOOKUP(M519,Table1[#All],7,FALSE)</f>
        <v>Q4</v>
      </c>
      <c r="V519" s="79"/>
      <c r="W519" s="40" t="str">
        <f>VLOOKUP(M519,Table1[#All],8,FALSE)</f>
        <v>Q5</v>
      </c>
      <c r="X519" s="79"/>
      <c r="Y519" s="44" t="str">
        <f>VLOOKUP(M519,Table1[#All],2,FALSE)</f>
        <v>Action</v>
      </c>
      <c r="Z519" s="59" t="str">
        <f>VLOOKUP(M519,Table1[#All],9,FALSE)</f>
        <v>Additional Notes:</v>
      </c>
      <c r="AA519" s="76"/>
      <c r="AB519" s="76"/>
      <c r="AC519" s="90" t="s">
        <v>91</v>
      </c>
      <c r="AD519" s="76" t="s">
        <v>91</v>
      </c>
      <c r="AE519" s="77"/>
      <c r="AF519" s="77"/>
      <c r="AG519" s="41" t="s">
        <v>91</v>
      </c>
    </row>
    <row r="520" spans="1:33" ht="21" hidden="1" x14ac:dyDescent="0.55000000000000004">
      <c r="A520" s="44" t="str">
        <f>Data!K519</f>
        <v>DPOW-CCHP</v>
      </c>
      <c r="B520" s="44" t="str">
        <f>Data!L519</f>
        <v>4143899880</v>
      </c>
      <c r="C520" s="44" t="str">
        <f>Data!D519</f>
        <v>NESBY , TANISHA</v>
      </c>
      <c r="D520" s="82" t="str">
        <f>Data!F519</f>
        <v>1414096615</v>
      </c>
      <c r="E520" s="82" t="str">
        <f>Data!B519</f>
        <v>698</v>
      </c>
      <c r="F520" s="44" t="str">
        <f>Data!A519</f>
        <v>NESBY , TANISHA</v>
      </c>
      <c r="G520" s="55" t="str">
        <f>Data!C519</f>
        <v>9/14/1972</v>
      </c>
      <c r="H520" s="56">
        <f>Data!H519</f>
        <v>44492</v>
      </c>
      <c r="I520" s="56" t="str">
        <f>Data!I519</f>
        <v>10/26/2021</v>
      </c>
      <c r="J520" s="57">
        <f>Data!J519</f>
        <v>249.2</v>
      </c>
      <c r="K520" s="58">
        <f t="shared" ca="1" si="9"/>
        <v>205</v>
      </c>
      <c r="L520" s="58">
        <f>Data!M519</f>
        <v>0</v>
      </c>
      <c r="M520" s="37" t="s">
        <v>26</v>
      </c>
      <c r="N520" s="43" t="str">
        <f>VLOOKUP(M520,Table1[#All],3,FALSE)</f>
        <v>Note</v>
      </c>
      <c r="O520" s="40" t="str">
        <f>VLOOKUP(M520,Table1[#All],4,FALSE)</f>
        <v>Q1</v>
      </c>
      <c r="P520" s="39"/>
      <c r="Q520" s="40" t="str">
        <f>VLOOKUP(M520,Table1[#All],5,FALSE)</f>
        <v>Q2</v>
      </c>
      <c r="R520" s="79"/>
      <c r="S520" s="40" t="str">
        <f>VLOOKUP(M520,Table1[#All],6,FALSE)</f>
        <v>Q3</v>
      </c>
      <c r="T520" s="79"/>
      <c r="U520" s="40" t="str">
        <f>VLOOKUP(M520,Table1[#All],7,FALSE)</f>
        <v>Q4</v>
      </c>
      <c r="V520" s="79"/>
      <c r="W520" s="40" t="str">
        <f>VLOOKUP(M520,Table1[#All],8,FALSE)</f>
        <v>Q5</v>
      </c>
      <c r="X520" s="79"/>
      <c r="Y520" s="44" t="str">
        <f>VLOOKUP(M520,Table1[#All],2,FALSE)</f>
        <v>Action</v>
      </c>
      <c r="Z520" s="59" t="str">
        <f>VLOOKUP(M520,Table1[#All],9,FALSE)</f>
        <v>Additional Notes:</v>
      </c>
      <c r="AA520" s="76"/>
      <c r="AB520" s="76"/>
      <c r="AC520" s="90" t="s">
        <v>91</v>
      </c>
      <c r="AD520" s="76" t="s">
        <v>91</v>
      </c>
      <c r="AE520" s="77"/>
      <c r="AF520" s="77"/>
      <c r="AG520" s="41" t="s">
        <v>91</v>
      </c>
    </row>
    <row r="521" spans="1:33" ht="21" hidden="1" x14ac:dyDescent="0.55000000000000004">
      <c r="A521" s="44" t="str">
        <f>Data!K520</f>
        <v>DPOW-CCHP</v>
      </c>
      <c r="B521" s="44" t="str">
        <f>Data!L520</f>
        <v>4143899880</v>
      </c>
      <c r="C521" s="44" t="str">
        <f>Data!D520</f>
        <v>Hay, Theodore D</v>
      </c>
      <c r="D521" s="82" t="str">
        <f>Data!F520</f>
        <v>7448420275</v>
      </c>
      <c r="E521" s="82" t="str">
        <f>Data!B520</f>
        <v>5257</v>
      </c>
      <c r="F521" s="44" t="str">
        <f>Data!A520</f>
        <v>Hay, Theodore D</v>
      </c>
      <c r="G521" s="55" t="str">
        <f>Data!C520</f>
        <v>7/23/2015</v>
      </c>
      <c r="H521" s="56">
        <f>Data!H520</f>
        <v>44492</v>
      </c>
      <c r="I521" s="56" t="str">
        <f>Data!I520</f>
        <v>10/26/2021</v>
      </c>
      <c r="J521" s="57">
        <f>Data!J520</f>
        <v>594.4</v>
      </c>
      <c r="K521" s="58">
        <f t="shared" ca="1" si="9"/>
        <v>205</v>
      </c>
      <c r="L521" s="58">
        <f>Data!M520</f>
        <v>0</v>
      </c>
      <c r="M521" s="37" t="s">
        <v>26</v>
      </c>
      <c r="N521" s="43" t="str">
        <f>VLOOKUP(M521,Table1[#All],3,FALSE)</f>
        <v>Note</v>
      </c>
      <c r="O521" s="40" t="str">
        <f>VLOOKUP(M521,Table1[#All],4,FALSE)</f>
        <v>Q1</v>
      </c>
      <c r="P521" s="39"/>
      <c r="Q521" s="40" t="str">
        <f>VLOOKUP(M521,Table1[#All],5,FALSE)</f>
        <v>Q2</v>
      </c>
      <c r="R521" s="79"/>
      <c r="S521" s="40" t="str">
        <f>VLOOKUP(M521,Table1[#All],6,FALSE)</f>
        <v>Q3</v>
      </c>
      <c r="T521" s="79"/>
      <c r="U521" s="40" t="str">
        <f>VLOOKUP(M521,Table1[#All],7,FALSE)</f>
        <v>Q4</v>
      </c>
      <c r="V521" s="79"/>
      <c r="W521" s="40" t="str">
        <f>VLOOKUP(M521,Table1[#All],8,FALSE)</f>
        <v>Q5</v>
      </c>
      <c r="X521" s="79"/>
      <c r="Y521" s="44" t="str">
        <f>VLOOKUP(M521,Table1[#All],2,FALSE)</f>
        <v>Action</v>
      </c>
      <c r="Z521" s="59" t="str">
        <f>VLOOKUP(M521,Table1[#All],9,FALSE)</f>
        <v>Additional Notes:</v>
      </c>
      <c r="AA521" s="76"/>
      <c r="AB521" s="76"/>
      <c r="AC521" s="90" t="s">
        <v>91</v>
      </c>
      <c r="AD521" s="76" t="s">
        <v>91</v>
      </c>
      <c r="AE521" s="77"/>
      <c r="AF521" s="77"/>
      <c r="AG521" s="41" t="s">
        <v>91</v>
      </c>
    </row>
    <row r="522" spans="1:33" ht="21" hidden="1" x14ac:dyDescent="0.55000000000000004">
      <c r="A522" s="44" t="str">
        <f>Data!K521</f>
        <v>DPOW-CCHP</v>
      </c>
      <c r="B522" s="44" t="str">
        <f>Data!L521</f>
        <v>4143899880</v>
      </c>
      <c r="C522" s="44" t="str">
        <f>Data!D521</f>
        <v xml:space="preserve">Valle , Angel </v>
      </c>
      <c r="D522" s="82" t="str">
        <f>Data!F521</f>
        <v>4453252145</v>
      </c>
      <c r="E522" s="82" t="str">
        <f>Data!B521</f>
        <v>7874</v>
      </c>
      <c r="F522" s="44" t="str">
        <f>Data!A521</f>
        <v xml:space="preserve">Valle , Angel </v>
      </c>
      <c r="G522" s="55" t="str">
        <f>Data!C521</f>
        <v>11/20/2013</v>
      </c>
      <c r="H522" s="56">
        <f>Data!H521</f>
        <v>44492</v>
      </c>
      <c r="I522" s="56" t="str">
        <f>Data!I521</f>
        <v>10/26/2021</v>
      </c>
      <c r="J522" s="57">
        <f>Data!J521</f>
        <v>278.39999999999998</v>
      </c>
      <c r="K522" s="58">
        <f t="shared" ca="1" si="9"/>
        <v>205</v>
      </c>
      <c r="L522" s="58">
        <f>Data!M521</f>
        <v>0</v>
      </c>
      <c r="M522" s="37" t="s">
        <v>26</v>
      </c>
      <c r="N522" s="43" t="str">
        <f>VLOOKUP(M522,Table1[#All],3,FALSE)</f>
        <v>Note</v>
      </c>
      <c r="O522" s="40" t="str">
        <f>VLOOKUP(M522,Table1[#All],4,FALSE)</f>
        <v>Q1</v>
      </c>
      <c r="P522" s="39"/>
      <c r="Q522" s="40" t="str">
        <f>VLOOKUP(M522,Table1[#All],5,FALSE)</f>
        <v>Q2</v>
      </c>
      <c r="R522" s="79"/>
      <c r="S522" s="40" t="str">
        <f>VLOOKUP(M522,Table1[#All],6,FALSE)</f>
        <v>Q3</v>
      </c>
      <c r="T522" s="79"/>
      <c r="U522" s="40" t="str">
        <f>VLOOKUP(M522,Table1[#All],7,FALSE)</f>
        <v>Q4</v>
      </c>
      <c r="V522" s="79"/>
      <c r="W522" s="40" t="str">
        <f>VLOOKUP(M522,Table1[#All],8,FALSE)</f>
        <v>Q5</v>
      </c>
      <c r="X522" s="79"/>
      <c r="Y522" s="44" t="str">
        <f>VLOOKUP(M522,Table1[#All],2,FALSE)</f>
        <v>Action</v>
      </c>
      <c r="Z522" s="59" t="str">
        <f>VLOOKUP(M522,Table1[#All],9,FALSE)</f>
        <v>Additional Notes:</v>
      </c>
      <c r="AA522" s="76"/>
      <c r="AB522" s="76"/>
      <c r="AC522" s="90" t="s">
        <v>91</v>
      </c>
      <c r="AD522" s="76" t="s">
        <v>91</v>
      </c>
      <c r="AE522" s="77"/>
      <c r="AF522" s="77"/>
      <c r="AG522" s="41" t="s">
        <v>91</v>
      </c>
    </row>
    <row r="523" spans="1:33" ht="21" hidden="1" x14ac:dyDescent="0.55000000000000004">
      <c r="A523" s="44" t="str">
        <f>Data!K522</f>
        <v>DPOW-CCHP</v>
      </c>
      <c r="B523" s="44" t="str">
        <f>Data!L522</f>
        <v>4143899880</v>
      </c>
      <c r="C523" s="44" t="str">
        <f>Data!D522</f>
        <v xml:space="preserve">Gonzales, Monica </v>
      </c>
      <c r="D523" s="82" t="str">
        <f>Data!F522</f>
        <v>0437263401</v>
      </c>
      <c r="E523" s="82" t="str">
        <f>Data!B522</f>
        <v>8118</v>
      </c>
      <c r="F523" s="44" t="str">
        <f>Data!A522</f>
        <v xml:space="preserve">Gonzales, Monica </v>
      </c>
      <c r="G523" s="55" t="str">
        <f>Data!C522</f>
        <v>11/12/2009</v>
      </c>
      <c r="H523" s="56">
        <f>Data!H522</f>
        <v>44492</v>
      </c>
      <c r="I523" s="56" t="str">
        <f>Data!I522</f>
        <v>10/26/2021</v>
      </c>
      <c r="J523" s="57">
        <f>Data!J522</f>
        <v>114</v>
      </c>
      <c r="K523" s="58">
        <f t="shared" ca="1" si="9"/>
        <v>205</v>
      </c>
      <c r="L523" s="58">
        <f>Data!M522</f>
        <v>0</v>
      </c>
      <c r="M523" s="37" t="s">
        <v>26</v>
      </c>
      <c r="N523" s="43" t="str">
        <f>VLOOKUP(M523,Table1[#All],3,FALSE)</f>
        <v>Note</v>
      </c>
      <c r="O523" s="40" t="str">
        <f>VLOOKUP(M523,Table1[#All],4,FALSE)</f>
        <v>Q1</v>
      </c>
      <c r="P523" s="39"/>
      <c r="Q523" s="40" t="str">
        <f>VLOOKUP(M523,Table1[#All],5,FALSE)</f>
        <v>Q2</v>
      </c>
      <c r="R523" s="79"/>
      <c r="S523" s="40" t="str">
        <f>VLOOKUP(M523,Table1[#All],6,FALSE)</f>
        <v>Q3</v>
      </c>
      <c r="T523" s="79"/>
      <c r="U523" s="40" t="str">
        <f>VLOOKUP(M523,Table1[#All],7,FALSE)</f>
        <v>Q4</v>
      </c>
      <c r="V523" s="79"/>
      <c r="W523" s="40" t="str">
        <f>VLOOKUP(M523,Table1[#All],8,FALSE)</f>
        <v>Q5</v>
      </c>
      <c r="X523" s="79"/>
      <c r="Y523" s="44" t="str">
        <f>VLOOKUP(M523,Table1[#All],2,FALSE)</f>
        <v>Action</v>
      </c>
      <c r="Z523" s="59" t="str">
        <f>VLOOKUP(M523,Table1[#All],9,FALSE)</f>
        <v>Additional Notes:</v>
      </c>
      <c r="AA523" s="76"/>
      <c r="AB523" s="76"/>
      <c r="AC523" s="90" t="s">
        <v>91</v>
      </c>
      <c r="AD523" s="76" t="s">
        <v>91</v>
      </c>
      <c r="AE523" s="77"/>
      <c r="AF523" s="77"/>
      <c r="AG523" s="41" t="s">
        <v>91</v>
      </c>
    </row>
    <row r="524" spans="1:33" ht="21" hidden="1" x14ac:dyDescent="0.55000000000000004">
      <c r="A524" s="44" t="str">
        <f>Data!K523</f>
        <v>DPOW-CCHP</v>
      </c>
      <c r="B524" s="44" t="str">
        <f>Data!L523</f>
        <v>4143899880</v>
      </c>
      <c r="C524" s="44" t="str">
        <f>Data!D523</f>
        <v>Rembalski, Yamilet</v>
      </c>
      <c r="D524" s="82" t="str">
        <f>Data!F523</f>
        <v>3419551134</v>
      </c>
      <c r="E524" s="82" t="str">
        <f>Data!B523</f>
        <v>8045</v>
      </c>
      <c r="F524" s="44" t="str">
        <f>Data!A523</f>
        <v>Rembalski, Yamilet</v>
      </c>
      <c r="G524" s="55" t="str">
        <f>Data!C523</f>
        <v>9/10/1995</v>
      </c>
      <c r="H524" s="56">
        <f>Data!H523</f>
        <v>44492</v>
      </c>
      <c r="I524" s="56" t="str">
        <f>Data!I523</f>
        <v>10/26/2021</v>
      </c>
      <c r="J524" s="57">
        <f>Data!J523</f>
        <v>205.2</v>
      </c>
      <c r="K524" s="58">
        <f t="shared" ca="1" si="9"/>
        <v>205</v>
      </c>
      <c r="L524" s="58">
        <f>Data!M523</f>
        <v>0</v>
      </c>
      <c r="M524" s="37" t="s">
        <v>26</v>
      </c>
      <c r="N524" s="43" t="str">
        <f>VLOOKUP(M524,Table1[#All],3,FALSE)</f>
        <v>Note</v>
      </c>
      <c r="O524" s="40" t="str">
        <f>VLOOKUP(M524,Table1[#All],4,FALSE)</f>
        <v>Q1</v>
      </c>
      <c r="P524" s="39"/>
      <c r="Q524" s="40" t="str">
        <f>VLOOKUP(M524,Table1[#All],5,FALSE)</f>
        <v>Q2</v>
      </c>
      <c r="R524" s="79"/>
      <c r="S524" s="40" t="str">
        <f>VLOOKUP(M524,Table1[#All],6,FALSE)</f>
        <v>Q3</v>
      </c>
      <c r="T524" s="79"/>
      <c r="U524" s="40" t="str">
        <f>VLOOKUP(M524,Table1[#All],7,FALSE)</f>
        <v>Q4</v>
      </c>
      <c r="V524" s="79"/>
      <c r="W524" s="40" t="str">
        <f>VLOOKUP(M524,Table1[#All],8,FALSE)</f>
        <v>Q5</v>
      </c>
      <c r="X524" s="79"/>
      <c r="Y524" s="44" t="str">
        <f>VLOOKUP(M524,Table1[#All],2,FALSE)</f>
        <v>Action</v>
      </c>
      <c r="Z524" s="59" t="str">
        <f>VLOOKUP(M524,Table1[#All],9,FALSE)</f>
        <v>Additional Notes:</v>
      </c>
      <c r="AA524" s="76"/>
      <c r="AB524" s="76"/>
      <c r="AC524" s="90" t="s">
        <v>91</v>
      </c>
      <c r="AD524" s="76" t="s">
        <v>91</v>
      </c>
      <c r="AE524" s="77"/>
      <c r="AF524" s="77"/>
      <c r="AG524" s="41" t="s">
        <v>91</v>
      </c>
    </row>
    <row r="525" spans="1:33" ht="21" hidden="1" x14ac:dyDescent="0.55000000000000004">
      <c r="A525" s="44" t="str">
        <f>Data!K524</f>
        <v>DPOW-CCHP</v>
      </c>
      <c r="B525" s="44" t="str">
        <f>Data!L524</f>
        <v>4143899880</v>
      </c>
      <c r="C525" s="44" t="str">
        <f>Data!D524</f>
        <v>Guadalupe Febre, Jesus</v>
      </c>
      <c r="D525" s="82" t="str">
        <f>Data!F524</f>
        <v>9450067791</v>
      </c>
      <c r="E525" s="82" t="str">
        <f>Data!B524</f>
        <v>7746</v>
      </c>
      <c r="F525" s="44" t="str">
        <f>Data!A524</f>
        <v>Guadalupe Febre, Jesus</v>
      </c>
      <c r="G525" s="55" t="str">
        <f>Data!C524</f>
        <v>4/8/2012</v>
      </c>
      <c r="H525" s="56">
        <f>Data!H524</f>
        <v>44492</v>
      </c>
      <c r="I525" s="56" t="str">
        <f>Data!I524</f>
        <v>10/26/2021</v>
      </c>
      <c r="J525" s="57">
        <f>Data!J524</f>
        <v>316</v>
      </c>
      <c r="K525" s="58">
        <f t="shared" ca="1" si="9"/>
        <v>205</v>
      </c>
      <c r="L525" s="58">
        <f>Data!M524</f>
        <v>0</v>
      </c>
      <c r="M525" s="37" t="s">
        <v>26</v>
      </c>
      <c r="N525" s="43" t="str">
        <f>VLOOKUP(M525,Table1[#All],3,FALSE)</f>
        <v>Note</v>
      </c>
      <c r="O525" s="40" t="str">
        <f>VLOOKUP(M525,Table1[#All],4,FALSE)</f>
        <v>Q1</v>
      </c>
      <c r="P525" s="39"/>
      <c r="Q525" s="40" t="str">
        <f>VLOOKUP(M525,Table1[#All],5,FALSE)</f>
        <v>Q2</v>
      </c>
      <c r="R525" s="79"/>
      <c r="S525" s="40" t="str">
        <f>VLOOKUP(M525,Table1[#All],6,FALSE)</f>
        <v>Q3</v>
      </c>
      <c r="T525" s="79"/>
      <c r="U525" s="40" t="str">
        <f>VLOOKUP(M525,Table1[#All],7,FALSE)</f>
        <v>Q4</v>
      </c>
      <c r="V525" s="79"/>
      <c r="W525" s="40" t="str">
        <f>VLOOKUP(M525,Table1[#All],8,FALSE)</f>
        <v>Q5</v>
      </c>
      <c r="X525" s="79"/>
      <c r="Y525" s="44" t="str">
        <f>VLOOKUP(M525,Table1[#All],2,FALSE)</f>
        <v>Action</v>
      </c>
      <c r="Z525" s="59" t="str">
        <f>VLOOKUP(M525,Table1[#All],9,FALSE)</f>
        <v>Additional Notes:</v>
      </c>
      <c r="AA525" s="76"/>
      <c r="AB525" s="76"/>
      <c r="AC525" s="90" t="s">
        <v>91</v>
      </c>
      <c r="AD525" s="76" t="s">
        <v>91</v>
      </c>
      <c r="AE525" s="77"/>
      <c r="AF525" s="77"/>
      <c r="AG525" s="41" t="s">
        <v>91</v>
      </c>
    </row>
    <row r="526" spans="1:33" ht="21" hidden="1" x14ac:dyDescent="0.55000000000000004">
      <c r="A526" s="44" t="str">
        <f>Data!K525</f>
        <v>DPOW-CCHP</v>
      </c>
      <c r="B526" s="44" t="str">
        <f>Data!L525</f>
        <v>4143899880</v>
      </c>
      <c r="C526" s="44" t="str">
        <f>Data!D525</f>
        <v xml:space="preserve">LENTINI, SONJA </v>
      </c>
      <c r="D526" s="82" t="str">
        <f>Data!F525</f>
        <v>1418059811</v>
      </c>
      <c r="E526" s="82" t="str">
        <f>Data!B525</f>
        <v>3707</v>
      </c>
      <c r="F526" s="44" t="str">
        <f>Data!A525</f>
        <v xml:space="preserve">LENTINI, SONJA </v>
      </c>
      <c r="G526" s="55" t="str">
        <f>Data!C525</f>
        <v>2/15/1987</v>
      </c>
      <c r="H526" s="56">
        <f>Data!H525</f>
        <v>44491</v>
      </c>
      <c r="I526" s="56" t="str">
        <f>Data!I525</f>
        <v>10/26/2021</v>
      </c>
      <c r="J526" s="57">
        <f>Data!J525</f>
        <v>88.8</v>
      </c>
      <c r="K526" s="58">
        <f t="shared" ca="1" si="9"/>
        <v>205</v>
      </c>
      <c r="L526" s="58">
        <f>Data!M525</f>
        <v>0</v>
      </c>
      <c r="M526" s="37" t="s">
        <v>26</v>
      </c>
      <c r="N526" s="43" t="str">
        <f>VLOOKUP(M526,Table1[#All],3,FALSE)</f>
        <v>Note</v>
      </c>
      <c r="O526" s="40" t="str">
        <f>VLOOKUP(M526,Table1[#All],4,FALSE)</f>
        <v>Q1</v>
      </c>
      <c r="P526" s="39"/>
      <c r="Q526" s="40" t="str">
        <f>VLOOKUP(M526,Table1[#All],5,FALSE)</f>
        <v>Q2</v>
      </c>
      <c r="R526" s="79"/>
      <c r="S526" s="40" t="str">
        <f>VLOOKUP(M526,Table1[#All],6,FALSE)</f>
        <v>Q3</v>
      </c>
      <c r="T526" s="79"/>
      <c r="U526" s="40" t="str">
        <f>VLOOKUP(M526,Table1[#All],7,FALSE)</f>
        <v>Q4</v>
      </c>
      <c r="V526" s="79"/>
      <c r="W526" s="40" t="str">
        <f>VLOOKUP(M526,Table1[#All],8,FALSE)</f>
        <v>Q5</v>
      </c>
      <c r="X526" s="79"/>
      <c r="Y526" s="44" t="str">
        <f>VLOOKUP(M526,Table1[#All],2,FALSE)</f>
        <v>Action</v>
      </c>
      <c r="Z526" s="59" t="str">
        <f>VLOOKUP(M526,Table1[#All],9,FALSE)</f>
        <v>Additional Notes:</v>
      </c>
      <c r="AA526" s="76"/>
      <c r="AB526" s="76"/>
      <c r="AC526" s="90" t="s">
        <v>91</v>
      </c>
      <c r="AD526" s="76" t="s">
        <v>91</v>
      </c>
      <c r="AE526" s="77"/>
      <c r="AF526" s="77"/>
      <c r="AG526" s="41" t="s">
        <v>91</v>
      </c>
    </row>
    <row r="527" spans="1:33" ht="21" hidden="1" x14ac:dyDescent="0.55000000000000004">
      <c r="A527" s="44" t="str">
        <f>Data!K526</f>
        <v>DPOW-CCHP</v>
      </c>
      <c r="B527" s="44" t="str">
        <f>Data!L526</f>
        <v>4143899880</v>
      </c>
      <c r="C527" s="44" t="str">
        <f>Data!D526</f>
        <v>Espino Avalos, Alexander</v>
      </c>
      <c r="D527" s="82" t="str">
        <f>Data!F526</f>
        <v>8446719681</v>
      </c>
      <c r="E527" s="82" t="str">
        <f>Data!B526</f>
        <v>6881</v>
      </c>
      <c r="F527" s="44" t="str">
        <f>Data!A526</f>
        <v>Espino Avalos, Alexander</v>
      </c>
      <c r="G527" s="55" t="str">
        <f>Data!C526</f>
        <v>8/16/2014</v>
      </c>
      <c r="H527" s="56">
        <f>Data!H526</f>
        <v>44491</v>
      </c>
      <c r="I527" s="56" t="str">
        <f>Data!I526</f>
        <v>10/26/2021</v>
      </c>
      <c r="J527" s="57">
        <f>Data!J526</f>
        <v>424.4</v>
      </c>
      <c r="K527" s="58">
        <f t="shared" ca="1" si="9"/>
        <v>205</v>
      </c>
      <c r="L527" s="58">
        <f>Data!M526</f>
        <v>0</v>
      </c>
      <c r="M527" s="37" t="s">
        <v>26</v>
      </c>
      <c r="N527" s="43" t="str">
        <f>VLOOKUP(M527,Table1[#All],3,FALSE)</f>
        <v>Note</v>
      </c>
      <c r="O527" s="40" t="str">
        <f>VLOOKUP(M527,Table1[#All],4,FALSE)</f>
        <v>Q1</v>
      </c>
      <c r="P527" s="39"/>
      <c r="Q527" s="40" t="str">
        <f>VLOOKUP(M527,Table1[#All],5,FALSE)</f>
        <v>Q2</v>
      </c>
      <c r="R527" s="79"/>
      <c r="S527" s="40" t="str">
        <f>VLOOKUP(M527,Table1[#All],6,FALSE)</f>
        <v>Q3</v>
      </c>
      <c r="T527" s="79"/>
      <c r="U527" s="40" t="str">
        <f>VLOOKUP(M527,Table1[#All],7,FALSE)</f>
        <v>Q4</v>
      </c>
      <c r="V527" s="79"/>
      <c r="W527" s="40" t="str">
        <f>VLOOKUP(M527,Table1[#All],8,FALSE)</f>
        <v>Q5</v>
      </c>
      <c r="X527" s="79"/>
      <c r="Y527" s="44" t="str">
        <f>VLOOKUP(M527,Table1[#All],2,FALSE)</f>
        <v>Action</v>
      </c>
      <c r="Z527" s="59" t="str">
        <f>VLOOKUP(M527,Table1[#All],9,FALSE)</f>
        <v>Additional Notes:</v>
      </c>
      <c r="AA527" s="76"/>
      <c r="AB527" s="76"/>
      <c r="AC527" s="90" t="s">
        <v>91</v>
      </c>
      <c r="AD527" s="76" t="s">
        <v>91</v>
      </c>
      <c r="AE527" s="77"/>
      <c r="AF527" s="77"/>
      <c r="AG527" s="41" t="s">
        <v>91</v>
      </c>
    </row>
    <row r="528" spans="1:33" ht="21" hidden="1" x14ac:dyDescent="0.55000000000000004">
      <c r="A528" s="44" t="str">
        <f>Data!K527</f>
        <v>DPOW-CCHP</v>
      </c>
      <c r="B528" s="44" t="str">
        <f>Data!L527</f>
        <v>4143899880</v>
      </c>
      <c r="C528" s="44" t="str">
        <f>Data!D527</f>
        <v>Podoba, Sheri</v>
      </c>
      <c r="D528" s="82" t="str">
        <f>Data!F527</f>
        <v>3419850239</v>
      </c>
      <c r="E528" s="82" t="str">
        <f>Data!B527</f>
        <v>474</v>
      </c>
      <c r="F528" s="44" t="str">
        <f>Data!A527</f>
        <v>Podoba, Sheri</v>
      </c>
      <c r="G528" s="55" t="str">
        <f>Data!C527</f>
        <v>6/28/1979</v>
      </c>
      <c r="H528" s="56">
        <f>Data!H527</f>
        <v>44495</v>
      </c>
      <c r="I528" s="56" t="str">
        <f>Data!I527</f>
        <v>10/26/2021</v>
      </c>
      <c r="J528" s="57">
        <f>Data!J527</f>
        <v>266</v>
      </c>
      <c r="K528" s="58">
        <f t="shared" ca="1" si="9"/>
        <v>205</v>
      </c>
      <c r="L528" s="58">
        <f>Data!M527</f>
        <v>0</v>
      </c>
      <c r="M528" s="37" t="s">
        <v>26</v>
      </c>
      <c r="N528" s="43" t="str">
        <f>VLOOKUP(M528,Table1[#All],3,FALSE)</f>
        <v>Note</v>
      </c>
      <c r="O528" s="40" t="str">
        <f>VLOOKUP(M528,Table1[#All],4,FALSE)</f>
        <v>Q1</v>
      </c>
      <c r="P528" s="39"/>
      <c r="Q528" s="40" t="str">
        <f>VLOOKUP(M528,Table1[#All],5,FALSE)</f>
        <v>Q2</v>
      </c>
      <c r="R528" s="79"/>
      <c r="S528" s="40" t="str">
        <f>VLOOKUP(M528,Table1[#All],6,FALSE)</f>
        <v>Q3</v>
      </c>
      <c r="T528" s="79"/>
      <c r="U528" s="40" t="str">
        <f>VLOOKUP(M528,Table1[#All],7,FALSE)</f>
        <v>Q4</v>
      </c>
      <c r="V528" s="79"/>
      <c r="W528" s="40" t="str">
        <f>VLOOKUP(M528,Table1[#All],8,FALSE)</f>
        <v>Q5</v>
      </c>
      <c r="X528" s="79"/>
      <c r="Y528" s="44" t="str">
        <f>VLOOKUP(M528,Table1[#All],2,FALSE)</f>
        <v>Action</v>
      </c>
      <c r="Z528" s="59" t="str">
        <f>VLOOKUP(M528,Table1[#All],9,FALSE)</f>
        <v>Additional Notes:</v>
      </c>
      <c r="AA528" s="76"/>
      <c r="AB528" s="76"/>
      <c r="AC528" s="90" t="s">
        <v>91</v>
      </c>
      <c r="AD528" s="76" t="s">
        <v>91</v>
      </c>
      <c r="AE528" s="77"/>
      <c r="AF528" s="77"/>
      <c r="AG528" s="41" t="s">
        <v>91</v>
      </c>
    </row>
    <row r="529" spans="1:33" ht="21" hidden="1" x14ac:dyDescent="0.55000000000000004">
      <c r="A529" s="44" t="str">
        <f>Data!K528</f>
        <v>DPOW-CCHP</v>
      </c>
      <c r="B529" s="44" t="str">
        <f>Data!L528</f>
        <v>4143899880</v>
      </c>
      <c r="C529" s="44" t="str">
        <f>Data!D528</f>
        <v xml:space="preserve">Quiroz , Nolen </v>
      </c>
      <c r="D529" s="82" t="str">
        <f>Data!F528</f>
        <v>1435081510</v>
      </c>
      <c r="E529" s="82" t="str">
        <f>Data!B528</f>
        <v>8275</v>
      </c>
      <c r="F529" s="44" t="str">
        <f>Data!A528</f>
        <v xml:space="preserve">Quiroz , Nolen </v>
      </c>
      <c r="G529" s="55" t="str">
        <f>Data!C528</f>
        <v>11/18/2008</v>
      </c>
      <c r="H529" s="56">
        <f>Data!H528</f>
        <v>44490</v>
      </c>
      <c r="I529" s="56" t="str">
        <f>Data!I528</f>
        <v>10/22/2021</v>
      </c>
      <c r="J529" s="57">
        <f>Data!J528</f>
        <v>470</v>
      </c>
      <c r="K529" s="58">
        <f t="shared" ca="1" si="9"/>
        <v>209</v>
      </c>
      <c r="L529" s="58">
        <f>Data!M528</f>
        <v>0</v>
      </c>
      <c r="M529" s="37" t="s">
        <v>26</v>
      </c>
      <c r="N529" s="43" t="str">
        <f>VLOOKUP(M529,Table1[#All],3,FALSE)</f>
        <v>Note</v>
      </c>
      <c r="O529" s="40" t="str">
        <f>VLOOKUP(M529,Table1[#All],4,FALSE)</f>
        <v>Q1</v>
      </c>
      <c r="P529" s="39"/>
      <c r="Q529" s="40" t="str">
        <f>VLOOKUP(M529,Table1[#All],5,FALSE)</f>
        <v>Q2</v>
      </c>
      <c r="R529" s="79"/>
      <c r="S529" s="40" t="str">
        <f>VLOOKUP(M529,Table1[#All],6,FALSE)</f>
        <v>Q3</v>
      </c>
      <c r="T529" s="79"/>
      <c r="U529" s="40" t="str">
        <f>VLOOKUP(M529,Table1[#All],7,FALSE)</f>
        <v>Q4</v>
      </c>
      <c r="V529" s="79"/>
      <c r="W529" s="40" t="str">
        <f>VLOOKUP(M529,Table1[#All],8,FALSE)</f>
        <v>Q5</v>
      </c>
      <c r="X529" s="79"/>
      <c r="Y529" s="44" t="str">
        <f>VLOOKUP(M529,Table1[#All],2,FALSE)</f>
        <v>Action</v>
      </c>
      <c r="Z529" s="59" t="str">
        <f>VLOOKUP(M529,Table1[#All],9,FALSE)</f>
        <v>Additional Notes:</v>
      </c>
      <c r="AA529" s="76"/>
      <c r="AB529" s="76"/>
      <c r="AC529" s="90" t="s">
        <v>91</v>
      </c>
      <c r="AD529" s="76" t="s">
        <v>91</v>
      </c>
      <c r="AE529" s="77"/>
      <c r="AF529" s="77"/>
      <c r="AG529" s="41" t="s">
        <v>91</v>
      </c>
    </row>
    <row r="530" spans="1:33" ht="21" hidden="1" x14ac:dyDescent="0.55000000000000004">
      <c r="A530" s="44" t="str">
        <f>Data!K529</f>
        <v>DPOW-CCHP</v>
      </c>
      <c r="B530" s="44" t="str">
        <f>Data!L529</f>
        <v>4143899880</v>
      </c>
      <c r="C530" s="44" t="str">
        <f>Data!D529</f>
        <v xml:space="preserve">Candelaria, Jariel </v>
      </c>
      <c r="D530" s="82" t="str">
        <f>Data!F529</f>
        <v>6453471264</v>
      </c>
      <c r="E530" s="82" t="str">
        <f>Data!B529</f>
        <v>7833</v>
      </c>
      <c r="F530" s="44" t="str">
        <f>Data!A529</f>
        <v xml:space="preserve">Candelaria, Jariel </v>
      </c>
      <c r="G530" s="55" t="str">
        <f>Data!C529</f>
        <v>5/21/2008</v>
      </c>
      <c r="H530" s="56">
        <f>Data!H529</f>
        <v>44489</v>
      </c>
      <c r="I530" s="56" t="str">
        <f>Data!I529</f>
        <v>10/22/2021</v>
      </c>
      <c r="J530" s="57">
        <f>Data!J529</f>
        <v>432</v>
      </c>
      <c r="K530" s="58">
        <f t="shared" ca="1" si="9"/>
        <v>209</v>
      </c>
      <c r="L530" s="58">
        <f>Data!M529</f>
        <v>0</v>
      </c>
      <c r="M530" s="37" t="s">
        <v>26</v>
      </c>
      <c r="N530" s="43" t="str">
        <f>VLOOKUP(M530,Table1[#All],3,FALSE)</f>
        <v>Note</v>
      </c>
      <c r="O530" s="40" t="str">
        <f>VLOOKUP(M530,Table1[#All],4,FALSE)</f>
        <v>Q1</v>
      </c>
      <c r="P530" s="39"/>
      <c r="Q530" s="40" t="str">
        <f>VLOOKUP(M530,Table1[#All],5,FALSE)</f>
        <v>Q2</v>
      </c>
      <c r="R530" s="79"/>
      <c r="S530" s="40" t="str">
        <f>VLOOKUP(M530,Table1[#All],6,FALSE)</f>
        <v>Q3</v>
      </c>
      <c r="T530" s="79"/>
      <c r="U530" s="40" t="str">
        <f>VLOOKUP(M530,Table1[#All],7,FALSE)</f>
        <v>Q4</v>
      </c>
      <c r="V530" s="79"/>
      <c r="W530" s="40" t="str">
        <f>VLOOKUP(M530,Table1[#All],8,FALSE)</f>
        <v>Q5</v>
      </c>
      <c r="X530" s="79"/>
      <c r="Y530" s="44" t="str">
        <f>VLOOKUP(M530,Table1[#All],2,FALSE)</f>
        <v>Action</v>
      </c>
      <c r="Z530" s="59" t="str">
        <f>VLOOKUP(M530,Table1[#All],9,FALSE)</f>
        <v>Additional Notes:</v>
      </c>
      <c r="AA530" s="76"/>
      <c r="AB530" s="76"/>
      <c r="AC530" s="90" t="s">
        <v>91</v>
      </c>
      <c r="AD530" s="76" t="s">
        <v>91</v>
      </c>
      <c r="AE530" s="77"/>
      <c r="AF530" s="77"/>
      <c r="AG530" s="41" t="s">
        <v>91</v>
      </c>
    </row>
    <row r="531" spans="1:33" ht="21" hidden="1" x14ac:dyDescent="0.55000000000000004">
      <c r="A531" s="44" t="str">
        <f>Data!K530</f>
        <v>DPOW-CCHP</v>
      </c>
      <c r="B531" s="44" t="str">
        <f>Data!L530</f>
        <v>4143899880</v>
      </c>
      <c r="C531" s="44" t="str">
        <f>Data!D530</f>
        <v xml:space="preserve">Uribe , Jose </v>
      </c>
      <c r="D531" s="82" t="str">
        <f>Data!F530</f>
        <v>9426928294</v>
      </c>
      <c r="E531" s="82" t="str">
        <f>Data!B530</f>
        <v>8218</v>
      </c>
      <c r="F531" s="44" t="str">
        <f>Data!A530</f>
        <v xml:space="preserve">Uribe , Jose </v>
      </c>
      <c r="G531" s="55" t="str">
        <f>Data!C530</f>
        <v>1/24/2000</v>
      </c>
      <c r="H531" s="56">
        <f>Data!H530</f>
        <v>44490</v>
      </c>
      <c r="I531" s="56" t="str">
        <f>Data!I530</f>
        <v>10/22/2021</v>
      </c>
      <c r="J531" s="57">
        <f>Data!J530</f>
        <v>332.4</v>
      </c>
      <c r="K531" s="58">
        <f t="shared" ca="1" si="9"/>
        <v>209</v>
      </c>
      <c r="L531" s="58">
        <f>Data!M530</f>
        <v>0</v>
      </c>
      <c r="M531" s="37" t="s">
        <v>26</v>
      </c>
      <c r="N531" s="43" t="str">
        <f>VLOOKUP(M531,Table1[#All],3,FALSE)</f>
        <v>Note</v>
      </c>
      <c r="O531" s="40" t="str">
        <f>VLOOKUP(M531,Table1[#All],4,FALSE)</f>
        <v>Q1</v>
      </c>
      <c r="P531" s="39"/>
      <c r="Q531" s="40" t="str">
        <f>VLOOKUP(M531,Table1[#All],5,FALSE)</f>
        <v>Q2</v>
      </c>
      <c r="R531" s="79"/>
      <c r="S531" s="40" t="str">
        <f>VLOOKUP(M531,Table1[#All],6,FALSE)</f>
        <v>Q3</v>
      </c>
      <c r="T531" s="79"/>
      <c r="U531" s="40" t="str">
        <f>VLOOKUP(M531,Table1[#All],7,FALSE)</f>
        <v>Q4</v>
      </c>
      <c r="V531" s="79"/>
      <c r="W531" s="40" t="str">
        <f>VLOOKUP(M531,Table1[#All],8,FALSE)</f>
        <v>Q5</v>
      </c>
      <c r="X531" s="79"/>
      <c r="Y531" s="44" t="str">
        <f>VLOOKUP(M531,Table1[#All],2,FALSE)</f>
        <v>Action</v>
      </c>
      <c r="Z531" s="59" t="str">
        <f>VLOOKUP(M531,Table1[#All],9,FALSE)</f>
        <v>Additional Notes:</v>
      </c>
      <c r="AA531" s="76"/>
      <c r="AB531" s="76"/>
      <c r="AC531" s="90" t="s">
        <v>91</v>
      </c>
      <c r="AD531" s="76" t="s">
        <v>91</v>
      </c>
      <c r="AE531" s="77"/>
      <c r="AF531" s="77"/>
      <c r="AG531" s="41" t="s">
        <v>91</v>
      </c>
    </row>
    <row r="532" spans="1:33" ht="21" hidden="1" x14ac:dyDescent="0.55000000000000004">
      <c r="A532" s="44" t="str">
        <f>Data!K531</f>
        <v>DPOW-CCHP</v>
      </c>
      <c r="B532" s="44" t="str">
        <f>Data!L531</f>
        <v>4143899880</v>
      </c>
      <c r="C532" s="44" t="str">
        <f>Data!D531</f>
        <v>Smith, Chazay</v>
      </c>
      <c r="D532" s="82" t="str">
        <f>Data!F531</f>
        <v>5437494751</v>
      </c>
      <c r="E532" s="82" t="str">
        <f>Data!B531</f>
        <v>6022</v>
      </c>
      <c r="F532" s="44" t="str">
        <f>Data!A531</f>
        <v>Smith, Chazay</v>
      </c>
      <c r="G532" s="55" t="str">
        <f>Data!C531</f>
        <v>12/15/2009</v>
      </c>
      <c r="H532" s="56">
        <f>Data!H531</f>
        <v>44490</v>
      </c>
      <c r="I532" s="56" t="str">
        <f>Data!I531</f>
        <v>10/22/2021</v>
      </c>
      <c r="J532" s="57">
        <f>Data!J531</f>
        <v>360</v>
      </c>
      <c r="K532" s="58">
        <f t="shared" ca="1" si="9"/>
        <v>209</v>
      </c>
      <c r="L532" s="58">
        <f>Data!M531</f>
        <v>0</v>
      </c>
      <c r="M532" s="37" t="s">
        <v>26</v>
      </c>
      <c r="N532" s="43" t="str">
        <f>VLOOKUP(M532,Table1[#All],3,FALSE)</f>
        <v>Note</v>
      </c>
      <c r="O532" s="40" t="str">
        <f>VLOOKUP(M532,Table1[#All],4,FALSE)</f>
        <v>Q1</v>
      </c>
      <c r="P532" s="39"/>
      <c r="Q532" s="40" t="str">
        <f>VLOOKUP(M532,Table1[#All],5,FALSE)</f>
        <v>Q2</v>
      </c>
      <c r="R532" s="79"/>
      <c r="S532" s="40" t="str">
        <f>VLOOKUP(M532,Table1[#All],6,FALSE)</f>
        <v>Q3</v>
      </c>
      <c r="T532" s="79"/>
      <c r="U532" s="40" t="str">
        <f>VLOOKUP(M532,Table1[#All],7,FALSE)</f>
        <v>Q4</v>
      </c>
      <c r="V532" s="79"/>
      <c r="W532" s="40" t="str">
        <f>VLOOKUP(M532,Table1[#All],8,FALSE)</f>
        <v>Q5</v>
      </c>
      <c r="X532" s="79"/>
      <c r="Y532" s="44" t="str">
        <f>VLOOKUP(M532,Table1[#All],2,FALSE)</f>
        <v>Action</v>
      </c>
      <c r="Z532" s="59" t="str">
        <f>VLOOKUP(M532,Table1[#All],9,FALSE)</f>
        <v>Additional Notes:</v>
      </c>
      <c r="AA532" s="76"/>
      <c r="AB532" s="76"/>
      <c r="AC532" s="90" t="s">
        <v>91</v>
      </c>
      <c r="AD532" s="76" t="s">
        <v>91</v>
      </c>
      <c r="AE532" s="77"/>
      <c r="AF532" s="77"/>
      <c r="AG532" s="41" t="s">
        <v>91</v>
      </c>
    </row>
    <row r="533" spans="1:33" ht="21" hidden="1" x14ac:dyDescent="0.55000000000000004">
      <c r="A533" s="44" t="str">
        <f>Data!K532</f>
        <v>DPOW-CCHP</v>
      </c>
      <c r="B533" s="44" t="str">
        <f>Data!L532</f>
        <v>4143899880</v>
      </c>
      <c r="C533" s="44" t="str">
        <f>Data!D532</f>
        <v>Lawreszuk, Krystian</v>
      </c>
      <c r="D533" s="82" t="str">
        <f>Data!F532</f>
        <v>0425571602</v>
      </c>
      <c r="E533" s="82" t="str">
        <f>Data!B532</f>
        <v>7697</v>
      </c>
      <c r="F533" s="44" t="str">
        <f>Data!A532</f>
        <v>Lawreszuk, Krystian</v>
      </c>
      <c r="G533" s="55" t="str">
        <f>Data!C532</f>
        <v>9/23/1992</v>
      </c>
      <c r="H533" s="56">
        <f>Data!H532</f>
        <v>44489</v>
      </c>
      <c r="I533" s="56" t="str">
        <f>Data!I532</f>
        <v>10/21/2021</v>
      </c>
      <c r="J533" s="57">
        <f>Data!J532</f>
        <v>268.8</v>
      </c>
      <c r="K533" s="58">
        <f t="shared" ca="1" si="9"/>
        <v>210</v>
      </c>
      <c r="L533" s="58">
        <f>Data!M532</f>
        <v>0</v>
      </c>
      <c r="M533" s="37" t="s">
        <v>26</v>
      </c>
      <c r="N533" s="43" t="str">
        <f>VLOOKUP(M533,Table1[#All],3,FALSE)</f>
        <v>Note</v>
      </c>
      <c r="O533" s="40" t="str">
        <f>VLOOKUP(M533,Table1[#All],4,FALSE)</f>
        <v>Q1</v>
      </c>
      <c r="P533" s="39"/>
      <c r="Q533" s="40" t="str">
        <f>VLOOKUP(M533,Table1[#All],5,FALSE)</f>
        <v>Q2</v>
      </c>
      <c r="R533" s="79"/>
      <c r="S533" s="40" t="str">
        <f>VLOOKUP(M533,Table1[#All],6,FALSE)</f>
        <v>Q3</v>
      </c>
      <c r="T533" s="79"/>
      <c r="U533" s="40" t="str">
        <f>VLOOKUP(M533,Table1[#All],7,FALSE)</f>
        <v>Q4</v>
      </c>
      <c r="V533" s="79"/>
      <c r="W533" s="40" t="str">
        <f>VLOOKUP(M533,Table1[#All],8,FALSE)</f>
        <v>Q5</v>
      </c>
      <c r="X533" s="79"/>
      <c r="Y533" s="44" t="str">
        <f>VLOOKUP(M533,Table1[#All],2,FALSE)</f>
        <v>Action</v>
      </c>
      <c r="Z533" s="59" t="str">
        <f>VLOOKUP(M533,Table1[#All],9,FALSE)</f>
        <v>Additional Notes:</v>
      </c>
      <c r="AA533" s="76"/>
      <c r="AB533" s="76"/>
      <c r="AC533" s="90" t="s">
        <v>91</v>
      </c>
      <c r="AD533" s="76" t="s">
        <v>91</v>
      </c>
      <c r="AE533" s="77"/>
      <c r="AF533" s="77"/>
      <c r="AG533" s="41" t="s">
        <v>91</v>
      </c>
    </row>
    <row r="534" spans="1:33" ht="21" hidden="1" x14ac:dyDescent="0.55000000000000004">
      <c r="A534" s="44" t="str">
        <f>Data!K533</f>
        <v>DPOW-CCHP</v>
      </c>
      <c r="B534" s="44" t="str">
        <f>Data!L533</f>
        <v>4143899880</v>
      </c>
      <c r="C534" s="44" t="str">
        <f>Data!D533</f>
        <v xml:space="preserve">Wierzchowski, Stella </v>
      </c>
      <c r="D534" s="82" t="str">
        <f>Data!F533</f>
        <v>4442491046</v>
      </c>
      <c r="E534" s="82" t="str">
        <f>Data!B533</f>
        <v>6765</v>
      </c>
      <c r="F534" s="44" t="str">
        <f>Data!A533</f>
        <v xml:space="preserve">Wierzchowski, Stella </v>
      </c>
      <c r="G534" s="55" t="str">
        <f>Data!C533</f>
        <v>7/18/2012</v>
      </c>
      <c r="H534" s="56">
        <f>Data!H533</f>
        <v>44489</v>
      </c>
      <c r="I534" s="56" t="str">
        <f>Data!I533</f>
        <v>10/21/2021</v>
      </c>
      <c r="J534" s="57">
        <f>Data!J533</f>
        <v>227.6</v>
      </c>
      <c r="K534" s="58">
        <f t="shared" ca="1" si="9"/>
        <v>210</v>
      </c>
      <c r="L534" s="58">
        <f>Data!M533</f>
        <v>0</v>
      </c>
      <c r="M534" s="37" t="s">
        <v>26</v>
      </c>
      <c r="N534" s="43" t="str">
        <f>VLOOKUP(M534,Table1[#All],3,FALSE)</f>
        <v>Note</v>
      </c>
      <c r="O534" s="40" t="str">
        <f>VLOOKUP(M534,Table1[#All],4,FALSE)</f>
        <v>Q1</v>
      </c>
      <c r="P534" s="39"/>
      <c r="Q534" s="40" t="str">
        <f>VLOOKUP(M534,Table1[#All],5,FALSE)</f>
        <v>Q2</v>
      </c>
      <c r="R534" s="79"/>
      <c r="S534" s="40" t="str">
        <f>VLOOKUP(M534,Table1[#All],6,FALSE)</f>
        <v>Q3</v>
      </c>
      <c r="T534" s="79"/>
      <c r="U534" s="40" t="str">
        <f>VLOOKUP(M534,Table1[#All],7,FALSE)</f>
        <v>Q4</v>
      </c>
      <c r="V534" s="79"/>
      <c r="W534" s="40" t="str">
        <f>VLOOKUP(M534,Table1[#All],8,FALSE)</f>
        <v>Q5</v>
      </c>
      <c r="X534" s="79"/>
      <c r="Y534" s="44" t="str">
        <f>VLOOKUP(M534,Table1[#All],2,FALSE)</f>
        <v>Action</v>
      </c>
      <c r="Z534" s="59" t="str">
        <f>VLOOKUP(M534,Table1[#All],9,FALSE)</f>
        <v>Additional Notes:</v>
      </c>
      <c r="AA534" s="76"/>
      <c r="AB534" s="76"/>
      <c r="AC534" s="90" t="s">
        <v>91</v>
      </c>
      <c r="AD534" s="76" t="s">
        <v>91</v>
      </c>
      <c r="AE534" s="77"/>
      <c r="AF534" s="77"/>
      <c r="AG534" s="41" t="s">
        <v>91</v>
      </c>
    </row>
    <row r="535" spans="1:33" ht="21" hidden="1" x14ac:dyDescent="0.55000000000000004">
      <c r="A535" s="44" t="str">
        <f>Data!K534</f>
        <v>DPOW-CCHP</v>
      </c>
      <c r="B535" s="44" t="str">
        <f>Data!L534</f>
        <v>4143899880</v>
      </c>
      <c r="C535" s="44" t="str">
        <f>Data!D534</f>
        <v>THLADI , MAH</v>
      </c>
      <c r="D535" s="82" t="str">
        <f>Data!F534</f>
        <v>3453380631</v>
      </c>
      <c r="E535" s="82" t="str">
        <f>Data!B534</f>
        <v>4989</v>
      </c>
      <c r="F535" s="44" t="str">
        <f>Data!A534</f>
        <v>THLADI , MAH</v>
      </c>
      <c r="G535" s="55" t="str">
        <f>Data!C534</f>
        <v>11/12/1984</v>
      </c>
      <c r="H535" s="56">
        <f>Data!H534</f>
        <v>44488</v>
      </c>
      <c r="I535" s="56" t="str">
        <f>Data!I534</f>
        <v>10/21/2021</v>
      </c>
      <c r="J535" s="57">
        <f>Data!J534</f>
        <v>349.2</v>
      </c>
      <c r="K535" s="58">
        <f t="shared" ca="1" si="9"/>
        <v>210</v>
      </c>
      <c r="L535" s="58">
        <f>Data!M534</f>
        <v>0</v>
      </c>
      <c r="M535" s="37" t="s">
        <v>26</v>
      </c>
      <c r="N535" s="43" t="str">
        <f>VLOOKUP(M535,Table1[#All],3,FALSE)</f>
        <v>Note</v>
      </c>
      <c r="O535" s="40" t="str">
        <f>VLOOKUP(M535,Table1[#All],4,FALSE)</f>
        <v>Q1</v>
      </c>
      <c r="P535" s="39"/>
      <c r="Q535" s="40" t="str">
        <f>VLOOKUP(M535,Table1[#All],5,FALSE)</f>
        <v>Q2</v>
      </c>
      <c r="R535" s="79"/>
      <c r="S535" s="40" t="str">
        <f>VLOOKUP(M535,Table1[#All],6,FALSE)</f>
        <v>Q3</v>
      </c>
      <c r="T535" s="79"/>
      <c r="U535" s="40" t="str">
        <f>VLOOKUP(M535,Table1[#All],7,FALSE)</f>
        <v>Q4</v>
      </c>
      <c r="V535" s="79"/>
      <c r="W535" s="40" t="str">
        <f>VLOOKUP(M535,Table1[#All],8,FALSE)</f>
        <v>Q5</v>
      </c>
      <c r="X535" s="79"/>
      <c r="Y535" s="44" t="str">
        <f>VLOOKUP(M535,Table1[#All],2,FALSE)</f>
        <v>Action</v>
      </c>
      <c r="Z535" s="59" t="str">
        <f>VLOOKUP(M535,Table1[#All],9,FALSE)</f>
        <v>Additional Notes:</v>
      </c>
      <c r="AA535" s="76"/>
      <c r="AB535" s="76"/>
      <c r="AC535" s="90" t="s">
        <v>91</v>
      </c>
      <c r="AD535" s="76" t="s">
        <v>91</v>
      </c>
      <c r="AE535" s="77"/>
      <c r="AF535" s="77"/>
      <c r="AG535" s="41" t="s">
        <v>91</v>
      </c>
    </row>
    <row r="536" spans="1:33" ht="21" hidden="1" x14ac:dyDescent="0.55000000000000004">
      <c r="A536" s="44" t="str">
        <f>Data!K535</f>
        <v>DPOW-CCHP</v>
      </c>
      <c r="B536" s="44" t="str">
        <f>Data!L535</f>
        <v>4143899880</v>
      </c>
      <c r="C536" s="44" t="str">
        <f>Data!D535</f>
        <v>Gonzales, Cristina</v>
      </c>
      <c r="D536" s="82" t="str">
        <f>Data!F535</f>
        <v>7400262572</v>
      </c>
      <c r="E536" s="82" t="str">
        <f>Data!B535</f>
        <v>8121</v>
      </c>
      <c r="F536" s="44" t="str">
        <f>Data!A535</f>
        <v>Gonzales, Cristina</v>
      </c>
      <c r="G536" s="55" t="str">
        <f>Data!C535</f>
        <v>12/15/1986</v>
      </c>
      <c r="H536" s="56">
        <f>Data!H535</f>
        <v>44488</v>
      </c>
      <c r="I536" s="56" t="str">
        <f>Data!I535</f>
        <v>10/21/2021</v>
      </c>
      <c r="J536" s="57">
        <f>Data!J535</f>
        <v>612</v>
      </c>
      <c r="K536" s="58">
        <f t="shared" ca="1" si="9"/>
        <v>210</v>
      </c>
      <c r="L536" s="58">
        <f>Data!M535</f>
        <v>0</v>
      </c>
      <c r="M536" s="37" t="s">
        <v>26</v>
      </c>
      <c r="N536" s="43" t="str">
        <f>VLOOKUP(M536,Table1[#All],3,FALSE)</f>
        <v>Note</v>
      </c>
      <c r="O536" s="40" t="str">
        <f>VLOOKUP(M536,Table1[#All],4,FALSE)</f>
        <v>Q1</v>
      </c>
      <c r="P536" s="39"/>
      <c r="Q536" s="40" t="str">
        <f>VLOOKUP(M536,Table1[#All],5,FALSE)</f>
        <v>Q2</v>
      </c>
      <c r="R536" s="79"/>
      <c r="S536" s="40" t="str">
        <f>VLOOKUP(M536,Table1[#All],6,FALSE)</f>
        <v>Q3</v>
      </c>
      <c r="T536" s="79"/>
      <c r="U536" s="40" t="str">
        <f>VLOOKUP(M536,Table1[#All],7,FALSE)</f>
        <v>Q4</v>
      </c>
      <c r="V536" s="79"/>
      <c r="W536" s="40" t="str">
        <f>VLOOKUP(M536,Table1[#All],8,FALSE)</f>
        <v>Q5</v>
      </c>
      <c r="X536" s="79"/>
      <c r="Y536" s="44" t="str">
        <f>VLOOKUP(M536,Table1[#All],2,FALSE)</f>
        <v>Action</v>
      </c>
      <c r="Z536" s="59" t="str">
        <f>VLOOKUP(M536,Table1[#All],9,FALSE)</f>
        <v>Additional Notes:</v>
      </c>
      <c r="AA536" s="76"/>
      <c r="AB536" s="76"/>
      <c r="AC536" s="90" t="s">
        <v>91</v>
      </c>
      <c r="AD536" s="76" t="s">
        <v>91</v>
      </c>
      <c r="AE536" s="77"/>
      <c r="AF536" s="77"/>
      <c r="AG536" s="41" t="s">
        <v>91</v>
      </c>
    </row>
    <row r="537" spans="1:33" ht="21" hidden="1" x14ac:dyDescent="0.55000000000000004">
      <c r="A537" s="44" t="str">
        <f>Data!K536</f>
        <v>DPOW-CCHP</v>
      </c>
      <c r="B537" s="44" t="str">
        <f>Data!L536</f>
        <v>4143899880</v>
      </c>
      <c r="C537" s="44" t="str">
        <f>Data!D536</f>
        <v xml:space="preserve">Peyton, Skylar </v>
      </c>
      <c r="D537" s="82" t="str">
        <f>Data!F536</f>
        <v>7444137277</v>
      </c>
      <c r="E537" s="82" t="str">
        <f>Data!B536</f>
        <v>7896</v>
      </c>
      <c r="F537" s="44" t="str">
        <f>Data!A536</f>
        <v xml:space="preserve">Peyton, Skylar </v>
      </c>
      <c r="G537" s="55" t="str">
        <f>Data!C536</f>
        <v>11/12/2011</v>
      </c>
      <c r="H537" s="56">
        <f>Data!H536</f>
        <v>44448</v>
      </c>
      <c r="I537" s="56" t="str">
        <f>Data!I536</f>
        <v>10/15/2021</v>
      </c>
      <c r="J537" s="57">
        <f>Data!J536</f>
        <v>256.39999999999998</v>
      </c>
      <c r="K537" s="58">
        <f t="shared" ca="1" si="9"/>
        <v>216</v>
      </c>
      <c r="L537" s="58">
        <f>Data!M536</f>
        <v>0</v>
      </c>
      <c r="M537" s="37" t="s">
        <v>26</v>
      </c>
      <c r="N537" s="43" t="str">
        <f>VLOOKUP(M537,Table1[#All],3,FALSE)</f>
        <v>Note</v>
      </c>
      <c r="O537" s="40" t="str">
        <f>VLOOKUP(M537,Table1[#All],4,FALSE)</f>
        <v>Q1</v>
      </c>
      <c r="P537" s="39"/>
      <c r="Q537" s="40" t="str">
        <f>VLOOKUP(M537,Table1[#All],5,FALSE)</f>
        <v>Q2</v>
      </c>
      <c r="R537" s="79"/>
      <c r="S537" s="40" t="str">
        <f>VLOOKUP(M537,Table1[#All],6,FALSE)</f>
        <v>Q3</v>
      </c>
      <c r="T537" s="79"/>
      <c r="U537" s="40" t="str">
        <f>VLOOKUP(M537,Table1[#All],7,FALSE)</f>
        <v>Q4</v>
      </c>
      <c r="V537" s="79"/>
      <c r="W537" s="40" t="str">
        <f>VLOOKUP(M537,Table1[#All],8,FALSE)</f>
        <v>Q5</v>
      </c>
      <c r="X537" s="79"/>
      <c r="Y537" s="44" t="str">
        <f>VLOOKUP(M537,Table1[#All],2,FALSE)</f>
        <v>Action</v>
      </c>
      <c r="Z537" s="59" t="str">
        <f>VLOOKUP(M537,Table1[#All],9,FALSE)</f>
        <v>Additional Notes:</v>
      </c>
      <c r="AA537" s="76"/>
      <c r="AB537" s="76"/>
      <c r="AC537" s="90" t="s">
        <v>91</v>
      </c>
      <c r="AD537" s="76" t="s">
        <v>91</v>
      </c>
      <c r="AE537" s="77"/>
      <c r="AF537" s="77"/>
      <c r="AG537" s="41" t="s">
        <v>91</v>
      </c>
    </row>
    <row r="538" spans="1:33" ht="21" hidden="1" x14ac:dyDescent="0.55000000000000004">
      <c r="A538" s="44" t="str">
        <f>Data!K537</f>
        <v>DPOW-CCHP</v>
      </c>
      <c r="B538" s="44" t="str">
        <f>Data!L537</f>
        <v>4143899880</v>
      </c>
      <c r="C538" s="44" t="str">
        <f>Data!D537</f>
        <v>Vanegas, Arely</v>
      </c>
      <c r="D538" s="82" t="str">
        <f>Data!F537</f>
        <v>9447901191</v>
      </c>
      <c r="E538" s="82" t="str">
        <f>Data!B537</f>
        <v>36</v>
      </c>
      <c r="F538" s="44" t="str">
        <f>Data!A537</f>
        <v>Vanegas, Arely</v>
      </c>
      <c r="G538" s="55" t="str">
        <f>Data!C537</f>
        <v>12/14/2014</v>
      </c>
      <c r="H538" s="56">
        <f>Data!H537</f>
        <v>44448</v>
      </c>
      <c r="I538" s="56" t="str">
        <f>Data!I537</f>
        <v>10/21/2021</v>
      </c>
      <c r="J538" s="57">
        <f>Data!J537</f>
        <v>662.4</v>
      </c>
      <c r="K538" s="58">
        <f t="shared" ca="1" si="9"/>
        <v>210</v>
      </c>
      <c r="L538" s="58">
        <f>Data!M537</f>
        <v>0</v>
      </c>
      <c r="M538" s="37" t="s">
        <v>26</v>
      </c>
      <c r="N538" s="43" t="str">
        <f>VLOOKUP(M538,Table1[#All],3,FALSE)</f>
        <v>Note</v>
      </c>
      <c r="O538" s="40" t="str">
        <f>VLOOKUP(M538,Table1[#All],4,FALSE)</f>
        <v>Q1</v>
      </c>
      <c r="P538" s="39"/>
      <c r="Q538" s="40" t="str">
        <f>VLOOKUP(M538,Table1[#All],5,FALSE)</f>
        <v>Q2</v>
      </c>
      <c r="R538" s="79"/>
      <c r="S538" s="40" t="str">
        <f>VLOOKUP(M538,Table1[#All],6,FALSE)</f>
        <v>Q3</v>
      </c>
      <c r="T538" s="79"/>
      <c r="U538" s="40" t="str">
        <f>VLOOKUP(M538,Table1[#All],7,FALSE)</f>
        <v>Q4</v>
      </c>
      <c r="V538" s="79"/>
      <c r="W538" s="40" t="str">
        <f>VLOOKUP(M538,Table1[#All],8,FALSE)</f>
        <v>Q5</v>
      </c>
      <c r="X538" s="79"/>
      <c r="Y538" s="44" t="str">
        <f>VLOOKUP(M538,Table1[#All],2,FALSE)</f>
        <v>Action</v>
      </c>
      <c r="Z538" s="59" t="str">
        <f>VLOOKUP(M538,Table1[#All],9,FALSE)</f>
        <v>Additional Notes:</v>
      </c>
      <c r="AA538" s="76"/>
      <c r="AB538" s="76"/>
      <c r="AC538" s="90" t="s">
        <v>91</v>
      </c>
      <c r="AD538" s="76" t="s">
        <v>91</v>
      </c>
      <c r="AE538" s="77"/>
      <c r="AF538" s="77"/>
      <c r="AG538" s="41" t="s">
        <v>91</v>
      </c>
    </row>
    <row r="539" spans="1:33" ht="21" hidden="1" x14ac:dyDescent="0.55000000000000004">
      <c r="A539" s="44" t="str">
        <f>Data!K538</f>
        <v>DPOW-CCHP</v>
      </c>
      <c r="B539" s="44" t="str">
        <f>Data!L538</f>
        <v>4143899880</v>
      </c>
      <c r="C539" s="44" t="str">
        <f>Data!D538</f>
        <v>Garcia, Alejandra</v>
      </c>
      <c r="D539" s="82" t="str">
        <f>Data!F538</f>
        <v>3430236134</v>
      </c>
      <c r="E539" s="82" t="str">
        <f>Data!B538</f>
        <v>7765</v>
      </c>
      <c r="F539" s="44" t="str">
        <f>Data!A538</f>
        <v>Garcia, Alejandra</v>
      </c>
      <c r="G539" s="55" t="str">
        <f>Data!C538</f>
        <v>3/22/2008</v>
      </c>
      <c r="H539" s="56">
        <f>Data!H538</f>
        <v>44487</v>
      </c>
      <c r="I539" s="56" t="str">
        <f>Data!I538</f>
        <v>10/21/2021</v>
      </c>
      <c r="J539" s="57">
        <f>Data!J538</f>
        <v>159.6</v>
      </c>
      <c r="K539" s="58">
        <f t="shared" ca="1" si="9"/>
        <v>210</v>
      </c>
      <c r="L539" s="58">
        <f>Data!M538</f>
        <v>0</v>
      </c>
      <c r="M539" s="37" t="s">
        <v>26</v>
      </c>
      <c r="N539" s="43" t="str">
        <f>VLOOKUP(M539,Table1[#All],3,FALSE)</f>
        <v>Note</v>
      </c>
      <c r="O539" s="40" t="str">
        <f>VLOOKUP(M539,Table1[#All],4,FALSE)</f>
        <v>Q1</v>
      </c>
      <c r="P539" s="39"/>
      <c r="Q539" s="40" t="str">
        <f>VLOOKUP(M539,Table1[#All],5,FALSE)</f>
        <v>Q2</v>
      </c>
      <c r="R539" s="79"/>
      <c r="S539" s="40" t="str">
        <f>VLOOKUP(M539,Table1[#All],6,FALSE)</f>
        <v>Q3</v>
      </c>
      <c r="T539" s="79"/>
      <c r="U539" s="40" t="str">
        <f>VLOOKUP(M539,Table1[#All],7,FALSE)</f>
        <v>Q4</v>
      </c>
      <c r="V539" s="79"/>
      <c r="W539" s="40" t="str">
        <f>VLOOKUP(M539,Table1[#All],8,FALSE)</f>
        <v>Q5</v>
      </c>
      <c r="X539" s="79"/>
      <c r="Y539" s="44" t="str">
        <f>VLOOKUP(M539,Table1[#All],2,FALSE)</f>
        <v>Action</v>
      </c>
      <c r="Z539" s="59" t="str">
        <f>VLOOKUP(M539,Table1[#All],9,FALSE)</f>
        <v>Additional Notes:</v>
      </c>
      <c r="AA539" s="76"/>
      <c r="AB539" s="76"/>
      <c r="AC539" s="90" t="s">
        <v>91</v>
      </c>
      <c r="AD539" s="76" t="s">
        <v>91</v>
      </c>
      <c r="AE539" s="77"/>
      <c r="AF539" s="77"/>
      <c r="AG539" s="41" t="s">
        <v>91</v>
      </c>
    </row>
    <row r="540" spans="1:33" ht="21" hidden="1" x14ac:dyDescent="0.55000000000000004">
      <c r="A540" s="44" t="str">
        <f>Data!K539</f>
        <v>DPOW-CCHP</v>
      </c>
      <c r="B540" s="44" t="str">
        <f>Data!L539</f>
        <v>4143899880</v>
      </c>
      <c r="C540" s="44" t="str">
        <f>Data!D539</f>
        <v>Bentley, Jessica</v>
      </c>
      <c r="D540" s="82" t="str">
        <f>Data!F539</f>
        <v>3407065931</v>
      </c>
      <c r="E540" s="82" t="str">
        <f>Data!B539</f>
        <v>1434</v>
      </c>
      <c r="F540" s="44" t="str">
        <f>Data!A539</f>
        <v>Bentley, Jessica</v>
      </c>
      <c r="G540" s="55" t="str">
        <f>Data!C539</f>
        <v>10/9/1986</v>
      </c>
      <c r="H540" s="56">
        <f>Data!H539</f>
        <v>44487</v>
      </c>
      <c r="I540" s="56" t="str">
        <f>Data!I539</f>
        <v>10/21/2021</v>
      </c>
      <c r="J540" s="57">
        <f>Data!J539</f>
        <v>1670.4</v>
      </c>
      <c r="K540" s="58">
        <f t="shared" ca="1" si="9"/>
        <v>210</v>
      </c>
      <c r="L540" s="58">
        <f>Data!M539</f>
        <v>0</v>
      </c>
      <c r="M540" s="37" t="s">
        <v>26</v>
      </c>
      <c r="N540" s="43" t="str">
        <f>VLOOKUP(M540,Table1[#All],3,FALSE)</f>
        <v>Note</v>
      </c>
      <c r="O540" s="40" t="str">
        <f>VLOOKUP(M540,Table1[#All],4,FALSE)</f>
        <v>Q1</v>
      </c>
      <c r="P540" s="39"/>
      <c r="Q540" s="40" t="str">
        <f>VLOOKUP(M540,Table1[#All],5,FALSE)</f>
        <v>Q2</v>
      </c>
      <c r="R540" s="79"/>
      <c r="S540" s="40" t="str">
        <f>VLOOKUP(M540,Table1[#All],6,FALSE)</f>
        <v>Q3</v>
      </c>
      <c r="T540" s="79"/>
      <c r="U540" s="40" t="str">
        <f>VLOOKUP(M540,Table1[#All],7,FALSE)</f>
        <v>Q4</v>
      </c>
      <c r="V540" s="79"/>
      <c r="W540" s="40" t="str">
        <f>VLOOKUP(M540,Table1[#All],8,FALSE)</f>
        <v>Q5</v>
      </c>
      <c r="X540" s="79"/>
      <c r="Y540" s="44" t="str">
        <f>VLOOKUP(M540,Table1[#All],2,FALSE)</f>
        <v>Action</v>
      </c>
      <c r="Z540" s="59" t="str">
        <f>VLOOKUP(M540,Table1[#All],9,FALSE)</f>
        <v>Additional Notes:</v>
      </c>
      <c r="AA540" s="76"/>
      <c r="AB540" s="76"/>
      <c r="AC540" s="90" t="s">
        <v>91</v>
      </c>
      <c r="AD540" s="76" t="s">
        <v>91</v>
      </c>
      <c r="AE540" s="77"/>
      <c r="AF540" s="77"/>
      <c r="AG540" s="41" t="s">
        <v>91</v>
      </c>
    </row>
    <row r="541" spans="1:33" ht="21" hidden="1" x14ac:dyDescent="0.55000000000000004">
      <c r="A541" s="44" t="str">
        <f>Data!K540</f>
        <v>DPOW-CCHP</v>
      </c>
      <c r="B541" s="44" t="str">
        <f>Data!L540</f>
        <v>4143899880</v>
      </c>
      <c r="C541" s="44" t="str">
        <f>Data!D540</f>
        <v>Fudeh , Saleh</v>
      </c>
      <c r="D541" s="82" t="str">
        <f>Data!F540</f>
        <v>8442265783</v>
      </c>
      <c r="E541" s="82" t="str">
        <f>Data!B540</f>
        <v>8027</v>
      </c>
      <c r="F541" s="44" t="str">
        <f>Data!A540</f>
        <v>Fudeh , Saleh</v>
      </c>
      <c r="G541" s="55" t="str">
        <f>Data!C540</f>
        <v>5/29/2012</v>
      </c>
      <c r="H541" s="56">
        <f>Data!H540</f>
        <v>44487</v>
      </c>
      <c r="I541" s="56" t="str">
        <f>Data!I540</f>
        <v>10/21/2021</v>
      </c>
      <c r="J541" s="57">
        <f>Data!J540</f>
        <v>782.8</v>
      </c>
      <c r="K541" s="58">
        <f t="shared" ca="1" si="9"/>
        <v>210</v>
      </c>
      <c r="L541" s="58">
        <f>Data!M540</f>
        <v>0</v>
      </c>
      <c r="M541" s="37" t="s">
        <v>26</v>
      </c>
      <c r="N541" s="43" t="str">
        <f>VLOOKUP(M541,Table1[#All],3,FALSE)</f>
        <v>Note</v>
      </c>
      <c r="O541" s="40" t="str">
        <f>VLOOKUP(M541,Table1[#All],4,FALSE)</f>
        <v>Q1</v>
      </c>
      <c r="P541" s="39"/>
      <c r="Q541" s="40" t="str">
        <f>VLOOKUP(M541,Table1[#All],5,FALSE)</f>
        <v>Q2</v>
      </c>
      <c r="R541" s="79"/>
      <c r="S541" s="40" t="str">
        <f>VLOOKUP(M541,Table1[#All],6,FALSE)</f>
        <v>Q3</v>
      </c>
      <c r="T541" s="79"/>
      <c r="U541" s="40" t="str">
        <f>VLOOKUP(M541,Table1[#All],7,FALSE)</f>
        <v>Q4</v>
      </c>
      <c r="V541" s="79"/>
      <c r="W541" s="40" t="str">
        <f>VLOOKUP(M541,Table1[#All],8,FALSE)</f>
        <v>Q5</v>
      </c>
      <c r="X541" s="79"/>
      <c r="Y541" s="44" t="str">
        <f>VLOOKUP(M541,Table1[#All],2,FALSE)</f>
        <v>Action</v>
      </c>
      <c r="Z541" s="59" t="str">
        <f>VLOOKUP(M541,Table1[#All],9,FALSE)</f>
        <v>Additional Notes:</v>
      </c>
      <c r="AA541" s="76"/>
      <c r="AB541" s="76"/>
      <c r="AC541" s="90" t="s">
        <v>91</v>
      </c>
      <c r="AD541" s="76" t="s">
        <v>91</v>
      </c>
      <c r="AE541" s="77"/>
      <c r="AF541" s="77"/>
      <c r="AG541" s="41" t="s">
        <v>91</v>
      </c>
    </row>
    <row r="542" spans="1:33" ht="21" hidden="1" x14ac:dyDescent="0.55000000000000004">
      <c r="A542" s="44" t="str">
        <f>Data!K541</f>
        <v>DPOW-CCHP</v>
      </c>
      <c r="B542" s="44" t="str">
        <f>Data!L541</f>
        <v>4143899880</v>
      </c>
      <c r="C542" s="44" t="str">
        <f>Data!D541</f>
        <v xml:space="preserve">Santiago Cervan, Alondra </v>
      </c>
      <c r="D542" s="82" t="str">
        <f>Data!F541</f>
        <v>4440130640</v>
      </c>
      <c r="E542" s="82" t="str">
        <f>Data!B541</f>
        <v>8227</v>
      </c>
      <c r="F542" s="44" t="str">
        <f>Data!A541</f>
        <v xml:space="preserve">Santiago Cervan, Alondra </v>
      </c>
      <c r="G542" s="55" t="str">
        <f>Data!C541</f>
        <v>3/3/2011</v>
      </c>
      <c r="H542" s="56">
        <f>Data!H541</f>
        <v>44484</v>
      </c>
      <c r="I542" s="56" t="str">
        <f>Data!I541</f>
        <v>10/21/2021</v>
      </c>
      <c r="J542" s="57">
        <f>Data!J541</f>
        <v>850</v>
      </c>
      <c r="K542" s="58">
        <f t="shared" ca="1" si="9"/>
        <v>210</v>
      </c>
      <c r="L542" s="58">
        <f>Data!M541</f>
        <v>0</v>
      </c>
      <c r="M542" s="37" t="s">
        <v>26</v>
      </c>
      <c r="N542" s="43" t="str">
        <f>VLOOKUP(M542,Table1[#All],3,FALSE)</f>
        <v>Note</v>
      </c>
      <c r="O542" s="40" t="str">
        <f>VLOOKUP(M542,Table1[#All],4,FALSE)</f>
        <v>Q1</v>
      </c>
      <c r="P542" s="39"/>
      <c r="Q542" s="40" t="str">
        <f>VLOOKUP(M542,Table1[#All],5,FALSE)</f>
        <v>Q2</v>
      </c>
      <c r="R542" s="79"/>
      <c r="S542" s="40" t="str">
        <f>VLOOKUP(M542,Table1[#All],6,FALSE)</f>
        <v>Q3</v>
      </c>
      <c r="T542" s="79"/>
      <c r="U542" s="40" t="str">
        <f>VLOOKUP(M542,Table1[#All],7,FALSE)</f>
        <v>Q4</v>
      </c>
      <c r="V542" s="79"/>
      <c r="W542" s="40" t="str">
        <f>VLOOKUP(M542,Table1[#All],8,FALSE)</f>
        <v>Q5</v>
      </c>
      <c r="X542" s="79"/>
      <c r="Y542" s="44" t="str">
        <f>VLOOKUP(M542,Table1[#All],2,FALSE)</f>
        <v>Action</v>
      </c>
      <c r="Z542" s="59" t="str">
        <f>VLOOKUP(M542,Table1[#All],9,FALSE)</f>
        <v>Additional Notes:</v>
      </c>
      <c r="AA542" s="76"/>
      <c r="AB542" s="76"/>
      <c r="AC542" s="90" t="s">
        <v>91</v>
      </c>
      <c r="AD542" s="76" t="s">
        <v>91</v>
      </c>
      <c r="AE542" s="77"/>
      <c r="AF542" s="77"/>
      <c r="AG542" s="41" t="s">
        <v>91</v>
      </c>
    </row>
    <row r="543" spans="1:33" ht="21" hidden="1" x14ac:dyDescent="0.55000000000000004">
      <c r="A543" s="44" t="str">
        <f>Data!K542</f>
        <v>DPOW-CCHP</v>
      </c>
      <c r="B543" s="44" t="str">
        <f>Data!L542</f>
        <v>4143899880</v>
      </c>
      <c r="C543" s="44" t="str">
        <f>Data!D542</f>
        <v>Zwickey, Sara</v>
      </c>
      <c r="D543" s="82" t="str">
        <f>Data!F542</f>
        <v>3407301138</v>
      </c>
      <c r="E543" s="82" t="str">
        <f>Data!B542</f>
        <v>124</v>
      </c>
      <c r="F543" s="44" t="str">
        <f>Data!A542</f>
        <v>Zwickey, Sara</v>
      </c>
      <c r="G543" s="55" t="str">
        <f>Data!C542</f>
        <v>8/29/1991</v>
      </c>
      <c r="H543" s="56">
        <f>Data!H542</f>
        <v>44484</v>
      </c>
      <c r="I543" s="56" t="str">
        <f>Data!I542</f>
        <v>10/21/2021</v>
      </c>
      <c r="J543" s="57">
        <f>Data!J542</f>
        <v>646.79999999999995</v>
      </c>
      <c r="K543" s="58">
        <f t="shared" ca="1" si="9"/>
        <v>210</v>
      </c>
      <c r="L543" s="58">
        <f>Data!M542</f>
        <v>0</v>
      </c>
      <c r="M543" s="37" t="s">
        <v>26</v>
      </c>
      <c r="N543" s="43" t="str">
        <f>VLOOKUP(M543,Table1[#All],3,FALSE)</f>
        <v>Note</v>
      </c>
      <c r="O543" s="40" t="str">
        <f>VLOOKUP(M543,Table1[#All],4,FALSE)</f>
        <v>Q1</v>
      </c>
      <c r="P543" s="39"/>
      <c r="Q543" s="40" t="str">
        <f>VLOOKUP(M543,Table1[#All],5,FALSE)</f>
        <v>Q2</v>
      </c>
      <c r="R543" s="79"/>
      <c r="S543" s="40" t="str">
        <f>VLOOKUP(M543,Table1[#All],6,FALSE)</f>
        <v>Q3</v>
      </c>
      <c r="T543" s="79"/>
      <c r="U543" s="40" t="str">
        <f>VLOOKUP(M543,Table1[#All],7,FALSE)</f>
        <v>Q4</v>
      </c>
      <c r="V543" s="79"/>
      <c r="W543" s="40" t="str">
        <f>VLOOKUP(M543,Table1[#All],8,FALSE)</f>
        <v>Q5</v>
      </c>
      <c r="X543" s="79"/>
      <c r="Y543" s="44" t="str">
        <f>VLOOKUP(M543,Table1[#All],2,FALSE)</f>
        <v>Action</v>
      </c>
      <c r="Z543" s="59" t="str">
        <f>VLOOKUP(M543,Table1[#All],9,FALSE)</f>
        <v>Additional Notes:</v>
      </c>
      <c r="AA543" s="76"/>
      <c r="AB543" s="76"/>
      <c r="AC543" s="90" t="s">
        <v>91</v>
      </c>
      <c r="AD543" s="76" t="s">
        <v>91</v>
      </c>
      <c r="AE543" s="77"/>
      <c r="AF543" s="77"/>
      <c r="AG543" s="41" t="s">
        <v>91</v>
      </c>
    </row>
    <row r="544" spans="1:33" ht="21" hidden="1" x14ac:dyDescent="0.55000000000000004">
      <c r="A544" s="44" t="str">
        <f>Data!K543</f>
        <v>DPOW-CCHP</v>
      </c>
      <c r="B544" s="44" t="str">
        <f>Data!L543</f>
        <v>4143899880</v>
      </c>
      <c r="C544" s="44" t="str">
        <f>Data!D543</f>
        <v>ALFOQAHA, KARAM</v>
      </c>
      <c r="D544" s="82" t="str">
        <f>Data!F543</f>
        <v>5448554857</v>
      </c>
      <c r="E544" s="82" t="str">
        <f>Data!B543</f>
        <v>3848</v>
      </c>
      <c r="F544" s="44" t="str">
        <f>Data!A543</f>
        <v>ALFOQAHA, KARAM</v>
      </c>
      <c r="G544" s="55" t="str">
        <f>Data!C543</f>
        <v>8/24/2015</v>
      </c>
      <c r="H544" s="56">
        <f>Data!H543</f>
        <v>44483</v>
      </c>
      <c r="I544" s="56" t="str">
        <f>Data!I543</f>
        <v>10/19/2021</v>
      </c>
      <c r="J544" s="57">
        <f>Data!J543</f>
        <v>182.8</v>
      </c>
      <c r="K544" s="58">
        <f t="shared" ca="1" si="9"/>
        <v>212</v>
      </c>
      <c r="L544" s="58">
        <f>Data!M543</f>
        <v>0</v>
      </c>
      <c r="M544" s="37" t="s">
        <v>26</v>
      </c>
      <c r="N544" s="43" t="str">
        <f>VLOOKUP(M544,Table1[#All],3,FALSE)</f>
        <v>Note</v>
      </c>
      <c r="O544" s="40" t="str">
        <f>VLOOKUP(M544,Table1[#All],4,FALSE)</f>
        <v>Q1</v>
      </c>
      <c r="P544" s="39"/>
      <c r="Q544" s="40" t="str">
        <f>VLOOKUP(M544,Table1[#All],5,FALSE)</f>
        <v>Q2</v>
      </c>
      <c r="R544" s="79"/>
      <c r="S544" s="40" t="str">
        <f>VLOOKUP(M544,Table1[#All],6,FALSE)</f>
        <v>Q3</v>
      </c>
      <c r="T544" s="79"/>
      <c r="U544" s="40" t="str">
        <f>VLOOKUP(M544,Table1[#All],7,FALSE)</f>
        <v>Q4</v>
      </c>
      <c r="V544" s="79"/>
      <c r="W544" s="40" t="str">
        <f>VLOOKUP(M544,Table1[#All],8,FALSE)</f>
        <v>Q5</v>
      </c>
      <c r="X544" s="79"/>
      <c r="Y544" s="44" t="str">
        <f>VLOOKUP(M544,Table1[#All],2,FALSE)</f>
        <v>Action</v>
      </c>
      <c r="Z544" s="59" t="str">
        <f>VLOOKUP(M544,Table1[#All],9,FALSE)</f>
        <v>Additional Notes:</v>
      </c>
      <c r="AA544" s="76"/>
      <c r="AB544" s="76"/>
      <c r="AC544" s="90" t="s">
        <v>91</v>
      </c>
      <c r="AD544" s="76" t="s">
        <v>91</v>
      </c>
      <c r="AE544" s="77"/>
      <c r="AF544" s="77"/>
      <c r="AG544" s="41" t="s">
        <v>91</v>
      </c>
    </row>
    <row r="545" spans="1:33" ht="21" hidden="1" x14ac:dyDescent="0.55000000000000004">
      <c r="A545" s="44" t="str">
        <f>Data!K544</f>
        <v>DPOW-CCHP</v>
      </c>
      <c r="B545" s="44" t="str">
        <f>Data!L544</f>
        <v>4143899880</v>
      </c>
      <c r="C545" s="44" t="str">
        <f>Data!D544</f>
        <v>Lopez, Christian</v>
      </c>
      <c r="D545" s="82" t="str">
        <f>Data!F544</f>
        <v>3400483133</v>
      </c>
      <c r="E545" s="82" t="str">
        <f>Data!B544</f>
        <v>8207</v>
      </c>
      <c r="F545" s="44" t="str">
        <f>Data!A544</f>
        <v>Lopez, Christian</v>
      </c>
      <c r="G545" s="55" t="str">
        <f>Data!C544</f>
        <v>2/20/1992</v>
      </c>
      <c r="H545" s="56">
        <f>Data!H544</f>
        <v>44483</v>
      </c>
      <c r="I545" s="56" t="str">
        <f>Data!I544</f>
        <v>10/19/2021</v>
      </c>
      <c r="J545" s="57">
        <f>Data!J544</f>
        <v>253.2</v>
      </c>
      <c r="K545" s="58">
        <f t="shared" ca="1" si="9"/>
        <v>212</v>
      </c>
      <c r="L545" s="58">
        <f>Data!M544</f>
        <v>0</v>
      </c>
      <c r="M545" s="37" t="s">
        <v>26</v>
      </c>
      <c r="N545" s="43" t="str">
        <f>VLOOKUP(M545,Table1[#All],3,FALSE)</f>
        <v>Note</v>
      </c>
      <c r="O545" s="40" t="str">
        <f>VLOOKUP(M545,Table1[#All],4,FALSE)</f>
        <v>Q1</v>
      </c>
      <c r="P545" s="39"/>
      <c r="Q545" s="40" t="str">
        <f>VLOOKUP(M545,Table1[#All],5,FALSE)</f>
        <v>Q2</v>
      </c>
      <c r="R545" s="79"/>
      <c r="S545" s="40" t="str">
        <f>VLOOKUP(M545,Table1[#All],6,FALSE)</f>
        <v>Q3</v>
      </c>
      <c r="T545" s="79"/>
      <c r="U545" s="40" t="str">
        <f>VLOOKUP(M545,Table1[#All],7,FALSE)</f>
        <v>Q4</v>
      </c>
      <c r="V545" s="79"/>
      <c r="W545" s="40" t="str">
        <f>VLOOKUP(M545,Table1[#All],8,FALSE)</f>
        <v>Q5</v>
      </c>
      <c r="X545" s="79"/>
      <c r="Y545" s="44" t="str">
        <f>VLOOKUP(M545,Table1[#All],2,FALSE)</f>
        <v>Action</v>
      </c>
      <c r="Z545" s="59" t="str">
        <f>VLOOKUP(M545,Table1[#All],9,FALSE)</f>
        <v>Additional Notes:</v>
      </c>
      <c r="AA545" s="76"/>
      <c r="AB545" s="76"/>
      <c r="AC545" s="90" t="s">
        <v>91</v>
      </c>
      <c r="AD545" s="76" t="s">
        <v>91</v>
      </c>
      <c r="AE545" s="77"/>
      <c r="AF545" s="77"/>
      <c r="AG545" s="41" t="s">
        <v>91</v>
      </c>
    </row>
    <row r="546" spans="1:33" ht="21" hidden="1" x14ac:dyDescent="0.55000000000000004">
      <c r="A546" s="44" t="str">
        <f>Data!K545</f>
        <v>DPOW-CCHP</v>
      </c>
      <c r="B546" s="44" t="str">
        <f>Data!L545</f>
        <v>4143899880</v>
      </c>
      <c r="C546" s="44" t="str">
        <f>Data!D545</f>
        <v xml:space="preserve">Hamed , Malik </v>
      </c>
      <c r="D546" s="82" t="str">
        <f>Data!F545</f>
        <v>6450352761</v>
      </c>
      <c r="E546" s="82" t="str">
        <f>Data!B545</f>
        <v>4772</v>
      </c>
      <c r="F546" s="44" t="str">
        <f>Data!A545</f>
        <v xml:space="preserve">Hamed , Malik </v>
      </c>
      <c r="G546" s="55" t="str">
        <f>Data!C545</f>
        <v>8/21/2016</v>
      </c>
      <c r="H546" s="56">
        <f>Data!H545</f>
        <v>44482</v>
      </c>
      <c r="I546" s="56" t="str">
        <f>Data!I545</f>
        <v>10/16/2021</v>
      </c>
      <c r="J546" s="57">
        <f>Data!J545</f>
        <v>227.6</v>
      </c>
      <c r="K546" s="58">
        <f t="shared" ca="1" si="9"/>
        <v>215</v>
      </c>
      <c r="L546" s="58">
        <f>Data!M545</f>
        <v>0</v>
      </c>
      <c r="M546" s="37" t="s">
        <v>26</v>
      </c>
      <c r="N546" s="43" t="str">
        <f>VLOOKUP(M546,Table1[#All],3,FALSE)</f>
        <v>Note</v>
      </c>
      <c r="O546" s="40" t="str">
        <f>VLOOKUP(M546,Table1[#All],4,FALSE)</f>
        <v>Q1</v>
      </c>
      <c r="P546" s="39"/>
      <c r="Q546" s="40" t="str">
        <f>VLOOKUP(M546,Table1[#All],5,FALSE)</f>
        <v>Q2</v>
      </c>
      <c r="R546" s="79"/>
      <c r="S546" s="40" t="str">
        <f>VLOOKUP(M546,Table1[#All],6,FALSE)</f>
        <v>Q3</v>
      </c>
      <c r="T546" s="79"/>
      <c r="U546" s="40" t="str">
        <f>VLOOKUP(M546,Table1[#All],7,FALSE)</f>
        <v>Q4</v>
      </c>
      <c r="V546" s="79"/>
      <c r="W546" s="40" t="str">
        <f>VLOOKUP(M546,Table1[#All],8,FALSE)</f>
        <v>Q5</v>
      </c>
      <c r="X546" s="79"/>
      <c r="Y546" s="44" t="str">
        <f>VLOOKUP(M546,Table1[#All],2,FALSE)</f>
        <v>Action</v>
      </c>
      <c r="Z546" s="59" t="str">
        <f>VLOOKUP(M546,Table1[#All],9,FALSE)</f>
        <v>Additional Notes:</v>
      </c>
      <c r="AA546" s="76"/>
      <c r="AB546" s="76"/>
      <c r="AC546" s="90" t="s">
        <v>91</v>
      </c>
      <c r="AD546" s="76" t="s">
        <v>91</v>
      </c>
      <c r="AE546" s="77"/>
      <c r="AF546" s="77"/>
      <c r="AG546" s="41" t="s">
        <v>91</v>
      </c>
    </row>
    <row r="547" spans="1:33" ht="21" hidden="1" x14ac:dyDescent="0.55000000000000004">
      <c r="A547" s="44" t="str">
        <f>Data!K546</f>
        <v>DPOW-CCHP</v>
      </c>
      <c r="B547" s="44" t="str">
        <f>Data!L546</f>
        <v>4143899880</v>
      </c>
      <c r="C547" s="44" t="str">
        <f>Data!D546</f>
        <v xml:space="preserve">Nyun , Aung </v>
      </c>
      <c r="D547" s="82" t="str">
        <f>Data!F546</f>
        <v>0447925709</v>
      </c>
      <c r="E547" s="82" t="str">
        <f>Data!B546</f>
        <v>8219</v>
      </c>
      <c r="F547" s="44" t="str">
        <f>Data!A546</f>
        <v xml:space="preserve">Nyun , Aung </v>
      </c>
      <c r="G547" s="55" t="str">
        <f>Data!C546</f>
        <v>8/28/1973</v>
      </c>
      <c r="H547" s="56">
        <f>Data!H546</f>
        <v>44482</v>
      </c>
      <c r="I547" s="56" t="str">
        <f>Data!I546</f>
        <v>10/16/2021</v>
      </c>
      <c r="J547" s="57">
        <f>Data!J546</f>
        <v>486</v>
      </c>
      <c r="K547" s="58">
        <f t="shared" ca="1" si="9"/>
        <v>215</v>
      </c>
      <c r="L547" s="58">
        <f>Data!M546</f>
        <v>0</v>
      </c>
      <c r="M547" s="37" t="s">
        <v>26</v>
      </c>
      <c r="N547" s="43" t="str">
        <f>VLOOKUP(M547,Table1[#All],3,FALSE)</f>
        <v>Note</v>
      </c>
      <c r="O547" s="40" t="str">
        <f>VLOOKUP(M547,Table1[#All],4,FALSE)</f>
        <v>Q1</v>
      </c>
      <c r="P547" s="39"/>
      <c r="Q547" s="40" t="str">
        <f>VLOOKUP(M547,Table1[#All],5,FALSE)</f>
        <v>Q2</v>
      </c>
      <c r="R547" s="79"/>
      <c r="S547" s="40" t="str">
        <f>VLOOKUP(M547,Table1[#All],6,FALSE)</f>
        <v>Q3</v>
      </c>
      <c r="T547" s="79"/>
      <c r="U547" s="40" t="str">
        <f>VLOOKUP(M547,Table1[#All],7,FALSE)</f>
        <v>Q4</v>
      </c>
      <c r="V547" s="79"/>
      <c r="W547" s="40" t="str">
        <f>VLOOKUP(M547,Table1[#All],8,FALSE)</f>
        <v>Q5</v>
      </c>
      <c r="X547" s="79"/>
      <c r="Y547" s="44" t="str">
        <f>VLOOKUP(M547,Table1[#All],2,FALSE)</f>
        <v>Action</v>
      </c>
      <c r="Z547" s="59" t="str">
        <f>VLOOKUP(M547,Table1[#All],9,FALSE)</f>
        <v>Additional Notes:</v>
      </c>
      <c r="AA547" s="76"/>
      <c r="AB547" s="76"/>
      <c r="AC547" s="90" t="s">
        <v>91</v>
      </c>
      <c r="AD547" s="76" t="s">
        <v>91</v>
      </c>
      <c r="AE547" s="77"/>
      <c r="AF547" s="77"/>
      <c r="AG547" s="41" t="s">
        <v>91</v>
      </c>
    </row>
    <row r="548" spans="1:33" ht="21" hidden="1" x14ac:dyDescent="0.55000000000000004">
      <c r="A548" s="44" t="str">
        <f>Data!K547</f>
        <v>DPOW-CCHP</v>
      </c>
      <c r="B548" s="44" t="str">
        <f>Data!L547</f>
        <v>4143899880</v>
      </c>
      <c r="C548" s="44" t="str">
        <f>Data!D547</f>
        <v>Kindred, Latesha</v>
      </c>
      <c r="D548" s="82" t="str">
        <f>Data!F547</f>
        <v>0445207205</v>
      </c>
      <c r="E548" s="82" t="str">
        <f>Data!B547</f>
        <v>8039</v>
      </c>
      <c r="F548" s="44" t="str">
        <f>Data!A547</f>
        <v>Kindred, Latesha</v>
      </c>
      <c r="G548" s="55" t="str">
        <f>Data!C547</f>
        <v>2/8/1988</v>
      </c>
      <c r="H548" s="56">
        <f>Data!H547</f>
        <v>44482</v>
      </c>
      <c r="I548" s="56" t="str">
        <f>Data!I547</f>
        <v>10/16/2021</v>
      </c>
      <c r="J548" s="57">
        <f>Data!J547</f>
        <v>506.4</v>
      </c>
      <c r="K548" s="58">
        <f t="shared" ca="1" si="9"/>
        <v>215</v>
      </c>
      <c r="L548" s="58">
        <f>Data!M547</f>
        <v>0</v>
      </c>
      <c r="M548" s="37" t="s">
        <v>26</v>
      </c>
      <c r="N548" s="43" t="str">
        <f>VLOOKUP(M548,Table1[#All],3,FALSE)</f>
        <v>Note</v>
      </c>
      <c r="O548" s="40" t="str">
        <f>VLOOKUP(M548,Table1[#All],4,FALSE)</f>
        <v>Q1</v>
      </c>
      <c r="P548" s="39"/>
      <c r="Q548" s="40" t="str">
        <f>VLOOKUP(M548,Table1[#All],5,FALSE)</f>
        <v>Q2</v>
      </c>
      <c r="R548" s="79"/>
      <c r="S548" s="40" t="str">
        <f>VLOOKUP(M548,Table1[#All],6,FALSE)</f>
        <v>Q3</v>
      </c>
      <c r="T548" s="79"/>
      <c r="U548" s="40" t="str">
        <f>VLOOKUP(M548,Table1[#All],7,FALSE)</f>
        <v>Q4</v>
      </c>
      <c r="V548" s="79"/>
      <c r="W548" s="40" t="str">
        <f>VLOOKUP(M548,Table1[#All],8,FALSE)</f>
        <v>Q5</v>
      </c>
      <c r="X548" s="79"/>
      <c r="Y548" s="44" t="str">
        <f>VLOOKUP(M548,Table1[#All],2,FALSE)</f>
        <v>Action</v>
      </c>
      <c r="Z548" s="59" t="str">
        <f>VLOOKUP(M548,Table1[#All],9,FALSE)</f>
        <v>Additional Notes:</v>
      </c>
      <c r="AA548" s="76"/>
      <c r="AB548" s="76"/>
      <c r="AC548" s="90" t="s">
        <v>91</v>
      </c>
      <c r="AD548" s="76" t="s">
        <v>91</v>
      </c>
      <c r="AE548" s="77"/>
      <c r="AF548" s="77"/>
      <c r="AG548" s="41" t="s">
        <v>91</v>
      </c>
    </row>
    <row r="549" spans="1:33" ht="21" hidden="1" x14ac:dyDescent="0.55000000000000004">
      <c r="A549" s="44" t="str">
        <f>Data!K548</f>
        <v>DPOW-CCHP</v>
      </c>
      <c r="B549" s="44" t="str">
        <f>Data!L548</f>
        <v>4143899880</v>
      </c>
      <c r="C549" s="44" t="str">
        <f>Data!D548</f>
        <v>Hamed, Salma</v>
      </c>
      <c r="D549" s="82" t="str">
        <f>Data!F548</f>
        <v>8444639982</v>
      </c>
      <c r="E549" s="82" t="str">
        <f>Data!B548</f>
        <v>1093</v>
      </c>
      <c r="F549" s="44" t="str">
        <f>Data!A548</f>
        <v>Hamed, Salma</v>
      </c>
      <c r="G549" s="55" t="str">
        <f>Data!C548</f>
        <v>9/12/2013</v>
      </c>
      <c r="H549" s="56">
        <f>Data!H548</f>
        <v>44482</v>
      </c>
      <c r="I549" s="56" t="str">
        <f>Data!I548</f>
        <v>10/16/2021</v>
      </c>
      <c r="J549" s="57">
        <f>Data!J548</f>
        <v>227.6</v>
      </c>
      <c r="K549" s="58">
        <f t="shared" ca="1" si="9"/>
        <v>215</v>
      </c>
      <c r="L549" s="58">
        <f>Data!M548</f>
        <v>0</v>
      </c>
      <c r="M549" s="37" t="s">
        <v>26</v>
      </c>
      <c r="N549" s="43" t="str">
        <f>VLOOKUP(M549,Table1[#All],3,FALSE)</f>
        <v>Note</v>
      </c>
      <c r="O549" s="40" t="str">
        <f>VLOOKUP(M549,Table1[#All],4,FALSE)</f>
        <v>Q1</v>
      </c>
      <c r="P549" s="39"/>
      <c r="Q549" s="40" t="str">
        <f>VLOOKUP(M549,Table1[#All],5,FALSE)</f>
        <v>Q2</v>
      </c>
      <c r="R549" s="79"/>
      <c r="S549" s="40" t="str">
        <f>VLOOKUP(M549,Table1[#All],6,FALSE)</f>
        <v>Q3</v>
      </c>
      <c r="T549" s="79"/>
      <c r="U549" s="40" t="str">
        <f>VLOOKUP(M549,Table1[#All],7,FALSE)</f>
        <v>Q4</v>
      </c>
      <c r="V549" s="79"/>
      <c r="W549" s="40" t="str">
        <f>VLOOKUP(M549,Table1[#All],8,FALSE)</f>
        <v>Q5</v>
      </c>
      <c r="X549" s="79"/>
      <c r="Y549" s="44" t="str">
        <f>VLOOKUP(M549,Table1[#All],2,FALSE)</f>
        <v>Action</v>
      </c>
      <c r="Z549" s="59" t="str">
        <f>VLOOKUP(M549,Table1[#All],9,FALSE)</f>
        <v>Additional Notes:</v>
      </c>
      <c r="AA549" s="76"/>
      <c r="AB549" s="76"/>
      <c r="AC549" s="90" t="s">
        <v>91</v>
      </c>
      <c r="AD549" s="76" t="s">
        <v>91</v>
      </c>
      <c r="AE549" s="77"/>
      <c r="AF549" s="77"/>
      <c r="AG549" s="41" t="s">
        <v>91</v>
      </c>
    </row>
    <row r="550" spans="1:33" ht="21" hidden="1" x14ac:dyDescent="0.55000000000000004">
      <c r="A550" s="44" t="str">
        <f>Data!K549</f>
        <v>DPOW-CCHP</v>
      </c>
      <c r="B550" s="44" t="str">
        <f>Data!L549</f>
        <v>4143899880</v>
      </c>
      <c r="C550" s="44" t="str">
        <f>Data!D549</f>
        <v xml:space="preserve">Villa, Jaquelin </v>
      </c>
      <c r="D550" s="82" t="str">
        <f>Data!F549</f>
        <v>9418631296</v>
      </c>
      <c r="E550" s="82" t="str">
        <f>Data!B549</f>
        <v>8214</v>
      </c>
      <c r="F550" s="44" t="str">
        <f>Data!A549</f>
        <v xml:space="preserve">Villa, Jaquelin </v>
      </c>
      <c r="G550" s="55" t="str">
        <f>Data!C549</f>
        <v>10/17/2004</v>
      </c>
      <c r="H550" s="56">
        <f>Data!H549</f>
        <v>44482</v>
      </c>
      <c r="I550" s="56" t="str">
        <f>Data!I549</f>
        <v>10/16/2021</v>
      </c>
      <c r="J550" s="57">
        <f>Data!J549</f>
        <v>332.4</v>
      </c>
      <c r="K550" s="58">
        <f t="shared" ca="1" si="9"/>
        <v>215</v>
      </c>
      <c r="L550" s="58">
        <f>Data!M549</f>
        <v>0</v>
      </c>
      <c r="M550" s="37" t="s">
        <v>26</v>
      </c>
      <c r="N550" s="43" t="str">
        <f>VLOOKUP(M550,Table1[#All],3,FALSE)</f>
        <v>Note</v>
      </c>
      <c r="O550" s="40" t="str">
        <f>VLOOKUP(M550,Table1[#All],4,FALSE)</f>
        <v>Q1</v>
      </c>
      <c r="P550" s="39"/>
      <c r="Q550" s="40" t="str">
        <f>VLOOKUP(M550,Table1[#All],5,FALSE)</f>
        <v>Q2</v>
      </c>
      <c r="R550" s="79"/>
      <c r="S550" s="40" t="str">
        <f>VLOOKUP(M550,Table1[#All],6,FALSE)</f>
        <v>Q3</v>
      </c>
      <c r="T550" s="79"/>
      <c r="U550" s="40" t="str">
        <f>VLOOKUP(M550,Table1[#All],7,FALSE)</f>
        <v>Q4</v>
      </c>
      <c r="V550" s="79"/>
      <c r="W550" s="40" t="str">
        <f>VLOOKUP(M550,Table1[#All],8,FALSE)</f>
        <v>Q5</v>
      </c>
      <c r="X550" s="79"/>
      <c r="Y550" s="44" t="str">
        <f>VLOOKUP(M550,Table1[#All],2,FALSE)</f>
        <v>Action</v>
      </c>
      <c r="Z550" s="59" t="str">
        <f>VLOOKUP(M550,Table1[#All],9,FALSE)</f>
        <v>Additional Notes:</v>
      </c>
      <c r="AA550" s="76"/>
      <c r="AB550" s="76"/>
      <c r="AC550" s="90" t="s">
        <v>91</v>
      </c>
      <c r="AD550" s="76" t="s">
        <v>91</v>
      </c>
      <c r="AE550" s="77"/>
      <c r="AF550" s="77"/>
      <c r="AG550" s="41" t="s">
        <v>91</v>
      </c>
    </row>
    <row r="551" spans="1:33" ht="21" hidden="1" x14ac:dyDescent="0.55000000000000004">
      <c r="A551" s="44" t="str">
        <f>Data!K550</f>
        <v>DPOW-CCHP</v>
      </c>
      <c r="B551" s="44" t="str">
        <f>Data!L550</f>
        <v>4143899880</v>
      </c>
      <c r="C551" s="44" t="str">
        <f>Data!D550</f>
        <v>Murphy, Carter</v>
      </c>
      <c r="D551" s="82" t="str">
        <f>Data!F550</f>
        <v>8436215087</v>
      </c>
      <c r="E551" s="82" t="str">
        <f>Data!B550</f>
        <v>2358</v>
      </c>
      <c r="F551" s="44" t="str">
        <f>Data!A550</f>
        <v>Murphy, Carter</v>
      </c>
      <c r="G551" s="55" t="str">
        <f>Data!C550</f>
        <v>5/23/2009</v>
      </c>
      <c r="H551" s="56">
        <f>Data!H550</f>
        <v>44452</v>
      </c>
      <c r="I551" s="56" t="str">
        <f>Data!I550</f>
        <v>3/21/2022</v>
      </c>
      <c r="J551" s="57">
        <f>Data!J550</f>
        <v>244.4</v>
      </c>
      <c r="K551" s="58">
        <f t="shared" ca="1" si="9"/>
        <v>59</v>
      </c>
      <c r="L551" s="58">
        <f>Data!M550</f>
        <v>0</v>
      </c>
      <c r="M551" s="37" t="s">
        <v>26</v>
      </c>
      <c r="N551" s="43" t="str">
        <f>VLOOKUP(M551,Table1[#All],3,FALSE)</f>
        <v>Note</v>
      </c>
      <c r="O551" s="40" t="str">
        <f>VLOOKUP(M551,Table1[#All],4,FALSE)</f>
        <v>Q1</v>
      </c>
      <c r="P551" s="39"/>
      <c r="Q551" s="40" t="str">
        <f>VLOOKUP(M551,Table1[#All],5,FALSE)</f>
        <v>Q2</v>
      </c>
      <c r="R551" s="79"/>
      <c r="S551" s="40" t="str">
        <f>VLOOKUP(M551,Table1[#All],6,FALSE)</f>
        <v>Q3</v>
      </c>
      <c r="T551" s="79"/>
      <c r="U551" s="40" t="str">
        <f>VLOOKUP(M551,Table1[#All],7,FALSE)</f>
        <v>Q4</v>
      </c>
      <c r="V551" s="79"/>
      <c r="W551" s="40" t="str">
        <f>VLOOKUP(M551,Table1[#All],8,FALSE)</f>
        <v>Q5</v>
      </c>
      <c r="X551" s="79"/>
      <c r="Y551" s="44" t="str">
        <f>VLOOKUP(M551,Table1[#All],2,FALSE)</f>
        <v>Action</v>
      </c>
      <c r="Z551" s="59" t="str">
        <f>VLOOKUP(M551,Table1[#All],9,FALSE)</f>
        <v>Additional Notes:</v>
      </c>
      <c r="AA551" s="76"/>
      <c r="AB551" s="76"/>
      <c r="AC551" s="90" t="s">
        <v>91</v>
      </c>
      <c r="AD551" s="76" t="s">
        <v>91</v>
      </c>
      <c r="AE551" s="77"/>
      <c r="AF551" s="77"/>
      <c r="AG551" s="41" t="s">
        <v>91</v>
      </c>
    </row>
    <row r="552" spans="1:33" ht="21" hidden="1" x14ac:dyDescent="0.55000000000000004">
      <c r="A552" s="44" t="str">
        <f>Data!K551</f>
        <v>DPOW-CCHP</v>
      </c>
      <c r="B552" s="44" t="str">
        <f>Data!L551</f>
        <v>4143899880</v>
      </c>
      <c r="C552" s="44" t="str">
        <f>Data!D551</f>
        <v>Lopez, Christian</v>
      </c>
      <c r="D552" s="82" t="str">
        <f>Data!F551</f>
        <v>3400483133</v>
      </c>
      <c r="E552" s="82" t="str">
        <f>Data!B551</f>
        <v>8207</v>
      </c>
      <c r="F552" s="44" t="str">
        <f>Data!A551</f>
        <v>Lopez, Christian</v>
      </c>
      <c r="G552" s="55" t="str">
        <f>Data!C551</f>
        <v>2/20/1992</v>
      </c>
      <c r="H552" s="56">
        <f>Data!H551</f>
        <v>44481</v>
      </c>
      <c r="I552" s="56" t="str">
        <f>Data!I551</f>
        <v>10/14/2021</v>
      </c>
      <c r="J552" s="57">
        <f>Data!J551</f>
        <v>451.2</v>
      </c>
      <c r="K552" s="58">
        <f t="shared" ref="K552:K615" ca="1" si="10">TODAY()-I552</f>
        <v>217</v>
      </c>
      <c r="L552" s="58">
        <f>Data!M551</f>
        <v>0</v>
      </c>
      <c r="M552" s="37" t="s">
        <v>26</v>
      </c>
      <c r="N552" s="43" t="str">
        <f>VLOOKUP(M552,Table1[#All],3,FALSE)</f>
        <v>Note</v>
      </c>
      <c r="O552" s="40" t="str">
        <f>VLOOKUP(M552,Table1[#All],4,FALSE)</f>
        <v>Q1</v>
      </c>
      <c r="P552" s="39"/>
      <c r="Q552" s="40" t="str">
        <f>VLOOKUP(M552,Table1[#All],5,FALSE)</f>
        <v>Q2</v>
      </c>
      <c r="R552" s="79"/>
      <c r="S552" s="40" t="str">
        <f>VLOOKUP(M552,Table1[#All],6,FALSE)</f>
        <v>Q3</v>
      </c>
      <c r="T552" s="79"/>
      <c r="U552" s="40" t="str">
        <f>VLOOKUP(M552,Table1[#All],7,FALSE)</f>
        <v>Q4</v>
      </c>
      <c r="V552" s="79"/>
      <c r="W552" s="40" t="str">
        <f>VLOOKUP(M552,Table1[#All],8,FALSE)</f>
        <v>Q5</v>
      </c>
      <c r="X552" s="79"/>
      <c r="Y552" s="44" t="str">
        <f>VLOOKUP(M552,Table1[#All],2,FALSE)</f>
        <v>Action</v>
      </c>
      <c r="Z552" s="59" t="str">
        <f>VLOOKUP(M552,Table1[#All],9,FALSE)</f>
        <v>Additional Notes:</v>
      </c>
      <c r="AA552" s="76"/>
      <c r="AB552" s="76"/>
      <c r="AC552" s="90" t="s">
        <v>91</v>
      </c>
      <c r="AD552" s="76" t="s">
        <v>91</v>
      </c>
      <c r="AE552" s="77"/>
      <c r="AF552" s="77"/>
      <c r="AG552" s="41" t="s">
        <v>91</v>
      </c>
    </row>
    <row r="553" spans="1:33" ht="21" hidden="1" x14ac:dyDescent="0.55000000000000004">
      <c r="A553" s="44" t="str">
        <f>Data!K552</f>
        <v>DPOW-CCHP</v>
      </c>
      <c r="B553" s="44" t="str">
        <f>Data!L552</f>
        <v>4143899880</v>
      </c>
      <c r="C553" s="44" t="str">
        <f>Data!D552</f>
        <v>Mayer, Derrick</v>
      </c>
      <c r="D553" s="82" t="str">
        <f>Data!F552</f>
        <v>1430257016</v>
      </c>
      <c r="E553" s="82" t="str">
        <f>Data!B552</f>
        <v>6238</v>
      </c>
      <c r="F553" s="44" t="str">
        <f>Data!A552</f>
        <v>Mayer, Derrick</v>
      </c>
      <c r="G553" s="55" t="str">
        <f>Data!C552</f>
        <v>12/22/2007</v>
      </c>
      <c r="H553" s="56">
        <f>Data!H552</f>
        <v>44477</v>
      </c>
      <c r="I553" s="56" t="str">
        <f>Data!I552</f>
        <v>10/28/2021</v>
      </c>
      <c r="J553" s="57">
        <f>Data!J552</f>
        <v>266</v>
      </c>
      <c r="K553" s="58">
        <f t="shared" ca="1" si="10"/>
        <v>203</v>
      </c>
      <c r="L553" s="58">
        <f>Data!M552</f>
        <v>0</v>
      </c>
      <c r="M553" s="37" t="s">
        <v>26</v>
      </c>
      <c r="N553" s="43" t="str">
        <f>VLOOKUP(M553,Table1[#All],3,FALSE)</f>
        <v>Note</v>
      </c>
      <c r="O553" s="40" t="str">
        <f>VLOOKUP(M553,Table1[#All],4,FALSE)</f>
        <v>Q1</v>
      </c>
      <c r="P553" s="39"/>
      <c r="Q553" s="40" t="str">
        <f>VLOOKUP(M553,Table1[#All],5,FALSE)</f>
        <v>Q2</v>
      </c>
      <c r="R553" s="79"/>
      <c r="S553" s="40" t="str">
        <f>VLOOKUP(M553,Table1[#All],6,FALSE)</f>
        <v>Q3</v>
      </c>
      <c r="T553" s="79"/>
      <c r="U553" s="40" t="str">
        <f>VLOOKUP(M553,Table1[#All],7,FALSE)</f>
        <v>Q4</v>
      </c>
      <c r="V553" s="79"/>
      <c r="W553" s="40" t="str">
        <f>VLOOKUP(M553,Table1[#All],8,FALSE)</f>
        <v>Q5</v>
      </c>
      <c r="X553" s="79"/>
      <c r="Y553" s="44" t="str">
        <f>VLOOKUP(M553,Table1[#All],2,FALSE)</f>
        <v>Action</v>
      </c>
      <c r="Z553" s="59" t="str">
        <f>VLOOKUP(M553,Table1[#All],9,FALSE)</f>
        <v>Additional Notes:</v>
      </c>
      <c r="AA553" s="76"/>
      <c r="AB553" s="76"/>
      <c r="AC553" s="90" t="s">
        <v>91</v>
      </c>
      <c r="AD553" s="76" t="s">
        <v>91</v>
      </c>
      <c r="AE553" s="77"/>
      <c r="AF553" s="77"/>
      <c r="AG553" s="41" t="s">
        <v>91</v>
      </c>
    </row>
    <row r="554" spans="1:33" ht="21" hidden="1" x14ac:dyDescent="0.55000000000000004">
      <c r="A554" s="44" t="str">
        <f>Data!K553</f>
        <v>DPOW-CCHP</v>
      </c>
      <c r="B554" s="44" t="str">
        <f>Data!L553</f>
        <v>4143899880</v>
      </c>
      <c r="C554" s="44" t="str">
        <f>Data!D553</f>
        <v xml:space="preserve">Mayer, Errick </v>
      </c>
      <c r="D554" s="82" t="str">
        <f>Data!F553</f>
        <v>0430257007</v>
      </c>
      <c r="E554" s="82" t="str">
        <f>Data!B553</f>
        <v>6237</v>
      </c>
      <c r="F554" s="44" t="str">
        <f>Data!A553</f>
        <v xml:space="preserve">Mayer, Errick </v>
      </c>
      <c r="G554" s="55" t="str">
        <f>Data!C553</f>
        <v>12/22/2007</v>
      </c>
      <c r="H554" s="56">
        <f>Data!H553</f>
        <v>44477</v>
      </c>
      <c r="I554" s="56" t="str">
        <f>Data!I553</f>
        <v>10/28/2021</v>
      </c>
      <c r="J554" s="57">
        <f>Data!J553</f>
        <v>266</v>
      </c>
      <c r="K554" s="58">
        <f t="shared" ca="1" si="10"/>
        <v>203</v>
      </c>
      <c r="L554" s="58">
        <f>Data!M553</f>
        <v>0</v>
      </c>
      <c r="M554" s="37" t="s">
        <v>26</v>
      </c>
      <c r="N554" s="43" t="str">
        <f>VLOOKUP(M554,Table1[#All],3,FALSE)</f>
        <v>Note</v>
      </c>
      <c r="O554" s="40" t="str">
        <f>VLOOKUP(M554,Table1[#All],4,FALSE)</f>
        <v>Q1</v>
      </c>
      <c r="P554" s="39"/>
      <c r="Q554" s="40" t="str">
        <f>VLOOKUP(M554,Table1[#All],5,FALSE)</f>
        <v>Q2</v>
      </c>
      <c r="R554" s="79"/>
      <c r="S554" s="40" t="str">
        <f>VLOOKUP(M554,Table1[#All],6,FALSE)</f>
        <v>Q3</v>
      </c>
      <c r="T554" s="79"/>
      <c r="U554" s="40" t="str">
        <f>VLOOKUP(M554,Table1[#All],7,FALSE)</f>
        <v>Q4</v>
      </c>
      <c r="V554" s="79"/>
      <c r="W554" s="40" t="str">
        <f>VLOOKUP(M554,Table1[#All],8,FALSE)</f>
        <v>Q5</v>
      </c>
      <c r="X554" s="79"/>
      <c r="Y554" s="44" t="str">
        <f>VLOOKUP(M554,Table1[#All],2,FALSE)</f>
        <v>Action</v>
      </c>
      <c r="Z554" s="59" t="str">
        <f>VLOOKUP(M554,Table1[#All],9,FALSE)</f>
        <v>Additional Notes:</v>
      </c>
      <c r="AA554" s="76"/>
      <c r="AB554" s="76"/>
      <c r="AC554" s="90" t="s">
        <v>91</v>
      </c>
      <c r="AD554" s="76" t="s">
        <v>91</v>
      </c>
      <c r="AE554" s="77"/>
      <c r="AF554" s="77"/>
      <c r="AG554" s="41" t="s">
        <v>91</v>
      </c>
    </row>
    <row r="555" spans="1:33" ht="21" hidden="1" x14ac:dyDescent="0.55000000000000004">
      <c r="A555" s="44" t="str">
        <f>Data!K554</f>
        <v>DPOW-CCHP</v>
      </c>
      <c r="B555" s="44" t="str">
        <f>Data!L554</f>
        <v>4143899880</v>
      </c>
      <c r="C555" s="44" t="str">
        <f>Data!D554</f>
        <v>Mayer, Devon</v>
      </c>
      <c r="D555" s="82" t="str">
        <f>Data!F554</f>
        <v>3411456230</v>
      </c>
      <c r="E555" s="82" t="str">
        <f>Data!B554</f>
        <v>6236</v>
      </c>
      <c r="F555" s="44" t="str">
        <f>Data!A554</f>
        <v>Mayer, Devon</v>
      </c>
      <c r="G555" s="55" t="str">
        <f>Data!C554</f>
        <v>10/15/2003</v>
      </c>
      <c r="H555" s="56">
        <f>Data!H554</f>
        <v>44477</v>
      </c>
      <c r="I555" s="56" t="str">
        <f>Data!I554</f>
        <v>10/28/2021</v>
      </c>
      <c r="J555" s="57">
        <f>Data!J554</f>
        <v>266</v>
      </c>
      <c r="K555" s="58">
        <f t="shared" ca="1" si="10"/>
        <v>203</v>
      </c>
      <c r="L555" s="58">
        <f>Data!M554</f>
        <v>0</v>
      </c>
      <c r="M555" s="37" t="s">
        <v>26</v>
      </c>
      <c r="N555" s="43" t="str">
        <f>VLOOKUP(M555,Table1[#All],3,FALSE)</f>
        <v>Note</v>
      </c>
      <c r="O555" s="40" t="str">
        <f>VLOOKUP(M555,Table1[#All],4,FALSE)</f>
        <v>Q1</v>
      </c>
      <c r="P555" s="39"/>
      <c r="Q555" s="40" t="str">
        <f>VLOOKUP(M555,Table1[#All],5,FALSE)</f>
        <v>Q2</v>
      </c>
      <c r="R555" s="79"/>
      <c r="S555" s="40" t="str">
        <f>VLOOKUP(M555,Table1[#All],6,FALSE)</f>
        <v>Q3</v>
      </c>
      <c r="T555" s="79"/>
      <c r="U555" s="40" t="str">
        <f>VLOOKUP(M555,Table1[#All],7,FALSE)</f>
        <v>Q4</v>
      </c>
      <c r="V555" s="79"/>
      <c r="W555" s="40" t="str">
        <f>VLOOKUP(M555,Table1[#All],8,FALSE)</f>
        <v>Q5</v>
      </c>
      <c r="X555" s="79"/>
      <c r="Y555" s="44" t="str">
        <f>VLOOKUP(M555,Table1[#All],2,FALSE)</f>
        <v>Action</v>
      </c>
      <c r="Z555" s="59" t="str">
        <f>VLOOKUP(M555,Table1[#All],9,FALSE)</f>
        <v>Additional Notes:</v>
      </c>
      <c r="AA555" s="76"/>
      <c r="AB555" s="76"/>
      <c r="AC555" s="90" t="s">
        <v>91</v>
      </c>
      <c r="AD555" s="76" t="s">
        <v>91</v>
      </c>
      <c r="AE555" s="77"/>
      <c r="AF555" s="77"/>
      <c r="AG555" s="41" t="s">
        <v>91</v>
      </c>
    </row>
    <row r="556" spans="1:33" ht="21" hidden="1" x14ac:dyDescent="0.55000000000000004">
      <c r="A556" s="44" t="str">
        <f>Data!K555</f>
        <v>DPOW-CCHP</v>
      </c>
      <c r="B556" s="44" t="str">
        <f>Data!L555</f>
        <v>4143899880</v>
      </c>
      <c r="C556" s="44" t="str">
        <f>Data!D555</f>
        <v>Hlim , Thiang</v>
      </c>
      <c r="D556" s="82" t="str">
        <f>Data!F555</f>
        <v>4441009445</v>
      </c>
      <c r="E556" s="82" t="str">
        <f>Data!B555</f>
        <v>6830</v>
      </c>
      <c r="F556" s="44" t="str">
        <f>Data!A555</f>
        <v>Hlim , Thiang</v>
      </c>
      <c r="G556" s="55" t="str">
        <f>Data!C555</f>
        <v>8/23/1985</v>
      </c>
      <c r="H556" s="56">
        <f>Data!H555</f>
        <v>44477</v>
      </c>
      <c r="I556" s="56" t="str">
        <f>Data!I555</f>
        <v>10/11/2021</v>
      </c>
      <c r="J556" s="57">
        <f>Data!J555</f>
        <v>244.8</v>
      </c>
      <c r="K556" s="58">
        <f t="shared" ca="1" si="10"/>
        <v>220</v>
      </c>
      <c r="L556" s="58">
        <f>Data!M555</f>
        <v>0</v>
      </c>
      <c r="M556" s="37" t="s">
        <v>26</v>
      </c>
      <c r="N556" s="43" t="str">
        <f>VLOOKUP(M556,Table1[#All],3,FALSE)</f>
        <v>Note</v>
      </c>
      <c r="O556" s="40" t="str">
        <f>VLOOKUP(M556,Table1[#All],4,FALSE)</f>
        <v>Q1</v>
      </c>
      <c r="P556" s="39"/>
      <c r="Q556" s="40" t="str">
        <f>VLOOKUP(M556,Table1[#All],5,FALSE)</f>
        <v>Q2</v>
      </c>
      <c r="R556" s="79"/>
      <c r="S556" s="40" t="str">
        <f>VLOOKUP(M556,Table1[#All],6,FALSE)</f>
        <v>Q3</v>
      </c>
      <c r="T556" s="79"/>
      <c r="U556" s="40" t="str">
        <f>VLOOKUP(M556,Table1[#All],7,FALSE)</f>
        <v>Q4</v>
      </c>
      <c r="V556" s="79"/>
      <c r="W556" s="40" t="str">
        <f>VLOOKUP(M556,Table1[#All],8,FALSE)</f>
        <v>Q5</v>
      </c>
      <c r="X556" s="79"/>
      <c r="Y556" s="44" t="str">
        <f>VLOOKUP(M556,Table1[#All],2,FALSE)</f>
        <v>Action</v>
      </c>
      <c r="Z556" s="59" t="str">
        <f>VLOOKUP(M556,Table1[#All],9,FALSE)</f>
        <v>Additional Notes:</v>
      </c>
      <c r="AA556" s="76"/>
      <c r="AB556" s="76"/>
      <c r="AC556" s="90" t="s">
        <v>91</v>
      </c>
      <c r="AD556" s="76" t="s">
        <v>91</v>
      </c>
      <c r="AE556" s="77"/>
      <c r="AF556" s="77"/>
      <c r="AG556" s="41" t="s">
        <v>91</v>
      </c>
    </row>
    <row r="557" spans="1:33" ht="21" hidden="1" x14ac:dyDescent="0.55000000000000004">
      <c r="A557" s="44" t="str">
        <f>Data!K556</f>
        <v>DPOW-CCHP</v>
      </c>
      <c r="B557" s="44" t="str">
        <f>Data!L556</f>
        <v>4143899880</v>
      </c>
      <c r="C557" s="44" t="str">
        <f>Data!D556</f>
        <v>Peterson, Angelina</v>
      </c>
      <c r="D557" s="82" t="str">
        <f>Data!F556</f>
        <v>9406148692</v>
      </c>
      <c r="E557" s="82" t="str">
        <f>Data!B556</f>
        <v>7680</v>
      </c>
      <c r="F557" s="44" t="str">
        <f>Data!A556</f>
        <v>Peterson, Angelina</v>
      </c>
      <c r="G557" s="55" t="str">
        <f>Data!C556</f>
        <v>5/10/2000</v>
      </c>
      <c r="H557" s="56">
        <f>Data!H556</f>
        <v>44477</v>
      </c>
      <c r="I557" s="56" t="str">
        <f>Data!I556</f>
        <v>10/11/2021</v>
      </c>
      <c r="J557" s="57">
        <f>Data!J556</f>
        <v>332.4</v>
      </c>
      <c r="K557" s="58">
        <f t="shared" ca="1" si="10"/>
        <v>220</v>
      </c>
      <c r="L557" s="58">
        <f>Data!M556</f>
        <v>0</v>
      </c>
      <c r="M557" s="37" t="s">
        <v>26</v>
      </c>
      <c r="N557" s="43" t="str">
        <f>VLOOKUP(M557,Table1[#All],3,FALSE)</f>
        <v>Note</v>
      </c>
      <c r="O557" s="40" t="str">
        <f>VLOOKUP(M557,Table1[#All],4,FALSE)</f>
        <v>Q1</v>
      </c>
      <c r="P557" s="39"/>
      <c r="Q557" s="40" t="str">
        <f>VLOOKUP(M557,Table1[#All],5,FALSE)</f>
        <v>Q2</v>
      </c>
      <c r="R557" s="79"/>
      <c r="S557" s="40" t="str">
        <f>VLOOKUP(M557,Table1[#All],6,FALSE)</f>
        <v>Q3</v>
      </c>
      <c r="T557" s="79"/>
      <c r="U557" s="40" t="str">
        <f>VLOOKUP(M557,Table1[#All],7,FALSE)</f>
        <v>Q4</v>
      </c>
      <c r="V557" s="79"/>
      <c r="W557" s="40" t="str">
        <f>VLOOKUP(M557,Table1[#All],8,FALSE)</f>
        <v>Q5</v>
      </c>
      <c r="X557" s="79"/>
      <c r="Y557" s="44" t="str">
        <f>VLOOKUP(M557,Table1[#All],2,FALSE)</f>
        <v>Action</v>
      </c>
      <c r="Z557" s="59" t="str">
        <f>VLOOKUP(M557,Table1[#All],9,FALSE)</f>
        <v>Additional Notes:</v>
      </c>
      <c r="AA557" s="76"/>
      <c r="AB557" s="76"/>
      <c r="AC557" s="90" t="s">
        <v>91</v>
      </c>
      <c r="AD557" s="76" t="s">
        <v>91</v>
      </c>
      <c r="AE557" s="77"/>
      <c r="AF557" s="77"/>
      <c r="AG557" s="41" t="s">
        <v>91</v>
      </c>
    </row>
    <row r="558" spans="1:33" ht="21" hidden="1" x14ac:dyDescent="0.55000000000000004">
      <c r="A558" s="44" t="str">
        <f>Data!K557</f>
        <v>DPOW-CCHP</v>
      </c>
      <c r="B558" s="44" t="str">
        <f>Data!L557</f>
        <v>4143899880</v>
      </c>
      <c r="C558" s="44" t="str">
        <f>Data!D557</f>
        <v>Wilson, Garrett</v>
      </c>
      <c r="D558" s="82" t="str">
        <f>Data!F557</f>
        <v>7409725877</v>
      </c>
      <c r="E558" s="82" t="str">
        <f>Data!B557</f>
        <v>7842</v>
      </c>
      <c r="F558" s="44" t="str">
        <f>Data!A557</f>
        <v>Wilson, Garrett</v>
      </c>
      <c r="G558" s="55" t="str">
        <f>Data!C557</f>
        <v>12/30/1983</v>
      </c>
      <c r="H558" s="56">
        <f>Data!H557</f>
        <v>44476</v>
      </c>
      <c r="I558" s="56" t="str">
        <f>Data!I557</f>
        <v>10/11/2021</v>
      </c>
      <c r="J558" s="57">
        <f>Data!J557</f>
        <v>374.4</v>
      </c>
      <c r="K558" s="58">
        <f t="shared" ca="1" si="10"/>
        <v>220</v>
      </c>
      <c r="L558" s="58">
        <f>Data!M557</f>
        <v>0</v>
      </c>
      <c r="M558" s="37" t="s">
        <v>26</v>
      </c>
      <c r="N558" s="43" t="str">
        <f>VLOOKUP(M558,Table1[#All],3,FALSE)</f>
        <v>Note</v>
      </c>
      <c r="O558" s="40" t="str">
        <f>VLOOKUP(M558,Table1[#All],4,FALSE)</f>
        <v>Q1</v>
      </c>
      <c r="P558" s="39"/>
      <c r="Q558" s="40" t="str">
        <f>VLOOKUP(M558,Table1[#All],5,FALSE)</f>
        <v>Q2</v>
      </c>
      <c r="R558" s="79"/>
      <c r="S558" s="40" t="str">
        <f>VLOOKUP(M558,Table1[#All],6,FALSE)</f>
        <v>Q3</v>
      </c>
      <c r="T558" s="79"/>
      <c r="U558" s="40" t="str">
        <f>VLOOKUP(M558,Table1[#All],7,FALSE)</f>
        <v>Q4</v>
      </c>
      <c r="V558" s="79"/>
      <c r="W558" s="40" t="str">
        <f>VLOOKUP(M558,Table1[#All],8,FALSE)</f>
        <v>Q5</v>
      </c>
      <c r="X558" s="79"/>
      <c r="Y558" s="44" t="str">
        <f>VLOOKUP(M558,Table1[#All],2,FALSE)</f>
        <v>Action</v>
      </c>
      <c r="Z558" s="59" t="str">
        <f>VLOOKUP(M558,Table1[#All],9,FALSE)</f>
        <v>Additional Notes:</v>
      </c>
      <c r="AA558" s="76"/>
      <c r="AB558" s="76"/>
      <c r="AC558" s="90" t="s">
        <v>91</v>
      </c>
      <c r="AD558" s="76" t="s">
        <v>91</v>
      </c>
      <c r="AE558" s="77"/>
      <c r="AF558" s="77"/>
      <c r="AG558" s="41" t="s">
        <v>91</v>
      </c>
    </row>
    <row r="559" spans="1:33" ht="21" hidden="1" x14ac:dyDescent="0.55000000000000004">
      <c r="A559" s="44" t="str">
        <f>Data!K558</f>
        <v>DPOW-CCHP</v>
      </c>
      <c r="B559" s="44" t="str">
        <f>Data!L558</f>
        <v>4143899880</v>
      </c>
      <c r="C559" s="44" t="str">
        <f>Data!D558</f>
        <v xml:space="preserve">Penkalski , Angela </v>
      </c>
      <c r="D559" s="82" t="str">
        <f>Data!F558</f>
        <v>2414716126</v>
      </c>
      <c r="E559" s="82" t="str">
        <f>Data!B558</f>
        <v>5147</v>
      </c>
      <c r="F559" s="44" t="str">
        <f>Data!A558</f>
        <v xml:space="preserve">Penkalski , Angela </v>
      </c>
      <c r="G559" s="55" t="str">
        <f>Data!C558</f>
        <v>9/6/1987</v>
      </c>
      <c r="H559" s="56">
        <f>Data!H558</f>
        <v>44475</v>
      </c>
      <c r="I559" s="56" t="str">
        <f>Data!I558</f>
        <v>10/8/2021</v>
      </c>
      <c r="J559" s="57">
        <f>Data!J558</f>
        <v>114</v>
      </c>
      <c r="K559" s="58">
        <f t="shared" ca="1" si="10"/>
        <v>223</v>
      </c>
      <c r="L559" s="58">
        <f>Data!M558</f>
        <v>0</v>
      </c>
      <c r="M559" s="37" t="s">
        <v>26</v>
      </c>
      <c r="N559" s="43" t="str">
        <f>VLOOKUP(M559,Table1[#All],3,FALSE)</f>
        <v>Note</v>
      </c>
      <c r="O559" s="40" t="str">
        <f>VLOOKUP(M559,Table1[#All],4,FALSE)</f>
        <v>Q1</v>
      </c>
      <c r="P559" s="39"/>
      <c r="Q559" s="40" t="str">
        <f>VLOOKUP(M559,Table1[#All],5,FALSE)</f>
        <v>Q2</v>
      </c>
      <c r="R559" s="79"/>
      <c r="S559" s="40" t="str">
        <f>VLOOKUP(M559,Table1[#All],6,FALSE)</f>
        <v>Q3</v>
      </c>
      <c r="T559" s="79"/>
      <c r="U559" s="40" t="str">
        <f>VLOOKUP(M559,Table1[#All],7,FALSE)</f>
        <v>Q4</v>
      </c>
      <c r="V559" s="79"/>
      <c r="W559" s="40" t="str">
        <f>VLOOKUP(M559,Table1[#All],8,FALSE)</f>
        <v>Q5</v>
      </c>
      <c r="X559" s="79"/>
      <c r="Y559" s="44" t="str">
        <f>VLOOKUP(M559,Table1[#All],2,FALSE)</f>
        <v>Action</v>
      </c>
      <c r="Z559" s="59" t="str">
        <f>VLOOKUP(M559,Table1[#All],9,FALSE)</f>
        <v>Additional Notes:</v>
      </c>
      <c r="AA559" s="76"/>
      <c r="AB559" s="76"/>
      <c r="AC559" s="90" t="s">
        <v>91</v>
      </c>
      <c r="AD559" s="76" t="s">
        <v>91</v>
      </c>
      <c r="AE559" s="77"/>
      <c r="AF559" s="77"/>
      <c r="AG559" s="41" t="s">
        <v>91</v>
      </c>
    </row>
    <row r="560" spans="1:33" ht="21" hidden="1" x14ac:dyDescent="0.55000000000000004">
      <c r="A560" s="44" t="str">
        <f>Data!K559</f>
        <v>DPOW-CCHP</v>
      </c>
      <c r="B560" s="44" t="str">
        <f>Data!L559</f>
        <v>4143899880</v>
      </c>
      <c r="C560" s="44" t="str">
        <f>Data!D559</f>
        <v>Nunez, Jose</v>
      </c>
      <c r="D560" s="82" t="str">
        <f>Data!F559</f>
        <v>3409136339</v>
      </c>
      <c r="E560" s="82" t="str">
        <f>Data!B559</f>
        <v>4841</v>
      </c>
      <c r="F560" s="44" t="str">
        <f>Data!A559</f>
        <v>Nunez, Jose</v>
      </c>
      <c r="G560" s="55" t="str">
        <f>Data!C559</f>
        <v>1/20/1971</v>
      </c>
      <c r="H560" s="56">
        <f>Data!H559</f>
        <v>44469</v>
      </c>
      <c r="I560" s="56" t="str">
        <f>Data!I559</f>
        <v>10/4/2021</v>
      </c>
      <c r="J560" s="57">
        <f>Data!J559</f>
        <v>250.8</v>
      </c>
      <c r="K560" s="58">
        <f t="shared" ca="1" si="10"/>
        <v>227</v>
      </c>
      <c r="L560" s="58">
        <f>Data!M559</f>
        <v>0</v>
      </c>
      <c r="M560" s="37" t="s">
        <v>26</v>
      </c>
      <c r="N560" s="43" t="str">
        <f>VLOOKUP(M560,Table1[#All],3,FALSE)</f>
        <v>Note</v>
      </c>
      <c r="O560" s="40" t="str">
        <f>VLOOKUP(M560,Table1[#All],4,FALSE)</f>
        <v>Q1</v>
      </c>
      <c r="P560" s="39"/>
      <c r="Q560" s="40" t="str">
        <f>VLOOKUP(M560,Table1[#All],5,FALSE)</f>
        <v>Q2</v>
      </c>
      <c r="R560" s="79"/>
      <c r="S560" s="40" t="str">
        <f>VLOOKUP(M560,Table1[#All],6,FALSE)</f>
        <v>Q3</v>
      </c>
      <c r="T560" s="79"/>
      <c r="U560" s="40" t="str">
        <f>VLOOKUP(M560,Table1[#All],7,FALSE)</f>
        <v>Q4</v>
      </c>
      <c r="V560" s="79"/>
      <c r="W560" s="40" t="str">
        <f>VLOOKUP(M560,Table1[#All],8,FALSE)</f>
        <v>Q5</v>
      </c>
      <c r="X560" s="79"/>
      <c r="Y560" s="44" t="str">
        <f>VLOOKUP(M560,Table1[#All],2,FALSE)</f>
        <v>Action</v>
      </c>
      <c r="Z560" s="59" t="str">
        <f>VLOOKUP(M560,Table1[#All],9,FALSE)</f>
        <v>Additional Notes:</v>
      </c>
      <c r="AA560" s="76"/>
      <c r="AB560" s="76"/>
      <c r="AC560" s="90" t="s">
        <v>91</v>
      </c>
      <c r="AD560" s="76" t="s">
        <v>91</v>
      </c>
      <c r="AE560" s="77"/>
      <c r="AF560" s="77"/>
      <c r="AG560" s="41" t="s">
        <v>91</v>
      </c>
    </row>
    <row r="561" spans="1:33" ht="21" hidden="1" x14ac:dyDescent="0.55000000000000004">
      <c r="A561" s="44" t="str">
        <f>Data!K560</f>
        <v>DPOW-CCHP</v>
      </c>
      <c r="B561" s="44" t="str">
        <f>Data!L560</f>
        <v>4143899880</v>
      </c>
      <c r="C561" s="44" t="str">
        <f>Data!D560</f>
        <v>Vanegas, Arely</v>
      </c>
      <c r="D561" s="82" t="str">
        <f>Data!F560</f>
        <v>9447901191</v>
      </c>
      <c r="E561" s="82" t="str">
        <f>Data!B560</f>
        <v>36</v>
      </c>
      <c r="F561" s="44" t="str">
        <f>Data!A560</f>
        <v>Vanegas, Arely</v>
      </c>
      <c r="G561" s="55" t="str">
        <f>Data!C560</f>
        <v>12/14/2014</v>
      </c>
      <c r="H561" s="56">
        <f>Data!H560</f>
        <v>44467</v>
      </c>
      <c r="I561" s="56" t="str">
        <f>Data!I560</f>
        <v>10/18/2021</v>
      </c>
      <c r="J561" s="57">
        <f>Data!J560</f>
        <v>520</v>
      </c>
      <c r="K561" s="58">
        <f t="shared" ca="1" si="10"/>
        <v>213</v>
      </c>
      <c r="L561" s="58">
        <f>Data!M560</f>
        <v>0</v>
      </c>
      <c r="M561" s="37" t="s">
        <v>26</v>
      </c>
      <c r="N561" s="43" t="str">
        <f>VLOOKUP(M561,Table1[#All],3,FALSE)</f>
        <v>Note</v>
      </c>
      <c r="O561" s="40" t="str">
        <f>VLOOKUP(M561,Table1[#All],4,FALSE)</f>
        <v>Q1</v>
      </c>
      <c r="P561" s="39"/>
      <c r="Q561" s="40" t="str">
        <f>VLOOKUP(M561,Table1[#All],5,FALSE)</f>
        <v>Q2</v>
      </c>
      <c r="R561" s="79"/>
      <c r="S561" s="40" t="str">
        <f>VLOOKUP(M561,Table1[#All],6,FALSE)</f>
        <v>Q3</v>
      </c>
      <c r="T561" s="79"/>
      <c r="U561" s="40" t="str">
        <f>VLOOKUP(M561,Table1[#All],7,FALSE)</f>
        <v>Q4</v>
      </c>
      <c r="V561" s="79"/>
      <c r="W561" s="40" t="str">
        <f>VLOOKUP(M561,Table1[#All],8,FALSE)</f>
        <v>Q5</v>
      </c>
      <c r="X561" s="79"/>
      <c r="Y561" s="44" t="str">
        <f>VLOOKUP(M561,Table1[#All],2,FALSE)</f>
        <v>Action</v>
      </c>
      <c r="Z561" s="59" t="str">
        <f>VLOOKUP(M561,Table1[#All],9,FALSE)</f>
        <v>Additional Notes:</v>
      </c>
      <c r="AA561" s="76"/>
      <c r="AB561" s="76"/>
      <c r="AC561" s="90" t="s">
        <v>91</v>
      </c>
      <c r="AD561" s="76" t="s">
        <v>91</v>
      </c>
      <c r="AE561" s="77"/>
      <c r="AF561" s="77"/>
      <c r="AG561" s="41" t="s">
        <v>91</v>
      </c>
    </row>
    <row r="562" spans="1:33" ht="21" hidden="1" x14ac:dyDescent="0.55000000000000004">
      <c r="A562" s="44" t="str">
        <f>Data!K561</f>
        <v>DPOW-CCHP</v>
      </c>
      <c r="B562" s="44" t="str">
        <f>Data!L561</f>
        <v>4143899880</v>
      </c>
      <c r="C562" s="44" t="str">
        <f>Data!D561</f>
        <v xml:space="preserve">Mitchell, Damiya </v>
      </c>
      <c r="D562" s="82" t="str">
        <f>Data!F561</f>
        <v>7429829279</v>
      </c>
      <c r="E562" s="82" t="str">
        <f>Data!B561</f>
        <v>4538</v>
      </c>
      <c r="F562" s="44" t="str">
        <f>Data!A561</f>
        <v xml:space="preserve">Mitchell, Damiya </v>
      </c>
      <c r="G562" s="55" t="str">
        <f>Data!C561</f>
        <v>1/29/2008</v>
      </c>
      <c r="H562" s="56">
        <f>Data!H561</f>
        <v>44463</v>
      </c>
      <c r="I562" s="56" t="str">
        <f>Data!I561</f>
        <v>9/25/2021</v>
      </c>
      <c r="J562" s="57">
        <f>Data!J561</f>
        <v>466.8</v>
      </c>
      <c r="K562" s="58">
        <f t="shared" ca="1" si="10"/>
        <v>236</v>
      </c>
      <c r="L562" s="58">
        <f>Data!M561</f>
        <v>0</v>
      </c>
      <c r="M562" s="37" t="s">
        <v>26</v>
      </c>
      <c r="N562" s="43" t="str">
        <f>VLOOKUP(M562,Table1[#All],3,FALSE)</f>
        <v>Note</v>
      </c>
      <c r="O562" s="40" t="str">
        <f>VLOOKUP(M562,Table1[#All],4,FALSE)</f>
        <v>Q1</v>
      </c>
      <c r="P562" s="39"/>
      <c r="Q562" s="40" t="str">
        <f>VLOOKUP(M562,Table1[#All],5,FALSE)</f>
        <v>Q2</v>
      </c>
      <c r="R562" s="79"/>
      <c r="S562" s="40" t="str">
        <f>VLOOKUP(M562,Table1[#All],6,FALSE)</f>
        <v>Q3</v>
      </c>
      <c r="T562" s="79"/>
      <c r="U562" s="40" t="str">
        <f>VLOOKUP(M562,Table1[#All],7,FALSE)</f>
        <v>Q4</v>
      </c>
      <c r="V562" s="79"/>
      <c r="W562" s="40" t="str">
        <f>VLOOKUP(M562,Table1[#All],8,FALSE)</f>
        <v>Q5</v>
      </c>
      <c r="X562" s="79"/>
      <c r="Y562" s="44" t="str">
        <f>VLOOKUP(M562,Table1[#All],2,FALSE)</f>
        <v>Action</v>
      </c>
      <c r="Z562" s="59" t="str">
        <f>VLOOKUP(M562,Table1[#All],9,FALSE)</f>
        <v>Additional Notes:</v>
      </c>
      <c r="AA562" s="76"/>
      <c r="AB562" s="76"/>
      <c r="AC562" s="90" t="s">
        <v>91</v>
      </c>
      <c r="AD562" s="76" t="s">
        <v>91</v>
      </c>
      <c r="AE562" s="77"/>
      <c r="AF562" s="77"/>
      <c r="AG562" s="41" t="s">
        <v>91</v>
      </c>
    </row>
    <row r="563" spans="1:33" ht="21" hidden="1" x14ac:dyDescent="0.55000000000000004">
      <c r="A563" s="44" t="str">
        <f>Data!K562</f>
        <v>DPOW-CCHP</v>
      </c>
      <c r="B563" s="44" t="str">
        <f>Data!L562</f>
        <v>4143899880</v>
      </c>
      <c r="C563" s="44" t="str">
        <f>Data!D562</f>
        <v>Mcclendon, Kayla</v>
      </c>
      <c r="D563" s="82" t="str">
        <f>Data!F562</f>
        <v>0421163500</v>
      </c>
      <c r="E563" s="82" t="str">
        <f>Data!B562</f>
        <v>7281</v>
      </c>
      <c r="F563" s="44" t="str">
        <f>Data!A562</f>
        <v>Mcclendon, Kayla</v>
      </c>
      <c r="G563" s="55" t="str">
        <f>Data!C562</f>
        <v>3/29/1991</v>
      </c>
      <c r="H563" s="56">
        <f>Data!H562</f>
        <v>44447</v>
      </c>
      <c r="I563" s="56" t="str">
        <f>Data!I562</f>
        <v>9/24/2021</v>
      </c>
      <c r="J563" s="57">
        <f>Data!J562</f>
        <v>170.4</v>
      </c>
      <c r="K563" s="58">
        <f t="shared" ca="1" si="10"/>
        <v>237</v>
      </c>
      <c r="L563" s="58">
        <f>Data!M562</f>
        <v>0</v>
      </c>
      <c r="M563" s="37" t="s">
        <v>26</v>
      </c>
      <c r="N563" s="43" t="str">
        <f>VLOOKUP(M563,Table1[#All],3,FALSE)</f>
        <v>Note</v>
      </c>
      <c r="O563" s="40" t="str">
        <f>VLOOKUP(M563,Table1[#All],4,FALSE)</f>
        <v>Q1</v>
      </c>
      <c r="P563" s="39"/>
      <c r="Q563" s="40" t="str">
        <f>VLOOKUP(M563,Table1[#All],5,FALSE)</f>
        <v>Q2</v>
      </c>
      <c r="R563" s="79"/>
      <c r="S563" s="40" t="str">
        <f>VLOOKUP(M563,Table1[#All],6,FALSE)</f>
        <v>Q3</v>
      </c>
      <c r="T563" s="79"/>
      <c r="U563" s="40" t="str">
        <f>VLOOKUP(M563,Table1[#All],7,FALSE)</f>
        <v>Q4</v>
      </c>
      <c r="V563" s="79"/>
      <c r="W563" s="40" t="str">
        <f>VLOOKUP(M563,Table1[#All],8,FALSE)</f>
        <v>Q5</v>
      </c>
      <c r="X563" s="79"/>
      <c r="Y563" s="44" t="str">
        <f>VLOOKUP(M563,Table1[#All],2,FALSE)</f>
        <v>Action</v>
      </c>
      <c r="Z563" s="59" t="str">
        <f>VLOOKUP(M563,Table1[#All],9,FALSE)</f>
        <v>Additional Notes:</v>
      </c>
      <c r="AA563" s="76"/>
      <c r="AB563" s="76"/>
      <c r="AC563" s="90" t="s">
        <v>91</v>
      </c>
      <c r="AD563" s="76" t="s">
        <v>91</v>
      </c>
      <c r="AE563" s="77"/>
      <c r="AF563" s="77"/>
      <c r="AG563" s="41" t="s">
        <v>91</v>
      </c>
    </row>
    <row r="564" spans="1:33" ht="21" hidden="1" x14ac:dyDescent="0.55000000000000004">
      <c r="A564" s="44" t="str">
        <f>Data!K563</f>
        <v>DPOW-CCHP</v>
      </c>
      <c r="B564" s="44" t="str">
        <f>Data!L563</f>
        <v>4143899880</v>
      </c>
      <c r="C564" s="44" t="str">
        <f>Data!D563</f>
        <v xml:space="preserve">Ramirez, Liliana </v>
      </c>
      <c r="D564" s="82" t="str">
        <f>Data!F563</f>
        <v>0424682303</v>
      </c>
      <c r="E564" s="82" t="str">
        <f>Data!B563</f>
        <v>6163</v>
      </c>
      <c r="F564" s="44" t="str">
        <f>Data!A563</f>
        <v xml:space="preserve">Ramirez, Liliana </v>
      </c>
      <c r="G564" s="55" t="str">
        <f>Data!C563</f>
        <v>10/7/2005</v>
      </c>
      <c r="H564" s="56">
        <f>Data!H563</f>
        <v>44457</v>
      </c>
      <c r="I564" s="56" t="str">
        <f>Data!I563</f>
        <v>10/7/2021</v>
      </c>
      <c r="J564" s="57">
        <f>Data!J563</f>
        <v>266</v>
      </c>
      <c r="K564" s="58">
        <f t="shared" ca="1" si="10"/>
        <v>224</v>
      </c>
      <c r="L564" s="58">
        <f>Data!M563</f>
        <v>0</v>
      </c>
      <c r="M564" s="37" t="s">
        <v>26</v>
      </c>
      <c r="N564" s="43" t="str">
        <f>VLOOKUP(M564,Table1[#All],3,FALSE)</f>
        <v>Note</v>
      </c>
      <c r="O564" s="40" t="str">
        <f>VLOOKUP(M564,Table1[#All],4,FALSE)</f>
        <v>Q1</v>
      </c>
      <c r="P564" s="39"/>
      <c r="Q564" s="40" t="str">
        <f>VLOOKUP(M564,Table1[#All],5,FALSE)</f>
        <v>Q2</v>
      </c>
      <c r="R564" s="79"/>
      <c r="S564" s="40" t="str">
        <f>VLOOKUP(M564,Table1[#All],6,FALSE)</f>
        <v>Q3</v>
      </c>
      <c r="T564" s="79"/>
      <c r="U564" s="40" t="str">
        <f>VLOOKUP(M564,Table1[#All],7,FALSE)</f>
        <v>Q4</v>
      </c>
      <c r="V564" s="79"/>
      <c r="W564" s="40" t="str">
        <f>VLOOKUP(M564,Table1[#All],8,FALSE)</f>
        <v>Q5</v>
      </c>
      <c r="X564" s="79"/>
      <c r="Y564" s="44" t="str">
        <f>VLOOKUP(M564,Table1[#All],2,FALSE)</f>
        <v>Action</v>
      </c>
      <c r="Z564" s="59" t="str">
        <f>VLOOKUP(M564,Table1[#All],9,FALSE)</f>
        <v>Additional Notes:</v>
      </c>
      <c r="AA564" s="76"/>
      <c r="AB564" s="76"/>
      <c r="AC564" s="90" t="s">
        <v>91</v>
      </c>
      <c r="AD564" s="76" t="s">
        <v>91</v>
      </c>
      <c r="AE564" s="77"/>
      <c r="AF564" s="77"/>
      <c r="AG564" s="41" t="s">
        <v>91</v>
      </c>
    </row>
    <row r="565" spans="1:33" ht="21" hidden="1" x14ac:dyDescent="0.55000000000000004">
      <c r="A565" s="44" t="str">
        <f>Data!K564</f>
        <v>DPOW-CCHP</v>
      </c>
      <c r="B565" s="44" t="str">
        <f>Data!L564</f>
        <v>4143899880</v>
      </c>
      <c r="C565" s="44" t="str">
        <f>Data!D564</f>
        <v xml:space="preserve">Edwards, Shania </v>
      </c>
      <c r="D565" s="82" t="str">
        <f>Data!F564</f>
        <v>2408023629</v>
      </c>
      <c r="E565" s="82" t="str">
        <f>Data!B564</f>
        <v>6867</v>
      </c>
      <c r="F565" s="44" t="str">
        <f>Data!A564</f>
        <v xml:space="preserve">Edwards, Shania </v>
      </c>
      <c r="G565" s="55" t="str">
        <f>Data!C564</f>
        <v>9/7/1996</v>
      </c>
      <c r="H565" s="56">
        <f>Data!H564</f>
        <v>44456</v>
      </c>
      <c r="I565" s="56" t="str">
        <f>Data!I564</f>
        <v>9/18/2021</v>
      </c>
      <c r="J565" s="57">
        <f>Data!J564</f>
        <v>218.4</v>
      </c>
      <c r="K565" s="58">
        <f t="shared" ca="1" si="10"/>
        <v>243</v>
      </c>
      <c r="L565" s="58">
        <f>Data!M564</f>
        <v>0</v>
      </c>
      <c r="M565" s="37" t="s">
        <v>26</v>
      </c>
      <c r="N565" s="43" t="str">
        <f>VLOOKUP(M565,Table1[#All],3,FALSE)</f>
        <v>Note</v>
      </c>
      <c r="O565" s="40" t="str">
        <f>VLOOKUP(M565,Table1[#All],4,FALSE)</f>
        <v>Q1</v>
      </c>
      <c r="P565" s="39"/>
      <c r="Q565" s="40" t="str">
        <f>VLOOKUP(M565,Table1[#All],5,FALSE)</f>
        <v>Q2</v>
      </c>
      <c r="R565" s="79"/>
      <c r="S565" s="40" t="str">
        <f>VLOOKUP(M565,Table1[#All],6,FALSE)</f>
        <v>Q3</v>
      </c>
      <c r="T565" s="79"/>
      <c r="U565" s="40" t="str">
        <f>VLOOKUP(M565,Table1[#All],7,FALSE)</f>
        <v>Q4</v>
      </c>
      <c r="V565" s="79"/>
      <c r="W565" s="40" t="str">
        <f>VLOOKUP(M565,Table1[#All],8,FALSE)</f>
        <v>Q5</v>
      </c>
      <c r="X565" s="79"/>
      <c r="Y565" s="44" t="str">
        <f>VLOOKUP(M565,Table1[#All],2,FALSE)</f>
        <v>Action</v>
      </c>
      <c r="Z565" s="59" t="str">
        <f>VLOOKUP(M565,Table1[#All],9,FALSE)</f>
        <v>Additional Notes:</v>
      </c>
      <c r="AA565" s="76"/>
      <c r="AB565" s="76"/>
      <c r="AC565" s="90" t="s">
        <v>91</v>
      </c>
      <c r="AD565" s="76" t="s">
        <v>91</v>
      </c>
      <c r="AE565" s="77"/>
      <c r="AF565" s="77"/>
      <c r="AG565" s="41" t="s">
        <v>91</v>
      </c>
    </row>
    <row r="566" spans="1:33" ht="21" hidden="1" x14ac:dyDescent="0.55000000000000004">
      <c r="A566" s="44" t="str">
        <f>Data!K565</f>
        <v>DPOW-CCHP</v>
      </c>
      <c r="B566" s="44" t="str">
        <f>Data!L565</f>
        <v>4143899880</v>
      </c>
      <c r="C566" s="44" t="str">
        <f>Data!D565</f>
        <v>Sconzert , Jennifer</v>
      </c>
      <c r="D566" s="82" t="str">
        <f>Data!F565</f>
        <v>8414635083</v>
      </c>
      <c r="E566" s="82" t="str">
        <f>Data!B565</f>
        <v>7983</v>
      </c>
      <c r="F566" s="44" t="str">
        <f>Data!A565</f>
        <v>Sconzert , Jennifer</v>
      </c>
      <c r="G566" s="55" t="str">
        <f>Data!C565</f>
        <v>4/26/1988</v>
      </c>
      <c r="H566" s="56">
        <f>Data!H565</f>
        <v>44456</v>
      </c>
      <c r="I566" s="56" t="str">
        <f>Data!I565</f>
        <v>9/18/2021</v>
      </c>
      <c r="J566" s="57">
        <f>Data!J565</f>
        <v>302.39999999999998</v>
      </c>
      <c r="K566" s="58">
        <f t="shared" ca="1" si="10"/>
        <v>243</v>
      </c>
      <c r="L566" s="58">
        <f>Data!M565</f>
        <v>0</v>
      </c>
      <c r="M566" s="37" t="s">
        <v>26</v>
      </c>
      <c r="N566" s="43" t="str">
        <f>VLOOKUP(M566,Table1[#All],3,FALSE)</f>
        <v>Note</v>
      </c>
      <c r="O566" s="40" t="str">
        <f>VLOOKUP(M566,Table1[#All],4,FALSE)</f>
        <v>Q1</v>
      </c>
      <c r="P566" s="39"/>
      <c r="Q566" s="40" t="str">
        <f>VLOOKUP(M566,Table1[#All],5,FALSE)</f>
        <v>Q2</v>
      </c>
      <c r="R566" s="79"/>
      <c r="S566" s="40" t="str">
        <f>VLOOKUP(M566,Table1[#All],6,FALSE)</f>
        <v>Q3</v>
      </c>
      <c r="T566" s="79"/>
      <c r="U566" s="40" t="str">
        <f>VLOOKUP(M566,Table1[#All],7,FALSE)</f>
        <v>Q4</v>
      </c>
      <c r="V566" s="79"/>
      <c r="W566" s="40" t="str">
        <f>VLOOKUP(M566,Table1[#All],8,FALSE)</f>
        <v>Q5</v>
      </c>
      <c r="X566" s="79"/>
      <c r="Y566" s="44" t="str">
        <f>VLOOKUP(M566,Table1[#All],2,FALSE)</f>
        <v>Action</v>
      </c>
      <c r="Z566" s="59" t="str">
        <f>VLOOKUP(M566,Table1[#All],9,FALSE)</f>
        <v>Additional Notes:</v>
      </c>
      <c r="AA566" s="76"/>
      <c r="AB566" s="76"/>
      <c r="AC566" s="90" t="s">
        <v>91</v>
      </c>
      <c r="AD566" s="76" t="s">
        <v>91</v>
      </c>
      <c r="AE566" s="77"/>
      <c r="AF566" s="77"/>
      <c r="AG566" s="41" t="s">
        <v>91</v>
      </c>
    </row>
    <row r="567" spans="1:33" ht="21" hidden="1" x14ac:dyDescent="0.55000000000000004">
      <c r="A567" s="44" t="str">
        <f>Data!K566</f>
        <v>DPOW-CCHP</v>
      </c>
      <c r="B567" s="44" t="str">
        <f>Data!L566</f>
        <v>4143899880</v>
      </c>
      <c r="C567" s="44" t="str">
        <f>Data!D566</f>
        <v>Sconzert, Jada</v>
      </c>
      <c r="D567" s="82" t="str">
        <f>Data!F566</f>
        <v>8438892086</v>
      </c>
      <c r="E567" s="82" t="str">
        <f>Data!B566</f>
        <v>7981</v>
      </c>
      <c r="F567" s="44" t="str">
        <f>Data!A566</f>
        <v>Sconzert, Jada</v>
      </c>
      <c r="G567" s="55" t="str">
        <f>Data!C566</f>
        <v>8/1/2010</v>
      </c>
      <c r="H567" s="56">
        <f>Data!H566</f>
        <v>44455</v>
      </c>
      <c r="I567" s="56" t="str">
        <f>Data!I566</f>
        <v>9/18/2021</v>
      </c>
      <c r="J567" s="57">
        <f>Data!J566</f>
        <v>507.6</v>
      </c>
      <c r="K567" s="58">
        <f t="shared" ca="1" si="10"/>
        <v>243</v>
      </c>
      <c r="L567" s="58">
        <f>Data!M566</f>
        <v>0</v>
      </c>
      <c r="M567" s="37" t="s">
        <v>26</v>
      </c>
      <c r="N567" s="43" t="str">
        <f>VLOOKUP(M567,Table1[#All],3,FALSE)</f>
        <v>Note</v>
      </c>
      <c r="O567" s="40" t="str">
        <f>VLOOKUP(M567,Table1[#All],4,FALSE)</f>
        <v>Q1</v>
      </c>
      <c r="P567" s="39"/>
      <c r="Q567" s="40" t="str">
        <f>VLOOKUP(M567,Table1[#All],5,FALSE)</f>
        <v>Q2</v>
      </c>
      <c r="R567" s="79"/>
      <c r="S567" s="40" t="str">
        <f>VLOOKUP(M567,Table1[#All],6,FALSE)</f>
        <v>Q3</v>
      </c>
      <c r="T567" s="79"/>
      <c r="U567" s="40" t="str">
        <f>VLOOKUP(M567,Table1[#All],7,FALSE)</f>
        <v>Q4</v>
      </c>
      <c r="V567" s="79"/>
      <c r="W567" s="40" t="str">
        <f>VLOOKUP(M567,Table1[#All],8,FALSE)</f>
        <v>Q5</v>
      </c>
      <c r="X567" s="79"/>
      <c r="Y567" s="44" t="str">
        <f>VLOOKUP(M567,Table1[#All],2,FALSE)</f>
        <v>Action</v>
      </c>
      <c r="Z567" s="59" t="str">
        <f>VLOOKUP(M567,Table1[#All],9,FALSE)</f>
        <v>Additional Notes:</v>
      </c>
      <c r="AA567" s="76"/>
      <c r="AB567" s="76"/>
      <c r="AC567" s="90" t="s">
        <v>91</v>
      </c>
      <c r="AD567" s="76" t="s">
        <v>91</v>
      </c>
      <c r="AE567" s="77"/>
      <c r="AF567" s="77"/>
      <c r="AG567" s="41" t="s">
        <v>91</v>
      </c>
    </row>
    <row r="568" spans="1:33" ht="21" hidden="1" x14ac:dyDescent="0.55000000000000004">
      <c r="A568" s="44" t="str">
        <f>Data!K567</f>
        <v>DPOW-CCHP</v>
      </c>
      <c r="B568" s="44" t="str">
        <f>Data!L567</f>
        <v>4143899880</v>
      </c>
      <c r="C568" s="44" t="str">
        <f>Data!D567</f>
        <v xml:space="preserve">Wallace , Abel </v>
      </c>
      <c r="D568" s="82" t="str">
        <f>Data!F567</f>
        <v>4417495742</v>
      </c>
      <c r="E568" s="82" t="str">
        <f>Data!B567</f>
        <v>7478</v>
      </c>
      <c r="F568" s="44" t="str">
        <f>Data!A567</f>
        <v xml:space="preserve">Wallace , Abel </v>
      </c>
      <c r="G568" s="55" t="str">
        <f>Data!C567</f>
        <v>11/1/1997</v>
      </c>
      <c r="H568" s="56">
        <f>Data!H567</f>
        <v>44454</v>
      </c>
      <c r="I568" s="56" t="str">
        <f>Data!I567</f>
        <v>9/17/2021</v>
      </c>
      <c r="J568" s="57">
        <f>Data!J567</f>
        <v>432</v>
      </c>
      <c r="K568" s="58">
        <f t="shared" ca="1" si="10"/>
        <v>244</v>
      </c>
      <c r="L568" s="58">
        <f>Data!M567</f>
        <v>0</v>
      </c>
      <c r="M568" s="37" t="s">
        <v>26</v>
      </c>
      <c r="N568" s="43" t="str">
        <f>VLOOKUP(M568,Table1[#All],3,FALSE)</f>
        <v>Note</v>
      </c>
      <c r="O568" s="40" t="str">
        <f>VLOOKUP(M568,Table1[#All],4,FALSE)</f>
        <v>Q1</v>
      </c>
      <c r="P568" s="39"/>
      <c r="Q568" s="40" t="str">
        <f>VLOOKUP(M568,Table1[#All],5,FALSE)</f>
        <v>Q2</v>
      </c>
      <c r="R568" s="79"/>
      <c r="S568" s="40" t="str">
        <f>VLOOKUP(M568,Table1[#All],6,FALSE)</f>
        <v>Q3</v>
      </c>
      <c r="T568" s="79"/>
      <c r="U568" s="40" t="str">
        <f>VLOOKUP(M568,Table1[#All],7,FALSE)</f>
        <v>Q4</v>
      </c>
      <c r="V568" s="79"/>
      <c r="W568" s="40" t="str">
        <f>VLOOKUP(M568,Table1[#All],8,FALSE)</f>
        <v>Q5</v>
      </c>
      <c r="X568" s="79"/>
      <c r="Y568" s="44" t="str">
        <f>VLOOKUP(M568,Table1[#All],2,FALSE)</f>
        <v>Action</v>
      </c>
      <c r="Z568" s="59" t="str">
        <f>VLOOKUP(M568,Table1[#All],9,FALSE)</f>
        <v>Additional Notes:</v>
      </c>
      <c r="AA568" s="76"/>
      <c r="AB568" s="76"/>
      <c r="AC568" s="90" t="s">
        <v>91</v>
      </c>
      <c r="AD568" s="76" t="s">
        <v>91</v>
      </c>
      <c r="AE568" s="77"/>
      <c r="AF568" s="77"/>
      <c r="AG568" s="41" t="s">
        <v>91</v>
      </c>
    </row>
    <row r="569" spans="1:33" ht="21" hidden="1" x14ac:dyDescent="0.55000000000000004">
      <c r="A569" s="44" t="str">
        <f>Data!K568</f>
        <v>DPOW-CCHP</v>
      </c>
      <c r="B569" s="44" t="str">
        <f>Data!L568</f>
        <v>4143899880</v>
      </c>
      <c r="C569" s="44" t="str">
        <f>Data!D568</f>
        <v>Copado, Carina</v>
      </c>
      <c r="D569" s="82" t="str">
        <f>Data!F568</f>
        <v>2407863623</v>
      </c>
      <c r="E569" s="82" t="str">
        <f>Data!B568</f>
        <v>1191</v>
      </c>
      <c r="F569" s="44" t="str">
        <f>Data!A568</f>
        <v>Copado, Carina</v>
      </c>
      <c r="G569" s="55" t="str">
        <f>Data!C568</f>
        <v>1/16/1989</v>
      </c>
      <c r="H569" s="56">
        <f>Data!H568</f>
        <v>44453</v>
      </c>
      <c r="I569" s="56" t="str">
        <f>Data!I568</f>
        <v>9/17/2021</v>
      </c>
      <c r="J569" s="57">
        <f>Data!J568</f>
        <v>1006.8</v>
      </c>
      <c r="K569" s="58">
        <f t="shared" ca="1" si="10"/>
        <v>244</v>
      </c>
      <c r="L569" s="58">
        <f>Data!M568</f>
        <v>0</v>
      </c>
      <c r="M569" s="37" t="s">
        <v>26</v>
      </c>
      <c r="N569" s="43" t="str">
        <f>VLOOKUP(M569,Table1[#All],3,FALSE)</f>
        <v>Note</v>
      </c>
      <c r="O569" s="40" t="str">
        <f>VLOOKUP(M569,Table1[#All],4,FALSE)</f>
        <v>Q1</v>
      </c>
      <c r="P569" s="39"/>
      <c r="Q569" s="40" t="str">
        <f>VLOOKUP(M569,Table1[#All],5,FALSE)</f>
        <v>Q2</v>
      </c>
      <c r="R569" s="79"/>
      <c r="S569" s="40" t="str">
        <f>VLOOKUP(M569,Table1[#All],6,FALSE)</f>
        <v>Q3</v>
      </c>
      <c r="T569" s="79"/>
      <c r="U569" s="40" t="str">
        <f>VLOOKUP(M569,Table1[#All],7,FALSE)</f>
        <v>Q4</v>
      </c>
      <c r="V569" s="79"/>
      <c r="W569" s="40" t="str">
        <f>VLOOKUP(M569,Table1[#All],8,FALSE)</f>
        <v>Q5</v>
      </c>
      <c r="X569" s="79"/>
      <c r="Y569" s="44" t="str">
        <f>VLOOKUP(M569,Table1[#All],2,FALSE)</f>
        <v>Action</v>
      </c>
      <c r="Z569" s="59" t="str">
        <f>VLOOKUP(M569,Table1[#All],9,FALSE)</f>
        <v>Additional Notes:</v>
      </c>
      <c r="AA569" s="76"/>
      <c r="AB569" s="76"/>
      <c r="AC569" s="90" t="s">
        <v>91</v>
      </c>
      <c r="AD569" s="76" t="s">
        <v>91</v>
      </c>
      <c r="AE569" s="77"/>
      <c r="AF569" s="77"/>
      <c r="AG569" s="41" t="s">
        <v>91</v>
      </c>
    </row>
    <row r="570" spans="1:33" ht="21" hidden="1" x14ac:dyDescent="0.55000000000000004">
      <c r="A570" s="44" t="str">
        <f>Data!K569</f>
        <v>DPOW-CCHP</v>
      </c>
      <c r="B570" s="44" t="str">
        <f>Data!L569</f>
        <v>4143899880</v>
      </c>
      <c r="C570" s="44" t="str">
        <f>Data!D569</f>
        <v>Benitez, Bianca</v>
      </c>
      <c r="D570" s="82" t="str">
        <f>Data!F569</f>
        <v>4419875445</v>
      </c>
      <c r="E570" s="82" t="str">
        <f>Data!B569</f>
        <v>7624</v>
      </c>
      <c r="F570" s="44" t="str">
        <f>Data!A569</f>
        <v>Benitez, Bianca</v>
      </c>
      <c r="G570" s="55" t="str">
        <f>Data!C569</f>
        <v>4/11/1998</v>
      </c>
      <c r="H570" s="56">
        <f>Data!H569</f>
        <v>44452</v>
      </c>
      <c r="I570" s="56" t="str">
        <f>Data!I569</f>
        <v>9/15/2021</v>
      </c>
      <c r="J570" s="57">
        <f>Data!J569</f>
        <v>216</v>
      </c>
      <c r="K570" s="58">
        <f t="shared" ca="1" si="10"/>
        <v>246</v>
      </c>
      <c r="L570" s="58">
        <f>Data!M569</f>
        <v>0</v>
      </c>
      <c r="M570" s="37" t="s">
        <v>26</v>
      </c>
      <c r="N570" s="43" t="str">
        <f>VLOOKUP(M570,Table1[#All],3,FALSE)</f>
        <v>Note</v>
      </c>
      <c r="O570" s="40" t="str">
        <f>VLOOKUP(M570,Table1[#All],4,FALSE)</f>
        <v>Q1</v>
      </c>
      <c r="P570" s="39"/>
      <c r="Q570" s="40" t="str">
        <f>VLOOKUP(M570,Table1[#All],5,FALSE)</f>
        <v>Q2</v>
      </c>
      <c r="R570" s="79"/>
      <c r="S570" s="40" t="str">
        <f>VLOOKUP(M570,Table1[#All],6,FALSE)</f>
        <v>Q3</v>
      </c>
      <c r="T570" s="79"/>
      <c r="U570" s="40" t="str">
        <f>VLOOKUP(M570,Table1[#All],7,FALSE)</f>
        <v>Q4</v>
      </c>
      <c r="V570" s="79"/>
      <c r="W570" s="40" t="str">
        <f>VLOOKUP(M570,Table1[#All],8,FALSE)</f>
        <v>Q5</v>
      </c>
      <c r="X570" s="79"/>
      <c r="Y570" s="44" t="str">
        <f>VLOOKUP(M570,Table1[#All],2,FALSE)</f>
        <v>Action</v>
      </c>
      <c r="Z570" s="59" t="str">
        <f>VLOOKUP(M570,Table1[#All],9,FALSE)</f>
        <v>Additional Notes:</v>
      </c>
      <c r="AA570" s="76"/>
      <c r="AB570" s="76"/>
      <c r="AC570" s="90" t="s">
        <v>91</v>
      </c>
      <c r="AD570" s="76" t="s">
        <v>91</v>
      </c>
      <c r="AE570" s="77"/>
      <c r="AF570" s="77"/>
      <c r="AG570" s="41" t="s">
        <v>91</v>
      </c>
    </row>
    <row r="571" spans="1:33" ht="21" hidden="1" x14ac:dyDescent="0.55000000000000004">
      <c r="A571" s="44" t="str">
        <f>Data!K570</f>
        <v>DPOW-CCHP</v>
      </c>
      <c r="B571" s="44" t="str">
        <f>Data!L570</f>
        <v>4143899880</v>
      </c>
      <c r="C571" s="44" t="str">
        <f>Data!D570</f>
        <v>Copado, Carina</v>
      </c>
      <c r="D571" s="82" t="str">
        <f>Data!F570</f>
        <v>2407863623</v>
      </c>
      <c r="E571" s="82" t="str">
        <f>Data!B570</f>
        <v>1191</v>
      </c>
      <c r="F571" s="44" t="str">
        <f>Data!A570</f>
        <v>Copado, Carina</v>
      </c>
      <c r="G571" s="55" t="str">
        <f>Data!C570</f>
        <v>1/16/1989</v>
      </c>
      <c r="H571" s="56">
        <f>Data!H570</f>
        <v>44447</v>
      </c>
      <c r="I571" s="56" t="str">
        <f>Data!I570</f>
        <v>9/15/2021</v>
      </c>
      <c r="J571" s="57">
        <f>Data!J570</f>
        <v>266</v>
      </c>
      <c r="K571" s="58">
        <f t="shared" ca="1" si="10"/>
        <v>246</v>
      </c>
      <c r="L571" s="58">
        <f>Data!M570</f>
        <v>0</v>
      </c>
      <c r="M571" s="37" t="s">
        <v>26</v>
      </c>
      <c r="N571" s="43" t="str">
        <f>VLOOKUP(M571,Table1[#All],3,FALSE)</f>
        <v>Note</v>
      </c>
      <c r="O571" s="40" t="str">
        <f>VLOOKUP(M571,Table1[#All],4,FALSE)</f>
        <v>Q1</v>
      </c>
      <c r="P571" s="39"/>
      <c r="Q571" s="40" t="str">
        <f>VLOOKUP(M571,Table1[#All],5,FALSE)</f>
        <v>Q2</v>
      </c>
      <c r="R571" s="79"/>
      <c r="S571" s="40" t="str">
        <f>VLOOKUP(M571,Table1[#All],6,FALSE)</f>
        <v>Q3</v>
      </c>
      <c r="T571" s="79"/>
      <c r="U571" s="40" t="str">
        <f>VLOOKUP(M571,Table1[#All],7,FALSE)</f>
        <v>Q4</v>
      </c>
      <c r="V571" s="79"/>
      <c r="W571" s="40" t="str">
        <f>VLOOKUP(M571,Table1[#All],8,FALSE)</f>
        <v>Q5</v>
      </c>
      <c r="X571" s="79"/>
      <c r="Y571" s="44" t="str">
        <f>VLOOKUP(M571,Table1[#All],2,FALSE)</f>
        <v>Action</v>
      </c>
      <c r="Z571" s="59" t="str">
        <f>VLOOKUP(M571,Table1[#All],9,FALSE)</f>
        <v>Additional Notes:</v>
      </c>
      <c r="AA571" s="76"/>
      <c r="AB571" s="76"/>
      <c r="AC571" s="90" t="s">
        <v>91</v>
      </c>
      <c r="AD571" s="76" t="s">
        <v>91</v>
      </c>
      <c r="AE571" s="77"/>
      <c r="AF571" s="77"/>
      <c r="AG571" s="41" t="s">
        <v>91</v>
      </c>
    </row>
    <row r="572" spans="1:33" ht="21" hidden="1" x14ac:dyDescent="0.55000000000000004">
      <c r="A572" s="44" t="str">
        <f>Data!K571</f>
        <v>DPOW-CCHP</v>
      </c>
      <c r="B572" s="44" t="str">
        <f>Data!L571</f>
        <v>4143899880</v>
      </c>
      <c r="C572" s="44" t="str">
        <f>Data!D571</f>
        <v xml:space="preserve">Leahy, Seth </v>
      </c>
      <c r="D572" s="82" t="str">
        <f>Data!F571</f>
        <v>4412256847</v>
      </c>
      <c r="E572" s="82" t="str">
        <f>Data!B571</f>
        <v>7885</v>
      </c>
      <c r="F572" s="44" t="str">
        <f>Data!A571</f>
        <v xml:space="preserve">Leahy, Seth </v>
      </c>
      <c r="G572" s="55" t="str">
        <f>Data!C571</f>
        <v>10/26/1985</v>
      </c>
      <c r="H572" s="56">
        <f>Data!H571</f>
        <v>44447</v>
      </c>
      <c r="I572" s="56" t="str">
        <f>Data!I571</f>
        <v>9/15/2021</v>
      </c>
      <c r="J572" s="57">
        <f>Data!J571</f>
        <v>186</v>
      </c>
      <c r="K572" s="58">
        <f t="shared" ca="1" si="10"/>
        <v>246</v>
      </c>
      <c r="L572" s="58">
        <f>Data!M571</f>
        <v>0</v>
      </c>
      <c r="M572" s="37" t="s">
        <v>26</v>
      </c>
      <c r="N572" s="43" t="str">
        <f>VLOOKUP(M572,Table1[#All],3,FALSE)</f>
        <v>Note</v>
      </c>
      <c r="O572" s="40" t="str">
        <f>VLOOKUP(M572,Table1[#All],4,FALSE)</f>
        <v>Q1</v>
      </c>
      <c r="P572" s="39"/>
      <c r="Q572" s="40" t="str">
        <f>VLOOKUP(M572,Table1[#All],5,FALSE)</f>
        <v>Q2</v>
      </c>
      <c r="R572" s="79"/>
      <c r="S572" s="40" t="str">
        <f>VLOOKUP(M572,Table1[#All],6,FALSE)</f>
        <v>Q3</v>
      </c>
      <c r="T572" s="79"/>
      <c r="U572" s="40" t="str">
        <f>VLOOKUP(M572,Table1[#All],7,FALSE)</f>
        <v>Q4</v>
      </c>
      <c r="V572" s="79"/>
      <c r="W572" s="40" t="str">
        <f>VLOOKUP(M572,Table1[#All],8,FALSE)</f>
        <v>Q5</v>
      </c>
      <c r="X572" s="79"/>
      <c r="Y572" s="44" t="str">
        <f>VLOOKUP(M572,Table1[#All],2,FALSE)</f>
        <v>Action</v>
      </c>
      <c r="Z572" s="59" t="str">
        <f>VLOOKUP(M572,Table1[#All],9,FALSE)</f>
        <v>Additional Notes:</v>
      </c>
      <c r="AA572" s="76"/>
      <c r="AB572" s="76"/>
      <c r="AC572" s="90" t="s">
        <v>91</v>
      </c>
      <c r="AD572" s="76" t="s">
        <v>91</v>
      </c>
      <c r="AE572" s="77"/>
      <c r="AF572" s="77"/>
      <c r="AG572" s="41" t="s">
        <v>91</v>
      </c>
    </row>
    <row r="573" spans="1:33" ht="21" hidden="1" x14ac:dyDescent="0.55000000000000004">
      <c r="A573" s="44" t="str">
        <f>Data!K572</f>
        <v>DPOW-CCHP</v>
      </c>
      <c r="B573" s="44" t="str">
        <f>Data!L572</f>
        <v>4143899880</v>
      </c>
      <c r="C573" s="44" t="str">
        <f>Data!D572</f>
        <v xml:space="preserve">Penkalski, Autumn </v>
      </c>
      <c r="D573" s="82" t="str">
        <f>Data!F572</f>
        <v>4436714748</v>
      </c>
      <c r="E573" s="82" t="str">
        <f>Data!B572</f>
        <v>7828</v>
      </c>
      <c r="F573" s="44" t="str">
        <f>Data!A572</f>
        <v xml:space="preserve">Penkalski, Autumn </v>
      </c>
      <c r="G573" s="55" t="str">
        <f>Data!C572</f>
        <v>8/29/2009</v>
      </c>
      <c r="H573" s="56">
        <f>Data!H572</f>
        <v>44447</v>
      </c>
      <c r="I573" s="56" t="str">
        <f>Data!I572</f>
        <v>9/15/2021</v>
      </c>
      <c r="J573" s="57">
        <f>Data!J572</f>
        <v>453.2</v>
      </c>
      <c r="K573" s="58">
        <f t="shared" ca="1" si="10"/>
        <v>246</v>
      </c>
      <c r="L573" s="58">
        <f>Data!M572</f>
        <v>0</v>
      </c>
      <c r="M573" s="37" t="s">
        <v>26</v>
      </c>
      <c r="N573" s="43" t="str">
        <f>VLOOKUP(M573,Table1[#All],3,FALSE)</f>
        <v>Note</v>
      </c>
      <c r="O573" s="40" t="str">
        <f>VLOOKUP(M573,Table1[#All],4,FALSE)</f>
        <v>Q1</v>
      </c>
      <c r="P573" s="39"/>
      <c r="Q573" s="40" t="str">
        <f>VLOOKUP(M573,Table1[#All],5,FALSE)</f>
        <v>Q2</v>
      </c>
      <c r="R573" s="79"/>
      <c r="S573" s="40" t="str">
        <f>VLOOKUP(M573,Table1[#All],6,FALSE)</f>
        <v>Q3</v>
      </c>
      <c r="T573" s="79"/>
      <c r="U573" s="40" t="str">
        <f>VLOOKUP(M573,Table1[#All],7,FALSE)</f>
        <v>Q4</v>
      </c>
      <c r="V573" s="79"/>
      <c r="W573" s="40" t="str">
        <f>VLOOKUP(M573,Table1[#All],8,FALSE)</f>
        <v>Q5</v>
      </c>
      <c r="X573" s="79"/>
      <c r="Y573" s="44" t="str">
        <f>VLOOKUP(M573,Table1[#All],2,FALSE)</f>
        <v>Action</v>
      </c>
      <c r="Z573" s="59" t="str">
        <f>VLOOKUP(M573,Table1[#All],9,FALSE)</f>
        <v>Additional Notes:</v>
      </c>
      <c r="AA573" s="76"/>
      <c r="AB573" s="76"/>
      <c r="AC573" s="90" t="s">
        <v>91</v>
      </c>
      <c r="AD573" s="76" t="s">
        <v>91</v>
      </c>
      <c r="AE573" s="77"/>
      <c r="AF573" s="77"/>
      <c r="AG573" s="41" t="s">
        <v>91</v>
      </c>
    </row>
    <row r="574" spans="1:33" ht="21" hidden="1" x14ac:dyDescent="0.55000000000000004">
      <c r="A574" s="44" t="str">
        <f>Data!K573</f>
        <v>DPOW-CCHP</v>
      </c>
      <c r="B574" s="44" t="str">
        <f>Data!L573</f>
        <v>4143899880</v>
      </c>
      <c r="C574" s="44" t="str">
        <f>Data!D573</f>
        <v>Tipton, Calarey</v>
      </c>
      <c r="D574" s="82" t="str">
        <f>Data!F573</f>
        <v>8448442181</v>
      </c>
      <c r="E574" s="82" t="str">
        <f>Data!B573</f>
        <v>7846</v>
      </c>
      <c r="F574" s="44" t="str">
        <f>Data!A573</f>
        <v>Tipton, Calarey</v>
      </c>
      <c r="G574" s="55" t="str">
        <f>Data!C573</f>
        <v>7/8/2007</v>
      </c>
      <c r="H574" s="56">
        <f>Data!H573</f>
        <v>44446</v>
      </c>
      <c r="I574" s="56" t="str">
        <f>Data!I573</f>
        <v>9/9/2021</v>
      </c>
      <c r="J574" s="57">
        <f>Data!J573</f>
        <v>846</v>
      </c>
      <c r="K574" s="58">
        <f t="shared" ca="1" si="10"/>
        <v>252</v>
      </c>
      <c r="L574" s="58">
        <f>Data!M573</f>
        <v>0</v>
      </c>
      <c r="M574" s="37" t="s">
        <v>26</v>
      </c>
      <c r="N574" s="43" t="str">
        <f>VLOOKUP(M574,Table1[#All],3,FALSE)</f>
        <v>Note</v>
      </c>
      <c r="O574" s="40" t="str">
        <f>VLOOKUP(M574,Table1[#All],4,FALSE)</f>
        <v>Q1</v>
      </c>
      <c r="P574" s="39"/>
      <c r="Q574" s="40" t="str">
        <f>VLOOKUP(M574,Table1[#All],5,FALSE)</f>
        <v>Q2</v>
      </c>
      <c r="R574" s="79"/>
      <c r="S574" s="40" t="str">
        <f>VLOOKUP(M574,Table1[#All],6,FALSE)</f>
        <v>Q3</v>
      </c>
      <c r="T574" s="79"/>
      <c r="U574" s="40" t="str">
        <f>VLOOKUP(M574,Table1[#All],7,FALSE)</f>
        <v>Q4</v>
      </c>
      <c r="V574" s="79"/>
      <c r="W574" s="40" t="str">
        <f>VLOOKUP(M574,Table1[#All],8,FALSE)</f>
        <v>Q5</v>
      </c>
      <c r="X574" s="79"/>
      <c r="Y574" s="44" t="str">
        <f>VLOOKUP(M574,Table1[#All],2,FALSE)</f>
        <v>Action</v>
      </c>
      <c r="Z574" s="59" t="str">
        <f>VLOOKUP(M574,Table1[#All],9,FALSE)</f>
        <v>Additional Notes:</v>
      </c>
      <c r="AA574" s="76"/>
      <c r="AB574" s="76"/>
      <c r="AC574" s="90" t="s">
        <v>91</v>
      </c>
      <c r="AD574" s="76" t="s">
        <v>91</v>
      </c>
      <c r="AE574" s="77"/>
      <c r="AF574" s="77"/>
      <c r="AG574" s="41" t="s">
        <v>91</v>
      </c>
    </row>
    <row r="575" spans="1:33" ht="21" hidden="1" x14ac:dyDescent="0.55000000000000004">
      <c r="A575" s="44" t="str">
        <f>Data!K574</f>
        <v>DPOW-CCHP</v>
      </c>
      <c r="B575" s="44" t="str">
        <f>Data!L574</f>
        <v>4143899880</v>
      </c>
      <c r="C575" s="44" t="str">
        <f>Data!D574</f>
        <v>Tipton, Calarey</v>
      </c>
      <c r="D575" s="82" t="str">
        <f>Data!F574</f>
        <v>8448442181</v>
      </c>
      <c r="E575" s="82" t="str">
        <f>Data!B574</f>
        <v>7846</v>
      </c>
      <c r="F575" s="44" t="str">
        <f>Data!A574</f>
        <v>Tipton, Calarey</v>
      </c>
      <c r="G575" s="55" t="str">
        <f>Data!C574</f>
        <v>7/8/2007</v>
      </c>
      <c r="H575" s="56">
        <f>Data!H574</f>
        <v>44446</v>
      </c>
      <c r="I575" s="56" t="str">
        <f>Data!I574</f>
        <v>9/9/2021</v>
      </c>
      <c r="J575" s="57">
        <f>Data!J574</f>
        <v>453.2</v>
      </c>
      <c r="K575" s="58">
        <f t="shared" ca="1" si="10"/>
        <v>252</v>
      </c>
      <c r="L575" s="58">
        <f>Data!M574</f>
        <v>0</v>
      </c>
      <c r="M575" s="37" t="s">
        <v>26</v>
      </c>
      <c r="N575" s="43" t="str">
        <f>VLOOKUP(M575,Table1[#All],3,FALSE)</f>
        <v>Note</v>
      </c>
      <c r="O575" s="40" t="str">
        <f>VLOOKUP(M575,Table1[#All],4,FALSE)</f>
        <v>Q1</v>
      </c>
      <c r="P575" s="39"/>
      <c r="Q575" s="40" t="str">
        <f>VLOOKUP(M575,Table1[#All],5,FALSE)</f>
        <v>Q2</v>
      </c>
      <c r="R575" s="79"/>
      <c r="S575" s="40" t="str">
        <f>VLOOKUP(M575,Table1[#All],6,FALSE)</f>
        <v>Q3</v>
      </c>
      <c r="T575" s="79"/>
      <c r="U575" s="40" t="str">
        <f>VLOOKUP(M575,Table1[#All],7,FALSE)</f>
        <v>Q4</v>
      </c>
      <c r="V575" s="79"/>
      <c r="W575" s="40" t="str">
        <f>VLOOKUP(M575,Table1[#All],8,FALSE)</f>
        <v>Q5</v>
      </c>
      <c r="X575" s="79"/>
      <c r="Y575" s="44" t="str">
        <f>VLOOKUP(M575,Table1[#All],2,FALSE)</f>
        <v>Action</v>
      </c>
      <c r="Z575" s="59" t="str">
        <f>VLOOKUP(M575,Table1[#All],9,FALSE)</f>
        <v>Additional Notes:</v>
      </c>
      <c r="AA575" s="76"/>
      <c r="AB575" s="76"/>
      <c r="AC575" s="90" t="s">
        <v>91</v>
      </c>
      <c r="AD575" s="76" t="s">
        <v>91</v>
      </c>
      <c r="AE575" s="77"/>
      <c r="AF575" s="77"/>
      <c r="AG575" s="41" t="s">
        <v>91</v>
      </c>
    </row>
    <row r="576" spans="1:33" ht="21" hidden="1" x14ac:dyDescent="0.55000000000000004">
      <c r="A576" s="44" t="str">
        <f>Data!K575</f>
        <v>DPOW-CCHP</v>
      </c>
      <c r="B576" s="44" t="str">
        <f>Data!L575</f>
        <v>4143899880</v>
      </c>
      <c r="C576" s="44" t="str">
        <f>Data!D575</f>
        <v xml:space="preserve">Keller , Nathan </v>
      </c>
      <c r="D576" s="82" t="str">
        <f>Data!F575</f>
        <v>1448656818</v>
      </c>
      <c r="E576" s="82" t="str">
        <f>Data!B575</f>
        <v>6368</v>
      </c>
      <c r="F576" s="44" t="str">
        <f>Data!A575</f>
        <v xml:space="preserve">Keller , Nathan </v>
      </c>
      <c r="G576" s="55" t="str">
        <f>Data!C575</f>
        <v>9/15/2015</v>
      </c>
      <c r="H576" s="56">
        <f>Data!H575</f>
        <v>44442</v>
      </c>
      <c r="I576" s="56" t="str">
        <f>Data!I575</f>
        <v>9/7/2021</v>
      </c>
      <c r="J576" s="57">
        <f>Data!J575</f>
        <v>316</v>
      </c>
      <c r="K576" s="58">
        <f t="shared" ca="1" si="10"/>
        <v>254</v>
      </c>
      <c r="L576" s="58">
        <f>Data!M575</f>
        <v>0</v>
      </c>
      <c r="M576" s="37" t="s">
        <v>26</v>
      </c>
      <c r="N576" s="43" t="str">
        <f>VLOOKUP(M576,Table1[#All],3,FALSE)</f>
        <v>Note</v>
      </c>
      <c r="O576" s="40" t="str">
        <f>VLOOKUP(M576,Table1[#All],4,FALSE)</f>
        <v>Q1</v>
      </c>
      <c r="P576" s="39"/>
      <c r="Q576" s="40" t="str">
        <f>VLOOKUP(M576,Table1[#All],5,FALSE)</f>
        <v>Q2</v>
      </c>
      <c r="R576" s="79"/>
      <c r="S576" s="40" t="str">
        <f>VLOOKUP(M576,Table1[#All],6,FALSE)</f>
        <v>Q3</v>
      </c>
      <c r="T576" s="79"/>
      <c r="U576" s="40" t="str">
        <f>VLOOKUP(M576,Table1[#All],7,FALSE)</f>
        <v>Q4</v>
      </c>
      <c r="V576" s="79"/>
      <c r="W576" s="40" t="str">
        <f>VLOOKUP(M576,Table1[#All],8,FALSE)</f>
        <v>Q5</v>
      </c>
      <c r="X576" s="79"/>
      <c r="Y576" s="44" t="str">
        <f>VLOOKUP(M576,Table1[#All],2,FALSE)</f>
        <v>Action</v>
      </c>
      <c r="Z576" s="59" t="str">
        <f>VLOOKUP(M576,Table1[#All],9,FALSE)</f>
        <v>Additional Notes:</v>
      </c>
      <c r="AA576" s="76"/>
      <c r="AB576" s="76"/>
      <c r="AC576" s="90" t="s">
        <v>91</v>
      </c>
      <c r="AD576" s="76" t="s">
        <v>91</v>
      </c>
      <c r="AE576" s="77"/>
      <c r="AF576" s="77"/>
      <c r="AG576" s="41" t="s">
        <v>91</v>
      </c>
    </row>
    <row r="577" spans="1:33" ht="21" hidden="1" x14ac:dyDescent="0.55000000000000004">
      <c r="A577" s="44" t="str">
        <f>Data!K576</f>
        <v>DPOW-CCHP</v>
      </c>
      <c r="B577" s="44" t="str">
        <f>Data!L576</f>
        <v>4143899880</v>
      </c>
      <c r="C577" s="44" t="str">
        <f>Data!D576</f>
        <v xml:space="preserve">Brown , Shirley </v>
      </c>
      <c r="D577" s="82" t="str">
        <f>Data!F576</f>
        <v>2425769226</v>
      </c>
      <c r="E577" s="82" t="str">
        <f>Data!B576</f>
        <v>5670</v>
      </c>
      <c r="F577" s="44" t="str">
        <f>Data!A576</f>
        <v xml:space="preserve">Brown , Shirley </v>
      </c>
      <c r="G577" s="55" t="str">
        <f>Data!C576</f>
        <v>4/8/1980</v>
      </c>
      <c r="H577" s="56">
        <f>Data!H576</f>
        <v>44439</v>
      </c>
      <c r="I577" s="56" t="str">
        <f>Data!I576</f>
        <v>9/1/2021</v>
      </c>
      <c r="J577" s="57">
        <f>Data!J576</f>
        <v>61.2</v>
      </c>
      <c r="K577" s="58">
        <f t="shared" ca="1" si="10"/>
        <v>260</v>
      </c>
      <c r="L577" s="58">
        <f>Data!M576</f>
        <v>0</v>
      </c>
      <c r="M577" s="37" t="s">
        <v>26</v>
      </c>
      <c r="N577" s="43" t="str">
        <f>VLOOKUP(M577,Table1[#All],3,FALSE)</f>
        <v>Note</v>
      </c>
      <c r="O577" s="40" t="str">
        <f>VLOOKUP(M577,Table1[#All],4,FALSE)</f>
        <v>Q1</v>
      </c>
      <c r="P577" s="39"/>
      <c r="Q577" s="40" t="str">
        <f>VLOOKUP(M577,Table1[#All],5,FALSE)</f>
        <v>Q2</v>
      </c>
      <c r="R577" s="79"/>
      <c r="S577" s="40" t="str">
        <f>VLOOKUP(M577,Table1[#All],6,FALSE)</f>
        <v>Q3</v>
      </c>
      <c r="T577" s="79"/>
      <c r="U577" s="40" t="str">
        <f>VLOOKUP(M577,Table1[#All],7,FALSE)</f>
        <v>Q4</v>
      </c>
      <c r="V577" s="79"/>
      <c r="W577" s="40" t="str">
        <f>VLOOKUP(M577,Table1[#All],8,FALSE)</f>
        <v>Q5</v>
      </c>
      <c r="X577" s="79"/>
      <c r="Y577" s="44" t="str">
        <f>VLOOKUP(M577,Table1[#All],2,FALSE)</f>
        <v>Action</v>
      </c>
      <c r="Z577" s="59" t="str">
        <f>VLOOKUP(M577,Table1[#All],9,FALSE)</f>
        <v>Additional Notes:</v>
      </c>
      <c r="AA577" s="76"/>
      <c r="AB577" s="76"/>
      <c r="AC577" s="90" t="s">
        <v>91</v>
      </c>
      <c r="AD577" s="76" t="s">
        <v>91</v>
      </c>
      <c r="AE577" s="77"/>
      <c r="AF577" s="77"/>
      <c r="AG577" s="41" t="s">
        <v>91</v>
      </c>
    </row>
    <row r="578" spans="1:33" ht="21" hidden="1" x14ac:dyDescent="0.55000000000000004">
      <c r="A578" s="44" t="str">
        <f>Data!K577</f>
        <v>DPOW-CCHP</v>
      </c>
      <c r="B578" s="44" t="str">
        <f>Data!L577</f>
        <v>4143899880</v>
      </c>
      <c r="C578" s="44" t="str">
        <f>Data!D577</f>
        <v xml:space="preserve">Mueller , Aubrey </v>
      </c>
      <c r="D578" s="82" t="str">
        <f>Data!F577</f>
        <v>1443810614</v>
      </c>
      <c r="E578" s="82" t="str">
        <f>Data!B577</f>
        <v>4621</v>
      </c>
      <c r="F578" s="44" t="str">
        <f>Data!A577</f>
        <v xml:space="preserve">Mueller , Aubrey </v>
      </c>
      <c r="G578" s="55" t="str">
        <f>Data!C577</f>
        <v>10/9/2012</v>
      </c>
      <c r="H578" s="56">
        <f>Data!H577</f>
        <v>44435</v>
      </c>
      <c r="I578" s="56" t="str">
        <f>Data!I577</f>
        <v>8/30/2021</v>
      </c>
      <c r="J578" s="57">
        <f>Data!J577</f>
        <v>196.8</v>
      </c>
      <c r="K578" s="58">
        <f t="shared" ca="1" si="10"/>
        <v>262</v>
      </c>
      <c r="L578" s="58">
        <f>Data!M577</f>
        <v>0</v>
      </c>
      <c r="M578" s="37" t="s">
        <v>26</v>
      </c>
      <c r="N578" s="43" t="str">
        <f>VLOOKUP(M578,Table1[#All],3,FALSE)</f>
        <v>Note</v>
      </c>
      <c r="O578" s="40" t="str">
        <f>VLOOKUP(M578,Table1[#All],4,FALSE)</f>
        <v>Q1</v>
      </c>
      <c r="P578" s="39"/>
      <c r="Q578" s="40" t="str">
        <f>VLOOKUP(M578,Table1[#All],5,FALSE)</f>
        <v>Q2</v>
      </c>
      <c r="R578" s="79"/>
      <c r="S578" s="40" t="str">
        <f>VLOOKUP(M578,Table1[#All],6,FALSE)</f>
        <v>Q3</v>
      </c>
      <c r="T578" s="79"/>
      <c r="U578" s="40" t="str">
        <f>VLOOKUP(M578,Table1[#All],7,FALSE)</f>
        <v>Q4</v>
      </c>
      <c r="V578" s="79"/>
      <c r="W578" s="40" t="str">
        <f>VLOOKUP(M578,Table1[#All],8,FALSE)</f>
        <v>Q5</v>
      </c>
      <c r="X578" s="79"/>
      <c r="Y578" s="44" t="str">
        <f>VLOOKUP(M578,Table1[#All],2,FALSE)</f>
        <v>Action</v>
      </c>
      <c r="Z578" s="59" t="str">
        <f>VLOOKUP(M578,Table1[#All],9,FALSE)</f>
        <v>Additional Notes:</v>
      </c>
      <c r="AA578" s="76"/>
      <c r="AB578" s="76"/>
      <c r="AC578" s="90" t="s">
        <v>91</v>
      </c>
      <c r="AD578" s="76" t="s">
        <v>91</v>
      </c>
      <c r="AE578" s="77"/>
      <c r="AF578" s="77"/>
      <c r="AG578" s="41" t="s">
        <v>91</v>
      </c>
    </row>
    <row r="579" spans="1:33" ht="21" hidden="1" x14ac:dyDescent="0.55000000000000004">
      <c r="A579" s="44" t="str">
        <f>Data!K578</f>
        <v>DPOW-CCHP</v>
      </c>
      <c r="B579" s="44" t="str">
        <f>Data!L578</f>
        <v>4143899880</v>
      </c>
      <c r="C579" s="44" t="str">
        <f>Data!D578</f>
        <v xml:space="preserve">Petersen, Christian </v>
      </c>
      <c r="D579" s="82" t="str">
        <f>Data!F578</f>
        <v>9447685790</v>
      </c>
      <c r="E579" s="82" t="str">
        <f>Data!B578</f>
        <v>797</v>
      </c>
      <c r="F579" s="44" t="str">
        <f>Data!A578</f>
        <v xml:space="preserve">Petersen, Christian </v>
      </c>
      <c r="G579" s="55" t="str">
        <f>Data!C578</f>
        <v>9/9/2014</v>
      </c>
      <c r="H579" s="56">
        <f>Data!H578</f>
        <v>44434</v>
      </c>
      <c r="I579" s="56" t="str">
        <f>Data!I578</f>
        <v>8/30/2021</v>
      </c>
      <c r="J579" s="57">
        <f>Data!J578</f>
        <v>278.39999999999998</v>
      </c>
      <c r="K579" s="58">
        <f t="shared" ca="1" si="10"/>
        <v>262</v>
      </c>
      <c r="L579" s="58">
        <f>Data!M578</f>
        <v>0</v>
      </c>
      <c r="M579" s="37" t="s">
        <v>26</v>
      </c>
      <c r="N579" s="43" t="str">
        <f>VLOOKUP(M579,Table1[#All],3,FALSE)</f>
        <v>Note</v>
      </c>
      <c r="O579" s="40" t="str">
        <f>VLOOKUP(M579,Table1[#All],4,FALSE)</f>
        <v>Q1</v>
      </c>
      <c r="P579" s="39"/>
      <c r="Q579" s="40" t="str">
        <f>VLOOKUP(M579,Table1[#All],5,FALSE)</f>
        <v>Q2</v>
      </c>
      <c r="R579" s="79"/>
      <c r="S579" s="40" t="str">
        <f>VLOOKUP(M579,Table1[#All],6,FALSE)</f>
        <v>Q3</v>
      </c>
      <c r="T579" s="79"/>
      <c r="U579" s="40" t="str">
        <f>VLOOKUP(M579,Table1[#All],7,FALSE)</f>
        <v>Q4</v>
      </c>
      <c r="V579" s="79"/>
      <c r="W579" s="40" t="str">
        <f>VLOOKUP(M579,Table1[#All],8,FALSE)</f>
        <v>Q5</v>
      </c>
      <c r="X579" s="79"/>
      <c r="Y579" s="44" t="str">
        <f>VLOOKUP(M579,Table1[#All],2,FALSE)</f>
        <v>Action</v>
      </c>
      <c r="Z579" s="59" t="str">
        <f>VLOOKUP(M579,Table1[#All],9,FALSE)</f>
        <v>Additional Notes:</v>
      </c>
      <c r="AA579" s="76"/>
      <c r="AB579" s="76"/>
      <c r="AC579" s="90" t="s">
        <v>91</v>
      </c>
      <c r="AD579" s="76" t="s">
        <v>91</v>
      </c>
      <c r="AE579" s="77"/>
      <c r="AF579" s="77"/>
      <c r="AG579" s="41" t="s">
        <v>91</v>
      </c>
    </row>
    <row r="580" spans="1:33" ht="21" hidden="1" x14ac:dyDescent="0.55000000000000004">
      <c r="A580" s="44" t="str">
        <f>Data!K579</f>
        <v>DPOW-CCHP</v>
      </c>
      <c r="B580" s="44" t="str">
        <f>Data!L579</f>
        <v>4143899880</v>
      </c>
      <c r="C580" s="44" t="str">
        <f>Data!D579</f>
        <v>Mueller , Abigail</v>
      </c>
      <c r="D580" s="82" t="str">
        <f>Data!F579</f>
        <v>3449842935</v>
      </c>
      <c r="E580" s="82" t="str">
        <f>Data!B579</f>
        <v>4622</v>
      </c>
      <c r="F580" s="44" t="str">
        <f>Data!A579</f>
        <v>Mueller , Abigail</v>
      </c>
      <c r="G580" s="55" t="str">
        <f>Data!C579</f>
        <v>5/8/2016</v>
      </c>
      <c r="H580" s="56">
        <f>Data!H579</f>
        <v>44433</v>
      </c>
      <c r="I580" s="56" t="str">
        <f>Data!I579</f>
        <v>8/30/2021</v>
      </c>
      <c r="J580" s="57">
        <f>Data!J579</f>
        <v>180</v>
      </c>
      <c r="K580" s="58">
        <f t="shared" ca="1" si="10"/>
        <v>262</v>
      </c>
      <c r="L580" s="58">
        <f>Data!M579</f>
        <v>0</v>
      </c>
      <c r="M580" s="37" t="s">
        <v>26</v>
      </c>
      <c r="N580" s="43" t="str">
        <f>VLOOKUP(M580,Table1[#All],3,FALSE)</f>
        <v>Note</v>
      </c>
      <c r="O580" s="40" t="str">
        <f>VLOOKUP(M580,Table1[#All],4,FALSE)</f>
        <v>Q1</v>
      </c>
      <c r="P580" s="39"/>
      <c r="Q580" s="40" t="str">
        <f>VLOOKUP(M580,Table1[#All],5,FALSE)</f>
        <v>Q2</v>
      </c>
      <c r="R580" s="79"/>
      <c r="S580" s="40" t="str">
        <f>VLOOKUP(M580,Table1[#All],6,FALSE)</f>
        <v>Q3</v>
      </c>
      <c r="T580" s="79"/>
      <c r="U580" s="40" t="str">
        <f>VLOOKUP(M580,Table1[#All],7,FALSE)</f>
        <v>Q4</v>
      </c>
      <c r="V580" s="79"/>
      <c r="W580" s="40" t="str">
        <f>VLOOKUP(M580,Table1[#All],8,FALSE)</f>
        <v>Q5</v>
      </c>
      <c r="X580" s="79"/>
      <c r="Y580" s="44" t="str">
        <f>VLOOKUP(M580,Table1[#All],2,FALSE)</f>
        <v>Action</v>
      </c>
      <c r="Z580" s="59" t="str">
        <f>VLOOKUP(M580,Table1[#All],9,FALSE)</f>
        <v>Additional Notes:</v>
      </c>
      <c r="AA580" s="76"/>
      <c r="AB580" s="76"/>
      <c r="AC580" s="90" t="s">
        <v>91</v>
      </c>
      <c r="AD580" s="76" t="s">
        <v>91</v>
      </c>
      <c r="AE580" s="77"/>
      <c r="AF580" s="77"/>
      <c r="AG580" s="41" t="s">
        <v>91</v>
      </c>
    </row>
    <row r="581" spans="1:33" ht="21" hidden="1" x14ac:dyDescent="0.55000000000000004">
      <c r="A581" s="44" t="str">
        <f>Data!K580</f>
        <v>DPOW-CCHP</v>
      </c>
      <c r="B581" s="44" t="str">
        <f>Data!L580</f>
        <v>4143899880</v>
      </c>
      <c r="C581" s="44" t="str">
        <f>Data!D580</f>
        <v xml:space="preserve">Wallace , Abel </v>
      </c>
      <c r="D581" s="82" t="str">
        <f>Data!F580</f>
        <v>4417495742</v>
      </c>
      <c r="E581" s="82" t="str">
        <f>Data!B580</f>
        <v>7478</v>
      </c>
      <c r="F581" s="44" t="str">
        <f>Data!A580</f>
        <v xml:space="preserve">Wallace , Abel </v>
      </c>
      <c r="G581" s="55" t="str">
        <f>Data!C580</f>
        <v>11/1/1997</v>
      </c>
      <c r="H581" s="56">
        <f>Data!H580</f>
        <v>44431</v>
      </c>
      <c r="I581" s="56" t="str">
        <f>Data!I580</f>
        <v>8/23/2021</v>
      </c>
      <c r="J581" s="57">
        <f>Data!J580</f>
        <v>432</v>
      </c>
      <c r="K581" s="58">
        <f t="shared" ca="1" si="10"/>
        <v>269</v>
      </c>
      <c r="L581" s="58">
        <f>Data!M580</f>
        <v>0</v>
      </c>
      <c r="M581" s="37" t="s">
        <v>26</v>
      </c>
      <c r="N581" s="43" t="str">
        <f>VLOOKUP(M581,Table1[#All],3,FALSE)</f>
        <v>Note</v>
      </c>
      <c r="O581" s="40" t="str">
        <f>VLOOKUP(M581,Table1[#All],4,FALSE)</f>
        <v>Q1</v>
      </c>
      <c r="P581" s="39"/>
      <c r="Q581" s="40" t="str">
        <f>VLOOKUP(M581,Table1[#All],5,FALSE)</f>
        <v>Q2</v>
      </c>
      <c r="R581" s="79"/>
      <c r="S581" s="40" t="str">
        <f>VLOOKUP(M581,Table1[#All],6,FALSE)</f>
        <v>Q3</v>
      </c>
      <c r="T581" s="79"/>
      <c r="U581" s="40" t="str">
        <f>VLOOKUP(M581,Table1[#All],7,FALSE)</f>
        <v>Q4</v>
      </c>
      <c r="V581" s="79"/>
      <c r="W581" s="40" t="str">
        <f>VLOOKUP(M581,Table1[#All],8,FALSE)</f>
        <v>Q5</v>
      </c>
      <c r="X581" s="79"/>
      <c r="Y581" s="44" t="str">
        <f>VLOOKUP(M581,Table1[#All],2,FALSE)</f>
        <v>Action</v>
      </c>
      <c r="Z581" s="59" t="str">
        <f>VLOOKUP(M581,Table1[#All],9,FALSE)</f>
        <v>Additional Notes:</v>
      </c>
      <c r="AA581" s="76"/>
      <c r="AB581" s="76"/>
      <c r="AC581" s="90" t="s">
        <v>91</v>
      </c>
      <c r="AD581" s="76" t="s">
        <v>91</v>
      </c>
      <c r="AE581" s="77"/>
      <c r="AF581" s="77"/>
      <c r="AG581" s="41" t="s">
        <v>91</v>
      </c>
    </row>
    <row r="582" spans="1:33" ht="21" hidden="1" x14ac:dyDescent="0.55000000000000004">
      <c r="A582" s="44" t="str">
        <f>Data!K581</f>
        <v>DPOW-CCHP</v>
      </c>
      <c r="B582" s="44" t="str">
        <f>Data!L581</f>
        <v>4143899880</v>
      </c>
      <c r="C582" s="44" t="str">
        <f>Data!D581</f>
        <v>BARRERA, NATALIE</v>
      </c>
      <c r="D582" s="82" t="str">
        <f>Data!F581</f>
        <v>2423596324</v>
      </c>
      <c r="E582" s="82" t="str">
        <f>Data!B581</f>
        <v>4266</v>
      </c>
      <c r="F582" s="44" t="str">
        <f>Data!A581</f>
        <v>BARRERA, NATALIE</v>
      </c>
      <c r="G582" s="55" t="str">
        <f>Data!C581</f>
        <v>12/17/1989</v>
      </c>
      <c r="H582" s="56">
        <f>Data!H581</f>
        <v>44410</v>
      </c>
      <c r="I582" s="56" t="str">
        <f>Data!I581</f>
        <v>8/6/2021</v>
      </c>
      <c r="J582" s="57">
        <f>Data!J581</f>
        <v>216</v>
      </c>
      <c r="K582" s="58">
        <f t="shared" ca="1" si="10"/>
        <v>286</v>
      </c>
      <c r="L582" s="58">
        <f>Data!M581</f>
        <v>0</v>
      </c>
      <c r="M582" s="37" t="s">
        <v>26</v>
      </c>
      <c r="N582" s="43" t="str">
        <f>VLOOKUP(M582,Table1[#All],3,FALSE)</f>
        <v>Note</v>
      </c>
      <c r="O582" s="40" t="str">
        <f>VLOOKUP(M582,Table1[#All],4,FALSE)</f>
        <v>Q1</v>
      </c>
      <c r="P582" s="39"/>
      <c r="Q582" s="40" t="str">
        <f>VLOOKUP(M582,Table1[#All],5,FALSE)</f>
        <v>Q2</v>
      </c>
      <c r="R582" s="79"/>
      <c r="S582" s="40" t="str">
        <f>VLOOKUP(M582,Table1[#All],6,FALSE)</f>
        <v>Q3</v>
      </c>
      <c r="T582" s="79"/>
      <c r="U582" s="40" t="str">
        <f>VLOOKUP(M582,Table1[#All],7,FALSE)</f>
        <v>Q4</v>
      </c>
      <c r="V582" s="79"/>
      <c r="W582" s="40" t="str">
        <f>VLOOKUP(M582,Table1[#All],8,FALSE)</f>
        <v>Q5</v>
      </c>
      <c r="X582" s="79"/>
      <c r="Y582" s="44" t="str">
        <f>VLOOKUP(M582,Table1[#All],2,FALSE)</f>
        <v>Action</v>
      </c>
      <c r="Z582" s="59" t="str">
        <f>VLOOKUP(M582,Table1[#All],9,FALSE)</f>
        <v>Additional Notes:</v>
      </c>
      <c r="AA582" s="76"/>
      <c r="AB582" s="76"/>
      <c r="AC582" s="90" t="s">
        <v>91</v>
      </c>
      <c r="AD582" s="76" t="s">
        <v>91</v>
      </c>
      <c r="AE582" s="77"/>
      <c r="AF582" s="77"/>
      <c r="AG582" s="41" t="s">
        <v>91</v>
      </c>
    </row>
    <row r="583" spans="1:33" ht="21" hidden="1" x14ac:dyDescent="0.55000000000000004">
      <c r="A583" s="44" t="str">
        <f>Data!K582</f>
        <v>DPOW-CCHP</v>
      </c>
      <c r="B583" s="44" t="str">
        <f>Data!L582</f>
        <v>4143899880</v>
      </c>
      <c r="C583" s="44" t="str">
        <f>Data!D582</f>
        <v xml:space="preserve">Sang Nai , Ah Pong </v>
      </c>
      <c r="D583" s="82" t="str">
        <f>Data!F582</f>
        <v>1452713511</v>
      </c>
      <c r="E583" s="82" t="str">
        <f>Data!B582</f>
        <v>7394</v>
      </c>
      <c r="F583" s="44" t="str">
        <f>Data!A582</f>
        <v xml:space="preserve">Sang Nai , Ah Pong </v>
      </c>
      <c r="G583" s="55" t="str">
        <f>Data!C582</f>
        <v>3/29/1987</v>
      </c>
      <c r="H583" s="56">
        <f>Data!H582</f>
        <v>44407</v>
      </c>
      <c r="I583" s="56" t="str">
        <f>Data!I582</f>
        <v>8/6/2021</v>
      </c>
      <c r="J583" s="57">
        <f>Data!J582</f>
        <v>540</v>
      </c>
      <c r="K583" s="58">
        <f t="shared" ca="1" si="10"/>
        <v>286</v>
      </c>
      <c r="L583" s="58">
        <f>Data!M582</f>
        <v>0</v>
      </c>
      <c r="M583" s="37" t="s">
        <v>26</v>
      </c>
      <c r="N583" s="43" t="str">
        <f>VLOOKUP(M583,Table1[#All],3,FALSE)</f>
        <v>Note</v>
      </c>
      <c r="O583" s="40" t="str">
        <f>VLOOKUP(M583,Table1[#All],4,FALSE)</f>
        <v>Q1</v>
      </c>
      <c r="P583" s="39"/>
      <c r="Q583" s="40" t="str">
        <f>VLOOKUP(M583,Table1[#All],5,FALSE)</f>
        <v>Q2</v>
      </c>
      <c r="R583" s="79"/>
      <c r="S583" s="40" t="str">
        <f>VLOOKUP(M583,Table1[#All],6,FALSE)</f>
        <v>Q3</v>
      </c>
      <c r="T583" s="79"/>
      <c r="U583" s="40" t="str">
        <f>VLOOKUP(M583,Table1[#All],7,FALSE)</f>
        <v>Q4</v>
      </c>
      <c r="V583" s="79"/>
      <c r="W583" s="40" t="str">
        <f>VLOOKUP(M583,Table1[#All],8,FALSE)</f>
        <v>Q5</v>
      </c>
      <c r="X583" s="79"/>
      <c r="Y583" s="44" t="str">
        <f>VLOOKUP(M583,Table1[#All],2,FALSE)</f>
        <v>Action</v>
      </c>
      <c r="Z583" s="59" t="str">
        <f>VLOOKUP(M583,Table1[#All],9,FALSE)</f>
        <v>Additional Notes:</v>
      </c>
      <c r="AA583" s="76"/>
      <c r="AB583" s="76"/>
      <c r="AC583" s="90" t="s">
        <v>91</v>
      </c>
      <c r="AD583" s="76" t="s">
        <v>91</v>
      </c>
      <c r="AE583" s="77"/>
      <c r="AF583" s="77"/>
      <c r="AG583" s="41" t="s">
        <v>91</v>
      </c>
    </row>
    <row r="584" spans="1:33" ht="21" hidden="1" x14ac:dyDescent="0.55000000000000004">
      <c r="A584" s="44" t="str">
        <f>Data!K583</f>
        <v>DPOW-CCHP</v>
      </c>
      <c r="B584" s="44" t="str">
        <f>Data!L583</f>
        <v>4143899880</v>
      </c>
      <c r="C584" s="44" t="str">
        <f>Data!D583</f>
        <v xml:space="preserve">ST. ONGE, MEGHAN </v>
      </c>
      <c r="D584" s="82" t="str">
        <f>Data!F583</f>
        <v>7436723979</v>
      </c>
      <c r="E584" s="82" t="str">
        <f>Data!B583</f>
        <v>3817</v>
      </c>
      <c r="F584" s="44" t="str">
        <f>Data!A583</f>
        <v xml:space="preserve">ST. ONGE, MEGHAN </v>
      </c>
      <c r="G584" s="55" t="str">
        <f>Data!C583</f>
        <v>7/12/1992</v>
      </c>
      <c r="H584" s="56">
        <f>Data!H583</f>
        <v>44407</v>
      </c>
      <c r="I584" s="56" t="str">
        <f>Data!I583</f>
        <v>8/6/2021</v>
      </c>
      <c r="J584" s="57">
        <f>Data!J583</f>
        <v>61.2</v>
      </c>
      <c r="K584" s="58">
        <f t="shared" ca="1" si="10"/>
        <v>286</v>
      </c>
      <c r="L584" s="58">
        <f>Data!M583</f>
        <v>0</v>
      </c>
      <c r="M584" s="37" t="s">
        <v>26</v>
      </c>
      <c r="N584" s="43" t="str">
        <f>VLOOKUP(M584,Table1[#All],3,FALSE)</f>
        <v>Note</v>
      </c>
      <c r="O584" s="40" t="str">
        <f>VLOOKUP(M584,Table1[#All],4,FALSE)</f>
        <v>Q1</v>
      </c>
      <c r="P584" s="39"/>
      <c r="Q584" s="40" t="str">
        <f>VLOOKUP(M584,Table1[#All],5,FALSE)</f>
        <v>Q2</v>
      </c>
      <c r="R584" s="79"/>
      <c r="S584" s="40" t="str">
        <f>VLOOKUP(M584,Table1[#All],6,FALSE)</f>
        <v>Q3</v>
      </c>
      <c r="T584" s="79"/>
      <c r="U584" s="40" t="str">
        <f>VLOOKUP(M584,Table1[#All],7,FALSE)</f>
        <v>Q4</v>
      </c>
      <c r="V584" s="79"/>
      <c r="W584" s="40" t="str">
        <f>VLOOKUP(M584,Table1[#All],8,FALSE)</f>
        <v>Q5</v>
      </c>
      <c r="X584" s="79"/>
      <c r="Y584" s="44" t="str">
        <f>VLOOKUP(M584,Table1[#All],2,FALSE)</f>
        <v>Action</v>
      </c>
      <c r="Z584" s="59" t="str">
        <f>VLOOKUP(M584,Table1[#All],9,FALSE)</f>
        <v>Additional Notes:</v>
      </c>
      <c r="AA584" s="76"/>
      <c r="AB584" s="76"/>
      <c r="AC584" s="90" t="s">
        <v>91</v>
      </c>
      <c r="AD584" s="76" t="s">
        <v>91</v>
      </c>
      <c r="AE584" s="77"/>
      <c r="AF584" s="77"/>
      <c r="AG584" s="41" t="s">
        <v>91</v>
      </c>
    </row>
    <row r="585" spans="1:33" ht="21" hidden="1" x14ac:dyDescent="0.55000000000000004">
      <c r="A585" s="44" t="str">
        <f>Data!K584</f>
        <v>DPOW-CCHP</v>
      </c>
      <c r="B585" s="44" t="str">
        <f>Data!L584</f>
        <v>4143899880</v>
      </c>
      <c r="C585" s="44" t="str">
        <f>Data!D584</f>
        <v xml:space="preserve">Mahmood , Rehan </v>
      </c>
      <c r="D585" s="82" t="str">
        <f>Data!F584</f>
        <v>9416231690</v>
      </c>
      <c r="E585" s="82" t="str">
        <f>Data!B584</f>
        <v>7240</v>
      </c>
      <c r="F585" s="44" t="str">
        <f>Data!A584</f>
        <v xml:space="preserve">Mahmood , Rehan </v>
      </c>
      <c r="G585" s="55" t="str">
        <f>Data!C584</f>
        <v>12/11/1988</v>
      </c>
      <c r="H585" s="56">
        <f>Data!H584</f>
        <v>44406</v>
      </c>
      <c r="I585" s="56" t="str">
        <f>Data!I584</f>
        <v>8/6/2021</v>
      </c>
      <c r="J585" s="57">
        <f>Data!J584</f>
        <v>162</v>
      </c>
      <c r="K585" s="58">
        <f t="shared" ca="1" si="10"/>
        <v>286</v>
      </c>
      <c r="L585" s="58">
        <f>Data!M584</f>
        <v>0</v>
      </c>
      <c r="M585" s="37" t="s">
        <v>26</v>
      </c>
      <c r="N585" s="43" t="str">
        <f>VLOOKUP(M585,Table1[#All],3,FALSE)</f>
        <v>Note</v>
      </c>
      <c r="O585" s="40" t="str">
        <f>VLOOKUP(M585,Table1[#All],4,FALSE)</f>
        <v>Q1</v>
      </c>
      <c r="P585" s="39"/>
      <c r="Q585" s="40" t="str">
        <f>VLOOKUP(M585,Table1[#All],5,FALSE)</f>
        <v>Q2</v>
      </c>
      <c r="R585" s="79"/>
      <c r="S585" s="40" t="str">
        <f>VLOOKUP(M585,Table1[#All],6,FALSE)</f>
        <v>Q3</v>
      </c>
      <c r="T585" s="79"/>
      <c r="U585" s="40" t="str">
        <f>VLOOKUP(M585,Table1[#All],7,FALSE)</f>
        <v>Q4</v>
      </c>
      <c r="V585" s="79"/>
      <c r="W585" s="40" t="str">
        <f>VLOOKUP(M585,Table1[#All],8,FALSE)</f>
        <v>Q5</v>
      </c>
      <c r="X585" s="79"/>
      <c r="Y585" s="44" t="str">
        <f>VLOOKUP(M585,Table1[#All],2,FALSE)</f>
        <v>Action</v>
      </c>
      <c r="Z585" s="59" t="str">
        <f>VLOOKUP(M585,Table1[#All],9,FALSE)</f>
        <v>Additional Notes:</v>
      </c>
      <c r="AA585" s="76"/>
      <c r="AB585" s="76"/>
      <c r="AC585" s="90" t="s">
        <v>91</v>
      </c>
      <c r="AD585" s="76" t="s">
        <v>91</v>
      </c>
      <c r="AE585" s="77"/>
      <c r="AF585" s="77"/>
      <c r="AG585" s="41" t="s">
        <v>91</v>
      </c>
    </row>
    <row r="586" spans="1:33" ht="21" hidden="1" x14ac:dyDescent="0.55000000000000004">
      <c r="A586" s="44" t="str">
        <f>Data!K585</f>
        <v>DPOW-CCHP</v>
      </c>
      <c r="B586" s="44" t="str">
        <f>Data!L585</f>
        <v>4143899880</v>
      </c>
      <c r="C586" s="44" t="str">
        <f>Data!D585</f>
        <v xml:space="preserve">Fowler, Samantha </v>
      </c>
      <c r="D586" s="82" t="str">
        <f>Data!F585</f>
        <v>6408453767</v>
      </c>
      <c r="E586" s="82" t="str">
        <f>Data!B585</f>
        <v>6108</v>
      </c>
      <c r="F586" s="44" t="str">
        <f>Data!A585</f>
        <v xml:space="preserve">Fowler, Samantha </v>
      </c>
      <c r="G586" s="55" t="str">
        <f>Data!C585</f>
        <v>1/9/1987</v>
      </c>
      <c r="H586" s="56">
        <f>Data!H585</f>
        <v>44396</v>
      </c>
      <c r="I586" s="56" t="str">
        <f>Data!I585</f>
        <v>7/26/2021</v>
      </c>
      <c r="J586" s="57">
        <f>Data!J585</f>
        <v>333.6</v>
      </c>
      <c r="K586" s="58">
        <f t="shared" ca="1" si="10"/>
        <v>297</v>
      </c>
      <c r="L586" s="58">
        <f>Data!M585</f>
        <v>0</v>
      </c>
      <c r="M586" s="37" t="s">
        <v>26</v>
      </c>
      <c r="N586" s="43" t="str">
        <f>VLOOKUP(M586,Table1[#All],3,FALSE)</f>
        <v>Note</v>
      </c>
      <c r="O586" s="40" t="str">
        <f>VLOOKUP(M586,Table1[#All],4,FALSE)</f>
        <v>Q1</v>
      </c>
      <c r="P586" s="39"/>
      <c r="Q586" s="40" t="str">
        <f>VLOOKUP(M586,Table1[#All],5,FALSE)</f>
        <v>Q2</v>
      </c>
      <c r="R586" s="79"/>
      <c r="S586" s="40" t="str">
        <f>VLOOKUP(M586,Table1[#All],6,FALSE)</f>
        <v>Q3</v>
      </c>
      <c r="T586" s="79"/>
      <c r="U586" s="40" t="str">
        <f>VLOOKUP(M586,Table1[#All],7,FALSE)</f>
        <v>Q4</v>
      </c>
      <c r="V586" s="79"/>
      <c r="W586" s="40" t="str">
        <f>VLOOKUP(M586,Table1[#All],8,FALSE)</f>
        <v>Q5</v>
      </c>
      <c r="X586" s="79"/>
      <c r="Y586" s="44" t="str">
        <f>VLOOKUP(M586,Table1[#All],2,FALSE)</f>
        <v>Action</v>
      </c>
      <c r="Z586" s="59" t="str">
        <f>VLOOKUP(M586,Table1[#All],9,FALSE)</f>
        <v>Additional Notes:</v>
      </c>
      <c r="AA586" s="76"/>
      <c r="AB586" s="76"/>
      <c r="AC586" s="90" t="s">
        <v>91</v>
      </c>
      <c r="AD586" s="76" t="s">
        <v>91</v>
      </c>
      <c r="AE586" s="77"/>
      <c r="AF586" s="77"/>
      <c r="AG586" s="41" t="s">
        <v>91</v>
      </c>
    </row>
    <row r="587" spans="1:33" ht="21" hidden="1" x14ac:dyDescent="0.55000000000000004">
      <c r="A587" s="44" t="str">
        <f>Data!K586</f>
        <v>DPOW-CCHP</v>
      </c>
      <c r="B587" s="44" t="str">
        <f>Data!L586</f>
        <v>4143899880</v>
      </c>
      <c r="C587" s="44" t="str">
        <f>Data!D586</f>
        <v>Cruz , Uriel</v>
      </c>
      <c r="D587" s="82" t="str">
        <f>Data!F586</f>
        <v>7449462079</v>
      </c>
      <c r="E587" s="82" t="str">
        <f>Data!B586</f>
        <v>7032</v>
      </c>
      <c r="F587" s="44" t="str">
        <f>Data!A586</f>
        <v>Cruz , Uriel</v>
      </c>
      <c r="G587" s="55" t="str">
        <f>Data!C586</f>
        <v>2/11/2016</v>
      </c>
      <c r="H587" s="56">
        <f>Data!H586</f>
        <v>44355</v>
      </c>
      <c r="I587" s="56" t="str">
        <f>Data!I586</f>
        <v>7/26/2021</v>
      </c>
      <c r="J587" s="57">
        <f>Data!J586</f>
        <v>408</v>
      </c>
      <c r="K587" s="58">
        <f t="shared" ca="1" si="10"/>
        <v>297</v>
      </c>
      <c r="L587" s="58">
        <f>Data!M586</f>
        <v>0</v>
      </c>
      <c r="M587" s="37" t="s">
        <v>26</v>
      </c>
      <c r="N587" s="43" t="str">
        <f>VLOOKUP(M587,Table1[#All],3,FALSE)</f>
        <v>Note</v>
      </c>
      <c r="O587" s="40" t="str">
        <f>VLOOKUP(M587,Table1[#All],4,FALSE)</f>
        <v>Q1</v>
      </c>
      <c r="P587" s="39"/>
      <c r="Q587" s="40" t="str">
        <f>VLOOKUP(M587,Table1[#All],5,FALSE)</f>
        <v>Q2</v>
      </c>
      <c r="R587" s="79"/>
      <c r="S587" s="40" t="str">
        <f>VLOOKUP(M587,Table1[#All],6,FALSE)</f>
        <v>Q3</v>
      </c>
      <c r="T587" s="79"/>
      <c r="U587" s="40" t="str">
        <f>VLOOKUP(M587,Table1[#All],7,FALSE)</f>
        <v>Q4</v>
      </c>
      <c r="V587" s="79"/>
      <c r="W587" s="40" t="str">
        <f>VLOOKUP(M587,Table1[#All],8,FALSE)</f>
        <v>Q5</v>
      </c>
      <c r="X587" s="79"/>
      <c r="Y587" s="44" t="str">
        <f>VLOOKUP(M587,Table1[#All],2,FALSE)</f>
        <v>Action</v>
      </c>
      <c r="Z587" s="59" t="str">
        <f>VLOOKUP(M587,Table1[#All],9,FALSE)</f>
        <v>Additional Notes:</v>
      </c>
      <c r="AA587" s="76"/>
      <c r="AB587" s="76"/>
      <c r="AC587" s="90" t="s">
        <v>91</v>
      </c>
      <c r="AD587" s="76" t="s">
        <v>91</v>
      </c>
      <c r="AE587" s="77"/>
      <c r="AF587" s="77"/>
      <c r="AG587" s="41" t="s">
        <v>91</v>
      </c>
    </row>
    <row r="588" spans="1:33" ht="21" hidden="1" x14ac:dyDescent="0.55000000000000004">
      <c r="A588" s="44" t="str">
        <f>Data!K587</f>
        <v>DPOW-CCHP</v>
      </c>
      <c r="B588" s="44" t="str">
        <f>Data!L587</f>
        <v>4143899880</v>
      </c>
      <c r="C588" s="44" t="str">
        <f>Data!D587</f>
        <v>Cruz , Uriel</v>
      </c>
      <c r="D588" s="82" t="str">
        <f>Data!F587</f>
        <v>7449462079</v>
      </c>
      <c r="E588" s="82" t="str">
        <f>Data!B587</f>
        <v>7032</v>
      </c>
      <c r="F588" s="44" t="str">
        <f>Data!A587</f>
        <v>Cruz , Uriel</v>
      </c>
      <c r="G588" s="55" t="str">
        <f>Data!C587</f>
        <v>2/11/2016</v>
      </c>
      <c r="H588" s="56">
        <f>Data!H587</f>
        <v>44357</v>
      </c>
      <c r="I588" s="56" t="str">
        <f>Data!I587</f>
        <v>7/26/2021</v>
      </c>
      <c r="J588" s="57">
        <f>Data!J587</f>
        <v>204</v>
      </c>
      <c r="K588" s="58">
        <f t="shared" ca="1" si="10"/>
        <v>297</v>
      </c>
      <c r="L588" s="58">
        <f>Data!M587</f>
        <v>0</v>
      </c>
      <c r="M588" s="37" t="s">
        <v>26</v>
      </c>
      <c r="N588" s="43" t="str">
        <f>VLOOKUP(M588,Table1[#All],3,FALSE)</f>
        <v>Note</v>
      </c>
      <c r="O588" s="40" t="str">
        <f>VLOOKUP(M588,Table1[#All],4,FALSE)</f>
        <v>Q1</v>
      </c>
      <c r="P588" s="39"/>
      <c r="Q588" s="40" t="str">
        <f>VLOOKUP(M588,Table1[#All],5,FALSE)</f>
        <v>Q2</v>
      </c>
      <c r="R588" s="79"/>
      <c r="S588" s="40" t="str">
        <f>VLOOKUP(M588,Table1[#All],6,FALSE)</f>
        <v>Q3</v>
      </c>
      <c r="T588" s="79"/>
      <c r="U588" s="40" t="str">
        <f>VLOOKUP(M588,Table1[#All],7,FALSE)</f>
        <v>Q4</v>
      </c>
      <c r="V588" s="79"/>
      <c r="W588" s="40" t="str">
        <f>VLOOKUP(M588,Table1[#All],8,FALSE)</f>
        <v>Q5</v>
      </c>
      <c r="X588" s="79"/>
      <c r="Y588" s="44" t="str">
        <f>VLOOKUP(M588,Table1[#All],2,FALSE)</f>
        <v>Action</v>
      </c>
      <c r="Z588" s="59" t="str">
        <f>VLOOKUP(M588,Table1[#All],9,FALSE)</f>
        <v>Additional Notes:</v>
      </c>
      <c r="AA588" s="76"/>
      <c r="AB588" s="76"/>
      <c r="AC588" s="90" t="s">
        <v>91</v>
      </c>
      <c r="AD588" s="76" t="s">
        <v>91</v>
      </c>
      <c r="AE588" s="77"/>
      <c r="AF588" s="77"/>
      <c r="AG588" s="41" t="s">
        <v>91</v>
      </c>
    </row>
    <row r="589" spans="1:33" ht="21" hidden="1" x14ac:dyDescent="0.55000000000000004">
      <c r="A589" s="44" t="str">
        <f>Data!K588</f>
        <v>DPOW-CCHP</v>
      </c>
      <c r="B589" s="44" t="str">
        <f>Data!L588</f>
        <v>4143899880</v>
      </c>
      <c r="C589" s="44" t="str">
        <f>Data!D588</f>
        <v>Rivera Pacheco, Ayden</v>
      </c>
      <c r="D589" s="82" t="str">
        <f>Data!F588</f>
        <v>1448208513</v>
      </c>
      <c r="E589" s="82" t="str">
        <f>Data!B588</f>
        <v>7360</v>
      </c>
      <c r="F589" s="44" t="str">
        <f>Data!A588</f>
        <v>Rivera Pacheco, Ayden</v>
      </c>
      <c r="G589" s="55" t="str">
        <f>Data!C588</f>
        <v>6/1/2015</v>
      </c>
      <c r="H589" s="56">
        <f>Data!H588</f>
        <v>44364</v>
      </c>
      <c r="I589" s="56" t="str">
        <f>Data!I588</f>
        <v>7/26/2021</v>
      </c>
      <c r="J589" s="57">
        <f>Data!J588</f>
        <v>487.2</v>
      </c>
      <c r="K589" s="58">
        <f t="shared" ca="1" si="10"/>
        <v>297</v>
      </c>
      <c r="L589" s="58">
        <f>Data!M588</f>
        <v>0</v>
      </c>
      <c r="M589" s="37" t="s">
        <v>26</v>
      </c>
      <c r="N589" s="43" t="str">
        <f>VLOOKUP(M589,Table1[#All],3,FALSE)</f>
        <v>Note</v>
      </c>
      <c r="O589" s="40" t="str">
        <f>VLOOKUP(M589,Table1[#All],4,FALSE)</f>
        <v>Q1</v>
      </c>
      <c r="P589" s="39"/>
      <c r="Q589" s="40" t="str">
        <f>VLOOKUP(M589,Table1[#All],5,FALSE)</f>
        <v>Q2</v>
      </c>
      <c r="R589" s="79"/>
      <c r="S589" s="40" t="str">
        <f>VLOOKUP(M589,Table1[#All],6,FALSE)</f>
        <v>Q3</v>
      </c>
      <c r="T589" s="79"/>
      <c r="U589" s="40" t="str">
        <f>VLOOKUP(M589,Table1[#All],7,FALSE)</f>
        <v>Q4</v>
      </c>
      <c r="V589" s="79"/>
      <c r="W589" s="40" t="str">
        <f>VLOOKUP(M589,Table1[#All],8,FALSE)</f>
        <v>Q5</v>
      </c>
      <c r="X589" s="79"/>
      <c r="Y589" s="44" t="str">
        <f>VLOOKUP(M589,Table1[#All],2,FALSE)</f>
        <v>Action</v>
      </c>
      <c r="Z589" s="59" t="str">
        <f>VLOOKUP(M589,Table1[#All],9,FALSE)</f>
        <v>Additional Notes:</v>
      </c>
      <c r="AA589" s="76"/>
      <c r="AB589" s="76"/>
      <c r="AC589" s="90" t="s">
        <v>91</v>
      </c>
      <c r="AD589" s="76" t="s">
        <v>91</v>
      </c>
      <c r="AE589" s="77"/>
      <c r="AF589" s="77"/>
      <c r="AG589" s="41" t="s">
        <v>91</v>
      </c>
    </row>
    <row r="590" spans="1:33" ht="21" hidden="1" x14ac:dyDescent="0.55000000000000004">
      <c r="A590" s="44" t="str">
        <f>Data!K589</f>
        <v>DPOW-CCHP</v>
      </c>
      <c r="B590" s="44" t="str">
        <f>Data!L589</f>
        <v>4143899880</v>
      </c>
      <c r="C590" s="44" t="str">
        <f>Data!D589</f>
        <v>Rivera Pacheco, Ayden</v>
      </c>
      <c r="D590" s="82" t="str">
        <f>Data!F589</f>
        <v>1448208513</v>
      </c>
      <c r="E590" s="82" t="str">
        <f>Data!B589</f>
        <v>7360</v>
      </c>
      <c r="F590" s="44" t="str">
        <f>Data!A589</f>
        <v>Rivera Pacheco, Ayden</v>
      </c>
      <c r="G590" s="55" t="str">
        <f>Data!C589</f>
        <v>6/1/2015</v>
      </c>
      <c r="H590" s="56">
        <f>Data!H589</f>
        <v>44363</v>
      </c>
      <c r="I590" s="56" t="str">
        <f>Data!I589</f>
        <v>7/26/2021</v>
      </c>
      <c r="J590" s="57">
        <f>Data!J589</f>
        <v>134.4</v>
      </c>
      <c r="K590" s="58">
        <f t="shared" ca="1" si="10"/>
        <v>297</v>
      </c>
      <c r="L590" s="58">
        <f>Data!M589</f>
        <v>0</v>
      </c>
      <c r="M590" s="37" t="s">
        <v>26</v>
      </c>
      <c r="N590" s="43" t="str">
        <f>VLOOKUP(M590,Table1[#All],3,FALSE)</f>
        <v>Note</v>
      </c>
      <c r="O590" s="40" t="str">
        <f>VLOOKUP(M590,Table1[#All],4,FALSE)</f>
        <v>Q1</v>
      </c>
      <c r="P590" s="39"/>
      <c r="Q590" s="40" t="str">
        <f>VLOOKUP(M590,Table1[#All],5,FALSE)</f>
        <v>Q2</v>
      </c>
      <c r="R590" s="79"/>
      <c r="S590" s="40" t="str">
        <f>VLOOKUP(M590,Table1[#All],6,FALSE)</f>
        <v>Q3</v>
      </c>
      <c r="T590" s="79"/>
      <c r="U590" s="40" t="str">
        <f>VLOOKUP(M590,Table1[#All],7,FALSE)</f>
        <v>Q4</v>
      </c>
      <c r="V590" s="79"/>
      <c r="W590" s="40" t="str">
        <f>VLOOKUP(M590,Table1[#All],8,FALSE)</f>
        <v>Q5</v>
      </c>
      <c r="X590" s="79"/>
      <c r="Y590" s="44" t="str">
        <f>VLOOKUP(M590,Table1[#All],2,FALSE)</f>
        <v>Action</v>
      </c>
      <c r="Z590" s="59" t="str">
        <f>VLOOKUP(M590,Table1[#All],9,FALSE)</f>
        <v>Additional Notes:</v>
      </c>
      <c r="AA590" s="76"/>
      <c r="AB590" s="76"/>
      <c r="AC590" s="90" t="s">
        <v>91</v>
      </c>
      <c r="AD590" s="76" t="s">
        <v>91</v>
      </c>
      <c r="AE590" s="77"/>
      <c r="AF590" s="77"/>
      <c r="AG590" s="41" t="s">
        <v>91</v>
      </c>
    </row>
    <row r="591" spans="1:33" ht="21" hidden="1" x14ac:dyDescent="0.55000000000000004">
      <c r="A591" s="44" t="str">
        <f>Data!K590</f>
        <v>DPOW-CCHP</v>
      </c>
      <c r="B591" s="44" t="str">
        <f>Data!L590</f>
        <v>4143899880</v>
      </c>
      <c r="C591" s="44" t="str">
        <f>Data!D590</f>
        <v xml:space="preserve">Hensley, David </v>
      </c>
      <c r="D591" s="82" t="str">
        <f>Data!F590</f>
        <v>8449831989</v>
      </c>
      <c r="E591" s="82" t="str">
        <f>Data!B590</f>
        <v>7292</v>
      </c>
      <c r="F591" s="44" t="str">
        <f>Data!A590</f>
        <v xml:space="preserve">Hensley, David </v>
      </c>
      <c r="G591" s="55" t="str">
        <f>Data!C590</f>
        <v>1/30/1986</v>
      </c>
      <c r="H591" s="56">
        <f>Data!H590</f>
        <v>44363</v>
      </c>
      <c r="I591" s="56" t="str">
        <f>Data!I590</f>
        <v>7/26/2021</v>
      </c>
      <c r="J591" s="57">
        <f>Data!J590</f>
        <v>374.4</v>
      </c>
      <c r="K591" s="58">
        <f t="shared" ca="1" si="10"/>
        <v>297</v>
      </c>
      <c r="L591" s="58">
        <f>Data!M590</f>
        <v>0</v>
      </c>
      <c r="M591" s="37" t="s">
        <v>26</v>
      </c>
      <c r="N591" s="43" t="str">
        <f>VLOOKUP(M591,Table1[#All],3,FALSE)</f>
        <v>Note</v>
      </c>
      <c r="O591" s="40" t="str">
        <f>VLOOKUP(M591,Table1[#All],4,FALSE)</f>
        <v>Q1</v>
      </c>
      <c r="P591" s="39"/>
      <c r="Q591" s="40" t="str">
        <f>VLOOKUP(M591,Table1[#All],5,FALSE)</f>
        <v>Q2</v>
      </c>
      <c r="R591" s="79"/>
      <c r="S591" s="40" t="str">
        <f>VLOOKUP(M591,Table1[#All],6,FALSE)</f>
        <v>Q3</v>
      </c>
      <c r="T591" s="79"/>
      <c r="U591" s="40" t="str">
        <f>VLOOKUP(M591,Table1[#All],7,FALSE)</f>
        <v>Q4</v>
      </c>
      <c r="V591" s="79"/>
      <c r="W591" s="40" t="str">
        <f>VLOOKUP(M591,Table1[#All],8,FALSE)</f>
        <v>Q5</v>
      </c>
      <c r="X591" s="79"/>
      <c r="Y591" s="44" t="str">
        <f>VLOOKUP(M591,Table1[#All],2,FALSE)</f>
        <v>Action</v>
      </c>
      <c r="Z591" s="59" t="str">
        <f>VLOOKUP(M591,Table1[#All],9,FALSE)</f>
        <v>Additional Notes:</v>
      </c>
      <c r="AA591" s="76"/>
      <c r="AB591" s="76"/>
      <c r="AC591" s="90" t="s">
        <v>91</v>
      </c>
      <c r="AD591" s="76" t="s">
        <v>91</v>
      </c>
      <c r="AE591" s="77"/>
      <c r="AF591" s="77"/>
      <c r="AG591" s="41" t="s">
        <v>91</v>
      </c>
    </row>
    <row r="592" spans="1:33" ht="21" hidden="1" x14ac:dyDescent="0.55000000000000004">
      <c r="A592" s="44" t="str">
        <f>Data!K591</f>
        <v>DPOW-CCHP</v>
      </c>
      <c r="B592" s="44" t="str">
        <f>Data!L591</f>
        <v>4143899880</v>
      </c>
      <c r="C592" s="44" t="str">
        <f>Data!D591</f>
        <v xml:space="preserve">Hensley, David </v>
      </c>
      <c r="D592" s="82" t="str">
        <f>Data!F591</f>
        <v>8449831989</v>
      </c>
      <c r="E592" s="82" t="str">
        <f>Data!B591</f>
        <v>7292</v>
      </c>
      <c r="F592" s="44" t="str">
        <f>Data!A591</f>
        <v xml:space="preserve">Hensley, David </v>
      </c>
      <c r="G592" s="55" t="str">
        <f>Data!C591</f>
        <v>1/30/1986</v>
      </c>
      <c r="H592" s="56">
        <f>Data!H591</f>
        <v>44362</v>
      </c>
      <c r="I592" s="56" t="str">
        <f>Data!I591</f>
        <v>7/26/2021</v>
      </c>
      <c r="J592" s="57">
        <f>Data!J591</f>
        <v>204</v>
      </c>
      <c r="K592" s="58">
        <f t="shared" ca="1" si="10"/>
        <v>297</v>
      </c>
      <c r="L592" s="58">
        <f>Data!M591</f>
        <v>0</v>
      </c>
      <c r="M592" s="37" t="s">
        <v>26</v>
      </c>
      <c r="N592" s="43" t="str">
        <f>VLOOKUP(M592,Table1[#All],3,FALSE)</f>
        <v>Note</v>
      </c>
      <c r="O592" s="40" t="str">
        <f>VLOOKUP(M592,Table1[#All],4,FALSE)</f>
        <v>Q1</v>
      </c>
      <c r="P592" s="39"/>
      <c r="Q592" s="40" t="str">
        <f>VLOOKUP(M592,Table1[#All],5,FALSE)</f>
        <v>Q2</v>
      </c>
      <c r="R592" s="79"/>
      <c r="S592" s="40" t="str">
        <f>VLOOKUP(M592,Table1[#All],6,FALSE)</f>
        <v>Q3</v>
      </c>
      <c r="T592" s="79"/>
      <c r="U592" s="40" t="str">
        <f>VLOOKUP(M592,Table1[#All],7,FALSE)</f>
        <v>Q4</v>
      </c>
      <c r="V592" s="79"/>
      <c r="W592" s="40" t="str">
        <f>VLOOKUP(M592,Table1[#All],8,FALSE)</f>
        <v>Q5</v>
      </c>
      <c r="X592" s="79"/>
      <c r="Y592" s="44" t="str">
        <f>VLOOKUP(M592,Table1[#All],2,FALSE)</f>
        <v>Action</v>
      </c>
      <c r="Z592" s="59" t="str">
        <f>VLOOKUP(M592,Table1[#All],9,FALSE)</f>
        <v>Additional Notes:</v>
      </c>
      <c r="AA592" s="76"/>
      <c r="AB592" s="76"/>
      <c r="AC592" s="90" t="s">
        <v>91</v>
      </c>
      <c r="AD592" s="76" t="s">
        <v>91</v>
      </c>
      <c r="AE592" s="77"/>
      <c r="AF592" s="77"/>
      <c r="AG592" s="41" t="s">
        <v>91</v>
      </c>
    </row>
    <row r="593" spans="1:33" ht="21" hidden="1" x14ac:dyDescent="0.55000000000000004">
      <c r="A593" s="44" t="str">
        <f>Data!K592</f>
        <v>DPOW-CCHP</v>
      </c>
      <c r="B593" s="44" t="str">
        <f>Data!L592</f>
        <v>4143899880</v>
      </c>
      <c r="C593" s="44" t="str">
        <f>Data!D592</f>
        <v>Casey, Emma</v>
      </c>
      <c r="D593" s="82" t="str">
        <f>Data!F592</f>
        <v>4437843347</v>
      </c>
      <c r="E593" s="82" t="str">
        <f>Data!B592</f>
        <v>1084</v>
      </c>
      <c r="F593" s="44" t="str">
        <f>Data!A592</f>
        <v>Casey, Emma</v>
      </c>
      <c r="G593" s="55" t="str">
        <f>Data!C592</f>
        <v>1/4/2010</v>
      </c>
      <c r="H593" s="56">
        <f>Data!H592</f>
        <v>44371</v>
      </c>
      <c r="I593" s="56" t="str">
        <f>Data!I592</f>
        <v>7/26/2021</v>
      </c>
      <c r="J593" s="57">
        <f>Data!J592</f>
        <v>216</v>
      </c>
      <c r="K593" s="58">
        <f t="shared" ca="1" si="10"/>
        <v>297</v>
      </c>
      <c r="L593" s="58">
        <f>Data!M592</f>
        <v>0</v>
      </c>
      <c r="M593" s="37" t="s">
        <v>26</v>
      </c>
      <c r="N593" s="43" t="str">
        <f>VLOOKUP(M593,Table1[#All],3,FALSE)</f>
        <v>Note</v>
      </c>
      <c r="O593" s="40" t="str">
        <f>VLOOKUP(M593,Table1[#All],4,FALSE)</f>
        <v>Q1</v>
      </c>
      <c r="P593" s="39"/>
      <c r="Q593" s="40" t="str">
        <f>VLOOKUP(M593,Table1[#All],5,FALSE)</f>
        <v>Q2</v>
      </c>
      <c r="R593" s="79"/>
      <c r="S593" s="40" t="str">
        <f>VLOOKUP(M593,Table1[#All],6,FALSE)</f>
        <v>Q3</v>
      </c>
      <c r="T593" s="79"/>
      <c r="U593" s="40" t="str">
        <f>VLOOKUP(M593,Table1[#All],7,FALSE)</f>
        <v>Q4</v>
      </c>
      <c r="V593" s="79"/>
      <c r="W593" s="40" t="str">
        <f>VLOOKUP(M593,Table1[#All],8,FALSE)</f>
        <v>Q5</v>
      </c>
      <c r="X593" s="79"/>
      <c r="Y593" s="44" t="str">
        <f>VLOOKUP(M593,Table1[#All],2,FALSE)</f>
        <v>Action</v>
      </c>
      <c r="Z593" s="59" t="str">
        <f>VLOOKUP(M593,Table1[#All],9,FALSE)</f>
        <v>Additional Notes:</v>
      </c>
      <c r="AA593" s="76"/>
      <c r="AB593" s="76"/>
      <c r="AC593" s="90" t="s">
        <v>91</v>
      </c>
      <c r="AD593" s="76" t="s">
        <v>91</v>
      </c>
      <c r="AE593" s="77"/>
      <c r="AF593" s="77"/>
      <c r="AG593" s="41" t="s">
        <v>91</v>
      </c>
    </row>
    <row r="594" spans="1:33" ht="21" hidden="1" x14ac:dyDescent="0.55000000000000004">
      <c r="A594" s="44" t="str">
        <f>Data!K593</f>
        <v>DPOW-CCHP</v>
      </c>
      <c r="B594" s="44" t="str">
        <f>Data!L593</f>
        <v>4143899880</v>
      </c>
      <c r="C594" s="44" t="str">
        <f>Data!D593</f>
        <v>Casey, Emma</v>
      </c>
      <c r="D594" s="82" t="str">
        <f>Data!F593</f>
        <v>4437843347</v>
      </c>
      <c r="E594" s="82" t="str">
        <f>Data!B593</f>
        <v>1084</v>
      </c>
      <c r="F594" s="44" t="str">
        <f>Data!A593</f>
        <v>Casey, Emma</v>
      </c>
      <c r="G594" s="55" t="str">
        <f>Data!C593</f>
        <v>1/4/2010</v>
      </c>
      <c r="H594" s="56">
        <f>Data!H593</f>
        <v>44361</v>
      </c>
      <c r="I594" s="56" t="str">
        <f>Data!I593</f>
        <v>7/26/2021</v>
      </c>
      <c r="J594" s="57">
        <f>Data!J593</f>
        <v>216</v>
      </c>
      <c r="K594" s="58">
        <f t="shared" ca="1" si="10"/>
        <v>297</v>
      </c>
      <c r="L594" s="58">
        <f>Data!M593</f>
        <v>0</v>
      </c>
      <c r="M594" s="37" t="s">
        <v>26</v>
      </c>
      <c r="N594" s="43" t="str">
        <f>VLOOKUP(M594,Table1[#All],3,FALSE)</f>
        <v>Note</v>
      </c>
      <c r="O594" s="40" t="str">
        <f>VLOOKUP(M594,Table1[#All],4,FALSE)</f>
        <v>Q1</v>
      </c>
      <c r="P594" s="39"/>
      <c r="Q594" s="40" t="str">
        <f>VLOOKUP(M594,Table1[#All],5,FALSE)</f>
        <v>Q2</v>
      </c>
      <c r="R594" s="79"/>
      <c r="S594" s="40" t="str">
        <f>VLOOKUP(M594,Table1[#All],6,FALSE)</f>
        <v>Q3</v>
      </c>
      <c r="T594" s="79"/>
      <c r="U594" s="40" t="str">
        <f>VLOOKUP(M594,Table1[#All],7,FALSE)</f>
        <v>Q4</v>
      </c>
      <c r="V594" s="79"/>
      <c r="W594" s="40" t="str">
        <f>VLOOKUP(M594,Table1[#All],8,FALSE)</f>
        <v>Q5</v>
      </c>
      <c r="X594" s="79"/>
      <c r="Y594" s="44" t="str">
        <f>VLOOKUP(M594,Table1[#All],2,FALSE)</f>
        <v>Action</v>
      </c>
      <c r="Z594" s="59" t="str">
        <f>VLOOKUP(M594,Table1[#All],9,FALSE)</f>
        <v>Additional Notes:</v>
      </c>
      <c r="AA594" s="76"/>
      <c r="AB594" s="76"/>
      <c r="AC594" s="90" t="s">
        <v>91</v>
      </c>
      <c r="AD594" s="76" t="s">
        <v>91</v>
      </c>
      <c r="AE594" s="77"/>
      <c r="AF594" s="77"/>
      <c r="AG594" s="41" t="s">
        <v>91</v>
      </c>
    </row>
    <row r="595" spans="1:33" ht="21" hidden="1" x14ac:dyDescent="0.55000000000000004">
      <c r="A595" s="44" t="str">
        <f>Data!K594</f>
        <v>DPOW-CCHP</v>
      </c>
      <c r="B595" s="44" t="str">
        <f>Data!L594</f>
        <v>4143899880</v>
      </c>
      <c r="C595" s="44" t="str">
        <f>Data!D594</f>
        <v xml:space="preserve">Sang Nai , Ah Pong </v>
      </c>
      <c r="D595" s="82" t="str">
        <f>Data!F594</f>
        <v>1452713511</v>
      </c>
      <c r="E595" s="82" t="str">
        <f>Data!B594</f>
        <v>7394</v>
      </c>
      <c r="F595" s="44" t="str">
        <f>Data!A594</f>
        <v xml:space="preserve">Sang Nai , Ah Pong </v>
      </c>
      <c r="G595" s="55" t="str">
        <f>Data!C594</f>
        <v>3/29/1987</v>
      </c>
      <c r="H595" s="56">
        <f>Data!H594</f>
        <v>44391</v>
      </c>
      <c r="I595" s="56" t="str">
        <f>Data!I594</f>
        <v>7/26/2021</v>
      </c>
      <c r="J595" s="57">
        <f>Data!J594</f>
        <v>576</v>
      </c>
      <c r="K595" s="58">
        <f t="shared" ca="1" si="10"/>
        <v>297</v>
      </c>
      <c r="L595" s="58">
        <f>Data!M594</f>
        <v>0</v>
      </c>
      <c r="M595" s="37" t="s">
        <v>26</v>
      </c>
      <c r="N595" s="43" t="str">
        <f>VLOOKUP(M595,Table1[#All],3,FALSE)</f>
        <v>Note</v>
      </c>
      <c r="O595" s="40" t="str">
        <f>VLOOKUP(M595,Table1[#All],4,FALSE)</f>
        <v>Q1</v>
      </c>
      <c r="P595" s="39"/>
      <c r="Q595" s="40" t="str">
        <f>VLOOKUP(M595,Table1[#All],5,FALSE)</f>
        <v>Q2</v>
      </c>
      <c r="R595" s="79"/>
      <c r="S595" s="40" t="str">
        <f>VLOOKUP(M595,Table1[#All],6,FALSE)</f>
        <v>Q3</v>
      </c>
      <c r="T595" s="79"/>
      <c r="U595" s="40" t="str">
        <f>VLOOKUP(M595,Table1[#All],7,FALSE)</f>
        <v>Q4</v>
      </c>
      <c r="V595" s="79"/>
      <c r="W595" s="40" t="str">
        <f>VLOOKUP(M595,Table1[#All],8,FALSE)</f>
        <v>Q5</v>
      </c>
      <c r="X595" s="79"/>
      <c r="Y595" s="44" t="str">
        <f>VLOOKUP(M595,Table1[#All],2,FALSE)</f>
        <v>Action</v>
      </c>
      <c r="Z595" s="59" t="str">
        <f>VLOOKUP(M595,Table1[#All],9,FALSE)</f>
        <v>Additional Notes:</v>
      </c>
      <c r="AA595" s="76"/>
      <c r="AB595" s="76"/>
      <c r="AC595" s="90" t="s">
        <v>91</v>
      </c>
      <c r="AD595" s="76" t="s">
        <v>91</v>
      </c>
      <c r="AE595" s="77"/>
      <c r="AF595" s="77"/>
      <c r="AG595" s="41" t="s">
        <v>91</v>
      </c>
    </row>
    <row r="596" spans="1:33" ht="21" hidden="1" x14ac:dyDescent="0.55000000000000004">
      <c r="A596" s="44" t="str">
        <f>Data!K595</f>
        <v>DPOW-CCHP</v>
      </c>
      <c r="B596" s="44" t="str">
        <f>Data!L595</f>
        <v>4143899880</v>
      </c>
      <c r="C596" s="44" t="str">
        <f>Data!D595</f>
        <v>Mcclendon, Kayla</v>
      </c>
      <c r="D596" s="82" t="str">
        <f>Data!F595</f>
        <v>0421163500</v>
      </c>
      <c r="E596" s="82" t="str">
        <f>Data!B595</f>
        <v>7281</v>
      </c>
      <c r="F596" s="44" t="str">
        <f>Data!A595</f>
        <v>Mcclendon, Kayla</v>
      </c>
      <c r="G596" s="55" t="str">
        <f>Data!C595</f>
        <v>3/29/1991</v>
      </c>
      <c r="H596" s="56">
        <f>Data!H595</f>
        <v>44371</v>
      </c>
      <c r="I596" s="56" t="str">
        <f>Data!I595</f>
        <v>6/29/2021</v>
      </c>
      <c r="J596" s="57">
        <f>Data!J595</f>
        <v>561.6</v>
      </c>
      <c r="K596" s="58">
        <f t="shared" ca="1" si="10"/>
        <v>324</v>
      </c>
      <c r="L596" s="58">
        <f>Data!M595</f>
        <v>0</v>
      </c>
      <c r="M596" s="37" t="s">
        <v>26</v>
      </c>
      <c r="N596" s="43" t="str">
        <f>VLOOKUP(M596,Table1[#All],3,FALSE)</f>
        <v>Note</v>
      </c>
      <c r="O596" s="40" t="str">
        <f>VLOOKUP(M596,Table1[#All],4,FALSE)</f>
        <v>Q1</v>
      </c>
      <c r="P596" s="39"/>
      <c r="Q596" s="40" t="str">
        <f>VLOOKUP(M596,Table1[#All],5,FALSE)</f>
        <v>Q2</v>
      </c>
      <c r="R596" s="79"/>
      <c r="S596" s="40" t="str">
        <f>VLOOKUP(M596,Table1[#All],6,FALSE)</f>
        <v>Q3</v>
      </c>
      <c r="T596" s="79"/>
      <c r="U596" s="40" t="str">
        <f>VLOOKUP(M596,Table1[#All],7,FALSE)</f>
        <v>Q4</v>
      </c>
      <c r="V596" s="79"/>
      <c r="W596" s="40" t="str">
        <f>VLOOKUP(M596,Table1[#All],8,FALSE)</f>
        <v>Q5</v>
      </c>
      <c r="X596" s="79"/>
      <c r="Y596" s="44" t="str">
        <f>VLOOKUP(M596,Table1[#All],2,FALSE)</f>
        <v>Action</v>
      </c>
      <c r="Z596" s="59" t="str">
        <f>VLOOKUP(M596,Table1[#All],9,FALSE)</f>
        <v>Additional Notes:</v>
      </c>
      <c r="AA596" s="76"/>
      <c r="AB596" s="76"/>
      <c r="AC596" s="90" t="s">
        <v>91</v>
      </c>
      <c r="AD596" s="76" t="s">
        <v>91</v>
      </c>
      <c r="AE596" s="77"/>
      <c r="AF596" s="77"/>
      <c r="AG596" s="41" t="s">
        <v>91</v>
      </c>
    </row>
    <row r="597" spans="1:33" ht="21" hidden="1" x14ac:dyDescent="0.55000000000000004">
      <c r="A597" s="44" t="str">
        <f>Data!K596</f>
        <v>DPOW-CCHP</v>
      </c>
      <c r="B597" s="44" t="str">
        <f>Data!L596</f>
        <v>4143899880</v>
      </c>
      <c r="C597" s="44" t="str">
        <f>Data!D596</f>
        <v xml:space="preserve">Brown , Shirley </v>
      </c>
      <c r="D597" s="82" t="str">
        <f>Data!F596</f>
        <v>2425769226</v>
      </c>
      <c r="E597" s="82" t="str">
        <f>Data!B596</f>
        <v>5670</v>
      </c>
      <c r="F597" s="44" t="str">
        <f>Data!A596</f>
        <v xml:space="preserve">Brown , Shirley </v>
      </c>
      <c r="G597" s="55" t="str">
        <f>Data!C596</f>
        <v>4/8/1980</v>
      </c>
      <c r="H597" s="56">
        <f>Data!H596</f>
        <v>44371</v>
      </c>
      <c r="I597" s="56" t="str">
        <f>Data!I596</f>
        <v>6/29/2021</v>
      </c>
      <c r="J597" s="57">
        <f>Data!J596</f>
        <v>88.8</v>
      </c>
      <c r="K597" s="58">
        <f t="shared" ca="1" si="10"/>
        <v>324</v>
      </c>
      <c r="L597" s="58">
        <f>Data!M596</f>
        <v>0</v>
      </c>
      <c r="M597" s="37" t="s">
        <v>26</v>
      </c>
      <c r="N597" s="43" t="str">
        <f>VLOOKUP(M597,Table1[#All],3,FALSE)</f>
        <v>Note</v>
      </c>
      <c r="O597" s="40" t="str">
        <f>VLOOKUP(M597,Table1[#All],4,FALSE)</f>
        <v>Q1</v>
      </c>
      <c r="P597" s="39"/>
      <c r="Q597" s="40" t="str">
        <f>VLOOKUP(M597,Table1[#All],5,FALSE)</f>
        <v>Q2</v>
      </c>
      <c r="R597" s="79"/>
      <c r="S597" s="40" t="str">
        <f>VLOOKUP(M597,Table1[#All],6,FALSE)</f>
        <v>Q3</v>
      </c>
      <c r="T597" s="79"/>
      <c r="U597" s="40" t="str">
        <f>VLOOKUP(M597,Table1[#All],7,FALSE)</f>
        <v>Q4</v>
      </c>
      <c r="V597" s="79"/>
      <c r="W597" s="40" t="str">
        <f>VLOOKUP(M597,Table1[#All],8,FALSE)</f>
        <v>Q5</v>
      </c>
      <c r="X597" s="79"/>
      <c r="Y597" s="44" t="str">
        <f>VLOOKUP(M597,Table1[#All],2,FALSE)</f>
        <v>Action</v>
      </c>
      <c r="Z597" s="59" t="str">
        <f>VLOOKUP(M597,Table1[#All],9,FALSE)</f>
        <v>Additional Notes:</v>
      </c>
      <c r="AA597" s="76"/>
      <c r="AB597" s="76"/>
      <c r="AC597" s="90" t="s">
        <v>91</v>
      </c>
      <c r="AD597" s="76" t="s">
        <v>91</v>
      </c>
      <c r="AE597" s="77"/>
      <c r="AF597" s="77"/>
      <c r="AG597" s="41" t="s">
        <v>91</v>
      </c>
    </row>
    <row r="598" spans="1:33" ht="21" hidden="1" x14ac:dyDescent="0.55000000000000004">
      <c r="A598" s="44" t="str">
        <f>Data!K597</f>
        <v>DPOW-CCHP</v>
      </c>
      <c r="B598" s="44" t="str">
        <f>Data!L597</f>
        <v>4143899880</v>
      </c>
      <c r="C598" s="44" t="str">
        <f>Data!D597</f>
        <v xml:space="preserve">Martinez Perez, Eliud </v>
      </c>
      <c r="D598" s="82" t="str">
        <f>Data!F597</f>
        <v>9452171693</v>
      </c>
      <c r="E598" s="82" t="str">
        <f>Data!B597</f>
        <v>5531</v>
      </c>
      <c r="F598" s="44" t="str">
        <f>Data!A597</f>
        <v xml:space="preserve">Martinez Perez, Eliud </v>
      </c>
      <c r="G598" s="55" t="str">
        <f>Data!C597</f>
        <v>10/7/2010</v>
      </c>
      <c r="H598" s="56">
        <f>Data!H597</f>
        <v>44371</v>
      </c>
      <c r="I598" s="56" t="str">
        <f>Data!I597</f>
        <v>6/24/2021</v>
      </c>
      <c r="J598" s="57">
        <f>Data!J597</f>
        <v>244.4</v>
      </c>
      <c r="K598" s="58">
        <f t="shared" ca="1" si="10"/>
        <v>329</v>
      </c>
      <c r="L598" s="58">
        <f>Data!M597</f>
        <v>0</v>
      </c>
      <c r="M598" s="37" t="s">
        <v>26</v>
      </c>
      <c r="N598" s="43" t="str">
        <f>VLOOKUP(M598,Table1[#All],3,FALSE)</f>
        <v>Note</v>
      </c>
      <c r="O598" s="40" t="str">
        <f>VLOOKUP(M598,Table1[#All],4,FALSE)</f>
        <v>Q1</v>
      </c>
      <c r="P598" s="39"/>
      <c r="Q598" s="40" t="str">
        <f>VLOOKUP(M598,Table1[#All],5,FALSE)</f>
        <v>Q2</v>
      </c>
      <c r="R598" s="79"/>
      <c r="S598" s="40" t="str">
        <f>VLOOKUP(M598,Table1[#All],6,FALSE)</f>
        <v>Q3</v>
      </c>
      <c r="T598" s="79"/>
      <c r="U598" s="40" t="str">
        <f>VLOOKUP(M598,Table1[#All],7,FALSE)</f>
        <v>Q4</v>
      </c>
      <c r="V598" s="79"/>
      <c r="W598" s="40" t="str">
        <f>VLOOKUP(M598,Table1[#All],8,FALSE)</f>
        <v>Q5</v>
      </c>
      <c r="X598" s="79"/>
      <c r="Y598" s="44" t="str">
        <f>VLOOKUP(M598,Table1[#All],2,FALSE)</f>
        <v>Action</v>
      </c>
      <c r="Z598" s="59" t="str">
        <f>VLOOKUP(M598,Table1[#All],9,FALSE)</f>
        <v>Additional Notes:</v>
      </c>
      <c r="AA598" s="76"/>
      <c r="AB598" s="76"/>
      <c r="AC598" s="90" t="s">
        <v>91</v>
      </c>
      <c r="AD598" s="76" t="s">
        <v>91</v>
      </c>
      <c r="AE598" s="77"/>
      <c r="AF598" s="77"/>
      <c r="AG598" s="41" t="s">
        <v>91</v>
      </c>
    </row>
    <row r="599" spans="1:33" ht="21" hidden="1" x14ac:dyDescent="0.55000000000000004">
      <c r="A599" s="44" t="str">
        <f>Data!K598</f>
        <v>DPOW-CCHP</v>
      </c>
      <c r="B599" s="44" t="str">
        <f>Data!L598</f>
        <v>4143899880</v>
      </c>
      <c r="C599" s="44" t="str">
        <f>Data!D598</f>
        <v xml:space="preserve">Martinez Perez, Ezequiel </v>
      </c>
      <c r="D599" s="82" t="str">
        <f>Data!F598</f>
        <v>0452171709</v>
      </c>
      <c r="E599" s="82" t="str">
        <f>Data!B598</f>
        <v>5532</v>
      </c>
      <c r="F599" s="44" t="str">
        <f>Data!A598</f>
        <v xml:space="preserve">Martinez Perez, Ezequiel </v>
      </c>
      <c r="G599" s="55" t="str">
        <f>Data!C598</f>
        <v>7/2/2012</v>
      </c>
      <c r="H599" s="56">
        <f>Data!H598</f>
        <v>44371</v>
      </c>
      <c r="I599" s="56" t="str">
        <f>Data!I598</f>
        <v>6/24/2021</v>
      </c>
      <c r="J599" s="57">
        <f>Data!J598</f>
        <v>478.8</v>
      </c>
      <c r="K599" s="58">
        <f t="shared" ca="1" si="10"/>
        <v>329</v>
      </c>
      <c r="L599" s="58">
        <f>Data!M598</f>
        <v>0</v>
      </c>
      <c r="M599" s="37" t="s">
        <v>26</v>
      </c>
      <c r="N599" s="43" t="str">
        <f>VLOOKUP(M599,Table1[#All],3,FALSE)</f>
        <v>Note</v>
      </c>
      <c r="O599" s="40" t="str">
        <f>VLOOKUP(M599,Table1[#All],4,FALSE)</f>
        <v>Q1</v>
      </c>
      <c r="P599" s="39"/>
      <c r="Q599" s="40" t="str">
        <f>VLOOKUP(M599,Table1[#All],5,FALSE)</f>
        <v>Q2</v>
      </c>
      <c r="R599" s="79"/>
      <c r="S599" s="40" t="str">
        <f>VLOOKUP(M599,Table1[#All],6,FALSE)</f>
        <v>Q3</v>
      </c>
      <c r="T599" s="79"/>
      <c r="U599" s="40" t="str">
        <f>VLOOKUP(M599,Table1[#All],7,FALSE)</f>
        <v>Q4</v>
      </c>
      <c r="V599" s="79"/>
      <c r="W599" s="40" t="str">
        <f>VLOOKUP(M599,Table1[#All],8,FALSE)</f>
        <v>Q5</v>
      </c>
      <c r="X599" s="79"/>
      <c r="Y599" s="44" t="str">
        <f>VLOOKUP(M599,Table1[#All],2,FALSE)</f>
        <v>Action</v>
      </c>
      <c r="Z599" s="59" t="str">
        <f>VLOOKUP(M599,Table1[#All],9,FALSE)</f>
        <v>Additional Notes:</v>
      </c>
      <c r="AA599" s="76"/>
      <c r="AB599" s="76"/>
      <c r="AC599" s="90" t="s">
        <v>91</v>
      </c>
      <c r="AD599" s="76" t="s">
        <v>91</v>
      </c>
      <c r="AE599" s="77"/>
      <c r="AF599" s="77"/>
      <c r="AG599" s="41" t="s">
        <v>91</v>
      </c>
    </row>
    <row r="600" spans="1:33" ht="21" hidden="1" x14ac:dyDescent="0.55000000000000004">
      <c r="A600" s="44" t="str">
        <f>Data!K599</f>
        <v>DPOW-CCHP</v>
      </c>
      <c r="B600" s="44" t="str">
        <f>Data!L599</f>
        <v>4143899880</v>
      </c>
      <c r="C600" s="44" t="str">
        <f>Data!D599</f>
        <v xml:space="preserve">Mehring , Jacob </v>
      </c>
      <c r="D600" s="82" t="str">
        <f>Data!F599</f>
        <v>8438092781</v>
      </c>
      <c r="E600" s="82" t="str">
        <f>Data!B599</f>
        <v>5101</v>
      </c>
      <c r="F600" s="44" t="str">
        <f>Data!A599</f>
        <v xml:space="preserve">Mehring , Jacob </v>
      </c>
      <c r="G600" s="55" t="str">
        <f>Data!C599</f>
        <v>3/25/2010</v>
      </c>
      <c r="H600" s="56">
        <f>Data!H599</f>
        <v>44371</v>
      </c>
      <c r="I600" s="56" t="str">
        <f>Data!I599</f>
        <v>6/24/2021</v>
      </c>
      <c r="J600" s="57">
        <f>Data!J599</f>
        <v>244.4</v>
      </c>
      <c r="K600" s="58">
        <f t="shared" ca="1" si="10"/>
        <v>329</v>
      </c>
      <c r="L600" s="58">
        <f>Data!M599</f>
        <v>0</v>
      </c>
      <c r="M600" s="37" t="s">
        <v>26</v>
      </c>
      <c r="N600" s="43" t="str">
        <f>VLOOKUP(M600,Table1[#All],3,FALSE)</f>
        <v>Note</v>
      </c>
      <c r="O600" s="40" t="str">
        <f>VLOOKUP(M600,Table1[#All],4,FALSE)</f>
        <v>Q1</v>
      </c>
      <c r="P600" s="39"/>
      <c r="Q600" s="40" t="str">
        <f>VLOOKUP(M600,Table1[#All],5,FALSE)</f>
        <v>Q2</v>
      </c>
      <c r="R600" s="79"/>
      <c r="S600" s="40" t="str">
        <f>VLOOKUP(M600,Table1[#All],6,FALSE)</f>
        <v>Q3</v>
      </c>
      <c r="T600" s="79"/>
      <c r="U600" s="40" t="str">
        <f>VLOOKUP(M600,Table1[#All],7,FALSE)</f>
        <v>Q4</v>
      </c>
      <c r="V600" s="79"/>
      <c r="W600" s="40" t="str">
        <f>VLOOKUP(M600,Table1[#All],8,FALSE)</f>
        <v>Q5</v>
      </c>
      <c r="X600" s="79"/>
      <c r="Y600" s="44" t="str">
        <f>VLOOKUP(M600,Table1[#All],2,FALSE)</f>
        <v>Action</v>
      </c>
      <c r="Z600" s="59" t="str">
        <f>VLOOKUP(M600,Table1[#All],9,FALSE)</f>
        <v>Additional Notes:</v>
      </c>
      <c r="AA600" s="76"/>
      <c r="AB600" s="76"/>
      <c r="AC600" s="90" t="s">
        <v>91</v>
      </c>
      <c r="AD600" s="76" t="s">
        <v>91</v>
      </c>
      <c r="AE600" s="77"/>
      <c r="AF600" s="77"/>
      <c r="AG600" s="41" t="s">
        <v>91</v>
      </c>
    </row>
    <row r="601" spans="1:33" ht="21" hidden="1" x14ac:dyDescent="0.55000000000000004">
      <c r="A601" s="44" t="str">
        <f>Data!K600</f>
        <v>DPOW-CCHP</v>
      </c>
      <c r="B601" s="44" t="str">
        <f>Data!L600</f>
        <v>4143899880</v>
      </c>
      <c r="C601" s="44" t="str">
        <f>Data!D600</f>
        <v>Osman , Mohamed Khada</v>
      </c>
      <c r="D601" s="82" t="str">
        <f>Data!F600</f>
        <v>8454666281</v>
      </c>
      <c r="E601" s="82" t="str">
        <f>Data!B600</f>
        <v>7349</v>
      </c>
      <c r="F601" s="44" t="str">
        <f>Data!A600</f>
        <v>Osman , Mohamed Khada</v>
      </c>
      <c r="G601" s="55" t="str">
        <f>Data!C600</f>
        <v>1/10/2004</v>
      </c>
      <c r="H601" s="56">
        <f>Data!H600</f>
        <v>44370</v>
      </c>
      <c r="I601" s="56" t="str">
        <f>Data!I600</f>
        <v>6/24/2021</v>
      </c>
      <c r="J601" s="57">
        <f>Data!J600</f>
        <v>748.8</v>
      </c>
      <c r="K601" s="58">
        <f t="shared" ca="1" si="10"/>
        <v>329</v>
      </c>
      <c r="L601" s="58">
        <f>Data!M600</f>
        <v>0</v>
      </c>
      <c r="M601" s="37" t="s">
        <v>26</v>
      </c>
      <c r="N601" s="43" t="str">
        <f>VLOOKUP(M601,Table1[#All],3,FALSE)</f>
        <v>Note</v>
      </c>
      <c r="O601" s="40" t="str">
        <f>VLOOKUP(M601,Table1[#All],4,FALSE)</f>
        <v>Q1</v>
      </c>
      <c r="P601" s="39"/>
      <c r="Q601" s="40" t="str">
        <f>VLOOKUP(M601,Table1[#All],5,FALSE)</f>
        <v>Q2</v>
      </c>
      <c r="R601" s="79"/>
      <c r="S601" s="40" t="str">
        <f>VLOOKUP(M601,Table1[#All],6,FALSE)</f>
        <v>Q3</v>
      </c>
      <c r="T601" s="79"/>
      <c r="U601" s="40" t="str">
        <f>VLOOKUP(M601,Table1[#All],7,FALSE)</f>
        <v>Q4</v>
      </c>
      <c r="V601" s="79"/>
      <c r="W601" s="40" t="str">
        <f>VLOOKUP(M601,Table1[#All],8,FALSE)</f>
        <v>Q5</v>
      </c>
      <c r="X601" s="79"/>
      <c r="Y601" s="44" t="str">
        <f>VLOOKUP(M601,Table1[#All],2,FALSE)</f>
        <v>Action</v>
      </c>
      <c r="Z601" s="59" t="str">
        <f>VLOOKUP(M601,Table1[#All],9,FALSE)</f>
        <v>Additional Notes:</v>
      </c>
      <c r="AA601" s="76"/>
      <c r="AB601" s="76"/>
      <c r="AC601" s="90" t="s">
        <v>91</v>
      </c>
      <c r="AD601" s="76" t="s">
        <v>91</v>
      </c>
      <c r="AE601" s="77"/>
      <c r="AF601" s="77"/>
      <c r="AG601" s="41" t="s">
        <v>91</v>
      </c>
    </row>
    <row r="602" spans="1:33" ht="21" hidden="1" x14ac:dyDescent="0.55000000000000004">
      <c r="A602" s="44" t="str">
        <f>Data!K601</f>
        <v>DPOW-CCHP</v>
      </c>
      <c r="B602" s="44" t="str">
        <f>Data!L601</f>
        <v>4143899880</v>
      </c>
      <c r="C602" s="44" t="str">
        <f>Data!D601</f>
        <v xml:space="preserve">ZAPOT , ALAN </v>
      </c>
      <c r="D602" s="82" t="str">
        <f>Data!F601</f>
        <v>2449719628</v>
      </c>
      <c r="E602" s="82" t="str">
        <f>Data!B601</f>
        <v>7242</v>
      </c>
      <c r="F602" s="44" t="str">
        <f>Data!A601</f>
        <v xml:space="preserve">ZAPOT , ALAN </v>
      </c>
      <c r="G602" s="55" t="str">
        <f>Data!C601</f>
        <v>3/31/2016</v>
      </c>
      <c r="H602" s="56">
        <f>Data!H601</f>
        <v>44370</v>
      </c>
      <c r="I602" s="56" t="str">
        <f>Data!I601</f>
        <v>6/24/2021</v>
      </c>
      <c r="J602" s="57">
        <f>Data!J601</f>
        <v>82.8</v>
      </c>
      <c r="K602" s="58">
        <f t="shared" ca="1" si="10"/>
        <v>329</v>
      </c>
      <c r="L602" s="58">
        <f>Data!M601</f>
        <v>0</v>
      </c>
      <c r="M602" s="37" t="s">
        <v>26</v>
      </c>
      <c r="N602" s="43" t="str">
        <f>VLOOKUP(M602,Table1[#All],3,FALSE)</f>
        <v>Note</v>
      </c>
      <c r="O602" s="40" t="str">
        <f>VLOOKUP(M602,Table1[#All],4,FALSE)</f>
        <v>Q1</v>
      </c>
      <c r="P602" s="39"/>
      <c r="Q602" s="40" t="str">
        <f>VLOOKUP(M602,Table1[#All],5,FALSE)</f>
        <v>Q2</v>
      </c>
      <c r="R602" s="79"/>
      <c r="S602" s="40" t="str">
        <f>VLOOKUP(M602,Table1[#All],6,FALSE)</f>
        <v>Q3</v>
      </c>
      <c r="T602" s="79"/>
      <c r="U602" s="40" t="str">
        <f>VLOOKUP(M602,Table1[#All],7,FALSE)</f>
        <v>Q4</v>
      </c>
      <c r="V602" s="79"/>
      <c r="W602" s="40" t="str">
        <f>VLOOKUP(M602,Table1[#All],8,FALSE)</f>
        <v>Q5</v>
      </c>
      <c r="X602" s="79"/>
      <c r="Y602" s="44" t="str">
        <f>VLOOKUP(M602,Table1[#All],2,FALSE)</f>
        <v>Action</v>
      </c>
      <c r="Z602" s="59" t="str">
        <f>VLOOKUP(M602,Table1[#All],9,FALSE)</f>
        <v>Additional Notes:</v>
      </c>
      <c r="AA602" s="76"/>
      <c r="AB602" s="76"/>
      <c r="AC602" s="90" t="s">
        <v>91</v>
      </c>
      <c r="AD602" s="76" t="s">
        <v>91</v>
      </c>
      <c r="AE602" s="77"/>
      <c r="AF602" s="77"/>
      <c r="AG602" s="41" t="s">
        <v>91</v>
      </c>
    </row>
    <row r="603" spans="1:33" ht="21" hidden="1" x14ac:dyDescent="0.55000000000000004">
      <c r="A603" s="44" t="str">
        <f>Data!K602</f>
        <v>DPOW-CCHP</v>
      </c>
      <c r="B603" s="44" t="str">
        <f>Data!L602</f>
        <v>4143899880</v>
      </c>
      <c r="C603" s="44" t="str">
        <f>Data!D602</f>
        <v>Rodriguez, Ashley</v>
      </c>
      <c r="D603" s="82" t="str">
        <f>Data!F602</f>
        <v>9426790799</v>
      </c>
      <c r="E603" s="82" t="str">
        <f>Data!B602</f>
        <v>7086</v>
      </c>
      <c r="F603" s="44" t="str">
        <f>Data!A602</f>
        <v>Rodriguez, Ashley</v>
      </c>
      <c r="G603" s="55" t="str">
        <f>Data!C602</f>
        <v>4/10/1998</v>
      </c>
      <c r="H603" s="56">
        <f>Data!H602</f>
        <v>44369</v>
      </c>
      <c r="I603" s="56" t="str">
        <f>Data!I602</f>
        <v>6/24/2021</v>
      </c>
      <c r="J603" s="57">
        <f>Data!J602</f>
        <v>1062</v>
      </c>
      <c r="K603" s="58">
        <f t="shared" ca="1" si="10"/>
        <v>329</v>
      </c>
      <c r="L603" s="58">
        <f>Data!M602</f>
        <v>0</v>
      </c>
      <c r="M603" s="37" t="s">
        <v>26</v>
      </c>
      <c r="N603" s="43" t="str">
        <f>VLOOKUP(M603,Table1[#All],3,FALSE)</f>
        <v>Note</v>
      </c>
      <c r="O603" s="40" t="str">
        <f>VLOOKUP(M603,Table1[#All],4,FALSE)</f>
        <v>Q1</v>
      </c>
      <c r="P603" s="39"/>
      <c r="Q603" s="40" t="str">
        <f>VLOOKUP(M603,Table1[#All],5,FALSE)</f>
        <v>Q2</v>
      </c>
      <c r="R603" s="79"/>
      <c r="S603" s="40" t="str">
        <f>VLOOKUP(M603,Table1[#All],6,FALSE)</f>
        <v>Q3</v>
      </c>
      <c r="T603" s="79"/>
      <c r="U603" s="40" t="str">
        <f>VLOOKUP(M603,Table1[#All],7,FALSE)</f>
        <v>Q4</v>
      </c>
      <c r="V603" s="79"/>
      <c r="W603" s="40" t="str">
        <f>VLOOKUP(M603,Table1[#All],8,FALSE)</f>
        <v>Q5</v>
      </c>
      <c r="X603" s="79"/>
      <c r="Y603" s="44" t="str">
        <f>VLOOKUP(M603,Table1[#All],2,FALSE)</f>
        <v>Action</v>
      </c>
      <c r="Z603" s="59" t="str">
        <f>VLOOKUP(M603,Table1[#All],9,FALSE)</f>
        <v>Additional Notes:</v>
      </c>
      <c r="AA603" s="76"/>
      <c r="AB603" s="76"/>
      <c r="AC603" s="90" t="s">
        <v>91</v>
      </c>
      <c r="AD603" s="76" t="s">
        <v>91</v>
      </c>
      <c r="AE603" s="77"/>
      <c r="AF603" s="77"/>
      <c r="AG603" s="41" t="s">
        <v>91</v>
      </c>
    </row>
    <row r="604" spans="1:33" ht="21" hidden="1" x14ac:dyDescent="0.55000000000000004">
      <c r="A604" s="44" t="str">
        <f>Data!K603</f>
        <v>DPOW-CCHP</v>
      </c>
      <c r="B604" s="44" t="str">
        <f>Data!L603</f>
        <v>4143899880</v>
      </c>
      <c r="C604" s="44" t="str">
        <f>Data!D603</f>
        <v>Brem, Gabriella</v>
      </c>
      <c r="D604" s="82" t="str">
        <f>Data!F603</f>
        <v>7451451372</v>
      </c>
      <c r="E604" s="82" t="str">
        <f>Data!B603</f>
        <v>7376</v>
      </c>
      <c r="F604" s="44" t="str">
        <f>Data!A603</f>
        <v>Brem, Gabriella</v>
      </c>
      <c r="G604" s="55" t="str">
        <f>Data!C603</f>
        <v>4/12/2017</v>
      </c>
      <c r="H604" s="56">
        <f>Data!H603</f>
        <v>44369</v>
      </c>
      <c r="I604" s="56" t="str">
        <f>Data!I603</f>
        <v>6/24/2021</v>
      </c>
      <c r="J604" s="57">
        <f>Data!J603</f>
        <v>166.8</v>
      </c>
      <c r="K604" s="58">
        <f t="shared" ca="1" si="10"/>
        <v>329</v>
      </c>
      <c r="L604" s="58">
        <f>Data!M603</f>
        <v>0</v>
      </c>
      <c r="M604" s="37" t="s">
        <v>26</v>
      </c>
      <c r="N604" s="43" t="str">
        <f>VLOOKUP(M604,Table1[#All],3,FALSE)</f>
        <v>Note</v>
      </c>
      <c r="O604" s="40" t="str">
        <f>VLOOKUP(M604,Table1[#All],4,FALSE)</f>
        <v>Q1</v>
      </c>
      <c r="P604" s="39"/>
      <c r="Q604" s="40" t="str">
        <f>VLOOKUP(M604,Table1[#All],5,FALSE)</f>
        <v>Q2</v>
      </c>
      <c r="R604" s="79"/>
      <c r="S604" s="40" t="str">
        <f>VLOOKUP(M604,Table1[#All],6,FALSE)</f>
        <v>Q3</v>
      </c>
      <c r="T604" s="79"/>
      <c r="U604" s="40" t="str">
        <f>VLOOKUP(M604,Table1[#All],7,FALSE)</f>
        <v>Q4</v>
      </c>
      <c r="V604" s="79"/>
      <c r="W604" s="40" t="str">
        <f>VLOOKUP(M604,Table1[#All],8,FALSE)</f>
        <v>Q5</v>
      </c>
      <c r="X604" s="79"/>
      <c r="Y604" s="44" t="str">
        <f>VLOOKUP(M604,Table1[#All],2,FALSE)</f>
        <v>Action</v>
      </c>
      <c r="Z604" s="59" t="str">
        <f>VLOOKUP(M604,Table1[#All],9,FALSE)</f>
        <v>Additional Notes:</v>
      </c>
      <c r="AA604" s="76"/>
      <c r="AB604" s="76"/>
      <c r="AC604" s="90" t="s">
        <v>91</v>
      </c>
      <c r="AD604" s="76" t="s">
        <v>91</v>
      </c>
      <c r="AE604" s="77"/>
      <c r="AF604" s="77"/>
      <c r="AG604" s="41" t="s">
        <v>91</v>
      </c>
    </row>
    <row r="605" spans="1:33" ht="21" hidden="1" x14ac:dyDescent="0.55000000000000004">
      <c r="A605" s="44" t="str">
        <f>Data!K604</f>
        <v>DPOW-CCHP</v>
      </c>
      <c r="B605" s="44" t="str">
        <f>Data!L604</f>
        <v>4143899880</v>
      </c>
      <c r="C605" s="44" t="str">
        <f>Data!D604</f>
        <v xml:space="preserve">Brem , Alexzander </v>
      </c>
      <c r="D605" s="82" t="str">
        <f>Data!F604</f>
        <v>7443634579</v>
      </c>
      <c r="E605" s="82" t="str">
        <f>Data!B604</f>
        <v>7374</v>
      </c>
      <c r="F605" s="44" t="str">
        <f>Data!A604</f>
        <v xml:space="preserve">Brem , Alexzander </v>
      </c>
      <c r="G605" s="55" t="str">
        <f>Data!C604</f>
        <v>2/12/2013</v>
      </c>
      <c r="H605" s="56">
        <f>Data!H604</f>
        <v>44369</v>
      </c>
      <c r="I605" s="56" t="str">
        <f>Data!I604</f>
        <v>6/24/2021</v>
      </c>
      <c r="J605" s="57">
        <f>Data!J604</f>
        <v>507.6</v>
      </c>
      <c r="K605" s="58">
        <f t="shared" ca="1" si="10"/>
        <v>329</v>
      </c>
      <c r="L605" s="58">
        <f>Data!M604</f>
        <v>0</v>
      </c>
      <c r="M605" s="37" t="s">
        <v>26</v>
      </c>
      <c r="N605" s="43" t="str">
        <f>VLOOKUP(M605,Table1[#All],3,FALSE)</f>
        <v>Note</v>
      </c>
      <c r="O605" s="40" t="str">
        <f>VLOOKUP(M605,Table1[#All],4,FALSE)</f>
        <v>Q1</v>
      </c>
      <c r="P605" s="39"/>
      <c r="Q605" s="40" t="str">
        <f>VLOOKUP(M605,Table1[#All],5,FALSE)</f>
        <v>Q2</v>
      </c>
      <c r="R605" s="79"/>
      <c r="S605" s="40" t="str">
        <f>VLOOKUP(M605,Table1[#All],6,FALSE)</f>
        <v>Q3</v>
      </c>
      <c r="T605" s="79"/>
      <c r="U605" s="40" t="str">
        <f>VLOOKUP(M605,Table1[#All],7,FALSE)</f>
        <v>Q4</v>
      </c>
      <c r="V605" s="79"/>
      <c r="W605" s="40" t="str">
        <f>VLOOKUP(M605,Table1[#All],8,FALSE)</f>
        <v>Q5</v>
      </c>
      <c r="X605" s="79"/>
      <c r="Y605" s="44" t="str">
        <f>VLOOKUP(M605,Table1[#All],2,FALSE)</f>
        <v>Action</v>
      </c>
      <c r="Z605" s="59" t="str">
        <f>VLOOKUP(M605,Table1[#All],9,FALSE)</f>
        <v>Additional Notes:</v>
      </c>
      <c r="AA605" s="76"/>
      <c r="AB605" s="76"/>
      <c r="AC605" s="90" t="s">
        <v>91</v>
      </c>
      <c r="AD605" s="76" t="s">
        <v>91</v>
      </c>
      <c r="AE605" s="77"/>
      <c r="AF605" s="77"/>
      <c r="AG605" s="41" t="s">
        <v>91</v>
      </c>
    </row>
    <row r="606" spans="1:33" ht="21" hidden="1" x14ac:dyDescent="0.55000000000000004">
      <c r="A606" s="44" t="str">
        <f>Data!K605</f>
        <v>DPOW-CCHP</v>
      </c>
      <c r="B606" s="44" t="str">
        <f>Data!L605</f>
        <v>4143899880</v>
      </c>
      <c r="C606" s="44" t="str">
        <f>Data!D605</f>
        <v>Ramirez, Wendy</v>
      </c>
      <c r="D606" s="82" t="str">
        <f>Data!F605</f>
        <v>0425873501</v>
      </c>
      <c r="E606" s="82" t="str">
        <f>Data!B605</f>
        <v>1349</v>
      </c>
      <c r="F606" s="44" t="str">
        <f>Data!A605</f>
        <v>Ramirez, Wendy</v>
      </c>
      <c r="G606" s="55" t="str">
        <f>Data!C605</f>
        <v>5/12/2006</v>
      </c>
      <c r="H606" s="56">
        <f>Data!H605</f>
        <v>44369</v>
      </c>
      <c r="I606" s="56" t="str">
        <f>Data!I605</f>
        <v>6/24/2021</v>
      </c>
      <c r="J606" s="57">
        <f>Data!J605</f>
        <v>483.6</v>
      </c>
      <c r="K606" s="58">
        <f t="shared" ca="1" si="10"/>
        <v>329</v>
      </c>
      <c r="L606" s="58">
        <f>Data!M605</f>
        <v>0</v>
      </c>
      <c r="M606" s="37" t="s">
        <v>26</v>
      </c>
      <c r="N606" s="43" t="str">
        <f>VLOOKUP(M606,Table1[#All],3,FALSE)</f>
        <v>Note</v>
      </c>
      <c r="O606" s="40" t="str">
        <f>VLOOKUP(M606,Table1[#All],4,FALSE)</f>
        <v>Q1</v>
      </c>
      <c r="P606" s="39"/>
      <c r="Q606" s="40" t="str">
        <f>VLOOKUP(M606,Table1[#All],5,FALSE)</f>
        <v>Q2</v>
      </c>
      <c r="R606" s="79"/>
      <c r="S606" s="40" t="str">
        <f>VLOOKUP(M606,Table1[#All],6,FALSE)</f>
        <v>Q3</v>
      </c>
      <c r="T606" s="79"/>
      <c r="U606" s="40" t="str">
        <f>VLOOKUP(M606,Table1[#All],7,FALSE)</f>
        <v>Q4</v>
      </c>
      <c r="V606" s="79"/>
      <c r="W606" s="40" t="str">
        <f>VLOOKUP(M606,Table1[#All],8,FALSE)</f>
        <v>Q5</v>
      </c>
      <c r="X606" s="79"/>
      <c r="Y606" s="44" t="str">
        <f>VLOOKUP(M606,Table1[#All],2,FALSE)</f>
        <v>Action</v>
      </c>
      <c r="Z606" s="59" t="str">
        <f>VLOOKUP(M606,Table1[#All],9,FALSE)</f>
        <v>Additional Notes:</v>
      </c>
      <c r="AA606" s="76"/>
      <c r="AB606" s="76"/>
      <c r="AC606" s="90" t="s">
        <v>91</v>
      </c>
      <c r="AD606" s="76" t="s">
        <v>91</v>
      </c>
      <c r="AE606" s="77"/>
      <c r="AF606" s="77"/>
      <c r="AG606" s="41" t="s">
        <v>91</v>
      </c>
    </row>
    <row r="607" spans="1:33" ht="21" hidden="1" x14ac:dyDescent="0.55000000000000004">
      <c r="A607" s="44" t="str">
        <f>Data!K606</f>
        <v>DPOW-CCHP</v>
      </c>
      <c r="B607" s="44" t="str">
        <f>Data!L606</f>
        <v>4143899880</v>
      </c>
      <c r="C607" s="44" t="str">
        <f>Data!D606</f>
        <v>Hess, Jessica</v>
      </c>
      <c r="D607" s="82" t="str">
        <f>Data!F606</f>
        <v>6425545666</v>
      </c>
      <c r="E607" s="82" t="str">
        <f>Data!B606</f>
        <v>3959</v>
      </c>
      <c r="F607" s="44" t="str">
        <f>Data!A606</f>
        <v>Hess, Jessica</v>
      </c>
      <c r="G607" s="55" t="str">
        <f>Data!C606</f>
        <v>9/6/1989</v>
      </c>
      <c r="H607" s="56">
        <f>Data!H606</f>
        <v>44368</v>
      </c>
      <c r="I607" s="56" t="str">
        <f>Data!I606</f>
        <v>6/24/2021</v>
      </c>
      <c r="J607" s="57">
        <f>Data!J606</f>
        <v>415.2</v>
      </c>
      <c r="K607" s="58">
        <f t="shared" ca="1" si="10"/>
        <v>329</v>
      </c>
      <c r="L607" s="58">
        <f>Data!M606</f>
        <v>0</v>
      </c>
      <c r="M607" s="37" t="s">
        <v>26</v>
      </c>
      <c r="N607" s="43" t="str">
        <f>VLOOKUP(M607,Table1[#All],3,FALSE)</f>
        <v>Note</v>
      </c>
      <c r="O607" s="40" t="str">
        <f>VLOOKUP(M607,Table1[#All],4,FALSE)</f>
        <v>Q1</v>
      </c>
      <c r="P607" s="39"/>
      <c r="Q607" s="40" t="str">
        <f>VLOOKUP(M607,Table1[#All],5,FALSE)</f>
        <v>Q2</v>
      </c>
      <c r="R607" s="79"/>
      <c r="S607" s="40" t="str">
        <f>VLOOKUP(M607,Table1[#All],6,FALSE)</f>
        <v>Q3</v>
      </c>
      <c r="T607" s="79"/>
      <c r="U607" s="40" t="str">
        <f>VLOOKUP(M607,Table1[#All],7,FALSE)</f>
        <v>Q4</v>
      </c>
      <c r="V607" s="79"/>
      <c r="W607" s="40" t="str">
        <f>VLOOKUP(M607,Table1[#All],8,FALSE)</f>
        <v>Q5</v>
      </c>
      <c r="X607" s="79"/>
      <c r="Y607" s="44" t="str">
        <f>VLOOKUP(M607,Table1[#All],2,FALSE)</f>
        <v>Action</v>
      </c>
      <c r="Z607" s="59" t="str">
        <f>VLOOKUP(M607,Table1[#All],9,FALSE)</f>
        <v>Additional Notes:</v>
      </c>
      <c r="AA607" s="76"/>
      <c r="AB607" s="76"/>
      <c r="AC607" s="90" t="s">
        <v>91</v>
      </c>
      <c r="AD607" s="76" t="s">
        <v>91</v>
      </c>
      <c r="AE607" s="77"/>
      <c r="AF607" s="77"/>
      <c r="AG607" s="41" t="s">
        <v>91</v>
      </c>
    </row>
    <row r="608" spans="1:33" ht="21" hidden="1" x14ac:dyDescent="0.55000000000000004">
      <c r="A608" s="44" t="str">
        <f>Data!K607</f>
        <v>DPOW-CCHP</v>
      </c>
      <c r="B608" s="44" t="str">
        <f>Data!L607</f>
        <v>4143899880</v>
      </c>
      <c r="C608" s="44" t="str">
        <f>Data!D607</f>
        <v xml:space="preserve">Sharma, Sunil </v>
      </c>
      <c r="D608" s="82" t="str">
        <f>Data!F607</f>
        <v>5437766254</v>
      </c>
      <c r="E608" s="82" t="str">
        <f>Data!B607</f>
        <v>5718</v>
      </c>
      <c r="F608" s="44" t="str">
        <f>Data!A607</f>
        <v xml:space="preserve">Sharma, Sunil </v>
      </c>
      <c r="G608" s="55" t="str">
        <f>Data!C607</f>
        <v>5/6/1981</v>
      </c>
      <c r="H608" s="56">
        <f>Data!H607</f>
        <v>44368</v>
      </c>
      <c r="I608" s="56" t="str">
        <f>Data!I607</f>
        <v>6/24/2021</v>
      </c>
      <c r="J608" s="57">
        <f>Data!J607</f>
        <v>110.4</v>
      </c>
      <c r="K608" s="58">
        <f t="shared" ca="1" si="10"/>
        <v>329</v>
      </c>
      <c r="L608" s="58">
        <f>Data!M607</f>
        <v>0</v>
      </c>
      <c r="M608" s="37" t="s">
        <v>26</v>
      </c>
      <c r="N608" s="43" t="str">
        <f>VLOOKUP(M608,Table1[#All],3,FALSE)</f>
        <v>Note</v>
      </c>
      <c r="O608" s="40" t="str">
        <f>VLOOKUP(M608,Table1[#All],4,FALSE)</f>
        <v>Q1</v>
      </c>
      <c r="P608" s="39"/>
      <c r="Q608" s="40" t="str">
        <f>VLOOKUP(M608,Table1[#All],5,FALSE)</f>
        <v>Q2</v>
      </c>
      <c r="R608" s="79"/>
      <c r="S608" s="40" t="str">
        <f>VLOOKUP(M608,Table1[#All],6,FALSE)</f>
        <v>Q3</v>
      </c>
      <c r="T608" s="79"/>
      <c r="U608" s="40" t="str">
        <f>VLOOKUP(M608,Table1[#All],7,FALSE)</f>
        <v>Q4</v>
      </c>
      <c r="V608" s="79"/>
      <c r="W608" s="40" t="str">
        <f>VLOOKUP(M608,Table1[#All],8,FALSE)</f>
        <v>Q5</v>
      </c>
      <c r="X608" s="79"/>
      <c r="Y608" s="44" t="str">
        <f>VLOOKUP(M608,Table1[#All],2,FALSE)</f>
        <v>Action</v>
      </c>
      <c r="Z608" s="59" t="str">
        <f>VLOOKUP(M608,Table1[#All],9,FALSE)</f>
        <v>Additional Notes:</v>
      </c>
      <c r="AA608" s="76"/>
      <c r="AB608" s="76"/>
      <c r="AC608" s="90" t="s">
        <v>91</v>
      </c>
      <c r="AD608" s="76" t="s">
        <v>91</v>
      </c>
      <c r="AE608" s="77"/>
      <c r="AF608" s="77"/>
      <c r="AG608" s="41" t="s">
        <v>91</v>
      </c>
    </row>
    <row r="609" spans="1:33" ht="21" hidden="1" x14ac:dyDescent="0.55000000000000004">
      <c r="A609" s="44" t="str">
        <f>Data!K608</f>
        <v>DPOW-CCHP</v>
      </c>
      <c r="B609" s="44" t="str">
        <f>Data!L608</f>
        <v>4143899880</v>
      </c>
      <c r="C609" s="44" t="str">
        <f>Data!D608</f>
        <v xml:space="preserve">Brown , Shirley </v>
      </c>
      <c r="D609" s="82" t="str">
        <f>Data!F608</f>
        <v>2425769226</v>
      </c>
      <c r="E609" s="82" t="str">
        <f>Data!B608</f>
        <v>5670</v>
      </c>
      <c r="F609" s="44" t="str">
        <f>Data!A608</f>
        <v xml:space="preserve">Brown , Shirley </v>
      </c>
      <c r="G609" s="55" t="str">
        <f>Data!C608</f>
        <v>4/8/1980</v>
      </c>
      <c r="H609" s="56">
        <f>Data!H608</f>
        <v>44368</v>
      </c>
      <c r="I609" s="56" t="str">
        <f>Data!I608</f>
        <v>6/24/2021</v>
      </c>
      <c r="J609" s="57">
        <f>Data!J608</f>
        <v>480</v>
      </c>
      <c r="K609" s="58">
        <f t="shared" ca="1" si="10"/>
        <v>329</v>
      </c>
      <c r="L609" s="58">
        <f>Data!M608</f>
        <v>0</v>
      </c>
      <c r="M609" s="37" t="s">
        <v>26</v>
      </c>
      <c r="N609" s="43" t="str">
        <f>VLOOKUP(M609,Table1[#All],3,FALSE)</f>
        <v>Note</v>
      </c>
      <c r="O609" s="40" t="str">
        <f>VLOOKUP(M609,Table1[#All],4,FALSE)</f>
        <v>Q1</v>
      </c>
      <c r="P609" s="39"/>
      <c r="Q609" s="40" t="str">
        <f>VLOOKUP(M609,Table1[#All],5,FALSE)</f>
        <v>Q2</v>
      </c>
      <c r="R609" s="79"/>
      <c r="S609" s="40" t="str">
        <f>VLOOKUP(M609,Table1[#All],6,FALSE)</f>
        <v>Q3</v>
      </c>
      <c r="T609" s="79"/>
      <c r="U609" s="40" t="str">
        <f>VLOOKUP(M609,Table1[#All],7,FALSE)</f>
        <v>Q4</v>
      </c>
      <c r="V609" s="79"/>
      <c r="W609" s="40" t="str">
        <f>VLOOKUP(M609,Table1[#All],8,FALSE)</f>
        <v>Q5</v>
      </c>
      <c r="X609" s="79"/>
      <c r="Y609" s="44" t="str">
        <f>VLOOKUP(M609,Table1[#All],2,FALSE)</f>
        <v>Action</v>
      </c>
      <c r="Z609" s="59" t="str">
        <f>VLOOKUP(M609,Table1[#All],9,FALSE)</f>
        <v>Additional Notes:</v>
      </c>
      <c r="AA609" s="76"/>
      <c r="AB609" s="76"/>
      <c r="AC609" s="90" t="s">
        <v>91</v>
      </c>
      <c r="AD609" s="76" t="s">
        <v>91</v>
      </c>
      <c r="AE609" s="77"/>
      <c r="AF609" s="77"/>
      <c r="AG609" s="41" t="s">
        <v>91</v>
      </c>
    </row>
    <row r="610" spans="1:33" ht="21" hidden="1" x14ac:dyDescent="0.55000000000000004">
      <c r="A610" s="44" t="str">
        <f>Data!K609</f>
        <v>DPOW-CCHP</v>
      </c>
      <c r="B610" s="44" t="str">
        <f>Data!L609</f>
        <v>4143899880</v>
      </c>
      <c r="C610" s="44" t="str">
        <f>Data!D609</f>
        <v>Obrien , Christian</v>
      </c>
      <c r="D610" s="82" t="str">
        <f>Data!F609</f>
        <v>0439169208</v>
      </c>
      <c r="E610" s="82" t="str">
        <f>Data!B609</f>
        <v>7356</v>
      </c>
      <c r="F610" s="44" t="str">
        <f>Data!A609</f>
        <v>Obrien , Christian</v>
      </c>
      <c r="G610" s="55" t="str">
        <f>Data!C609</f>
        <v>9/19/2010</v>
      </c>
      <c r="H610" s="56">
        <f>Data!H609</f>
        <v>44365</v>
      </c>
      <c r="I610" s="56" t="str">
        <f>Data!I609</f>
        <v>6/22/2021</v>
      </c>
      <c r="J610" s="57">
        <f>Data!J609</f>
        <v>413.2</v>
      </c>
      <c r="K610" s="58">
        <f t="shared" ca="1" si="10"/>
        <v>331</v>
      </c>
      <c r="L610" s="58">
        <f>Data!M609</f>
        <v>0</v>
      </c>
      <c r="M610" s="37" t="s">
        <v>26</v>
      </c>
      <c r="N610" s="43" t="str">
        <f>VLOOKUP(M610,Table1[#All],3,FALSE)</f>
        <v>Note</v>
      </c>
      <c r="O610" s="40" t="str">
        <f>VLOOKUP(M610,Table1[#All],4,FALSE)</f>
        <v>Q1</v>
      </c>
      <c r="P610" s="39"/>
      <c r="Q610" s="40" t="str">
        <f>VLOOKUP(M610,Table1[#All],5,FALSE)</f>
        <v>Q2</v>
      </c>
      <c r="R610" s="79"/>
      <c r="S610" s="40" t="str">
        <f>VLOOKUP(M610,Table1[#All],6,FALSE)</f>
        <v>Q3</v>
      </c>
      <c r="T610" s="79"/>
      <c r="U610" s="40" t="str">
        <f>VLOOKUP(M610,Table1[#All],7,FALSE)</f>
        <v>Q4</v>
      </c>
      <c r="V610" s="79"/>
      <c r="W610" s="40" t="str">
        <f>VLOOKUP(M610,Table1[#All],8,FALSE)</f>
        <v>Q5</v>
      </c>
      <c r="X610" s="79"/>
      <c r="Y610" s="44" t="str">
        <f>VLOOKUP(M610,Table1[#All],2,FALSE)</f>
        <v>Action</v>
      </c>
      <c r="Z610" s="59" t="str">
        <f>VLOOKUP(M610,Table1[#All],9,FALSE)</f>
        <v>Additional Notes:</v>
      </c>
      <c r="AA610" s="76"/>
      <c r="AB610" s="76"/>
      <c r="AC610" s="90" t="s">
        <v>91</v>
      </c>
      <c r="AD610" s="76" t="s">
        <v>91</v>
      </c>
      <c r="AE610" s="77"/>
      <c r="AF610" s="77"/>
      <c r="AG610" s="41" t="s">
        <v>91</v>
      </c>
    </row>
    <row r="611" spans="1:33" ht="21" hidden="1" x14ac:dyDescent="0.55000000000000004">
      <c r="A611" s="44" t="str">
        <f>Data!K610</f>
        <v>DPOW-CCHP</v>
      </c>
      <c r="B611" s="44" t="str">
        <f>Data!L610</f>
        <v>4143899880</v>
      </c>
      <c r="C611" s="44" t="str">
        <f>Data!D610</f>
        <v>Cruz , Uriel</v>
      </c>
      <c r="D611" s="82" t="str">
        <f>Data!F610</f>
        <v>7449462079</v>
      </c>
      <c r="E611" s="82" t="str">
        <f>Data!B610</f>
        <v>7032</v>
      </c>
      <c r="F611" s="44" t="str">
        <f>Data!A610</f>
        <v>Cruz , Uriel</v>
      </c>
      <c r="G611" s="55" t="str">
        <f>Data!C610</f>
        <v>2/11/2016</v>
      </c>
      <c r="H611" s="56">
        <f>Data!H610</f>
        <v>44364</v>
      </c>
      <c r="I611" s="56" t="str">
        <f>Data!I610</f>
        <v>6/22/2021</v>
      </c>
      <c r="J611" s="57">
        <f>Data!J610</f>
        <v>566.79999999999995</v>
      </c>
      <c r="K611" s="58">
        <f t="shared" ca="1" si="10"/>
        <v>331</v>
      </c>
      <c r="L611" s="58">
        <f>Data!M610</f>
        <v>0</v>
      </c>
      <c r="M611" s="37" t="s">
        <v>26</v>
      </c>
      <c r="N611" s="43" t="str">
        <f>VLOOKUP(M611,Table1[#All],3,FALSE)</f>
        <v>Note</v>
      </c>
      <c r="O611" s="40" t="str">
        <f>VLOOKUP(M611,Table1[#All],4,FALSE)</f>
        <v>Q1</v>
      </c>
      <c r="P611" s="39"/>
      <c r="Q611" s="40" t="str">
        <f>VLOOKUP(M611,Table1[#All],5,FALSE)</f>
        <v>Q2</v>
      </c>
      <c r="R611" s="79"/>
      <c r="S611" s="40" t="str">
        <f>VLOOKUP(M611,Table1[#All],6,FALSE)</f>
        <v>Q3</v>
      </c>
      <c r="T611" s="79"/>
      <c r="U611" s="40" t="str">
        <f>VLOOKUP(M611,Table1[#All],7,FALSE)</f>
        <v>Q4</v>
      </c>
      <c r="V611" s="79"/>
      <c r="W611" s="40" t="str">
        <f>VLOOKUP(M611,Table1[#All],8,FALSE)</f>
        <v>Q5</v>
      </c>
      <c r="X611" s="79"/>
      <c r="Y611" s="44" t="str">
        <f>VLOOKUP(M611,Table1[#All],2,FALSE)</f>
        <v>Action</v>
      </c>
      <c r="Z611" s="59" t="str">
        <f>VLOOKUP(M611,Table1[#All],9,FALSE)</f>
        <v>Additional Notes:</v>
      </c>
      <c r="AA611" s="76"/>
      <c r="AB611" s="76"/>
      <c r="AC611" s="90" t="s">
        <v>91</v>
      </c>
      <c r="AD611" s="76" t="s">
        <v>91</v>
      </c>
      <c r="AE611" s="77"/>
      <c r="AF611" s="77"/>
      <c r="AG611" s="41" t="s">
        <v>91</v>
      </c>
    </row>
    <row r="612" spans="1:33" ht="21" hidden="1" x14ac:dyDescent="0.55000000000000004">
      <c r="A612" s="44" t="str">
        <f>Data!K611</f>
        <v>DPOW-CCHP</v>
      </c>
      <c r="B612" s="44" t="str">
        <f>Data!L611</f>
        <v>4143899880</v>
      </c>
      <c r="C612" s="44" t="str">
        <f>Data!D611</f>
        <v>BURKS, JAQUALA</v>
      </c>
      <c r="D612" s="82" t="str">
        <f>Data!F611</f>
        <v>7419585270</v>
      </c>
      <c r="E612" s="82" t="str">
        <f>Data!B611</f>
        <v>3918</v>
      </c>
      <c r="F612" s="44" t="str">
        <f>Data!A611</f>
        <v>BURKS, JAQUALA</v>
      </c>
      <c r="G612" s="55" t="str">
        <f>Data!C611</f>
        <v>6/27/1993</v>
      </c>
      <c r="H612" s="56">
        <f>Data!H611</f>
        <v>44364</v>
      </c>
      <c r="I612" s="56" t="str">
        <f>Data!I611</f>
        <v>6/22/2021</v>
      </c>
      <c r="J612" s="57">
        <f>Data!J611</f>
        <v>480</v>
      </c>
      <c r="K612" s="58">
        <f t="shared" ca="1" si="10"/>
        <v>331</v>
      </c>
      <c r="L612" s="58">
        <f>Data!M611</f>
        <v>0</v>
      </c>
      <c r="M612" s="37" t="s">
        <v>26</v>
      </c>
      <c r="N612" s="43" t="str">
        <f>VLOOKUP(M612,Table1[#All],3,FALSE)</f>
        <v>Note</v>
      </c>
      <c r="O612" s="40" t="str">
        <f>VLOOKUP(M612,Table1[#All],4,FALSE)</f>
        <v>Q1</v>
      </c>
      <c r="P612" s="39"/>
      <c r="Q612" s="40" t="str">
        <f>VLOOKUP(M612,Table1[#All],5,FALSE)</f>
        <v>Q2</v>
      </c>
      <c r="R612" s="79"/>
      <c r="S612" s="40" t="str">
        <f>VLOOKUP(M612,Table1[#All],6,FALSE)</f>
        <v>Q3</v>
      </c>
      <c r="T612" s="79"/>
      <c r="U612" s="40" t="str">
        <f>VLOOKUP(M612,Table1[#All],7,FALSE)</f>
        <v>Q4</v>
      </c>
      <c r="V612" s="79"/>
      <c r="W612" s="40" t="str">
        <f>VLOOKUP(M612,Table1[#All],8,FALSE)</f>
        <v>Q5</v>
      </c>
      <c r="X612" s="79"/>
      <c r="Y612" s="44" t="str">
        <f>VLOOKUP(M612,Table1[#All],2,FALSE)</f>
        <v>Action</v>
      </c>
      <c r="Z612" s="59" t="str">
        <f>VLOOKUP(M612,Table1[#All],9,FALSE)</f>
        <v>Additional Notes:</v>
      </c>
      <c r="AA612" s="76"/>
      <c r="AB612" s="76"/>
      <c r="AC612" s="90" t="s">
        <v>91</v>
      </c>
      <c r="AD612" s="76" t="s">
        <v>91</v>
      </c>
      <c r="AE612" s="77"/>
      <c r="AF612" s="77"/>
      <c r="AG612" s="41" t="s">
        <v>91</v>
      </c>
    </row>
    <row r="613" spans="1:33" ht="21" hidden="1" x14ac:dyDescent="0.55000000000000004">
      <c r="A613" s="44" t="str">
        <f>Data!K612</f>
        <v>DPOW-CCHP</v>
      </c>
      <c r="B613" s="44" t="str">
        <f>Data!L612</f>
        <v>4143899880</v>
      </c>
      <c r="C613" s="44" t="str">
        <f>Data!D612</f>
        <v xml:space="preserve">Brown , Shirley </v>
      </c>
      <c r="D613" s="82" t="str">
        <f>Data!F612</f>
        <v>2425769226</v>
      </c>
      <c r="E613" s="82" t="str">
        <f>Data!B612</f>
        <v>5670</v>
      </c>
      <c r="F613" s="44" t="str">
        <f>Data!A612</f>
        <v xml:space="preserve">Brown , Shirley </v>
      </c>
      <c r="G613" s="55" t="str">
        <f>Data!C612</f>
        <v>4/8/1980</v>
      </c>
      <c r="H613" s="56">
        <f>Data!H612</f>
        <v>44361</v>
      </c>
      <c r="I613" s="56" t="str">
        <f>Data!I612</f>
        <v>6/17/2021</v>
      </c>
      <c r="J613" s="57">
        <f>Data!J612</f>
        <v>480</v>
      </c>
      <c r="K613" s="58">
        <f t="shared" ca="1" si="10"/>
        <v>336</v>
      </c>
      <c r="L613" s="58">
        <f>Data!M612</f>
        <v>0</v>
      </c>
      <c r="M613" s="37" t="s">
        <v>26</v>
      </c>
      <c r="N613" s="43" t="str">
        <f>VLOOKUP(M613,Table1[#All],3,FALSE)</f>
        <v>Note</v>
      </c>
      <c r="O613" s="40" t="str">
        <f>VLOOKUP(M613,Table1[#All],4,FALSE)</f>
        <v>Q1</v>
      </c>
      <c r="P613" s="39"/>
      <c r="Q613" s="40" t="str">
        <f>VLOOKUP(M613,Table1[#All],5,FALSE)</f>
        <v>Q2</v>
      </c>
      <c r="R613" s="79"/>
      <c r="S613" s="40" t="str">
        <f>VLOOKUP(M613,Table1[#All],6,FALSE)</f>
        <v>Q3</v>
      </c>
      <c r="T613" s="79"/>
      <c r="U613" s="40" t="str">
        <f>VLOOKUP(M613,Table1[#All],7,FALSE)</f>
        <v>Q4</v>
      </c>
      <c r="V613" s="79"/>
      <c r="W613" s="40" t="str">
        <f>VLOOKUP(M613,Table1[#All],8,FALSE)</f>
        <v>Q5</v>
      </c>
      <c r="X613" s="79"/>
      <c r="Y613" s="44" t="str">
        <f>VLOOKUP(M613,Table1[#All],2,FALSE)</f>
        <v>Action</v>
      </c>
      <c r="Z613" s="59" t="str">
        <f>VLOOKUP(M613,Table1[#All],9,FALSE)</f>
        <v>Additional Notes:</v>
      </c>
      <c r="AA613" s="76"/>
      <c r="AB613" s="76"/>
      <c r="AC613" s="90" t="s">
        <v>91</v>
      </c>
      <c r="AD613" s="76" t="s">
        <v>91</v>
      </c>
      <c r="AE613" s="77"/>
      <c r="AF613" s="77"/>
      <c r="AG613" s="41" t="s">
        <v>91</v>
      </c>
    </row>
    <row r="614" spans="1:33" ht="21" hidden="1" x14ac:dyDescent="0.55000000000000004">
      <c r="A614" s="44" t="str">
        <f>Data!K613</f>
        <v>DPOW-CCHP</v>
      </c>
      <c r="B614" s="44" t="str">
        <f>Data!L613</f>
        <v>4143899880</v>
      </c>
      <c r="C614" s="44" t="str">
        <f>Data!D613</f>
        <v>Vazquez, Iliana</v>
      </c>
      <c r="D614" s="82" t="str">
        <f>Data!F613</f>
        <v>2439412228</v>
      </c>
      <c r="E614" s="82" t="str">
        <f>Data!B613</f>
        <v>7157</v>
      </c>
      <c r="F614" s="44" t="str">
        <f>Data!A613</f>
        <v>Vazquez, Iliana</v>
      </c>
      <c r="G614" s="55" t="str">
        <f>Data!C613</f>
        <v>6/26/1986</v>
      </c>
      <c r="H614" s="56">
        <f>Data!H613</f>
        <v>44358</v>
      </c>
      <c r="I614" s="56" t="str">
        <f>Data!I613</f>
        <v>6/15/2021</v>
      </c>
      <c r="J614" s="57">
        <f>Data!J613</f>
        <v>138</v>
      </c>
      <c r="K614" s="58">
        <f t="shared" ca="1" si="10"/>
        <v>338</v>
      </c>
      <c r="L614" s="58">
        <f>Data!M613</f>
        <v>0</v>
      </c>
      <c r="M614" s="37" t="s">
        <v>26</v>
      </c>
      <c r="N614" s="43" t="str">
        <f>VLOOKUP(M614,Table1[#All],3,FALSE)</f>
        <v>Note</v>
      </c>
      <c r="O614" s="40" t="str">
        <f>VLOOKUP(M614,Table1[#All],4,FALSE)</f>
        <v>Q1</v>
      </c>
      <c r="P614" s="39"/>
      <c r="Q614" s="40" t="str">
        <f>VLOOKUP(M614,Table1[#All],5,FALSE)</f>
        <v>Q2</v>
      </c>
      <c r="R614" s="79"/>
      <c r="S614" s="40" t="str">
        <f>VLOOKUP(M614,Table1[#All],6,FALSE)</f>
        <v>Q3</v>
      </c>
      <c r="T614" s="79"/>
      <c r="U614" s="40" t="str">
        <f>VLOOKUP(M614,Table1[#All],7,FALSE)</f>
        <v>Q4</v>
      </c>
      <c r="V614" s="79"/>
      <c r="W614" s="40" t="str">
        <f>VLOOKUP(M614,Table1[#All],8,FALSE)</f>
        <v>Q5</v>
      </c>
      <c r="X614" s="79"/>
      <c r="Y614" s="44" t="str">
        <f>VLOOKUP(M614,Table1[#All],2,FALSE)</f>
        <v>Action</v>
      </c>
      <c r="Z614" s="59" t="str">
        <f>VLOOKUP(M614,Table1[#All],9,FALSE)</f>
        <v>Additional Notes:</v>
      </c>
      <c r="AA614" s="76"/>
      <c r="AB614" s="76"/>
      <c r="AC614" s="90" t="s">
        <v>91</v>
      </c>
      <c r="AD614" s="76" t="s">
        <v>91</v>
      </c>
      <c r="AE614" s="77"/>
      <c r="AF614" s="77"/>
      <c r="AG614" s="41" t="s">
        <v>91</v>
      </c>
    </row>
    <row r="615" spans="1:33" ht="21" hidden="1" x14ac:dyDescent="0.55000000000000004">
      <c r="A615" s="44" t="str">
        <f>Data!K614</f>
        <v>DPOW-CCHP</v>
      </c>
      <c r="B615" s="44" t="str">
        <f>Data!L614</f>
        <v>4143899880</v>
      </c>
      <c r="C615" s="44" t="str">
        <f>Data!D614</f>
        <v>Obaidi, Ali Hussein</v>
      </c>
      <c r="D615" s="82" t="str">
        <f>Data!F614</f>
        <v>0455443807</v>
      </c>
      <c r="E615" s="82" t="str">
        <f>Data!B614</f>
        <v>7285</v>
      </c>
      <c r="F615" s="44" t="str">
        <f>Data!A614</f>
        <v>Obaidi, Ali Hussein</v>
      </c>
      <c r="G615" s="55" t="str">
        <f>Data!C614</f>
        <v>8/10/1981</v>
      </c>
      <c r="H615" s="56">
        <f>Data!H614</f>
        <v>44357</v>
      </c>
      <c r="I615" s="56" t="str">
        <f>Data!I614</f>
        <v>6/11/2021</v>
      </c>
      <c r="J615" s="57">
        <f>Data!J614</f>
        <v>414</v>
      </c>
      <c r="K615" s="58">
        <f t="shared" ca="1" si="10"/>
        <v>342</v>
      </c>
      <c r="L615" s="58">
        <f>Data!M614</f>
        <v>0</v>
      </c>
      <c r="M615" s="37" t="s">
        <v>26</v>
      </c>
      <c r="N615" s="43" t="str">
        <f>VLOOKUP(M615,Table1[#All],3,FALSE)</f>
        <v>Note</v>
      </c>
      <c r="O615" s="40" t="str">
        <f>VLOOKUP(M615,Table1[#All],4,FALSE)</f>
        <v>Q1</v>
      </c>
      <c r="P615" s="39"/>
      <c r="Q615" s="40" t="str">
        <f>VLOOKUP(M615,Table1[#All],5,FALSE)</f>
        <v>Q2</v>
      </c>
      <c r="R615" s="79"/>
      <c r="S615" s="40" t="str">
        <f>VLOOKUP(M615,Table1[#All],6,FALSE)</f>
        <v>Q3</v>
      </c>
      <c r="T615" s="79"/>
      <c r="U615" s="40" t="str">
        <f>VLOOKUP(M615,Table1[#All],7,FALSE)</f>
        <v>Q4</v>
      </c>
      <c r="V615" s="79"/>
      <c r="W615" s="40" t="str">
        <f>VLOOKUP(M615,Table1[#All],8,FALSE)</f>
        <v>Q5</v>
      </c>
      <c r="X615" s="79"/>
      <c r="Y615" s="44" t="str">
        <f>VLOOKUP(M615,Table1[#All],2,FALSE)</f>
        <v>Action</v>
      </c>
      <c r="Z615" s="59" t="str">
        <f>VLOOKUP(M615,Table1[#All],9,FALSE)</f>
        <v>Additional Notes:</v>
      </c>
      <c r="AA615" s="76"/>
      <c r="AB615" s="76"/>
      <c r="AC615" s="90" t="s">
        <v>91</v>
      </c>
      <c r="AD615" s="76" t="s">
        <v>91</v>
      </c>
      <c r="AE615" s="77"/>
      <c r="AF615" s="77"/>
      <c r="AG615" s="41" t="s">
        <v>91</v>
      </c>
    </row>
    <row r="616" spans="1:33" ht="21" hidden="1" x14ac:dyDescent="0.55000000000000004">
      <c r="A616" s="44" t="str">
        <f>Data!K615</f>
        <v>DPOW-CCHP</v>
      </c>
      <c r="B616" s="44" t="str">
        <f>Data!L615</f>
        <v>4143899880</v>
      </c>
      <c r="C616" s="44" t="str">
        <f>Data!D615</f>
        <v>Casey, Emma</v>
      </c>
      <c r="D616" s="82" t="str">
        <f>Data!F615</f>
        <v>4437843347</v>
      </c>
      <c r="E616" s="82" t="str">
        <f>Data!B615</f>
        <v>1084</v>
      </c>
      <c r="F616" s="44" t="str">
        <f>Data!A615</f>
        <v>Casey, Emma</v>
      </c>
      <c r="G616" s="55" t="str">
        <f>Data!C615</f>
        <v>1/4/2010</v>
      </c>
      <c r="H616" s="56">
        <f>Data!H615</f>
        <v>44357</v>
      </c>
      <c r="I616" s="56" t="str">
        <f>Data!I615</f>
        <v>6/11/2021</v>
      </c>
      <c r="J616" s="57">
        <f>Data!J615</f>
        <v>396</v>
      </c>
      <c r="K616" s="58">
        <f t="shared" ref="K616:K679" ca="1" si="11">TODAY()-I616</f>
        <v>342</v>
      </c>
      <c r="L616" s="58">
        <f>Data!M615</f>
        <v>0</v>
      </c>
      <c r="M616" s="37" t="s">
        <v>26</v>
      </c>
      <c r="N616" s="43" t="str">
        <f>VLOOKUP(M616,Table1[#All],3,FALSE)</f>
        <v>Note</v>
      </c>
      <c r="O616" s="40" t="str">
        <f>VLOOKUP(M616,Table1[#All],4,FALSE)</f>
        <v>Q1</v>
      </c>
      <c r="P616" s="39"/>
      <c r="Q616" s="40" t="str">
        <f>VLOOKUP(M616,Table1[#All],5,FALSE)</f>
        <v>Q2</v>
      </c>
      <c r="R616" s="79"/>
      <c r="S616" s="40" t="str">
        <f>VLOOKUP(M616,Table1[#All],6,FALSE)</f>
        <v>Q3</v>
      </c>
      <c r="T616" s="79"/>
      <c r="U616" s="40" t="str">
        <f>VLOOKUP(M616,Table1[#All],7,FALSE)</f>
        <v>Q4</v>
      </c>
      <c r="V616" s="79"/>
      <c r="W616" s="40" t="str">
        <f>VLOOKUP(M616,Table1[#All],8,FALSE)</f>
        <v>Q5</v>
      </c>
      <c r="X616" s="79"/>
      <c r="Y616" s="44" t="str">
        <f>VLOOKUP(M616,Table1[#All],2,FALSE)</f>
        <v>Action</v>
      </c>
      <c r="Z616" s="59" t="str">
        <f>VLOOKUP(M616,Table1[#All],9,FALSE)</f>
        <v>Additional Notes:</v>
      </c>
      <c r="AA616" s="76"/>
      <c r="AB616" s="76"/>
      <c r="AC616" s="90" t="s">
        <v>91</v>
      </c>
      <c r="AD616" s="76" t="s">
        <v>91</v>
      </c>
      <c r="AE616" s="77"/>
      <c r="AF616" s="77"/>
      <c r="AG616" s="41" t="s">
        <v>91</v>
      </c>
    </row>
    <row r="617" spans="1:33" ht="21" hidden="1" x14ac:dyDescent="0.55000000000000004">
      <c r="A617" s="44" t="str">
        <f>Data!K616</f>
        <v>DPOW-CCHP</v>
      </c>
      <c r="B617" s="44" t="str">
        <f>Data!L616</f>
        <v>4143899880</v>
      </c>
      <c r="C617" s="44" t="str">
        <f>Data!D616</f>
        <v>Maldonado, Leslie</v>
      </c>
      <c r="D617" s="82" t="str">
        <f>Data!F616</f>
        <v>9440953896</v>
      </c>
      <c r="E617" s="82" t="str">
        <f>Data!B616</f>
        <v>7192</v>
      </c>
      <c r="F617" s="44" t="str">
        <f>Data!A616</f>
        <v>Maldonado, Leslie</v>
      </c>
      <c r="G617" s="55" t="str">
        <f>Data!C616</f>
        <v>8/23/2011</v>
      </c>
      <c r="H617" s="56">
        <f>Data!H616</f>
        <v>44356</v>
      </c>
      <c r="I617" s="56" t="str">
        <f>Data!I616</f>
        <v>6/9/2021</v>
      </c>
      <c r="J617" s="57">
        <f>Data!J616</f>
        <v>437.2</v>
      </c>
      <c r="K617" s="58">
        <f t="shared" ca="1" si="11"/>
        <v>344</v>
      </c>
      <c r="L617" s="58">
        <f>Data!M616</f>
        <v>0</v>
      </c>
      <c r="M617" s="37" t="s">
        <v>26</v>
      </c>
      <c r="N617" s="43" t="str">
        <f>VLOOKUP(M617,Table1[#All],3,FALSE)</f>
        <v>Note</v>
      </c>
      <c r="O617" s="40" t="str">
        <f>VLOOKUP(M617,Table1[#All],4,FALSE)</f>
        <v>Q1</v>
      </c>
      <c r="P617" s="39"/>
      <c r="Q617" s="40" t="str">
        <f>VLOOKUP(M617,Table1[#All],5,FALSE)</f>
        <v>Q2</v>
      </c>
      <c r="R617" s="79"/>
      <c r="S617" s="40" t="str">
        <f>VLOOKUP(M617,Table1[#All],6,FALSE)</f>
        <v>Q3</v>
      </c>
      <c r="T617" s="79"/>
      <c r="U617" s="40" t="str">
        <f>VLOOKUP(M617,Table1[#All],7,FALSE)</f>
        <v>Q4</v>
      </c>
      <c r="V617" s="79"/>
      <c r="W617" s="40" t="str">
        <f>VLOOKUP(M617,Table1[#All],8,FALSE)</f>
        <v>Q5</v>
      </c>
      <c r="X617" s="79"/>
      <c r="Y617" s="44" t="str">
        <f>VLOOKUP(M617,Table1[#All],2,FALSE)</f>
        <v>Action</v>
      </c>
      <c r="Z617" s="59" t="str">
        <f>VLOOKUP(M617,Table1[#All],9,FALSE)</f>
        <v>Additional Notes:</v>
      </c>
      <c r="AA617" s="76"/>
      <c r="AB617" s="76"/>
      <c r="AC617" s="90" t="s">
        <v>91</v>
      </c>
      <c r="AD617" s="76" t="s">
        <v>91</v>
      </c>
      <c r="AE617" s="77"/>
      <c r="AF617" s="77"/>
      <c r="AG617" s="41" t="s">
        <v>91</v>
      </c>
    </row>
    <row r="618" spans="1:33" ht="21" hidden="1" x14ac:dyDescent="0.55000000000000004">
      <c r="A618" s="44" t="str">
        <f>Data!K617</f>
        <v>DPOW-CCHP</v>
      </c>
      <c r="B618" s="44" t="str">
        <f>Data!L617</f>
        <v>4143899880</v>
      </c>
      <c r="C618" s="44" t="str">
        <f>Data!D617</f>
        <v xml:space="preserve">Brown , Shirley </v>
      </c>
      <c r="D618" s="82" t="str">
        <f>Data!F617</f>
        <v>2425769226</v>
      </c>
      <c r="E618" s="82" t="str">
        <f>Data!B617</f>
        <v>5670</v>
      </c>
      <c r="F618" s="44" t="str">
        <f>Data!A617</f>
        <v xml:space="preserve">Brown , Shirley </v>
      </c>
      <c r="G618" s="55" t="str">
        <f>Data!C617</f>
        <v>4/8/1980</v>
      </c>
      <c r="H618" s="56">
        <f>Data!H617</f>
        <v>44351</v>
      </c>
      <c r="I618" s="56" t="str">
        <f>Data!I617</f>
        <v>6/7/2021</v>
      </c>
      <c r="J618" s="57">
        <f>Data!J617</f>
        <v>432</v>
      </c>
      <c r="K618" s="58">
        <f t="shared" ca="1" si="11"/>
        <v>346</v>
      </c>
      <c r="L618" s="58">
        <f>Data!M617</f>
        <v>0</v>
      </c>
      <c r="M618" s="37" t="s">
        <v>26</v>
      </c>
      <c r="N618" s="43" t="str">
        <f>VLOOKUP(M618,Table1[#All],3,FALSE)</f>
        <v>Note</v>
      </c>
      <c r="O618" s="40" t="str">
        <f>VLOOKUP(M618,Table1[#All],4,FALSE)</f>
        <v>Q1</v>
      </c>
      <c r="P618" s="39"/>
      <c r="Q618" s="40" t="str">
        <f>VLOOKUP(M618,Table1[#All],5,FALSE)</f>
        <v>Q2</v>
      </c>
      <c r="R618" s="79"/>
      <c r="S618" s="40" t="str">
        <f>VLOOKUP(M618,Table1[#All],6,FALSE)</f>
        <v>Q3</v>
      </c>
      <c r="T618" s="79"/>
      <c r="U618" s="40" t="str">
        <f>VLOOKUP(M618,Table1[#All],7,FALSE)</f>
        <v>Q4</v>
      </c>
      <c r="V618" s="79"/>
      <c r="W618" s="40" t="str">
        <f>VLOOKUP(M618,Table1[#All],8,FALSE)</f>
        <v>Q5</v>
      </c>
      <c r="X618" s="79"/>
      <c r="Y618" s="44" t="str">
        <f>VLOOKUP(M618,Table1[#All],2,FALSE)</f>
        <v>Action</v>
      </c>
      <c r="Z618" s="59" t="str">
        <f>VLOOKUP(M618,Table1[#All],9,FALSE)</f>
        <v>Additional Notes:</v>
      </c>
      <c r="AA618" s="76"/>
      <c r="AB618" s="76"/>
      <c r="AC618" s="90" t="s">
        <v>91</v>
      </c>
      <c r="AD618" s="76" t="s">
        <v>91</v>
      </c>
      <c r="AE618" s="77"/>
      <c r="AF618" s="77"/>
      <c r="AG618" s="41" t="s">
        <v>91</v>
      </c>
    </row>
    <row r="619" spans="1:33" ht="21" hidden="1" x14ac:dyDescent="0.55000000000000004">
      <c r="A619" s="44" t="str">
        <f>Data!K618</f>
        <v>DPOW-CCHP</v>
      </c>
      <c r="B619" s="44" t="str">
        <f>Data!L618</f>
        <v>4143899880</v>
      </c>
      <c r="C619" s="44" t="str">
        <f>Data!D618</f>
        <v xml:space="preserve">Olivares Camach, Sebastian </v>
      </c>
      <c r="D619" s="82" t="str">
        <f>Data!F618</f>
        <v>4442185841</v>
      </c>
      <c r="E619" s="82" t="str">
        <f>Data!B618</f>
        <v>6349</v>
      </c>
      <c r="F619" s="44" t="str">
        <f>Data!A618</f>
        <v xml:space="preserve">Olivares Camach, Sebastian </v>
      </c>
      <c r="G619" s="55" t="str">
        <f>Data!C618</f>
        <v>5/10/2012</v>
      </c>
      <c r="H619" s="56">
        <f>Data!H618</f>
        <v>44351</v>
      </c>
      <c r="I619" s="56" t="str">
        <f>Data!I618</f>
        <v>6/7/2021</v>
      </c>
      <c r="J619" s="57">
        <f>Data!J618</f>
        <v>61.2</v>
      </c>
      <c r="K619" s="58">
        <f t="shared" ca="1" si="11"/>
        <v>346</v>
      </c>
      <c r="L619" s="58">
        <f>Data!M618</f>
        <v>0</v>
      </c>
      <c r="M619" s="37" t="s">
        <v>26</v>
      </c>
      <c r="N619" s="43" t="str">
        <f>VLOOKUP(M619,Table1[#All],3,FALSE)</f>
        <v>Note</v>
      </c>
      <c r="O619" s="40" t="str">
        <f>VLOOKUP(M619,Table1[#All],4,FALSE)</f>
        <v>Q1</v>
      </c>
      <c r="P619" s="39"/>
      <c r="Q619" s="40" t="str">
        <f>VLOOKUP(M619,Table1[#All],5,FALSE)</f>
        <v>Q2</v>
      </c>
      <c r="R619" s="79"/>
      <c r="S619" s="40" t="str">
        <f>VLOOKUP(M619,Table1[#All],6,FALSE)</f>
        <v>Q3</v>
      </c>
      <c r="T619" s="79"/>
      <c r="U619" s="40" t="str">
        <f>VLOOKUP(M619,Table1[#All],7,FALSE)</f>
        <v>Q4</v>
      </c>
      <c r="V619" s="79"/>
      <c r="W619" s="40" t="str">
        <f>VLOOKUP(M619,Table1[#All],8,FALSE)</f>
        <v>Q5</v>
      </c>
      <c r="X619" s="79"/>
      <c r="Y619" s="44" t="str">
        <f>VLOOKUP(M619,Table1[#All],2,FALSE)</f>
        <v>Action</v>
      </c>
      <c r="Z619" s="59" t="str">
        <f>VLOOKUP(M619,Table1[#All],9,FALSE)</f>
        <v>Additional Notes:</v>
      </c>
      <c r="AA619" s="76"/>
      <c r="AB619" s="76"/>
      <c r="AC619" s="90" t="s">
        <v>91</v>
      </c>
      <c r="AD619" s="76" t="s">
        <v>91</v>
      </c>
      <c r="AE619" s="77"/>
      <c r="AF619" s="77"/>
      <c r="AG619" s="41" t="s">
        <v>91</v>
      </c>
    </row>
    <row r="620" spans="1:33" ht="21" hidden="1" x14ac:dyDescent="0.55000000000000004">
      <c r="A620" s="44" t="str">
        <f>Data!K619</f>
        <v>DPOW-CCHP</v>
      </c>
      <c r="B620" s="44" t="str">
        <f>Data!L619</f>
        <v>4143899880</v>
      </c>
      <c r="C620" s="44" t="str">
        <f>Data!D619</f>
        <v>Vazquez, Iliana</v>
      </c>
      <c r="D620" s="82" t="str">
        <f>Data!F619</f>
        <v>2439412228</v>
      </c>
      <c r="E620" s="82" t="str">
        <f>Data!B619</f>
        <v>7157</v>
      </c>
      <c r="F620" s="44" t="str">
        <f>Data!A619</f>
        <v>Vazquez, Iliana</v>
      </c>
      <c r="G620" s="55" t="str">
        <f>Data!C619</f>
        <v>6/26/1986</v>
      </c>
      <c r="H620" s="56">
        <f>Data!H619</f>
        <v>44338</v>
      </c>
      <c r="I620" s="56" t="str">
        <f>Data!I619</f>
        <v>5/22/2021</v>
      </c>
      <c r="J620" s="57">
        <f>Data!J619</f>
        <v>631.20000000000005</v>
      </c>
      <c r="K620" s="58">
        <f t="shared" ca="1" si="11"/>
        <v>362</v>
      </c>
      <c r="L620" s="58">
        <f>Data!M619</f>
        <v>0</v>
      </c>
      <c r="M620" s="37" t="s">
        <v>26</v>
      </c>
      <c r="N620" s="43" t="str">
        <f>VLOOKUP(M620,Table1[#All],3,FALSE)</f>
        <v>Note</v>
      </c>
      <c r="O620" s="40" t="str">
        <f>VLOOKUP(M620,Table1[#All],4,FALSE)</f>
        <v>Q1</v>
      </c>
      <c r="P620" s="39"/>
      <c r="Q620" s="40" t="str">
        <f>VLOOKUP(M620,Table1[#All],5,FALSE)</f>
        <v>Q2</v>
      </c>
      <c r="R620" s="79"/>
      <c r="S620" s="40" t="str">
        <f>VLOOKUP(M620,Table1[#All],6,FALSE)</f>
        <v>Q3</v>
      </c>
      <c r="T620" s="79"/>
      <c r="U620" s="40" t="str">
        <f>VLOOKUP(M620,Table1[#All],7,FALSE)</f>
        <v>Q4</v>
      </c>
      <c r="V620" s="79"/>
      <c r="W620" s="40" t="str">
        <f>VLOOKUP(M620,Table1[#All],8,FALSE)</f>
        <v>Q5</v>
      </c>
      <c r="X620" s="79"/>
      <c r="Y620" s="44" t="str">
        <f>VLOOKUP(M620,Table1[#All],2,FALSE)</f>
        <v>Action</v>
      </c>
      <c r="Z620" s="59" t="str">
        <f>VLOOKUP(M620,Table1[#All],9,FALSE)</f>
        <v>Additional Notes:</v>
      </c>
      <c r="AA620" s="76"/>
      <c r="AB620" s="76"/>
      <c r="AC620" s="90" t="s">
        <v>91</v>
      </c>
      <c r="AD620" s="76" t="s">
        <v>91</v>
      </c>
      <c r="AE620" s="77"/>
      <c r="AF620" s="77"/>
      <c r="AG620" s="41" t="s">
        <v>91</v>
      </c>
    </row>
    <row r="621" spans="1:33" ht="21" hidden="1" x14ac:dyDescent="0.55000000000000004">
      <c r="A621" s="44" t="str">
        <f>Data!K620</f>
        <v>DPOW-CCHP</v>
      </c>
      <c r="B621" s="44" t="str">
        <f>Data!L620</f>
        <v>4143899880</v>
      </c>
      <c r="C621" s="44" t="str">
        <f>Data!D620</f>
        <v>Gastaldi, Ellyianah</v>
      </c>
      <c r="D621" s="82" t="str">
        <f>Data!F620</f>
        <v>9452994991</v>
      </c>
      <c r="E621" s="82" t="str">
        <f>Data!B620</f>
        <v>7093</v>
      </c>
      <c r="F621" s="44" t="str">
        <f>Data!A620</f>
        <v>Gastaldi, Ellyianah</v>
      </c>
      <c r="G621" s="55" t="str">
        <f>Data!C620</f>
        <v>3/22/2018</v>
      </c>
      <c r="H621" s="56">
        <f>Data!H620</f>
        <v>44336</v>
      </c>
      <c r="I621" s="56" t="str">
        <f>Data!I620</f>
        <v>5/22/2021</v>
      </c>
      <c r="J621" s="57">
        <f>Data!J620</f>
        <v>166.8</v>
      </c>
      <c r="K621" s="58">
        <f t="shared" ca="1" si="11"/>
        <v>362</v>
      </c>
      <c r="L621" s="58">
        <f>Data!M620</f>
        <v>0</v>
      </c>
      <c r="M621" s="37" t="s">
        <v>26</v>
      </c>
      <c r="N621" s="43" t="str">
        <f>VLOOKUP(M621,Table1[#All],3,FALSE)</f>
        <v>Note</v>
      </c>
      <c r="O621" s="40" t="str">
        <f>VLOOKUP(M621,Table1[#All],4,FALSE)</f>
        <v>Q1</v>
      </c>
      <c r="P621" s="39"/>
      <c r="Q621" s="40" t="str">
        <f>VLOOKUP(M621,Table1[#All],5,FALSE)</f>
        <v>Q2</v>
      </c>
      <c r="R621" s="79"/>
      <c r="S621" s="40" t="str">
        <f>VLOOKUP(M621,Table1[#All],6,FALSE)</f>
        <v>Q3</v>
      </c>
      <c r="T621" s="79"/>
      <c r="U621" s="40" t="str">
        <f>VLOOKUP(M621,Table1[#All],7,FALSE)</f>
        <v>Q4</v>
      </c>
      <c r="V621" s="79"/>
      <c r="W621" s="40" t="str">
        <f>VLOOKUP(M621,Table1[#All],8,FALSE)</f>
        <v>Q5</v>
      </c>
      <c r="X621" s="79"/>
      <c r="Y621" s="44" t="str">
        <f>VLOOKUP(M621,Table1[#All],2,FALSE)</f>
        <v>Action</v>
      </c>
      <c r="Z621" s="59" t="str">
        <f>VLOOKUP(M621,Table1[#All],9,FALSE)</f>
        <v>Additional Notes:</v>
      </c>
      <c r="AA621" s="76"/>
      <c r="AB621" s="76"/>
      <c r="AC621" s="90" t="s">
        <v>91</v>
      </c>
      <c r="AD621" s="76" t="s">
        <v>91</v>
      </c>
      <c r="AE621" s="77"/>
      <c r="AF621" s="77"/>
      <c r="AG621" s="41" t="s">
        <v>91</v>
      </c>
    </row>
    <row r="622" spans="1:33" ht="21" hidden="1" x14ac:dyDescent="0.55000000000000004">
      <c r="A622" s="44" t="str">
        <f>Data!K621</f>
        <v>DPOW-CCHP</v>
      </c>
      <c r="B622" s="44" t="str">
        <f>Data!L621</f>
        <v>4143899880</v>
      </c>
      <c r="C622" s="44" t="str">
        <f>Data!D621</f>
        <v>Gastaldi, Elliyah</v>
      </c>
      <c r="D622" s="82" t="str">
        <f>Data!F621</f>
        <v>3449194933</v>
      </c>
      <c r="E622" s="82" t="str">
        <f>Data!B621</f>
        <v>7094</v>
      </c>
      <c r="F622" s="44" t="str">
        <f>Data!A621</f>
        <v>Gastaldi, Elliyah</v>
      </c>
      <c r="G622" s="55" t="str">
        <f>Data!C621</f>
        <v>12/12/2015</v>
      </c>
      <c r="H622" s="56">
        <f>Data!H621</f>
        <v>44336</v>
      </c>
      <c r="I622" s="56" t="str">
        <f>Data!I621</f>
        <v>5/22/2021</v>
      </c>
      <c r="J622" s="57">
        <f>Data!J621</f>
        <v>273.2</v>
      </c>
      <c r="K622" s="58">
        <f t="shared" ca="1" si="11"/>
        <v>362</v>
      </c>
      <c r="L622" s="58">
        <f>Data!M621</f>
        <v>0</v>
      </c>
      <c r="M622" s="37" t="s">
        <v>26</v>
      </c>
      <c r="N622" s="43" t="str">
        <f>VLOOKUP(M622,Table1[#All],3,FALSE)</f>
        <v>Note</v>
      </c>
      <c r="O622" s="40" t="str">
        <f>VLOOKUP(M622,Table1[#All],4,FALSE)</f>
        <v>Q1</v>
      </c>
      <c r="P622" s="39"/>
      <c r="Q622" s="40" t="str">
        <f>VLOOKUP(M622,Table1[#All],5,FALSE)</f>
        <v>Q2</v>
      </c>
      <c r="R622" s="79"/>
      <c r="S622" s="40" t="str">
        <f>VLOOKUP(M622,Table1[#All],6,FALSE)</f>
        <v>Q3</v>
      </c>
      <c r="T622" s="79"/>
      <c r="U622" s="40" t="str">
        <f>VLOOKUP(M622,Table1[#All],7,FALSE)</f>
        <v>Q4</v>
      </c>
      <c r="V622" s="79"/>
      <c r="W622" s="40" t="str">
        <f>VLOOKUP(M622,Table1[#All],8,FALSE)</f>
        <v>Q5</v>
      </c>
      <c r="X622" s="79"/>
      <c r="Y622" s="44" t="str">
        <f>VLOOKUP(M622,Table1[#All],2,FALSE)</f>
        <v>Action</v>
      </c>
      <c r="Z622" s="59" t="str">
        <f>VLOOKUP(M622,Table1[#All],9,FALSE)</f>
        <v>Additional Notes:</v>
      </c>
      <c r="AA622" s="76"/>
      <c r="AB622" s="76"/>
      <c r="AC622" s="90" t="s">
        <v>91</v>
      </c>
      <c r="AD622" s="76" t="s">
        <v>91</v>
      </c>
      <c r="AE622" s="77"/>
      <c r="AF622" s="77"/>
      <c r="AG622" s="41" t="s">
        <v>91</v>
      </c>
    </row>
    <row r="623" spans="1:33" ht="21" hidden="1" x14ac:dyDescent="0.55000000000000004">
      <c r="A623" s="44" t="str">
        <f>Data!K622</f>
        <v>DPOW-CCHP</v>
      </c>
      <c r="B623" s="44" t="str">
        <f>Data!L622</f>
        <v>4143899880</v>
      </c>
      <c r="C623" s="44" t="str">
        <f>Data!D622</f>
        <v>Spenceer, Qu Shanda</v>
      </c>
      <c r="D623" s="82" t="str">
        <f>Data!F622</f>
        <v>5405478750</v>
      </c>
      <c r="E623" s="82" t="str">
        <f>Data!B622</f>
        <v>7118</v>
      </c>
      <c r="F623" s="44" t="str">
        <f>Data!A622</f>
        <v>Spenceer, Qu Shanda</v>
      </c>
      <c r="G623" s="55" t="str">
        <f>Data!C622</f>
        <v>9/6/1975</v>
      </c>
      <c r="H623" s="56">
        <f>Data!H622</f>
        <v>44335</v>
      </c>
      <c r="I623" s="56" t="str">
        <f>Data!I622</f>
        <v>5/22/2021</v>
      </c>
      <c r="J623" s="57">
        <f>Data!J622</f>
        <v>401.2</v>
      </c>
      <c r="K623" s="58">
        <f t="shared" ca="1" si="11"/>
        <v>362</v>
      </c>
      <c r="L623" s="58">
        <f>Data!M622</f>
        <v>0</v>
      </c>
      <c r="M623" s="37" t="s">
        <v>26</v>
      </c>
      <c r="N623" s="43" t="str">
        <f>VLOOKUP(M623,Table1[#All],3,FALSE)</f>
        <v>Note</v>
      </c>
      <c r="O623" s="40" t="str">
        <f>VLOOKUP(M623,Table1[#All],4,FALSE)</f>
        <v>Q1</v>
      </c>
      <c r="P623" s="39"/>
      <c r="Q623" s="40" t="str">
        <f>VLOOKUP(M623,Table1[#All],5,FALSE)</f>
        <v>Q2</v>
      </c>
      <c r="R623" s="79"/>
      <c r="S623" s="40" t="str">
        <f>VLOOKUP(M623,Table1[#All],6,FALSE)</f>
        <v>Q3</v>
      </c>
      <c r="T623" s="79"/>
      <c r="U623" s="40" t="str">
        <f>VLOOKUP(M623,Table1[#All],7,FALSE)</f>
        <v>Q4</v>
      </c>
      <c r="V623" s="79"/>
      <c r="W623" s="40" t="str">
        <f>VLOOKUP(M623,Table1[#All],8,FALSE)</f>
        <v>Q5</v>
      </c>
      <c r="X623" s="79"/>
      <c r="Y623" s="44" t="str">
        <f>VLOOKUP(M623,Table1[#All],2,FALSE)</f>
        <v>Action</v>
      </c>
      <c r="Z623" s="59" t="str">
        <f>VLOOKUP(M623,Table1[#All],9,FALSE)</f>
        <v>Additional Notes:</v>
      </c>
      <c r="AA623" s="76"/>
      <c r="AB623" s="76"/>
      <c r="AC623" s="90" t="s">
        <v>91</v>
      </c>
      <c r="AD623" s="76" t="s">
        <v>91</v>
      </c>
      <c r="AE623" s="77"/>
      <c r="AF623" s="77"/>
      <c r="AG623" s="41" t="s">
        <v>91</v>
      </c>
    </row>
    <row r="624" spans="1:33" ht="21" hidden="1" x14ac:dyDescent="0.55000000000000004">
      <c r="A624" s="44" t="str">
        <f>Data!K623</f>
        <v>DPOW-CCHP</v>
      </c>
      <c r="B624" s="44" t="str">
        <f>Data!L623</f>
        <v>4143899880</v>
      </c>
      <c r="C624" s="44" t="str">
        <f>Data!D623</f>
        <v>Rubio Prieto, Maria</v>
      </c>
      <c r="D624" s="82" t="str">
        <f>Data!F623</f>
        <v>9425530394</v>
      </c>
      <c r="E624" s="82" t="str">
        <f>Data!B623</f>
        <v>7121</v>
      </c>
      <c r="F624" s="44" t="str">
        <f>Data!A623</f>
        <v>Rubio Prieto, Maria</v>
      </c>
      <c r="G624" s="55" t="str">
        <f>Data!C623</f>
        <v>3/12/1983</v>
      </c>
      <c r="H624" s="56">
        <f>Data!H623</f>
        <v>44335</v>
      </c>
      <c r="I624" s="56" t="str">
        <f>Data!I623</f>
        <v>5/20/2021</v>
      </c>
      <c r="J624" s="57">
        <f>Data!J623</f>
        <v>332.4</v>
      </c>
      <c r="K624" s="58">
        <f t="shared" ca="1" si="11"/>
        <v>364</v>
      </c>
      <c r="L624" s="58">
        <f>Data!M623</f>
        <v>0</v>
      </c>
      <c r="M624" s="37" t="s">
        <v>26</v>
      </c>
      <c r="N624" s="43" t="str">
        <f>VLOOKUP(M624,Table1[#All],3,FALSE)</f>
        <v>Note</v>
      </c>
      <c r="O624" s="40" t="str">
        <f>VLOOKUP(M624,Table1[#All],4,FALSE)</f>
        <v>Q1</v>
      </c>
      <c r="P624" s="39"/>
      <c r="Q624" s="40" t="str">
        <f>VLOOKUP(M624,Table1[#All],5,FALSE)</f>
        <v>Q2</v>
      </c>
      <c r="R624" s="79"/>
      <c r="S624" s="40" t="str">
        <f>VLOOKUP(M624,Table1[#All],6,FALSE)</f>
        <v>Q3</v>
      </c>
      <c r="T624" s="79"/>
      <c r="U624" s="40" t="str">
        <f>VLOOKUP(M624,Table1[#All],7,FALSE)</f>
        <v>Q4</v>
      </c>
      <c r="V624" s="79"/>
      <c r="W624" s="40" t="str">
        <f>VLOOKUP(M624,Table1[#All],8,FALSE)</f>
        <v>Q5</v>
      </c>
      <c r="X624" s="79"/>
      <c r="Y624" s="44" t="str">
        <f>VLOOKUP(M624,Table1[#All],2,FALSE)</f>
        <v>Action</v>
      </c>
      <c r="Z624" s="59" t="str">
        <f>VLOOKUP(M624,Table1[#All],9,FALSE)</f>
        <v>Additional Notes:</v>
      </c>
      <c r="AA624" s="76"/>
      <c r="AB624" s="76"/>
      <c r="AC624" s="90" t="s">
        <v>91</v>
      </c>
      <c r="AD624" s="76" t="s">
        <v>91</v>
      </c>
      <c r="AE624" s="77"/>
      <c r="AF624" s="77"/>
      <c r="AG624" s="41" t="s">
        <v>91</v>
      </c>
    </row>
    <row r="625" spans="1:33" ht="21" hidden="1" x14ac:dyDescent="0.55000000000000004">
      <c r="A625" s="44" t="str">
        <f>Data!K624</f>
        <v>DPOW-CCHP</v>
      </c>
      <c r="B625" s="44" t="str">
        <f>Data!L624</f>
        <v>4143899880</v>
      </c>
      <c r="C625" s="44" t="str">
        <f>Data!D624</f>
        <v xml:space="preserve">Degroot , Isaiah </v>
      </c>
      <c r="D625" s="82" t="str">
        <f>Data!F624</f>
        <v>2453308122</v>
      </c>
      <c r="E625" s="82" t="str">
        <f>Data!B624</f>
        <v>7108</v>
      </c>
      <c r="F625" s="44" t="str">
        <f>Data!A624</f>
        <v xml:space="preserve">Degroot , Isaiah </v>
      </c>
      <c r="G625" s="55" t="str">
        <f>Data!C624</f>
        <v>6/14/2018</v>
      </c>
      <c r="H625" s="56">
        <f>Data!H624</f>
        <v>44334</v>
      </c>
      <c r="I625" s="56" t="str">
        <f>Data!I624</f>
        <v>5/20/2021</v>
      </c>
      <c r="J625" s="57">
        <f>Data!J624</f>
        <v>166.8</v>
      </c>
      <c r="K625" s="58">
        <f t="shared" ca="1" si="11"/>
        <v>364</v>
      </c>
      <c r="L625" s="58">
        <f>Data!M624</f>
        <v>0</v>
      </c>
      <c r="M625" s="37" t="s">
        <v>26</v>
      </c>
      <c r="N625" s="43" t="str">
        <f>VLOOKUP(M625,Table1[#All],3,FALSE)</f>
        <v>Note</v>
      </c>
      <c r="O625" s="40" t="str">
        <f>VLOOKUP(M625,Table1[#All],4,FALSE)</f>
        <v>Q1</v>
      </c>
      <c r="P625" s="39"/>
      <c r="Q625" s="40" t="str">
        <f>VLOOKUP(M625,Table1[#All],5,FALSE)</f>
        <v>Q2</v>
      </c>
      <c r="R625" s="79"/>
      <c r="S625" s="40" t="str">
        <f>VLOOKUP(M625,Table1[#All],6,FALSE)</f>
        <v>Q3</v>
      </c>
      <c r="T625" s="79"/>
      <c r="U625" s="40" t="str">
        <f>VLOOKUP(M625,Table1[#All],7,FALSE)</f>
        <v>Q4</v>
      </c>
      <c r="V625" s="79"/>
      <c r="W625" s="40" t="str">
        <f>VLOOKUP(M625,Table1[#All],8,FALSE)</f>
        <v>Q5</v>
      </c>
      <c r="X625" s="79"/>
      <c r="Y625" s="44" t="str">
        <f>VLOOKUP(M625,Table1[#All],2,FALSE)</f>
        <v>Action</v>
      </c>
      <c r="Z625" s="59" t="str">
        <f>VLOOKUP(M625,Table1[#All],9,FALSE)</f>
        <v>Additional Notes:</v>
      </c>
      <c r="AA625" s="76"/>
      <c r="AB625" s="76"/>
      <c r="AC625" s="90" t="s">
        <v>91</v>
      </c>
      <c r="AD625" s="76" t="s">
        <v>91</v>
      </c>
      <c r="AE625" s="77"/>
      <c r="AF625" s="77"/>
      <c r="AG625" s="41" t="s">
        <v>91</v>
      </c>
    </row>
    <row r="626" spans="1:33" ht="21" hidden="1" x14ac:dyDescent="0.55000000000000004">
      <c r="A626" s="44" t="str">
        <f>Data!K625</f>
        <v>DPOW-CCHP</v>
      </c>
      <c r="B626" s="44" t="str">
        <f>Data!L625</f>
        <v>4143899880</v>
      </c>
      <c r="C626" s="44" t="str">
        <f>Data!D625</f>
        <v xml:space="preserve">Ruiz , Angel </v>
      </c>
      <c r="D626" s="82" t="str">
        <f>Data!F625</f>
        <v>2448447829</v>
      </c>
      <c r="E626" s="82" t="str">
        <f>Data!B625</f>
        <v>6774</v>
      </c>
      <c r="F626" s="44" t="str">
        <f>Data!A625</f>
        <v xml:space="preserve">Ruiz , Angel </v>
      </c>
      <c r="G626" s="55" t="str">
        <f>Data!C625</f>
        <v>7/23/2015</v>
      </c>
      <c r="H626" s="56">
        <f>Data!H625</f>
        <v>44334</v>
      </c>
      <c r="I626" s="56" t="str">
        <f>Data!I625</f>
        <v>6/17/2021</v>
      </c>
      <c r="J626" s="57">
        <f>Data!J625</f>
        <v>258.39999999999998</v>
      </c>
      <c r="K626" s="58">
        <f t="shared" ca="1" si="11"/>
        <v>336</v>
      </c>
      <c r="L626" s="58">
        <f>Data!M625</f>
        <v>0</v>
      </c>
      <c r="M626" s="37" t="s">
        <v>26</v>
      </c>
      <c r="N626" s="43" t="str">
        <f>VLOOKUP(M626,Table1[#All],3,FALSE)</f>
        <v>Note</v>
      </c>
      <c r="O626" s="40" t="str">
        <f>VLOOKUP(M626,Table1[#All],4,FALSE)</f>
        <v>Q1</v>
      </c>
      <c r="P626" s="39"/>
      <c r="Q626" s="40" t="str">
        <f>VLOOKUP(M626,Table1[#All],5,FALSE)</f>
        <v>Q2</v>
      </c>
      <c r="R626" s="79"/>
      <c r="S626" s="40" t="str">
        <f>VLOOKUP(M626,Table1[#All],6,FALSE)</f>
        <v>Q3</v>
      </c>
      <c r="T626" s="79"/>
      <c r="U626" s="40" t="str">
        <f>VLOOKUP(M626,Table1[#All],7,FALSE)</f>
        <v>Q4</v>
      </c>
      <c r="V626" s="79"/>
      <c r="W626" s="40" t="str">
        <f>VLOOKUP(M626,Table1[#All],8,FALSE)</f>
        <v>Q5</v>
      </c>
      <c r="X626" s="79"/>
      <c r="Y626" s="44" t="str">
        <f>VLOOKUP(M626,Table1[#All],2,FALSE)</f>
        <v>Action</v>
      </c>
      <c r="Z626" s="59" t="str">
        <f>VLOOKUP(M626,Table1[#All],9,FALSE)</f>
        <v>Additional Notes:</v>
      </c>
      <c r="AA626" s="76"/>
      <c r="AB626" s="76"/>
      <c r="AC626" s="90" t="s">
        <v>91</v>
      </c>
      <c r="AD626" s="76" t="s">
        <v>91</v>
      </c>
      <c r="AE626" s="77"/>
      <c r="AF626" s="77"/>
      <c r="AG626" s="41" t="s">
        <v>91</v>
      </c>
    </row>
    <row r="627" spans="1:33" ht="21" hidden="1" x14ac:dyDescent="0.55000000000000004">
      <c r="A627" s="44" t="str">
        <f>Data!K626</f>
        <v>DPOW-CCHP</v>
      </c>
      <c r="B627" s="44" t="str">
        <f>Data!L626</f>
        <v>4143899880</v>
      </c>
      <c r="C627" s="44" t="str">
        <f>Data!D626</f>
        <v>Akhbar, Farida</v>
      </c>
      <c r="D627" s="82" t="str">
        <f>Data!F626</f>
        <v>7448155776</v>
      </c>
      <c r="E627" s="82" t="str">
        <f>Data!B626</f>
        <v>6974</v>
      </c>
      <c r="F627" s="44" t="str">
        <f>Data!A626</f>
        <v>Akhbar, Farida</v>
      </c>
      <c r="G627" s="55" t="str">
        <f>Data!C626</f>
        <v>6/15/1992</v>
      </c>
      <c r="H627" s="56">
        <f>Data!H626</f>
        <v>44328</v>
      </c>
      <c r="I627" s="56" t="str">
        <f>Data!I626</f>
        <v>5/18/2021</v>
      </c>
      <c r="J627" s="57">
        <f>Data!J626</f>
        <v>432</v>
      </c>
      <c r="K627" s="58">
        <f t="shared" ca="1" si="11"/>
        <v>366</v>
      </c>
      <c r="L627" s="58">
        <f>Data!M626</f>
        <v>0</v>
      </c>
      <c r="M627" s="37" t="s">
        <v>26</v>
      </c>
      <c r="N627" s="43" t="str">
        <f>VLOOKUP(M627,Table1[#All],3,FALSE)</f>
        <v>Note</v>
      </c>
      <c r="O627" s="40" t="str">
        <f>VLOOKUP(M627,Table1[#All],4,FALSE)</f>
        <v>Q1</v>
      </c>
      <c r="P627" s="39"/>
      <c r="Q627" s="40" t="str">
        <f>VLOOKUP(M627,Table1[#All],5,FALSE)</f>
        <v>Q2</v>
      </c>
      <c r="R627" s="79"/>
      <c r="S627" s="40" t="str">
        <f>VLOOKUP(M627,Table1[#All],6,FALSE)</f>
        <v>Q3</v>
      </c>
      <c r="T627" s="79"/>
      <c r="U627" s="40" t="str">
        <f>VLOOKUP(M627,Table1[#All],7,FALSE)</f>
        <v>Q4</v>
      </c>
      <c r="V627" s="79"/>
      <c r="W627" s="40" t="str">
        <f>VLOOKUP(M627,Table1[#All],8,FALSE)</f>
        <v>Q5</v>
      </c>
      <c r="X627" s="79"/>
      <c r="Y627" s="44" t="str">
        <f>VLOOKUP(M627,Table1[#All],2,FALSE)</f>
        <v>Action</v>
      </c>
      <c r="Z627" s="59" t="str">
        <f>VLOOKUP(M627,Table1[#All],9,FALSE)</f>
        <v>Additional Notes:</v>
      </c>
      <c r="AA627" s="76"/>
      <c r="AB627" s="76"/>
      <c r="AC627" s="90" t="s">
        <v>91</v>
      </c>
      <c r="AD627" s="76" t="s">
        <v>91</v>
      </c>
      <c r="AE627" s="77"/>
      <c r="AF627" s="77"/>
      <c r="AG627" s="41" t="s">
        <v>91</v>
      </c>
    </row>
    <row r="628" spans="1:33" ht="21" hidden="1" x14ac:dyDescent="0.55000000000000004">
      <c r="A628" s="44" t="str">
        <f>Data!K627</f>
        <v>DPOW-CCHP</v>
      </c>
      <c r="B628" s="44" t="str">
        <f>Data!L627</f>
        <v>4143899880</v>
      </c>
      <c r="C628" s="44" t="str">
        <f>Data!D627</f>
        <v>Casey, Emma</v>
      </c>
      <c r="D628" s="82" t="str">
        <f>Data!F627</f>
        <v>4437843347</v>
      </c>
      <c r="E628" s="82" t="str">
        <f>Data!B627</f>
        <v>1084</v>
      </c>
      <c r="F628" s="44" t="str">
        <f>Data!A627</f>
        <v>Casey, Emma</v>
      </c>
      <c r="G628" s="55" t="str">
        <f>Data!C627</f>
        <v>1/4/2010</v>
      </c>
      <c r="H628" s="56">
        <f>Data!H627</f>
        <v>44327</v>
      </c>
      <c r="I628" s="56" t="str">
        <f>Data!I627</f>
        <v>5/18/2021</v>
      </c>
      <c r="J628" s="57">
        <f>Data!J627</f>
        <v>530.4</v>
      </c>
      <c r="K628" s="58">
        <f t="shared" ca="1" si="11"/>
        <v>366</v>
      </c>
      <c r="L628" s="58">
        <f>Data!M627</f>
        <v>0</v>
      </c>
      <c r="M628" s="37" t="s">
        <v>26</v>
      </c>
      <c r="N628" s="43" t="str">
        <f>VLOOKUP(M628,Table1[#All],3,FALSE)</f>
        <v>Note</v>
      </c>
      <c r="O628" s="40" t="str">
        <f>VLOOKUP(M628,Table1[#All],4,FALSE)</f>
        <v>Q1</v>
      </c>
      <c r="P628" s="39"/>
      <c r="Q628" s="40" t="str">
        <f>VLOOKUP(M628,Table1[#All],5,FALSE)</f>
        <v>Q2</v>
      </c>
      <c r="R628" s="79"/>
      <c r="S628" s="40" t="str">
        <f>VLOOKUP(M628,Table1[#All],6,FALSE)</f>
        <v>Q3</v>
      </c>
      <c r="T628" s="79"/>
      <c r="U628" s="40" t="str">
        <f>VLOOKUP(M628,Table1[#All],7,FALSE)</f>
        <v>Q4</v>
      </c>
      <c r="V628" s="79"/>
      <c r="W628" s="40" t="str">
        <f>VLOOKUP(M628,Table1[#All],8,FALSE)</f>
        <v>Q5</v>
      </c>
      <c r="X628" s="79"/>
      <c r="Y628" s="44" t="str">
        <f>VLOOKUP(M628,Table1[#All],2,FALSE)</f>
        <v>Action</v>
      </c>
      <c r="Z628" s="59" t="str">
        <f>VLOOKUP(M628,Table1[#All],9,FALSE)</f>
        <v>Additional Notes:</v>
      </c>
      <c r="AA628" s="76"/>
      <c r="AB628" s="76"/>
      <c r="AC628" s="90" t="s">
        <v>91</v>
      </c>
      <c r="AD628" s="76" t="s">
        <v>91</v>
      </c>
      <c r="AE628" s="77"/>
      <c r="AF628" s="77"/>
      <c r="AG628" s="41" t="s">
        <v>91</v>
      </c>
    </row>
    <row r="629" spans="1:33" ht="21" hidden="1" x14ac:dyDescent="0.55000000000000004">
      <c r="A629" s="44" t="str">
        <f>Data!K628</f>
        <v>DPOW-CCHP</v>
      </c>
      <c r="B629" s="44" t="str">
        <f>Data!L628</f>
        <v>4143899880</v>
      </c>
      <c r="C629" s="44" t="str">
        <f>Data!D628</f>
        <v>Montanez, Maura</v>
      </c>
      <c r="D629" s="82" t="str">
        <f>Data!F628</f>
        <v>9409903297</v>
      </c>
      <c r="E629" s="82" t="str">
        <f>Data!B628</f>
        <v>6749</v>
      </c>
      <c r="F629" s="44" t="str">
        <f>Data!A628</f>
        <v>Montanez, Maura</v>
      </c>
      <c r="G629" s="55" t="str">
        <f>Data!C628</f>
        <v>12/16/1988</v>
      </c>
      <c r="H629" s="56">
        <f>Data!H628</f>
        <v>44323</v>
      </c>
      <c r="I629" s="56" t="str">
        <f>Data!I628</f>
        <v>5/11/2021</v>
      </c>
      <c r="J629" s="57">
        <f>Data!J628</f>
        <v>285.60000000000002</v>
      </c>
      <c r="K629" s="58">
        <f t="shared" ca="1" si="11"/>
        <v>373</v>
      </c>
      <c r="L629" s="58">
        <f>Data!M628</f>
        <v>0</v>
      </c>
      <c r="M629" s="37" t="s">
        <v>26</v>
      </c>
      <c r="N629" s="43" t="str">
        <f>VLOOKUP(M629,Table1[#All],3,FALSE)</f>
        <v>Note</v>
      </c>
      <c r="O629" s="40" t="str">
        <f>VLOOKUP(M629,Table1[#All],4,FALSE)</f>
        <v>Q1</v>
      </c>
      <c r="P629" s="39"/>
      <c r="Q629" s="40" t="str">
        <f>VLOOKUP(M629,Table1[#All],5,FALSE)</f>
        <v>Q2</v>
      </c>
      <c r="R629" s="79"/>
      <c r="S629" s="40" t="str">
        <f>VLOOKUP(M629,Table1[#All],6,FALSE)</f>
        <v>Q3</v>
      </c>
      <c r="T629" s="79"/>
      <c r="U629" s="40" t="str">
        <f>VLOOKUP(M629,Table1[#All],7,FALSE)</f>
        <v>Q4</v>
      </c>
      <c r="V629" s="79"/>
      <c r="W629" s="40" t="str">
        <f>VLOOKUP(M629,Table1[#All],8,FALSE)</f>
        <v>Q5</v>
      </c>
      <c r="X629" s="79"/>
      <c r="Y629" s="44" t="str">
        <f>VLOOKUP(M629,Table1[#All],2,FALSE)</f>
        <v>Action</v>
      </c>
      <c r="Z629" s="59" t="str">
        <f>VLOOKUP(M629,Table1[#All],9,FALSE)</f>
        <v>Additional Notes:</v>
      </c>
      <c r="AA629" s="76"/>
      <c r="AB629" s="76"/>
      <c r="AC629" s="90" t="s">
        <v>91</v>
      </c>
      <c r="AD629" s="76" t="s">
        <v>91</v>
      </c>
      <c r="AE629" s="77"/>
      <c r="AF629" s="77"/>
      <c r="AG629" s="41" t="s">
        <v>91</v>
      </c>
    </row>
    <row r="630" spans="1:33" ht="21" hidden="1" x14ac:dyDescent="0.55000000000000004">
      <c r="A630" s="44" t="str">
        <f>Data!K629</f>
        <v>DPOW-CCHP</v>
      </c>
      <c r="B630" s="44" t="str">
        <f>Data!L629</f>
        <v>4143899880</v>
      </c>
      <c r="C630" s="44" t="str">
        <f>Data!D629</f>
        <v>Fisher , Heidi</v>
      </c>
      <c r="D630" s="82" t="str">
        <f>Data!F629</f>
        <v>1416661913</v>
      </c>
      <c r="E630" s="82" t="str">
        <f>Data!B629</f>
        <v>6906</v>
      </c>
      <c r="F630" s="44" t="str">
        <f>Data!A629</f>
        <v>Fisher , Heidi</v>
      </c>
      <c r="G630" s="55" t="str">
        <f>Data!C629</f>
        <v>12/12/1982</v>
      </c>
      <c r="H630" s="56">
        <f>Data!H629</f>
        <v>44322</v>
      </c>
      <c r="I630" s="56" t="str">
        <f>Data!I629</f>
        <v>5/6/2021</v>
      </c>
      <c r="J630" s="57">
        <f>Data!J629</f>
        <v>250.8</v>
      </c>
      <c r="K630" s="58">
        <f t="shared" ca="1" si="11"/>
        <v>378</v>
      </c>
      <c r="L630" s="58">
        <f>Data!M629</f>
        <v>0</v>
      </c>
      <c r="M630" s="37" t="s">
        <v>26</v>
      </c>
      <c r="N630" s="43" t="str">
        <f>VLOOKUP(M630,Table1[#All],3,FALSE)</f>
        <v>Note</v>
      </c>
      <c r="O630" s="40" t="str">
        <f>VLOOKUP(M630,Table1[#All],4,FALSE)</f>
        <v>Q1</v>
      </c>
      <c r="P630" s="39"/>
      <c r="Q630" s="40" t="str">
        <f>VLOOKUP(M630,Table1[#All],5,FALSE)</f>
        <v>Q2</v>
      </c>
      <c r="R630" s="79"/>
      <c r="S630" s="40" t="str">
        <f>VLOOKUP(M630,Table1[#All],6,FALSE)</f>
        <v>Q3</v>
      </c>
      <c r="T630" s="79"/>
      <c r="U630" s="40" t="str">
        <f>VLOOKUP(M630,Table1[#All],7,FALSE)</f>
        <v>Q4</v>
      </c>
      <c r="V630" s="79"/>
      <c r="W630" s="40" t="str">
        <f>VLOOKUP(M630,Table1[#All],8,FALSE)</f>
        <v>Q5</v>
      </c>
      <c r="X630" s="79"/>
      <c r="Y630" s="44" t="str">
        <f>VLOOKUP(M630,Table1[#All],2,FALSE)</f>
        <v>Action</v>
      </c>
      <c r="Z630" s="59" t="str">
        <f>VLOOKUP(M630,Table1[#All],9,FALSE)</f>
        <v>Additional Notes:</v>
      </c>
      <c r="AA630" s="76"/>
      <c r="AB630" s="76"/>
      <c r="AC630" s="90" t="s">
        <v>91</v>
      </c>
      <c r="AD630" s="76" t="s">
        <v>91</v>
      </c>
      <c r="AE630" s="77"/>
      <c r="AF630" s="77"/>
      <c r="AG630" s="41" t="s">
        <v>91</v>
      </c>
    </row>
    <row r="631" spans="1:33" ht="21" hidden="1" x14ac:dyDescent="0.55000000000000004">
      <c r="A631" s="44" t="str">
        <f>Data!K630</f>
        <v>DPOW-CCHP</v>
      </c>
      <c r="B631" s="44" t="str">
        <f>Data!L630</f>
        <v>4143899880</v>
      </c>
      <c r="C631" s="44" t="str">
        <f>Data!D630</f>
        <v>Fisher , Heidi</v>
      </c>
      <c r="D631" s="82" t="str">
        <f>Data!F630</f>
        <v>1416661913</v>
      </c>
      <c r="E631" s="82" t="str">
        <f>Data!B630</f>
        <v>6906</v>
      </c>
      <c r="F631" s="44" t="str">
        <f>Data!A630</f>
        <v>Fisher , Heidi</v>
      </c>
      <c r="G631" s="55" t="str">
        <f>Data!C630</f>
        <v>12/12/1982</v>
      </c>
      <c r="H631" s="56">
        <f>Data!H630</f>
        <v>44321</v>
      </c>
      <c r="I631" s="56" t="str">
        <f>Data!I630</f>
        <v>5/6/2021</v>
      </c>
      <c r="J631" s="57">
        <f>Data!J630</f>
        <v>495.6</v>
      </c>
      <c r="K631" s="58">
        <f t="shared" ca="1" si="11"/>
        <v>378</v>
      </c>
      <c r="L631" s="58">
        <f>Data!M630</f>
        <v>0</v>
      </c>
      <c r="M631" s="37" t="s">
        <v>26</v>
      </c>
      <c r="N631" s="43" t="str">
        <f>VLOOKUP(M631,Table1[#All],3,FALSE)</f>
        <v>Note</v>
      </c>
      <c r="O631" s="40" t="str">
        <f>VLOOKUP(M631,Table1[#All],4,FALSE)</f>
        <v>Q1</v>
      </c>
      <c r="P631" s="39"/>
      <c r="Q631" s="40" t="str">
        <f>VLOOKUP(M631,Table1[#All],5,FALSE)</f>
        <v>Q2</v>
      </c>
      <c r="R631" s="79"/>
      <c r="S631" s="40" t="str">
        <f>VLOOKUP(M631,Table1[#All],6,FALSE)</f>
        <v>Q3</v>
      </c>
      <c r="T631" s="79"/>
      <c r="U631" s="40" t="str">
        <f>VLOOKUP(M631,Table1[#All],7,FALSE)</f>
        <v>Q4</v>
      </c>
      <c r="V631" s="79"/>
      <c r="W631" s="40" t="str">
        <f>VLOOKUP(M631,Table1[#All],8,FALSE)</f>
        <v>Q5</v>
      </c>
      <c r="X631" s="79"/>
      <c r="Y631" s="44" t="str">
        <f>VLOOKUP(M631,Table1[#All],2,FALSE)</f>
        <v>Action</v>
      </c>
      <c r="Z631" s="59" t="str">
        <f>VLOOKUP(M631,Table1[#All],9,FALSE)</f>
        <v>Additional Notes:</v>
      </c>
      <c r="AA631" s="76"/>
      <c r="AB631" s="76"/>
      <c r="AC631" s="90" t="s">
        <v>91</v>
      </c>
      <c r="AD631" s="76" t="s">
        <v>91</v>
      </c>
      <c r="AE631" s="77"/>
      <c r="AF631" s="77"/>
      <c r="AG631" s="41" t="s">
        <v>91</v>
      </c>
    </row>
    <row r="632" spans="1:33" ht="21" hidden="1" x14ac:dyDescent="0.55000000000000004">
      <c r="A632" s="44" t="str">
        <f>Data!K631</f>
        <v>DPOW-CCHP</v>
      </c>
      <c r="B632" s="44" t="str">
        <f>Data!L631</f>
        <v>4143899880</v>
      </c>
      <c r="C632" s="44" t="str">
        <f>Data!D631</f>
        <v>Frye, Ellen</v>
      </c>
      <c r="D632" s="82" t="str">
        <f>Data!F631</f>
        <v>3422126635</v>
      </c>
      <c r="E632" s="82" t="str">
        <f>Data!B631</f>
        <v>1404</v>
      </c>
      <c r="F632" s="44" t="str">
        <f>Data!A631</f>
        <v>Frye, Ellen</v>
      </c>
      <c r="G632" s="55" t="str">
        <f>Data!C631</f>
        <v>4/22/1991</v>
      </c>
      <c r="H632" s="56">
        <f>Data!H631</f>
        <v>44319</v>
      </c>
      <c r="I632" s="56" t="str">
        <f>Data!I631</f>
        <v>5/3/2021</v>
      </c>
      <c r="J632" s="57">
        <f>Data!J631</f>
        <v>253.2</v>
      </c>
      <c r="K632" s="58">
        <f t="shared" ca="1" si="11"/>
        <v>381</v>
      </c>
      <c r="L632" s="58">
        <f>Data!M631</f>
        <v>0</v>
      </c>
      <c r="M632" s="37" t="s">
        <v>26</v>
      </c>
      <c r="N632" s="43" t="str">
        <f>VLOOKUP(M632,Table1[#All],3,FALSE)</f>
        <v>Note</v>
      </c>
      <c r="O632" s="40" t="str">
        <f>VLOOKUP(M632,Table1[#All],4,FALSE)</f>
        <v>Q1</v>
      </c>
      <c r="P632" s="39"/>
      <c r="Q632" s="40" t="str">
        <f>VLOOKUP(M632,Table1[#All],5,FALSE)</f>
        <v>Q2</v>
      </c>
      <c r="R632" s="79"/>
      <c r="S632" s="40" t="str">
        <f>VLOOKUP(M632,Table1[#All],6,FALSE)</f>
        <v>Q3</v>
      </c>
      <c r="T632" s="79"/>
      <c r="U632" s="40" t="str">
        <f>VLOOKUP(M632,Table1[#All],7,FALSE)</f>
        <v>Q4</v>
      </c>
      <c r="V632" s="79"/>
      <c r="W632" s="40" t="str">
        <f>VLOOKUP(M632,Table1[#All],8,FALSE)</f>
        <v>Q5</v>
      </c>
      <c r="X632" s="79"/>
      <c r="Y632" s="44" t="str">
        <f>VLOOKUP(M632,Table1[#All],2,FALSE)</f>
        <v>Action</v>
      </c>
      <c r="Z632" s="59" t="str">
        <f>VLOOKUP(M632,Table1[#All],9,FALSE)</f>
        <v>Additional Notes:</v>
      </c>
      <c r="AA632" s="76"/>
      <c r="AB632" s="76"/>
      <c r="AC632" s="90" t="s">
        <v>91</v>
      </c>
      <c r="AD632" s="76" t="s">
        <v>91</v>
      </c>
      <c r="AE632" s="77"/>
      <c r="AF632" s="77"/>
      <c r="AG632" s="41" t="s">
        <v>91</v>
      </c>
    </row>
    <row r="633" spans="1:33" ht="21" hidden="1" x14ac:dyDescent="0.55000000000000004">
      <c r="A633" s="44" t="str">
        <f>Data!K632</f>
        <v>DPOW-CCHP</v>
      </c>
      <c r="B633" s="44" t="str">
        <f>Data!L632</f>
        <v>4143899880</v>
      </c>
      <c r="C633" s="44" t="str">
        <f>Data!D632</f>
        <v xml:space="preserve">Martinez Perez, Eliud </v>
      </c>
      <c r="D633" s="82" t="str">
        <f>Data!F632</f>
        <v>9452171693</v>
      </c>
      <c r="E633" s="82" t="str">
        <f>Data!B632</f>
        <v>5531</v>
      </c>
      <c r="F633" s="44" t="str">
        <f>Data!A632</f>
        <v xml:space="preserve">Martinez Perez, Eliud </v>
      </c>
      <c r="G633" s="55" t="str">
        <f>Data!C632</f>
        <v>10/7/2010</v>
      </c>
      <c r="H633" s="56">
        <f>Data!H632</f>
        <v>44275</v>
      </c>
      <c r="I633" s="56" t="str">
        <f>Data!I632</f>
        <v>5/3/2021</v>
      </c>
      <c r="J633" s="57">
        <f>Data!J632</f>
        <v>314.39999999999998</v>
      </c>
      <c r="K633" s="58">
        <f t="shared" ca="1" si="11"/>
        <v>381</v>
      </c>
      <c r="L633" s="58">
        <f>Data!M632</f>
        <v>0</v>
      </c>
      <c r="M633" s="37" t="s">
        <v>26</v>
      </c>
      <c r="N633" s="43" t="str">
        <f>VLOOKUP(M633,Table1[#All],3,FALSE)</f>
        <v>Note</v>
      </c>
      <c r="O633" s="40" t="str">
        <f>VLOOKUP(M633,Table1[#All],4,FALSE)</f>
        <v>Q1</v>
      </c>
      <c r="P633" s="39"/>
      <c r="Q633" s="40" t="str">
        <f>VLOOKUP(M633,Table1[#All],5,FALSE)</f>
        <v>Q2</v>
      </c>
      <c r="R633" s="79"/>
      <c r="S633" s="40" t="str">
        <f>VLOOKUP(M633,Table1[#All],6,FALSE)</f>
        <v>Q3</v>
      </c>
      <c r="T633" s="79"/>
      <c r="U633" s="40" t="str">
        <f>VLOOKUP(M633,Table1[#All],7,FALSE)</f>
        <v>Q4</v>
      </c>
      <c r="V633" s="79"/>
      <c r="W633" s="40" t="str">
        <f>VLOOKUP(M633,Table1[#All],8,FALSE)</f>
        <v>Q5</v>
      </c>
      <c r="X633" s="79"/>
      <c r="Y633" s="44" t="str">
        <f>VLOOKUP(M633,Table1[#All],2,FALSE)</f>
        <v>Action</v>
      </c>
      <c r="Z633" s="59" t="str">
        <f>VLOOKUP(M633,Table1[#All],9,FALSE)</f>
        <v>Additional Notes:</v>
      </c>
      <c r="AA633" s="76"/>
      <c r="AB633" s="76"/>
      <c r="AC633" s="90" t="s">
        <v>91</v>
      </c>
      <c r="AD633" s="76" t="s">
        <v>91</v>
      </c>
      <c r="AE633" s="77"/>
      <c r="AF633" s="77"/>
      <c r="AG633" s="41" t="s">
        <v>91</v>
      </c>
    </row>
    <row r="634" spans="1:33" ht="21" hidden="1" x14ac:dyDescent="0.55000000000000004">
      <c r="A634" s="44" t="str">
        <f>Data!K633</f>
        <v>DPOW-CCHP</v>
      </c>
      <c r="B634" s="44" t="str">
        <f>Data!L633</f>
        <v>4143899880</v>
      </c>
      <c r="C634" s="44" t="str">
        <f>Data!D633</f>
        <v>Vassh, Robert</v>
      </c>
      <c r="D634" s="82" t="str">
        <f>Data!F633</f>
        <v>4436768244</v>
      </c>
      <c r="E634" s="82" t="str">
        <f>Data!B633</f>
        <v>562</v>
      </c>
      <c r="F634" s="44" t="str">
        <f>Data!A633</f>
        <v>Vassh, Robert</v>
      </c>
      <c r="G634" s="55" t="str">
        <f>Data!C633</f>
        <v>7/14/1964</v>
      </c>
      <c r="H634" s="56">
        <f>Data!H633</f>
        <v>44314</v>
      </c>
      <c r="I634" s="56" t="str">
        <f>Data!I633</f>
        <v>5/3/2021</v>
      </c>
      <c r="J634" s="57">
        <f>Data!J633</f>
        <v>727.2</v>
      </c>
      <c r="K634" s="58">
        <f t="shared" ca="1" si="11"/>
        <v>381</v>
      </c>
      <c r="L634" s="58">
        <f>Data!M633</f>
        <v>0</v>
      </c>
      <c r="M634" s="37" t="s">
        <v>26</v>
      </c>
      <c r="N634" s="43" t="str">
        <f>VLOOKUP(M634,Table1[#All],3,FALSE)</f>
        <v>Note</v>
      </c>
      <c r="O634" s="40" t="str">
        <f>VLOOKUP(M634,Table1[#All],4,FALSE)</f>
        <v>Q1</v>
      </c>
      <c r="P634" s="39"/>
      <c r="Q634" s="40" t="str">
        <f>VLOOKUP(M634,Table1[#All],5,FALSE)</f>
        <v>Q2</v>
      </c>
      <c r="R634" s="79"/>
      <c r="S634" s="40" t="str">
        <f>VLOOKUP(M634,Table1[#All],6,FALSE)</f>
        <v>Q3</v>
      </c>
      <c r="T634" s="79"/>
      <c r="U634" s="40" t="str">
        <f>VLOOKUP(M634,Table1[#All],7,FALSE)</f>
        <v>Q4</v>
      </c>
      <c r="V634" s="79"/>
      <c r="W634" s="40" t="str">
        <f>VLOOKUP(M634,Table1[#All],8,FALSE)</f>
        <v>Q5</v>
      </c>
      <c r="X634" s="79"/>
      <c r="Y634" s="44" t="str">
        <f>VLOOKUP(M634,Table1[#All],2,FALSE)</f>
        <v>Action</v>
      </c>
      <c r="Z634" s="59" t="str">
        <f>VLOOKUP(M634,Table1[#All],9,FALSE)</f>
        <v>Additional Notes:</v>
      </c>
      <c r="AA634" s="76"/>
      <c r="AB634" s="76"/>
      <c r="AC634" s="90" t="s">
        <v>91</v>
      </c>
      <c r="AD634" s="76" t="s">
        <v>91</v>
      </c>
      <c r="AE634" s="77"/>
      <c r="AF634" s="77"/>
      <c r="AG634" s="41" t="s">
        <v>91</v>
      </c>
    </row>
    <row r="635" spans="1:33" ht="21" hidden="1" x14ac:dyDescent="0.55000000000000004">
      <c r="A635" s="44" t="str">
        <f>Data!K634</f>
        <v>DPOW-CCHP</v>
      </c>
      <c r="B635" s="44" t="str">
        <f>Data!L634</f>
        <v>4143899880</v>
      </c>
      <c r="C635" s="44" t="str">
        <f>Data!D634</f>
        <v xml:space="preserve">Al Salihi, Suhad </v>
      </c>
      <c r="D635" s="82" t="str">
        <f>Data!F634</f>
        <v>0444120408</v>
      </c>
      <c r="E635" s="82" t="str">
        <f>Data!B634</f>
        <v>6010</v>
      </c>
      <c r="F635" s="44" t="str">
        <f>Data!A634</f>
        <v xml:space="preserve">Al Salihi, Suhad </v>
      </c>
      <c r="G635" s="55" t="str">
        <f>Data!C634</f>
        <v>12/17/1967</v>
      </c>
      <c r="H635" s="56">
        <f>Data!H634</f>
        <v>44312</v>
      </c>
      <c r="I635" s="56" t="str">
        <f>Data!I634</f>
        <v>4/28/2021</v>
      </c>
      <c r="J635" s="57">
        <f>Data!J634</f>
        <v>516</v>
      </c>
      <c r="K635" s="58">
        <f t="shared" ca="1" si="11"/>
        <v>386</v>
      </c>
      <c r="L635" s="58">
        <f>Data!M634</f>
        <v>0</v>
      </c>
      <c r="M635" s="37" t="s">
        <v>26</v>
      </c>
      <c r="N635" s="43" t="str">
        <f>VLOOKUP(M635,Table1[#All],3,FALSE)</f>
        <v>Note</v>
      </c>
      <c r="O635" s="40" t="str">
        <f>VLOOKUP(M635,Table1[#All],4,FALSE)</f>
        <v>Q1</v>
      </c>
      <c r="P635" s="39"/>
      <c r="Q635" s="40" t="str">
        <f>VLOOKUP(M635,Table1[#All],5,FALSE)</f>
        <v>Q2</v>
      </c>
      <c r="R635" s="79"/>
      <c r="S635" s="40" t="str">
        <f>VLOOKUP(M635,Table1[#All],6,FALSE)</f>
        <v>Q3</v>
      </c>
      <c r="T635" s="79"/>
      <c r="U635" s="40" t="str">
        <f>VLOOKUP(M635,Table1[#All],7,FALSE)</f>
        <v>Q4</v>
      </c>
      <c r="V635" s="79"/>
      <c r="W635" s="40" t="str">
        <f>VLOOKUP(M635,Table1[#All],8,FALSE)</f>
        <v>Q5</v>
      </c>
      <c r="X635" s="79"/>
      <c r="Y635" s="44" t="str">
        <f>VLOOKUP(M635,Table1[#All],2,FALSE)</f>
        <v>Action</v>
      </c>
      <c r="Z635" s="59" t="str">
        <f>VLOOKUP(M635,Table1[#All],9,FALSE)</f>
        <v>Additional Notes:</v>
      </c>
      <c r="AA635" s="76"/>
      <c r="AB635" s="76"/>
      <c r="AC635" s="90" t="s">
        <v>91</v>
      </c>
      <c r="AD635" s="76" t="s">
        <v>91</v>
      </c>
      <c r="AE635" s="77"/>
      <c r="AF635" s="77"/>
      <c r="AG635" s="41" t="s">
        <v>91</v>
      </c>
    </row>
    <row r="636" spans="1:33" ht="21" hidden="1" x14ac:dyDescent="0.55000000000000004">
      <c r="A636" s="44" t="str">
        <f>Data!K635</f>
        <v>DPOW-CCHP</v>
      </c>
      <c r="B636" s="44" t="str">
        <f>Data!L635</f>
        <v>4143899880</v>
      </c>
      <c r="C636" s="44" t="str">
        <f>Data!D635</f>
        <v>HERNANDEZ AYALA , MERARI</v>
      </c>
      <c r="D636" s="82" t="str">
        <f>Data!F635</f>
        <v>4425996143</v>
      </c>
      <c r="E636" s="82" t="str">
        <f>Data!B635</f>
        <v>6831</v>
      </c>
      <c r="F636" s="44" t="str">
        <f>Data!A635</f>
        <v>HERNANDEZ AYALA , MERARI</v>
      </c>
      <c r="G636" s="55" t="str">
        <f>Data!C635</f>
        <v>4/13/1977</v>
      </c>
      <c r="H636" s="56">
        <f>Data!H635</f>
        <v>44306</v>
      </c>
      <c r="I636" s="56" t="str">
        <f>Data!I635</f>
        <v>4/21/2021</v>
      </c>
      <c r="J636" s="57">
        <f>Data!J635</f>
        <v>378</v>
      </c>
      <c r="K636" s="58">
        <f t="shared" ca="1" si="11"/>
        <v>393</v>
      </c>
      <c r="L636" s="58">
        <f>Data!M635</f>
        <v>0</v>
      </c>
      <c r="M636" s="37" t="s">
        <v>26</v>
      </c>
      <c r="N636" s="43" t="str">
        <f>VLOOKUP(M636,Table1[#All],3,FALSE)</f>
        <v>Note</v>
      </c>
      <c r="O636" s="40" t="str">
        <f>VLOOKUP(M636,Table1[#All],4,FALSE)</f>
        <v>Q1</v>
      </c>
      <c r="P636" s="39"/>
      <c r="Q636" s="40" t="str">
        <f>VLOOKUP(M636,Table1[#All],5,FALSE)</f>
        <v>Q2</v>
      </c>
      <c r="R636" s="79"/>
      <c r="S636" s="40" t="str">
        <f>VLOOKUP(M636,Table1[#All],6,FALSE)</f>
        <v>Q3</v>
      </c>
      <c r="T636" s="79"/>
      <c r="U636" s="40" t="str">
        <f>VLOOKUP(M636,Table1[#All],7,FALSE)</f>
        <v>Q4</v>
      </c>
      <c r="V636" s="79"/>
      <c r="W636" s="40" t="str">
        <f>VLOOKUP(M636,Table1[#All],8,FALSE)</f>
        <v>Q5</v>
      </c>
      <c r="X636" s="79"/>
      <c r="Y636" s="44" t="str">
        <f>VLOOKUP(M636,Table1[#All],2,FALSE)</f>
        <v>Action</v>
      </c>
      <c r="Z636" s="59" t="str">
        <f>VLOOKUP(M636,Table1[#All],9,FALSE)</f>
        <v>Additional Notes:</v>
      </c>
      <c r="AA636" s="76"/>
      <c r="AB636" s="76"/>
      <c r="AC636" s="90" t="s">
        <v>91</v>
      </c>
      <c r="AD636" s="76" t="s">
        <v>91</v>
      </c>
      <c r="AE636" s="77"/>
      <c r="AF636" s="77"/>
      <c r="AG636" s="41" t="s">
        <v>91</v>
      </c>
    </row>
    <row r="637" spans="1:33" ht="21" hidden="1" x14ac:dyDescent="0.55000000000000004">
      <c r="A637" s="44" t="str">
        <f>Data!K636</f>
        <v>DPOW-CCHP</v>
      </c>
      <c r="B637" s="44" t="str">
        <f>Data!L636</f>
        <v>4143899880</v>
      </c>
      <c r="C637" s="44" t="str">
        <f>Data!D636</f>
        <v>Mene, Camila</v>
      </c>
      <c r="D637" s="82" t="str">
        <f>Data!F636</f>
        <v>6445283268</v>
      </c>
      <c r="E637" s="82" t="str">
        <f>Data!B636</f>
        <v>6741</v>
      </c>
      <c r="F637" s="44" t="str">
        <f>Data!A636</f>
        <v>Mene, Camila</v>
      </c>
      <c r="G637" s="55" t="str">
        <f>Data!C636</f>
        <v>1/7/2014</v>
      </c>
      <c r="H637" s="56">
        <f>Data!H636</f>
        <v>44287</v>
      </c>
      <c r="I637" s="56" t="str">
        <f>Data!I636</f>
        <v>4/19/2021</v>
      </c>
      <c r="J637" s="57">
        <f>Data!J636</f>
        <v>341.2</v>
      </c>
      <c r="K637" s="58">
        <f t="shared" ca="1" si="11"/>
        <v>395</v>
      </c>
      <c r="L637" s="58">
        <f>Data!M636</f>
        <v>0</v>
      </c>
      <c r="M637" s="37" t="s">
        <v>26</v>
      </c>
      <c r="N637" s="43" t="str">
        <f>VLOOKUP(M637,Table1[#All],3,FALSE)</f>
        <v>Note</v>
      </c>
      <c r="O637" s="40" t="str">
        <f>VLOOKUP(M637,Table1[#All],4,FALSE)</f>
        <v>Q1</v>
      </c>
      <c r="P637" s="39"/>
      <c r="Q637" s="40" t="str">
        <f>VLOOKUP(M637,Table1[#All],5,FALSE)</f>
        <v>Q2</v>
      </c>
      <c r="R637" s="79"/>
      <c r="S637" s="40" t="str">
        <f>VLOOKUP(M637,Table1[#All],6,FALSE)</f>
        <v>Q3</v>
      </c>
      <c r="T637" s="79"/>
      <c r="U637" s="40" t="str">
        <f>VLOOKUP(M637,Table1[#All],7,FALSE)</f>
        <v>Q4</v>
      </c>
      <c r="V637" s="79"/>
      <c r="W637" s="40" t="str">
        <f>VLOOKUP(M637,Table1[#All],8,FALSE)</f>
        <v>Q5</v>
      </c>
      <c r="X637" s="79"/>
      <c r="Y637" s="44" t="str">
        <f>VLOOKUP(M637,Table1[#All],2,FALSE)</f>
        <v>Action</v>
      </c>
      <c r="Z637" s="59" t="str">
        <f>VLOOKUP(M637,Table1[#All],9,FALSE)</f>
        <v>Additional Notes:</v>
      </c>
      <c r="AA637" s="76"/>
      <c r="AB637" s="76"/>
      <c r="AC637" s="90" t="s">
        <v>91</v>
      </c>
      <c r="AD637" s="76" t="s">
        <v>91</v>
      </c>
      <c r="AE637" s="77"/>
      <c r="AF637" s="77"/>
      <c r="AG637" s="41" t="s">
        <v>91</v>
      </c>
    </row>
    <row r="638" spans="1:33" ht="21" hidden="1" x14ac:dyDescent="0.55000000000000004">
      <c r="A638" s="44" t="str">
        <f>Data!K637</f>
        <v>DPOW-CCHP</v>
      </c>
      <c r="B638" s="44" t="str">
        <f>Data!L637</f>
        <v>4143899880</v>
      </c>
      <c r="C638" s="44" t="str">
        <f>Data!D637</f>
        <v>Turner, Lukas</v>
      </c>
      <c r="D638" s="82" t="str">
        <f>Data!F637</f>
        <v>1446847811</v>
      </c>
      <c r="E638" s="82" t="str">
        <f>Data!B637</f>
        <v>5310</v>
      </c>
      <c r="F638" s="44" t="str">
        <f>Data!A637</f>
        <v>Turner, Lukas</v>
      </c>
      <c r="G638" s="55" t="str">
        <f>Data!C637</f>
        <v>9/14/2014</v>
      </c>
      <c r="H638" s="56">
        <f>Data!H637</f>
        <v>44298</v>
      </c>
      <c r="I638" s="56" t="str">
        <f>Data!I637</f>
        <v>6/2/2021</v>
      </c>
      <c r="J638" s="57">
        <f>Data!J637</f>
        <v>464</v>
      </c>
      <c r="K638" s="58">
        <f t="shared" ca="1" si="11"/>
        <v>351</v>
      </c>
      <c r="L638" s="58">
        <f>Data!M637</f>
        <v>0</v>
      </c>
      <c r="M638" s="37" t="s">
        <v>26</v>
      </c>
      <c r="N638" s="43" t="str">
        <f>VLOOKUP(M638,Table1[#All],3,FALSE)</f>
        <v>Note</v>
      </c>
      <c r="O638" s="40" t="str">
        <f>VLOOKUP(M638,Table1[#All],4,FALSE)</f>
        <v>Q1</v>
      </c>
      <c r="P638" s="39"/>
      <c r="Q638" s="40" t="str">
        <f>VLOOKUP(M638,Table1[#All],5,FALSE)</f>
        <v>Q2</v>
      </c>
      <c r="R638" s="79"/>
      <c r="S638" s="40" t="str">
        <f>VLOOKUP(M638,Table1[#All],6,FALSE)</f>
        <v>Q3</v>
      </c>
      <c r="T638" s="79"/>
      <c r="U638" s="40" t="str">
        <f>VLOOKUP(M638,Table1[#All],7,FALSE)</f>
        <v>Q4</v>
      </c>
      <c r="V638" s="79"/>
      <c r="W638" s="40" t="str">
        <f>VLOOKUP(M638,Table1[#All],8,FALSE)</f>
        <v>Q5</v>
      </c>
      <c r="X638" s="79"/>
      <c r="Y638" s="44" t="str">
        <f>VLOOKUP(M638,Table1[#All],2,FALSE)</f>
        <v>Action</v>
      </c>
      <c r="Z638" s="59" t="str">
        <f>VLOOKUP(M638,Table1[#All],9,FALSE)</f>
        <v>Additional Notes:</v>
      </c>
      <c r="AA638" s="76"/>
      <c r="AB638" s="76"/>
      <c r="AC638" s="90" t="s">
        <v>91</v>
      </c>
      <c r="AD638" s="76" t="s">
        <v>91</v>
      </c>
      <c r="AE638" s="77"/>
      <c r="AF638" s="77"/>
      <c r="AG638" s="41" t="s">
        <v>91</v>
      </c>
    </row>
    <row r="639" spans="1:33" ht="21" hidden="1" x14ac:dyDescent="0.55000000000000004">
      <c r="A639" s="44" t="str">
        <f>Data!K638</f>
        <v>DPOW-CCHP</v>
      </c>
      <c r="B639" s="44" t="str">
        <f>Data!L638</f>
        <v>4143899880</v>
      </c>
      <c r="C639" s="44" t="str">
        <f>Data!D638</f>
        <v xml:space="preserve">York , Christopher </v>
      </c>
      <c r="D639" s="82" t="str">
        <f>Data!F638</f>
        <v>0412614804</v>
      </c>
      <c r="E639" s="82" t="str">
        <f>Data!B638</f>
        <v>6833</v>
      </c>
      <c r="F639" s="44" t="str">
        <f>Data!A638</f>
        <v xml:space="preserve">York , Christopher </v>
      </c>
      <c r="G639" s="55" t="str">
        <f>Data!C638</f>
        <v>1/8/1976</v>
      </c>
      <c r="H639" s="56">
        <f>Data!H638</f>
        <v>44296</v>
      </c>
      <c r="I639" s="56" t="str">
        <f>Data!I638</f>
        <v>4/12/2021</v>
      </c>
      <c r="J639" s="57">
        <f>Data!J638</f>
        <v>332.4</v>
      </c>
      <c r="K639" s="58">
        <f t="shared" ca="1" si="11"/>
        <v>402</v>
      </c>
      <c r="L639" s="58">
        <f>Data!M638</f>
        <v>0</v>
      </c>
      <c r="M639" s="37" t="s">
        <v>26</v>
      </c>
      <c r="N639" s="43" t="str">
        <f>VLOOKUP(M639,Table1[#All],3,FALSE)</f>
        <v>Note</v>
      </c>
      <c r="O639" s="40" t="str">
        <f>VLOOKUP(M639,Table1[#All],4,FALSE)</f>
        <v>Q1</v>
      </c>
      <c r="P639" s="39"/>
      <c r="Q639" s="40" t="str">
        <f>VLOOKUP(M639,Table1[#All],5,FALSE)</f>
        <v>Q2</v>
      </c>
      <c r="R639" s="79"/>
      <c r="S639" s="40" t="str">
        <f>VLOOKUP(M639,Table1[#All],6,FALSE)</f>
        <v>Q3</v>
      </c>
      <c r="T639" s="79"/>
      <c r="U639" s="40" t="str">
        <f>VLOOKUP(M639,Table1[#All],7,FALSE)</f>
        <v>Q4</v>
      </c>
      <c r="V639" s="79"/>
      <c r="W639" s="40" t="str">
        <f>VLOOKUP(M639,Table1[#All],8,FALSE)</f>
        <v>Q5</v>
      </c>
      <c r="X639" s="79"/>
      <c r="Y639" s="44" t="str">
        <f>VLOOKUP(M639,Table1[#All],2,FALSE)</f>
        <v>Action</v>
      </c>
      <c r="Z639" s="59" t="str">
        <f>VLOOKUP(M639,Table1[#All],9,FALSE)</f>
        <v>Additional Notes:</v>
      </c>
      <c r="AA639" s="76"/>
      <c r="AB639" s="76"/>
      <c r="AC639" s="90" t="s">
        <v>91</v>
      </c>
      <c r="AD639" s="76" t="s">
        <v>91</v>
      </c>
      <c r="AE639" s="77"/>
      <c r="AF639" s="77"/>
      <c r="AG639" s="41" t="s">
        <v>91</v>
      </c>
    </row>
    <row r="640" spans="1:33" ht="21" hidden="1" x14ac:dyDescent="0.55000000000000004">
      <c r="A640" s="44" t="str">
        <f>Data!K639</f>
        <v>DPOW-CCHP</v>
      </c>
      <c r="B640" s="44" t="str">
        <f>Data!L639</f>
        <v>4143899880</v>
      </c>
      <c r="C640" s="44" t="str">
        <f>Data!D639</f>
        <v>Piehl, Jeana</v>
      </c>
      <c r="D640" s="82" t="str">
        <f>Data!F639</f>
        <v>1418990515</v>
      </c>
      <c r="E640" s="82" t="str">
        <f>Data!B639</f>
        <v>956</v>
      </c>
      <c r="F640" s="44" t="str">
        <f>Data!A639</f>
        <v>Piehl, Jeana</v>
      </c>
      <c r="G640" s="55" t="str">
        <f>Data!C639</f>
        <v>12/7/1965</v>
      </c>
      <c r="H640" s="56">
        <f>Data!H639</f>
        <v>44294</v>
      </c>
      <c r="I640" s="56" t="str">
        <f>Data!I639</f>
        <v>4/12/2021</v>
      </c>
      <c r="J640" s="57">
        <f>Data!J639</f>
        <v>1861.2</v>
      </c>
      <c r="K640" s="58">
        <f t="shared" ca="1" si="11"/>
        <v>402</v>
      </c>
      <c r="L640" s="58">
        <f>Data!M639</f>
        <v>0</v>
      </c>
      <c r="M640" s="37" t="s">
        <v>26</v>
      </c>
      <c r="N640" s="43" t="str">
        <f>VLOOKUP(M640,Table1[#All],3,FALSE)</f>
        <v>Note</v>
      </c>
      <c r="O640" s="40" t="str">
        <f>VLOOKUP(M640,Table1[#All],4,FALSE)</f>
        <v>Q1</v>
      </c>
      <c r="P640" s="39"/>
      <c r="Q640" s="40" t="str">
        <f>VLOOKUP(M640,Table1[#All],5,FALSE)</f>
        <v>Q2</v>
      </c>
      <c r="R640" s="79"/>
      <c r="S640" s="40" t="str">
        <f>VLOOKUP(M640,Table1[#All],6,FALSE)</f>
        <v>Q3</v>
      </c>
      <c r="T640" s="79"/>
      <c r="U640" s="40" t="str">
        <f>VLOOKUP(M640,Table1[#All],7,FALSE)</f>
        <v>Q4</v>
      </c>
      <c r="V640" s="79"/>
      <c r="W640" s="40" t="str">
        <f>VLOOKUP(M640,Table1[#All],8,FALSE)</f>
        <v>Q5</v>
      </c>
      <c r="X640" s="79"/>
      <c r="Y640" s="44" t="str">
        <f>VLOOKUP(M640,Table1[#All],2,FALSE)</f>
        <v>Action</v>
      </c>
      <c r="Z640" s="59" t="str">
        <f>VLOOKUP(M640,Table1[#All],9,FALSE)</f>
        <v>Additional Notes:</v>
      </c>
      <c r="AA640" s="76"/>
      <c r="AB640" s="76"/>
      <c r="AC640" s="90" t="s">
        <v>91</v>
      </c>
      <c r="AD640" s="76" t="s">
        <v>91</v>
      </c>
      <c r="AE640" s="77"/>
      <c r="AF640" s="77"/>
      <c r="AG640" s="41" t="s">
        <v>91</v>
      </c>
    </row>
    <row r="641" spans="1:33" ht="21" hidden="1" x14ac:dyDescent="0.55000000000000004">
      <c r="A641" s="44" t="str">
        <f>Data!K640</f>
        <v>DPOW-CCHP</v>
      </c>
      <c r="B641" s="44" t="str">
        <f>Data!L640</f>
        <v>4143899880</v>
      </c>
      <c r="C641" s="44" t="str">
        <f>Data!D640</f>
        <v xml:space="preserve">ROMO, CRISTINA </v>
      </c>
      <c r="D641" s="82" t="str">
        <f>Data!F640</f>
        <v>7411002771</v>
      </c>
      <c r="E641" s="82" t="str">
        <f>Data!B640</f>
        <v>3645</v>
      </c>
      <c r="F641" s="44" t="str">
        <f>Data!A640</f>
        <v xml:space="preserve">ROMO, CRISTINA </v>
      </c>
      <c r="G641" s="55" t="str">
        <f>Data!C640</f>
        <v>5/21/1993</v>
      </c>
      <c r="H641" s="56">
        <f>Data!H640</f>
        <v>44285</v>
      </c>
      <c r="I641" s="56" t="str">
        <f>Data!I640</f>
        <v>4/1/2021</v>
      </c>
      <c r="J641" s="57">
        <f>Data!J640</f>
        <v>1056.8</v>
      </c>
      <c r="K641" s="58">
        <f t="shared" ca="1" si="11"/>
        <v>413</v>
      </c>
      <c r="L641" s="58">
        <f>Data!M640</f>
        <v>0</v>
      </c>
      <c r="M641" s="37" t="s">
        <v>26</v>
      </c>
      <c r="N641" s="43" t="str">
        <f>VLOOKUP(M641,Table1[#All],3,FALSE)</f>
        <v>Note</v>
      </c>
      <c r="O641" s="40" t="str">
        <f>VLOOKUP(M641,Table1[#All],4,FALSE)</f>
        <v>Q1</v>
      </c>
      <c r="P641" s="39"/>
      <c r="Q641" s="40" t="str">
        <f>VLOOKUP(M641,Table1[#All],5,FALSE)</f>
        <v>Q2</v>
      </c>
      <c r="R641" s="79"/>
      <c r="S641" s="40" t="str">
        <f>VLOOKUP(M641,Table1[#All],6,FALSE)</f>
        <v>Q3</v>
      </c>
      <c r="T641" s="79"/>
      <c r="U641" s="40" t="str">
        <f>VLOOKUP(M641,Table1[#All],7,FALSE)</f>
        <v>Q4</v>
      </c>
      <c r="V641" s="79"/>
      <c r="W641" s="40" t="str">
        <f>VLOOKUP(M641,Table1[#All],8,FALSE)</f>
        <v>Q5</v>
      </c>
      <c r="X641" s="79"/>
      <c r="Y641" s="44" t="str">
        <f>VLOOKUP(M641,Table1[#All],2,FALSE)</f>
        <v>Action</v>
      </c>
      <c r="Z641" s="59" t="str">
        <f>VLOOKUP(M641,Table1[#All],9,FALSE)</f>
        <v>Additional Notes:</v>
      </c>
      <c r="AA641" s="76"/>
      <c r="AB641" s="76"/>
      <c r="AC641" s="90" t="s">
        <v>91</v>
      </c>
      <c r="AD641" s="76" t="s">
        <v>91</v>
      </c>
      <c r="AE641" s="77"/>
      <c r="AF641" s="77"/>
      <c r="AG641" s="41" t="s">
        <v>91</v>
      </c>
    </row>
    <row r="642" spans="1:33" ht="21" hidden="1" x14ac:dyDescent="0.55000000000000004">
      <c r="A642" s="44" t="str">
        <f>Data!K641</f>
        <v>DPOW-CCHP</v>
      </c>
      <c r="B642" s="44" t="str">
        <f>Data!L641</f>
        <v>4143899880</v>
      </c>
      <c r="C642" s="44" t="str">
        <f>Data!D641</f>
        <v>Martinez Guzman , Cruz Maria</v>
      </c>
      <c r="D642" s="82" t="str">
        <f>Data!F641</f>
        <v>4455949542</v>
      </c>
      <c r="E642" s="82" t="str">
        <f>Data!B641</f>
        <v>5643</v>
      </c>
      <c r="F642" s="44" t="str">
        <f>Data!A641</f>
        <v>Martinez Guzman , Cruz Maria</v>
      </c>
      <c r="G642" s="55" t="str">
        <f>Data!C641</f>
        <v>3/7/1971</v>
      </c>
      <c r="H642" s="56">
        <f>Data!H641</f>
        <v>44275</v>
      </c>
      <c r="I642" s="56" t="str">
        <f>Data!I641</f>
        <v>3/23/2021</v>
      </c>
      <c r="J642" s="57">
        <f>Data!J641</f>
        <v>150</v>
      </c>
      <c r="K642" s="58">
        <f t="shared" ca="1" si="11"/>
        <v>422</v>
      </c>
      <c r="L642" s="58">
        <f>Data!M641</f>
        <v>0</v>
      </c>
      <c r="M642" s="37" t="s">
        <v>26</v>
      </c>
      <c r="N642" s="43" t="str">
        <f>VLOOKUP(M642,Table1[#All],3,FALSE)</f>
        <v>Note</v>
      </c>
      <c r="O642" s="40" t="str">
        <f>VLOOKUP(M642,Table1[#All],4,FALSE)</f>
        <v>Q1</v>
      </c>
      <c r="P642" s="39"/>
      <c r="Q642" s="40" t="str">
        <f>VLOOKUP(M642,Table1[#All],5,FALSE)</f>
        <v>Q2</v>
      </c>
      <c r="R642" s="79"/>
      <c r="S642" s="40" t="str">
        <f>VLOOKUP(M642,Table1[#All],6,FALSE)</f>
        <v>Q3</v>
      </c>
      <c r="T642" s="79"/>
      <c r="U642" s="40" t="str">
        <f>VLOOKUP(M642,Table1[#All],7,FALSE)</f>
        <v>Q4</v>
      </c>
      <c r="V642" s="79"/>
      <c r="W642" s="40" t="str">
        <f>VLOOKUP(M642,Table1[#All],8,FALSE)</f>
        <v>Q5</v>
      </c>
      <c r="X642" s="79"/>
      <c r="Y642" s="44" t="str">
        <f>VLOOKUP(M642,Table1[#All],2,FALSE)</f>
        <v>Action</v>
      </c>
      <c r="Z642" s="59" t="str">
        <f>VLOOKUP(M642,Table1[#All],9,FALSE)</f>
        <v>Additional Notes:</v>
      </c>
      <c r="AA642" s="76"/>
      <c r="AB642" s="76"/>
      <c r="AC642" s="90" t="s">
        <v>91</v>
      </c>
      <c r="AD642" s="76" t="s">
        <v>91</v>
      </c>
      <c r="AE642" s="77"/>
      <c r="AF642" s="77"/>
      <c r="AG642" s="41" t="s">
        <v>91</v>
      </c>
    </row>
    <row r="643" spans="1:33" ht="21" hidden="1" x14ac:dyDescent="0.55000000000000004">
      <c r="A643" s="44" t="str">
        <f>Data!K642</f>
        <v>DPOW-CCHP</v>
      </c>
      <c r="B643" s="44" t="str">
        <f>Data!L642</f>
        <v>4143899880</v>
      </c>
      <c r="C643" s="44" t="str">
        <f>Data!D642</f>
        <v xml:space="preserve">Sanders Jones, Kamaya </v>
      </c>
      <c r="D643" s="82" t="str">
        <f>Data!F642</f>
        <v>9447256899</v>
      </c>
      <c r="E643" s="82" t="str">
        <f>Data!B642</f>
        <v>4844</v>
      </c>
      <c r="F643" s="44" t="str">
        <f>Data!A642</f>
        <v xml:space="preserve">Sanders Jones, Kamaya </v>
      </c>
      <c r="G643" s="55" t="str">
        <f>Data!C642</f>
        <v>4/12/2004</v>
      </c>
      <c r="H643" s="56">
        <f>Data!H642</f>
        <v>44273</v>
      </c>
      <c r="I643" s="56" t="str">
        <f>Data!I642</f>
        <v>3/23/2021</v>
      </c>
      <c r="J643" s="57">
        <f>Data!J642</f>
        <v>300</v>
      </c>
      <c r="K643" s="58">
        <f t="shared" ca="1" si="11"/>
        <v>422</v>
      </c>
      <c r="L643" s="58">
        <f>Data!M642</f>
        <v>0</v>
      </c>
      <c r="M643" s="37" t="s">
        <v>26</v>
      </c>
      <c r="N643" s="43" t="str">
        <f>VLOOKUP(M643,Table1[#All],3,FALSE)</f>
        <v>Note</v>
      </c>
      <c r="O643" s="40" t="str">
        <f>VLOOKUP(M643,Table1[#All],4,FALSE)</f>
        <v>Q1</v>
      </c>
      <c r="P643" s="39"/>
      <c r="Q643" s="40" t="str">
        <f>VLOOKUP(M643,Table1[#All],5,FALSE)</f>
        <v>Q2</v>
      </c>
      <c r="R643" s="79"/>
      <c r="S643" s="40" t="str">
        <f>VLOOKUP(M643,Table1[#All],6,FALSE)</f>
        <v>Q3</v>
      </c>
      <c r="T643" s="79"/>
      <c r="U643" s="40" t="str">
        <f>VLOOKUP(M643,Table1[#All],7,FALSE)</f>
        <v>Q4</v>
      </c>
      <c r="V643" s="79"/>
      <c r="W643" s="40" t="str">
        <f>VLOOKUP(M643,Table1[#All],8,FALSE)</f>
        <v>Q5</v>
      </c>
      <c r="X643" s="79"/>
      <c r="Y643" s="44" t="str">
        <f>VLOOKUP(M643,Table1[#All],2,FALSE)</f>
        <v>Action</v>
      </c>
      <c r="Z643" s="59" t="str">
        <f>VLOOKUP(M643,Table1[#All],9,FALSE)</f>
        <v>Additional Notes:</v>
      </c>
      <c r="AA643" s="76"/>
      <c r="AB643" s="76"/>
      <c r="AC643" s="90" t="s">
        <v>91</v>
      </c>
      <c r="AD643" s="76" t="s">
        <v>91</v>
      </c>
      <c r="AE643" s="77"/>
      <c r="AF643" s="77"/>
      <c r="AG643" s="41" t="s">
        <v>91</v>
      </c>
    </row>
    <row r="644" spans="1:33" ht="21" hidden="1" x14ac:dyDescent="0.55000000000000004">
      <c r="A644" s="44" t="str">
        <f>Data!K643</f>
        <v>DPOW-CCHP</v>
      </c>
      <c r="B644" s="44" t="str">
        <f>Data!L643</f>
        <v>4143899880</v>
      </c>
      <c r="C644" s="44" t="str">
        <f>Data!D643</f>
        <v>Ibarra Aguilera , Ariel</v>
      </c>
      <c r="D644" s="82" t="str">
        <f>Data!F643</f>
        <v>6449304561</v>
      </c>
      <c r="E644" s="82" t="str">
        <f>Data!B643</f>
        <v>5700</v>
      </c>
      <c r="F644" s="44" t="str">
        <f>Data!A643</f>
        <v>Ibarra Aguilera , Ariel</v>
      </c>
      <c r="G644" s="55" t="str">
        <f>Data!C643</f>
        <v>1/7/2016</v>
      </c>
      <c r="H644" s="56">
        <f>Data!H643</f>
        <v>44259</v>
      </c>
      <c r="I644" s="56" t="str">
        <f>Data!I643</f>
        <v>3/8/2021</v>
      </c>
      <c r="J644" s="57">
        <f>Data!J643</f>
        <v>61.2</v>
      </c>
      <c r="K644" s="58">
        <f t="shared" ca="1" si="11"/>
        <v>437</v>
      </c>
      <c r="L644" s="58">
        <f>Data!M643</f>
        <v>0</v>
      </c>
      <c r="M644" s="37" t="s">
        <v>26</v>
      </c>
      <c r="N644" s="43" t="str">
        <f>VLOOKUP(M644,Table1[#All],3,FALSE)</f>
        <v>Note</v>
      </c>
      <c r="O644" s="40" t="str">
        <f>VLOOKUP(M644,Table1[#All],4,FALSE)</f>
        <v>Q1</v>
      </c>
      <c r="P644" s="39"/>
      <c r="Q644" s="40" t="str">
        <f>VLOOKUP(M644,Table1[#All],5,FALSE)</f>
        <v>Q2</v>
      </c>
      <c r="R644" s="79"/>
      <c r="S644" s="40" t="str">
        <f>VLOOKUP(M644,Table1[#All],6,FALSE)</f>
        <v>Q3</v>
      </c>
      <c r="T644" s="79"/>
      <c r="U644" s="40" t="str">
        <f>VLOOKUP(M644,Table1[#All],7,FALSE)</f>
        <v>Q4</v>
      </c>
      <c r="V644" s="79"/>
      <c r="W644" s="40" t="str">
        <f>VLOOKUP(M644,Table1[#All],8,FALSE)</f>
        <v>Q5</v>
      </c>
      <c r="X644" s="79"/>
      <c r="Y644" s="44" t="str">
        <f>VLOOKUP(M644,Table1[#All],2,FALSE)</f>
        <v>Action</v>
      </c>
      <c r="Z644" s="59" t="str">
        <f>VLOOKUP(M644,Table1[#All],9,FALSE)</f>
        <v>Additional Notes:</v>
      </c>
      <c r="AA644" s="76"/>
      <c r="AB644" s="76"/>
      <c r="AC644" s="90" t="s">
        <v>91</v>
      </c>
      <c r="AD644" s="76" t="s">
        <v>91</v>
      </c>
      <c r="AE644" s="77"/>
      <c r="AF644" s="77"/>
      <c r="AG644" s="41" t="s">
        <v>91</v>
      </c>
    </row>
    <row r="645" spans="1:33" ht="21" hidden="1" x14ac:dyDescent="0.55000000000000004">
      <c r="A645" s="44" t="str">
        <f>Data!K644</f>
        <v>DPOW-CCHP</v>
      </c>
      <c r="B645" s="44" t="str">
        <f>Data!L644</f>
        <v>4143899880</v>
      </c>
      <c r="C645" s="44" t="str">
        <f>Data!D644</f>
        <v xml:space="preserve">Sanders Jones, Kamaya </v>
      </c>
      <c r="D645" s="82" t="str">
        <f>Data!F644</f>
        <v>9447256899</v>
      </c>
      <c r="E645" s="82" t="str">
        <f>Data!B644</f>
        <v>4844</v>
      </c>
      <c r="F645" s="44" t="str">
        <f>Data!A644</f>
        <v xml:space="preserve">Sanders Jones, Kamaya </v>
      </c>
      <c r="G645" s="55" t="str">
        <f>Data!C644</f>
        <v>4/12/2004</v>
      </c>
      <c r="H645" s="56">
        <f>Data!H644</f>
        <v>44254</v>
      </c>
      <c r="I645" s="56" t="str">
        <f>Data!I644</f>
        <v>3/1/2021</v>
      </c>
      <c r="J645" s="57">
        <f>Data!J644</f>
        <v>300</v>
      </c>
      <c r="K645" s="58">
        <f t="shared" ca="1" si="11"/>
        <v>444</v>
      </c>
      <c r="L645" s="58">
        <f>Data!M644</f>
        <v>0</v>
      </c>
      <c r="M645" s="37" t="s">
        <v>26</v>
      </c>
      <c r="N645" s="43" t="str">
        <f>VLOOKUP(M645,Table1[#All],3,FALSE)</f>
        <v>Note</v>
      </c>
      <c r="O645" s="40" t="str">
        <f>VLOOKUP(M645,Table1[#All],4,FALSE)</f>
        <v>Q1</v>
      </c>
      <c r="P645" s="39"/>
      <c r="Q645" s="40" t="str">
        <f>VLOOKUP(M645,Table1[#All],5,FALSE)</f>
        <v>Q2</v>
      </c>
      <c r="R645" s="79"/>
      <c r="S645" s="40" t="str">
        <f>VLOOKUP(M645,Table1[#All],6,FALSE)</f>
        <v>Q3</v>
      </c>
      <c r="T645" s="79"/>
      <c r="U645" s="40" t="str">
        <f>VLOOKUP(M645,Table1[#All],7,FALSE)</f>
        <v>Q4</v>
      </c>
      <c r="V645" s="79"/>
      <c r="W645" s="40" t="str">
        <f>VLOOKUP(M645,Table1[#All],8,FALSE)</f>
        <v>Q5</v>
      </c>
      <c r="X645" s="79"/>
      <c r="Y645" s="44" t="str">
        <f>VLOOKUP(M645,Table1[#All],2,FALSE)</f>
        <v>Action</v>
      </c>
      <c r="Z645" s="59" t="str">
        <f>VLOOKUP(M645,Table1[#All],9,FALSE)</f>
        <v>Additional Notes:</v>
      </c>
      <c r="AA645" s="76"/>
      <c r="AB645" s="76"/>
      <c r="AC645" s="90" t="s">
        <v>91</v>
      </c>
      <c r="AD645" s="76" t="s">
        <v>91</v>
      </c>
      <c r="AE645" s="77"/>
      <c r="AF645" s="77"/>
      <c r="AG645" s="41" t="s">
        <v>91</v>
      </c>
    </row>
    <row r="646" spans="1:33" ht="21" hidden="1" x14ac:dyDescent="0.55000000000000004">
      <c r="A646" s="44" t="str">
        <f>Data!K645</f>
        <v>DPOW-CCHP</v>
      </c>
      <c r="B646" s="44" t="str">
        <f>Data!L645</f>
        <v>4143899880</v>
      </c>
      <c r="C646" s="44" t="str">
        <f>Data!D645</f>
        <v xml:space="preserve">York, Harper </v>
      </c>
      <c r="D646" s="82" t="str">
        <f>Data!F645</f>
        <v>8448616782</v>
      </c>
      <c r="E646" s="82" t="str">
        <f>Data!B645</f>
        <v>4843</v>
      </c>
      <c r="F646" s="44" t="str">
        <f>Data!A645</f>
        <v xml:space="preserve">York, Harper </v>
      </c>
      <c r="G646" s="55" t="str">
        <f>Data!C645</f>
        <v>6/14/2015</v>
      </c>
      <c r="H646" s="56">
        <f>Data!H645</f>
        <v>44254</v>
      </c>
      <c r="I646" s="56" t="str">
        <f>Data!I645</f>
        <v>3/1/2021</v>
      </c>
      <c r="J646" s="57">
        <f>Data!J645</f>
        <v>227.6</v>
      </c>
      <c r="K646" s="58">
        <f t="shared" ca="1" si="11"/>
        <v>444</v>
      </c>
      <c r="L646" s="58">
        <f>Data!M645</f>
        <v>0</v>
      </c>
      <c r="M646" s="37" t="s">
        <v>26</v>
      </c>
      <c r="N646" s="43" t="str">
        <f>VLOOKUP(M646,Table1[#All],3,FALSE)</f>
        <v>Note</v>
      </c>
      <c r="O646" s="40" t="str">
        <f>VLOOKUP(M646,Table1[#All],4,FALSE)</f>
        <v>Q1</v>
      </c>
      <c r="P646" s="39"/>
      <c r="Q646" s="40" t="str">
        <f>VLOOKUP(M646,Table1[#All],5,FALSE)</f>
        <v>Q2</v>
      </c>
      <c r="R646" s="79"/>
      <c r="S646" s="40" t="str">
        <f>VLOOKUP(M646,Table1[#All],6,FALSE)</f>
        <v>Q3</v>
      </c>
      <c r="T646" s="79"/>
      <c r="U646" s="40" t="str">
        <f>VLOOKUP(M646,Table1[#All],7,FALSE)</f>
        <v>Q4</v>
      </c>
      <c r="V646" s="79"/>
      <c r="W646" s="40" t="str">
        <f>VLOOKUP(M646,Table1[#All],8,FALSE)</f>
        <v>Q5</v>
      </c>
      <c r="X646" s="79"/>
      <c r="Y646" s="44" t="str">
        <f>VLOOKUP(M646,Table1[#All],2,FALSE)</f>
        <v>Action</v>
      </c>
      <c r="Z646" s="59" t="str">
        <f>VLOOKUP(M646,Table1[#All],9,FALSE)</f>
        <v>Additional Notes:</v>
      </c>
      <c r="AA646" s="76"/>
      <c r="AB646" s="76"/>
      <c r="AC646" s="90" t="s">
        <v>91</v>
      </c>
      <c r="AD646" s="76" t="s">
        <v>91</v>
      </c>
      <c r="AE646" s="77"/>
      <c r="AF646" s="77"/>
      <c r="AG646" s="41" t="s">
        <v>91</v>
      </c>
    </row>
    <row r="647" spans="1:33" ht="21" hidden="1" x14ac:dyDescent="0.55000000000000004">
      <c r="A647" s="44" t="str">
        <f>Data!K646</f>
        <v>DPOW-CCHP</v>
      </c>
      <c r="B647" s="44" t="str">
        <f>Data!L646</f>
        <v>4143899880</v>
      </c>
      <c r="C647" s="44" t="str">
        <f>Data!D646</f>
        <v>Torrez, Gabriel</v>
      </c>
      <c r="D647" s="82" t="str">
        <f>Data!F646</f>
        <v>2426962429</v>
      </c>
      <c r="E647" s="82" t="str">
        <f>Data!B646</f>
        <v>2932</v>
      </c>
      <c r="F647" s="44" t="str">
        <f>Data!A646</f>
        <v>Torrez, Gabriel</v>
      </c>
      <c r="G647" s="55" t="str">
        <f>Data!C646</f>
        <v>12/14/2006</v>
      </c>
      <c r="H647" s="56">
        <f>Data!H646</f>
        <v>44252</v>
      </c>
      <c r="I647" s="56" t="str">
        <f>Data!I646</f>
        <v>3/17/2021</v>
      </c>
      <c r="J647" s="57">
        <f>Data!J646</f>
        <v>1032</v>
      </c>
      <c r="K647" s="58">
        <f t="shared" ca="1" si="11"/>
        <v>428</v>
      </c>
      <c r="L647" s="58">
        <f>Data!M646</f>
        <v>0</v>
      </c>
      <c r="M647" s="37" t="s">
        <v>26</v>
      </c>
      <c r="N647" s="43" t="str">
        <f>VLOOKUP(M647,Table1[#All],3,FALSE)</f>
        <v>Note</v>
      </c>
      <c r="O647" s="40" t="str">
        <f>VLOOKUP(M647,Table1[#All],4,FALSE)</f>
        <v>Q1</v>
      </c>
      <c r="P647" s="39"/>
      <c r="Q647" s="40" t="str">
        <f>VLOOKUP(M647,Table1[#All],5,FALSE)</f>
        <v>Q2</v>
      </c>
      <c r="R647" s="79"/>
      <c r="S647" s="40" t="str">
        <f>VLOOKUP(M647,Table1[#All],6,FALSE)</f>
        <v>Q3</v>
      </c>
      <c r="T647" s="79"/>
      <c r="U647" s="40" t="str">
        <f>VLOOKUP(M647,Table1[#All],7,FALSE)</f>
        <v>Q4</v>
      </c>
      <c r="V647" s="79"/>
      <c r="W647" s="40" t="str">
        <f>VLOOKUP(M647,Table1[#All],8,FALSE)</f>
        <v>Q5</v>
      </c>
      <c r="X647" s="79"/>
      <c r="Y647" s="44" t="str">
        <f>VLOOKUP(M647,Table1[#All],2,FALSE)</f>
        <v>Action</v>
      </c>
      <c r="Z647" s="59" t="str">
        <f>VLOOKUP(M647,Table1[#All],9,FALSE)</f>
        <v>Additional Notes:</v>
      </c>
      <c r="AA647" s="76"/>
      <c r="AB647" s="76"/>
      <c r="AC647" s="90" t="s">
        <v>91</v>
      </c>
      <c r="AD647" s="76" t="s">
        <v>91</v>
      </c>
      <c r="AE647" s="77"/>
      <c r="AF647" s="77"/>
      <c r="AG647" s="41" t="s">
        <v>91</v>
      </c>
    </row>
    <row r="648" spans="1:33" ht="21" hidden="1" x14ac:dyDescent="0.55000000000000004">
      <c r="A648" s="44" t="str">
        <f>Data!K647</f>
        <v>DPOW-CCHP</v>
      </c>
      <c r="B648" s="44" t="str">
        <f>Data!L647</f>
        <v>4143899880</v>
      </c>
      <c r="C648" s="44" t="str">
        <f>Data!D647</f>
        <v>Breis, Brian</v>
      </c>
      <c r="D648" s="82" t="str">
        <f>Data!F647</f>
        <v>0438857305</v>
      </c>
      <c r="E648" s="82" t="str">
        <f>Data!B647</f>
        <v>1745</v>
      </c>
      <c r="F648" s="44" t="str">
        <f>Data!A647</f>
        <v>Breis, Brian</v>
      </c>
      <c r="G648" s="55" t="str">
        <f>Data!C647</f>
        <v>8/1/2010</v>
      </c>
      <c r="H648" s="56">
        <f>Data!H647</f>
        <v>44249</v>
      </c>
      <c r="I648" s="56" t="str">
        <f>Data!I647</f>
        <v>3/5/2021</v>
      </c>
      <c r="J648" s="57">
        <f>Data!J647</f>
        <v>329.6</v>
      </c>
      <c r="K648" s="58">
        <f t="shared" ca="1" si="11"/>
        <v>440</v>
      </c>
      <c r="L648" s="58">
        <f>Data!M647</f>
        <v>0</v>
      </c>
      <c r="M648" s="37" t="s">
        <v>26</v>
      </c>
      <c r="N648" s="43" t="str">
        <f>VLOOKUP(M648,Table1[#All],3,FALSE)</f>
        <v>Note</v>
      </c>
      <c r="O648" s="40" t="str">
        <f>VLOOKUP(M648,Table1[#All],4,FALSE)</f>
        <v>Q1</v>
      </c>
      <c r="P648" s="39"/>
      <c r="Q648" s="40" t="str">
        <f>VLOOKUP(M648,Table1[#All],5,FALSE)</f>
        <v>Q2</v>
      </c>
      <c r="R648" s="79"/>
      <c r="S648" s="40" t="str">
        <f>VLOOKUP(M648,Table1[#All],6,FALSE)</f>
        <v>Q3</v>
      </c>
      <c r="T648" s="79"/>
      <c r="U648" s="40" t="str">
        <f>VLOOKUP(M648,Table1[#All],7,FALSE)</f>
        <v>Q4</v>
      </c>
      <c r="V648" s="79"/>
      <c r="W648" s="40" t="str">
        <f>VLOOKUP(M648,Table1[#All],8,FALSE)</f>
        <v>Q5</v>
      </c>
      <c r="X648" s="79"/>
      <c r="Y648" s="44" t="str">
        <f>VLOOKUP(M648,Table1[#All],2,FALSE)</f>
        <v>Action</v>
      </c>
      <c r="Z648" s="59" t="str">
        <f>VLOOKUP(M648,Table1[#All],9,FALSE)</f>
        <v>Additional Notes:</v>
      </c>
      <c r="AA648" s="76"/>
      <c r="AB648" s="76"/>
      <c r="AC648" s="90" t="s">
        <v>91</v>
      </c>
      <c r="AD648" s="76" t="s">
        <v>91</v>
      </c>
      <c r="AE648" s="77"/>
      <c r="AF648" s="77"/>
      <c r="AG648" s="41" t="s">
        <v>91</v>
      </c>
    </row>
    <row r="649" spans="1:33" ht="21" hidden="1" x14ac:dyDescent="0.55000000000000004">
      <c r="A649" s="44" t="str">
        <f>Data!K648</f>
        <v>DPOW-CCHP</v>
      </c>
      <c r="B649" s="44" t="str">
        <f>Data!L648</f>
        <v>4143899880</v>
      </c>
      <c r="C649" s="44" t="str">
        <f>Data!D648</f>
        <v>Jensen Wright , Heather Ann</v>
      </c>
      <c r="D649" s="82" t="str">
        <f>Data!F648</f>
        <v>7420037370</v>
      </c>
      <c r="E649" s="82" t="str">
        <f>Data!B648</f>
        <v>6353</v>
      </c>
      <c r="F649" s="44" t="str">
        <f>Data!A648</f>
        <v>Jensen Wright , Heather Ann</v>
      </c>
      <c r="G649" s="55" t="str">
        <f>Data!C648</f>
        <v>11/27/1979</v>
      </c>
      <c r="H649" s="56">
        <f>Data!H648</f>
        <v>44242</v>
      </c>
      <c r="I649" s="56" t="str">
        <f>Data!I648</f>
        <v>2/15/2021</v>
      </c>
      <c r="J649" s="57">
        <f>Data!J648</f>
        <v>226.8</v>
      </c>
      <c r="K649" s="58">
        <f t="shared" ca="1" si="11"/>
        <v>458</v>
      </c>
      <c r="L649" s="58">
        <f>Data!M648</f>
        <v>0</v>
      </c>
      <c r="M649" s="37" t="s">
        <v>26</v>
      </c>
      <c r="N649" s="43" t="str">
        <f>VLOOKUP(M649,Table1[#All],3,FALSE)</f>
        <v>Note</v>
      </c>
      <c r="O649" s="40" t="str">
        <f>VLOOKUP(M649,Table1[#All],4,FALSE)</f>
        <v>Q1</v>
      </c>
      <c r="P649" s="39"/>
      <c r="Q649" s="40" t="str">
        <f>VLOOKUP(M649,Table1[#All],5,FALSE)</f>
        <v>Q2</v>
      </c>
      <c r="R649" s="79"/>
      <c r="S649" s="40" t="str">
        <f>VLOOKUP(M649,Table1[#All],6,FALSE)</f>
        <v>Q3</v>
      </c>
      <c r="T649" s="79"/>
      <c r="U649" s="40" t="str">
        <f>VLOOKUP(M649,Table1[#All],7,FALSE)</f>
        <v>Q4</v>
      </c>
      <c r="V649" s="79"/>
      <c r="W649" s="40" t="str">
        <f>VLOOKUP(M649,Table1[#All],8,FALSE)</f>
        <v>Q5</v>
      </c>
      <c r="X649" s="79"/>
      <c r="Y649" s="44" t="str">
        <f>VLOOKUP(M649,Table1[#All],2,FALSE)</f>
        <v>Action</v>
      </c>
      <c r="Z649" s="59" t="str">
        <f>VLOOKUP(M649,Table1[#All],9,FALSE)</f>
        <v>Additional Notes:</v>
      </c>
      <c r="AA649" s="76"/>
      <c r="AB649" s="76"/>
      <c r="AC649" s="90" t="s">
        <v>91</v>
      </c>
      <c r="AD649" s="76" t="s">
        <v>91</v>
      </c>
      <c r="AE649" s="77"/>
      <c r="AF649" s="77"/>
      <c r="AG649" s="41" t="s">
        <v>91</v>
      </c>
    </row>
    <row r="650" spans="1:33" ht="21" hidden="1" x14ac:dyDescent="0.55000000000000004">
      <c r="A650" s="44" t="str">
        <f>Data!K649</f>
        <v>DPOW-CCHP</v>
      </c>
      <c r="B650" s="44" t="str">
        <f>Data!L649</f>
        <v>4143899880</v>
      </c>
      <c r="C650" s="44" t="str">
        <f>Data!D649</f>
        <v xml:space="preserve">Al Salihi, Suhad </v>
      </c>
      <c r="D650" s="82" t="str">
        <f>Data!F649</f>
        <v>0444120408</v>
      </c>
      <c r="E650" s="82" t="str">
        <f>Data!B649</f>
        <v>6010</v>
      </c>
      <c r="F650" s="44" t="str">
        <f>Data!A649</f>
        <v xml:space="preserve">Al Salihi, Suhad </v>
      </c>
      <c r="G650" s="55" t="str">
        <f>Data!C649</f>
        <v>12/17/1967</v>
      </c>
      <c r="H650" s="56">
        <f>Data!H649</f>
        <v>44235</v>
      </c>
      <c r="I650" s="56" t="str">
        <f>Data!I649</f>
        <v>2/9/2021</v>
      </c>
      <c r="J650" s="57">
        <f>Data!J649</f>
        <v>376.4</v>
      </c>
      <c r="K650" s="58">
        <f t="shared" ca="1" si="11"/>
        <v>464</v>
      </c>
      <c r="L650" s="58">
        <f>Data!M649</f>
        <v>0</v>
      </c>
      <c r="M650" s="37" t="s">
        <v>26</v>
      </c>
      <c r="N650" s="43" t="str">
        <f>VLOOKUP(M650,Table1[#All],3,FALSE)</f>
        <v>Note</v>
      </c>
      <c r="O650" s="40" t="str">
        <f>VLOOKUP(M650,Table1[#All],4,FALSE)</f>
        <v>Q1</v>
      </c>
      <c r="P650" s="39"/>
      <c r="Q650" s="40" t="str">
        <f>VLOOKUP(M650,Table1[#All],5,FALSE)</f>
        <v>Q2</v>
      </c>
      <c r="R650" s="79"/>
      <c r="S650" s="40" t="str">
        <f>VLOOKUP(M650,Table1[#All],6,FALSE)</f>
        <v>Q3</v>
      </c>
      <c r="T650" s="79"/>
      <c r="U650" s="40" t="str">
        <f>VLOOKUP(M650,Table1[#All],7,FALSE)</f>
        <v>Q4</v>
      </c>
      <c r="V650" s="79"/>
      <c r="W650" s="40" t="str">
        <f>VLOOKUP(M650,Table1[#All],8,FALSE)</f>
        <v>Q5</v>
      </c>
      <c r="X650" s="79"/>
      <c r="Y650" s="44" t="str">
        <f>VLOOKUP(M650,Table1[#All],2,FALSE)</f>
        <v>Action</v>
      </c>
      <c r="Z650" s="59" t="str">
        <f>VLOOKUP(M650,Table1[#All],9,FALSE)</f>
        <v>Additional Notes:</v>
      </c>
      <c r="AA650" s="76"/>
      <c r="AB650" s="76"/>
      <c r="AC650" s="90" t="s">
        <v>91</v>
      </c>
      <c r="AD650" s="76" t="s">
        <v>91</v>
      </c>
      <c r="AE650" s="77"/>
      <c r="AF650" s="77"/>
      <c r="AG650" s="41" t="s">
        <v>91</v>
      </c>
    </row>
    <row r="651" spans="1:33" ht="21" hidden="1" x14ac:dyDescent="0.55000000000000004">
      <c r="A651" s="44" t="str">
        <f>Data!K650</f>
        <v>DPOW-CCHP</v>
      </c>
      <c r="B651" s="44" t="str">
        <f>Data!L650</f>
        <v>4143899880</v>
      </c>
      <c r="C651" s="44" t="str">
        <f>Data!D650</f>
        <v>Abdi, Faiza</v>
      </c>
      <c r="D651" s="82" t="str">
        <f>Data!F650</f>
        <v>0443923906</v>
      </c>
      <c r="E651" s="82" t="str">
        <f>Data!B650</f>
        <v>5848</v>
      </c>
      <c r="F651" s="44" t="str">
        <f>Data!A650</f>
        <v>Abdi, Faiza</v>
      </c>
      <c r="G651" s="55" t="str">
        <f>Data!C650</f>
        <v>1/1/1984</v>
      </c>
      <c r="H651" s="56">
        <f>Data!H650</f>
        <v>44231</v>
      </c>
      <c r="I651" s="56" t="str">
        <f>Data!I650</f>
        <v>2/4/2021</v>
      </c>
      <c r="J651" s="57">
        <f>Data!J650</f>
        <v>82.8</v>
      </c>
      <c r="K651" s="58">
        <f t="shared" ca="1" si="11"/>
        <v>469</v>
      </c>
      <c r="L651" s="58">
        <f>Data!M650</f>
        <v>0</v>
      </c>
      <c r="M651" s="37" t="s">
        <v>26</v>
      </c>
      <c r="N651" s="43" t="str">
        <f>VLOOKUP(M651,Table1[#All],3,FALSE)</f>
        <v>Note</v>
      </c>
      <c r="O651" s="40" t="str">
        <f>VLOOKUP(M651,Table1[#All],4,FALSE)</f>
        <v>Q1</v>
      </c>
      <c r="P651" s="39"/>
      <c r="Q651" s="40" t="str">
        <f>VLOOKUP(M651,Table1[#All],5,FALSE)</f>
        <v>Q2</v>
      </c>
      <c r="R651" s="79"/>
      <c r="S651" s="40" t="str">
        <f>VLOOKUP(M651,Table1[#All],6,FALSE)</f>
        <v>Q3</v>
      </c>
      <c r="T651" s="79"/>
      <c r="U651" s="40" t="str">
        <f>VLOOKUP(M651,Table1[#All],7,FALSE)</f>
        <v>Q4</v>
      </c>
      <c r="V651" s="79"/>
      <c r="W651" s="40" t="str">
        <f>VLOOKUP(M651,Table1[#All],8,FALSE)</f>
        <v>Q5</v>
      </c>
      <c r="X651" s="79"/>
      <c r="Y651" s="44" t="str">
        <f>VLOOKUP(M651,Table1[#All],2,FALSE)</f>
        <v>Action</v>
      </c>
      <c r="Z651" s="59" t="str">
        <f>VLOOKUP(M651,Table1[#All],9,FALSE)</f>
        <v>Additional Notes:</v>
      </c>
      <c r="AA651" s="76"/>
      <c r="AB651" s="76"/>
      <c r="AC651" s="90" t="s">
        <v>91</v>
      </c>
      <c r="AD651" s="76" t="s">
        <v>91</v>
      </c>
      <c r="AE651" s="77"/>
      <c r="AF651" s="77"/>
      <c r="AG651" s="41" t="s">
        <v>91</v>
      </c>
    </row>
    <row r="652" spans="1:33" ht="21" hidden="1" x14ac:dyDescent="0.55000000000000004">
      <c r="A652" s="44" t="str">
        <f>Data!K651</f>
        <v>DPOW-CCHP</v>
      </c>
      <c r="B652" s="44" t="str">
        <f>Data!L651</f>
        <v>4143899880</v>
      </c>
      <c r="C652" s="44" t="str">
        <f>Data!D651</f>
        <v>Augustus, Tahjaie</v>
      </c>
      <c r="D652" s="82" t="str">
        <f>Data!F651</f>
        <v>7419875375</v>
      </c>
      <c r="E652" s="82" t="str">
        <f>Data!B651</f>
        <v>1627</v>
      </c>
      <c r="F652" s="44" t="str">
        <f>Data!A651</f>
        <v>Augustus, Tahjaie</v>
      </c>
      <c r="G652" s="55" t="str">
        <f>Data!C651</f>
        <v>4/2/1998</v>
      </c>
      <c r="H652" s="56">
        <f>Data!H651</f>
        <v>44228</v>
      </c>
      <c r="I652" s="56" t="str">
        <f>Data!I651</f>
        <v>2/2/2021</v>
      </c>
      <c r="J652" s="57">
        <f>Data!J651</f>
        <v>612</v>
      </c>
      <c r="K652" s="58">
        <f t="shared" ca="1" si="11"/>
        <v>471</v>
      </c>
      <c r="L652" s="58">
        <f>Data!M651</f>
        <v>0</v>
      </c>
      <c r="M652" s="37" t="s">
        <v>26</v>
      </c>
      <c r="N652" s="43" t="str">
        <f>VLOOKUP(M652,Table1[#All],3,FALSE)</f>
        <v>Note</v>
      </c>
      <c r="O652" s="40" t="str">
        <f>VLOOKUP(M652,Table1[#All],4,FALSE)</f>
        <v>Q1</v>
      </c>
      <c r="P652" s="39"/>
      <c r="Q652" s="40" t="str">
        <f>VLOOKUP(M652,Table1[#All],5,FALSE)</f>
        <v>Q2</v>
      </c>
      <c r="R652" s="79"/>
      <c r="S652" s="40" t="str">
        <f>VLOOKUP(M652,Table1[#All],6,FALSE)</f>
        <v>Q3</v>
      </c>
      <c r="T652" s="79"/>
      <c r="U652" s="40" t="str">
        <f>VLOOKUP(M652,Table1[#All],7,FALSE)</f>
        <v>Q4</v>
      </c>
      <c r="V652" s="79"/>
      <c r="W652" s="40" t="str">
        <f>VLOOKUP(M652,Table1[#All],8,FALSE)</f>
        <v>Q5</v>
      </c>
      <c r="X652" s="79"/>
      <c r="Y652" s="44" t="str">
        <f>VLOOKUP(M652,Table1[#All],2,FALSE)</f>
        <v>Action</v>
      </c>
      <c r="Z652" s="59" t="str">
        <f>VLOOKUP(M652,Table1[#All],9,FALSE)</f>
        <v>Additional Notes:</v>
      </c>
      <c r="AA652" s="76"/>
      <c r="AB652" s="76"/>
      <c r="AC652" s="90" t="s">
        <v>91</v>
      </c>
      <c r="AD652" s="76" t="s">
        <v>91</v>
      </c>
      <c r="AE652" s="77"/>
      <c r="AF652" s="77"/>
      <c r="AG652" s="41" t="s">
        <v>91</v>
      </c>
    </row>
    <row r="653" spans="1:33" ht="21" hidden="1" x14ac:dyDescent="0.55000000000000004">
      <c r="A653" s="44" t="str">
        <f>Data!K652</f>
        <v>DPOW-CCHP</v>
      </c>
      <c r="B653" s="44" t="str">
        <f>Data!L652</f>
        <v>4143899880</v>
      </c>
      <c r="C653" s="44" t="str">
        <f>Data!D652</f>
        <v xml:space="preserve">Abrego Melendre, Adriana </v>
      </c>
      <c r="D653" s="82" t="str">
        <f>Data!F652</f>
        <v>0422297208</v>
      </c>
      <c r="E653" s="82" t="str">
        <f>Data!B652</f>
        <v>6146</v>
      </c>
      <c r="F653" s="44" t="str">
        <f>Data!A652</f>
        <v xml:space="preserve">Abrego Melendre, Adriana </v>
      </c>
      <c r="G653" s="55" t="str">
        <f>Data!C652</f>
        <v>12/30/1998</v>
      </c>
      <c r="H653" s="56">
        <f>Data!H652</f>
        <v>44225</v>
      </c>
      <c r="I653" s="56" t="str">
        <f>Data!I652</f>
        <v>2/1/2021</v>
      </c>
      <c r="J653" s="57">
        <f>Data!J652</f>
        <v>302.39999999999998</v>
      </c>
      <c r="K653" s="58">
        <f t="shared" ca="1" si="11"/>
        <v>472</v>
      </c>
      <c r="L653" s="58">
        <f>Data!M652</f>
        <v>0</v>
      </c>
      <c r="M653" s="37" t="s">
        <v>26</v>
      </c>
      <c r="N653" s="43" t="str">
        <f>VLOOKUP(M653,Table1[#All],3,FALSE)</f>
        <v>Note</v>
      </c>
      <c r="O653" s="40" t="str">
        <f>VLOOKUP(M653,Table1[#All],4,FALSE)</f>
        <v>Q1</v>
      </c>
      <c r="P653" s="39"/>
      <c r="Q653" s="40" t="str">
        <f>VLOOKUP(M653,Table1[#All],5,FALSE)</f>
        <v>Q2</v>
      </c>
      <c r="R653" s="79"/>
      <c r="S653" s="40" t="str">
        <f>VLOOKUP(M653,Table1[#All],6,FALSE)</f>
        <v>Q3</v>
      </c>
      <c r="T653" s="79"/>
      <c r="U653" s="40" t="str">
        <f>VLOOKUP(M653,Table1[#All],7,FALSE)</f>
        <v>Q4</v>
      </c>
      <c r="V653" s="79"/>
      <c r="W653" s="40" t="str">
        <f>VLOOKUP(M653,Table1[#All],8,FALSE)</f>
        <v>Q5</v>
      </c>
      <c r="X653" s="79"/>
      <c r="Y653" s="44" t="str">
        <f>VLOOKUP(M653,Table1[#All],2,FALSE)</f>
        <v>Action</v>
      </c>
      <c r="Z653" s="59" t="str">
        <f>VLOOKUP(M653,Table1[#All],9,FALSE)</f>
        <v>Additional Notes:</v>
      </c>
      <c r="AA653" s="76"/>
      <c r="AB653" s="76"/>
      <c r="AC653" s="90" t="s">
        <v>91</v>
      </c>
      <c r="AD653" s="76" t="s">
        <v>91</v>
      </c>
      <c r="AE653" s="77"/>
      <c r="AF653" s="77"/>
      <c r="AG653" s="41" t="s">
        <v>91</v>
      </c>
    </row>
    <row r="654" spans="1:33" ht="21" hidden="1" x14ac:dyDescent="0.55000000000000004">
      <c r="A654" s="44" t="str">
        <f>Data!K653</f>
        <v>DPOW-CCHP</v>
      </c>
      <c r="B654" s="44" t="str">
        <f>Data!L653</f>
        <v>4143899880</v>
      </c>
      <c r="C654" s="44" t="str">
        <f>Data!D653</f>
        <v xml:space="preserve">Elder , Brooks </v>
      </c>
      <c r="D654" s="82" t="str">
        <f>Data!F653</f>
        <v>2444407822</v>
      </c>
      <c r="E654" s="82" t="str">
        <f>Data!B653</f>
        <v>6007</v>
      </c>
      <c r="F654" s="44" t="str">
        <f>Data!A653</f>
        <v xml:space="preserve">Elder , Brooks </v>
      </c>
      <c r="G654" s="55" t="str">
        <f>Data!C653</f>
        <v>8/15/2012</v>
      </c>
      <c r="H654" s="56">
        <f>Data!H653</f>
        <v>44216</v>
      </c>
      <c r="I654" s="56" t="str">
        <f>Data!I653</f>
        <v>1/26/2021</v>
      </c>
      <c r="J654" s="57">
        <f>Data!J653</f>
        <v>532</v>
      </c>
      <c r="K654" s="58">
        <f t="shared" ca="1" si="11"/>
        <v>478</v>
      </c>
      <c r="L654" s="58">
        <f>Data!M653</f>
        <v>0</v>
      </c>
      <c r="M654" s="37" t="s">
        <v>26</v>
      </c>
      <c r="N654" s="43" t="str">
        <f>VLOOKUP(M654,Table1[#All],3,FALSE)</f>
        <v>Note</v>
      </c>
      <c r="O654" s="40" t="str">
        <f>VLOOKUP(M654,Table1[#All],4,FALSE)</f>
        <v>Q1</v>
      </c>
      <c r="P654" s="39"/>
      <c r="Q654" s="40" t="str">
        <f>VLOOKUP(M654,Table1[#All],5,FALSE)</f>
        <v>Q2</v>
      </c>
      <c r="R654" s="79"/>
      <c r="S654" s="40" t="str">
        <f>VLOOKUP(M654,Table1[#All],6,FALSE)</f>
        <v>Q3</v>
      </c>
      <c r="T654" s="79"/>
      <c r="U654" s="40" t="str">
        <f>VLOOKUP(M654,Table1[#All],7,FALSE)</f>
        <v>Q4</v>
      </c>
      <c r="V654" s="79"/>
      <c r="W654" s="40" t="str">
        <f>VLOOKUP(M654,Table1[#All],8,FALSE)</f>
        <v>Q5</v>
      </c>
      <c r="X654" s="79"/>
      <c r="Y654" s="44" t="str">
        <f>VLOOKUP(M654,Table1[#All],2,FALSE)</f>
        <v>Action</v>
      </c>
      <c r="Z654" s="59" t="str">
        <f>VLOOKUP(M654,Table1[#All],9,FALSE)</f>
        <v>Additional Notes:</v>
      </c>
      <c r="AA654" s="76"/>
      <c r="AB654" s="76"/>
      <c r="AC654" s="90" t="s">
        <v>91</v>
      </c>
      <c r="AD654" s="76" t="s">
        <v>91</v>
      </c>
      <c r="AE654" s="77"/>
      <c r="AF654" s="77"/>
      <c r="AG654" s="41" t="s">
        <v>91</v>
      </c>
    </row>
    <row r="655" spans="1:33" ht="21" hidden="1" x14ac:dyDescent="0.55000000000000004">
      <c r="A655" s="44" t="str">
        <f>Data!K654</f>
        <v>DPOW-CCHP</v>
      </c>
      <c r="B655" s="44" t="str">
        <f>Data!L654</f>
        <v>4143899880</v>
      </c>
      <c r="C655" s="44" t="str">
        <f>Data!D654</f>
        <v>Gonzalez, Sophia</v>
      </c>
      <c r="D655" s="82" t="str">
        <f>Data!F654</f>
        <v>2440784729</v>
      </c>
      <c r="E655" s="82" t="str">
        <f>Data!B654</f>
        <v>1188</v>
      </c>
      <c r="F655" s="44" t="str">
        <f>Data!A654</f>
        <v>Gonzalez, Sophia</v>
      </c>
      <c r="G655" s="55" t="str">
        <f>Data!C654</f>
        <v>7/19/2011</v>
      </c>
      <c r="H655" s="56">
        <f>Data!H654</f>
        <v>44208</v>
      </c>
      <c r="I655" s="56" t="str">
        <f>Data!I654</f>
        <v>1/13/2021</v>
      </c>
      <c r="J655" s="57">
        <f>Data!J654</f>
        <v>403.2</v>
      </c>
      <c r="K655" s="58">
        <f t="shared" ca="1" si="11"/>
        <v>491</v>
      </c>
      <c r="L655" s="58">
        <f>Data!M654</f>
        <v>0</v>
      </c>
      <c r="M655" s="37" t="s">
        <v>26</v>
      </c>
      <c r="N655" s="43" t="str">
        <f>VLOOKUP(M655,Table1[#All],3,FALSE)</f>
        <v>Note</v>
      </c>
      <c r="O655" s="40" t="str">
        <f>VLOOKUP(M655,Table1[#All],4,FALSE)</f>
        <v>Q1</v>
      </c>
      <c r="P655" s="39"/>
      <c r="Q655" s="40" t="str">
        <f>VLOOKUP(M655,Table1[#All],5,FALSE)</f>
        <v>Q2</v>
      </c>
      <c r="R655" s="79"/>
      <c r="S655" s="40" t="str">
        <f>VLOOKUP(M655,Table1[#All],6,FALSE)</f>
        <v>Q3</v>
      </c>
      <c r="T655" s="79"/>
      <c r="U655" s="40" t="str">
        <f>VLOOKUP(M655,Table1[#All],7,FALSE)</f>
        <v>Q4</v>
      </c>
      <c r="V655" s="79"/>
      <c r="W655" s="40" t="str">
        <f>VLOOKUP(M655,Table1[#All],8,FALSE)</f>
        <v>Q5</v>
      </c>
      <c r="X655" s="79"/>
      <c r="Y655" s="44" t="str">
        <f>VLOOKUP(M655,Table1[#All],2,FALSE)</f>
        <v>Action</v>
      </c>
      <c r="Z655" s="59" t="str">
        <f>VLOOKUP(M655,Table1[#All],9,FALSE)</f>
        <v>Additional Notes:</v>
      </c>
      <c r="AA655" s="76"/>
      <c r="AB655" s="76"/>
      <c r="AC655" s="90" t="s">
        <v>91</v>
      </c>
      <c r="AD655" s="76" t="s">
        <v>91</v>
      </c>
      <c r="AE655" s="77"/>
      <c r="AF655" s="77"/>
      <c r="AG655" s="41" t="s">
        <v>91</v>
      </c>
    </row>
    <row r="656" spans="1:33" ht="21" hidden="1" x14ac:dyDescent="0.55000000000000004">
      <c r="A656" s="44" t="str">
        <f>Data!K655</f>
        <v>DPOW-CCHP</v>
      </c>
      <c r="B656" s="44" t="str">
        <f>Data!L655</f>
        <v>4143899880</v>
      </c>
      <c r="C656" s="44" t="str">
        <f>Data!D655</f>
        <v>ORTEGA TREJO, ALVARO</v>
      </c>
      <c r="D656" s="82" t="str">
        <f>Data!F655</f>
        <v>5443503359</v>
      </c>
      <c r="E656" s="82" t="str">
        <f>Data!B655</f>
        <v>3477</v>
      </c>
      <c r="F656" s="44" t="str">
        <f>Data!A655</f>
        <v>ORTEGA TREJO, ALVARO</v>
      </c>
      <c r="G656" s="55" t="str">
        <f>Data!C655</f>
        <v>1/19/2013</v>
      </c>
      <c r="H656" s="56">
        <f>Data!H655</f>
        <v>43839</v>
      </c>
      <c r="I656" s="56" t="str">
        <f>Data!I655</f>
        <v>1/11/2021</v>
      </c>
      <c r="J656" s="57">
        <f>Data!J655</f>
        <v>216</v>
      </c>
      <c r="K656" s="58">
        <f t="shared" ca="1" si="11"/>
        <v>493</v>
      </c>
      <c r="L656" s="58">
        <f>Data!M655</f>
        <v>0</v>
      </c>
      <c r="M656" s="37" t="s">
        <v>26</v>
      </c>
      <c r="N656" s="43" t="str">
        <f>VLOOKUP(M656,Table1[#All],3,FALSE)</f>
        <v>Note</v>
      </c>
      <c r="O656" s="40" t="str">
        <f>VLOOKUP(M656,Table1[#All],4,FALSE)</f>
        <v>Q1</v>
      </c>
      <c r="P656" s="39"/>
      <c r="Q656" s="40" t="str">
        <f>VLOOKUP(M656,Table1[#All],5,FALSE)</f>
        <v>Q2</v>
      </c>
      <c r="R656" s="79"/>
      <c r="S656" s="40" t="str">
        <f>VLOOKUP(M656,Table1[#All],6,FALSE)</f>
        <v>Q3</v>
      </c>
      <c r="T656" s="79"/>
      <c r="U656" s="40" t="str">
        <f>VLOOKUP(M656,Table1[#All],7,FALSE)</f>
        <v>Q4</v>
      </c>
      <c r="V656" s="79"/>
      <c r="W656" s="40" t="str">
        <f>VLOOKUP(M656,Table1[#All],8,FALSE)</f>
        <v>Q5</v>
      </c>
      <c r="X656" s="79"/>
      <c r="Y656" s="44" t="str">
        <f>VLOOKUP(M656,Table1[#All],2,FALSE)</f>
        <v>Action</v>
      </c>
      <c r="Z656" s="59" t="str">
        <f>VLOOKUP(M656,Table1[#All],9,FALSE)</f>
        <v>Additional Notes:</v>
      </c>
      <c r="AA656" s="76"/>
      <c r="AB656" s="76"/>
      <c r="AC656" s="90" t="s">
        <v>91</v>
      </c>
      <c r="AD656" s="76" t="s">
        <v>91</v>
      </c>
      <c r="AE656" s="77"/>
      <c r="AF656" s="77"/>
      <c r="AG656" s="41" t="s">
        <v>91</v>
      </c>
    </row>
    <row r="657" spans="1:33" ht="21" hidden="1" x14ac:dyDescent="0.55000000000000004">
      <c r="A657" s="44" t="str">
        <f>Data!K656</f>
        <v>DPOW-CCHP</v>
      </c>
      <c r="B657" s="44" t="str">
        <f>Data!L656</f>
        <v>4143899880</v>
      </c>
      <c r="C657" s="44" t="str">
        <f>Data!D656</f>
        <v>Galaviz Rueda, Ximena</v>
      </c>
      <c r="D657" s="82" t="str">
        <f>Data!F656</f>
        <v>8454168982</v>
      </c>
      <c r="E657" s="82" t="str">
        <f>Data!B656</f>
        <v>4414</v>
      </c>
      <c r="F657" s="44" t="str">
        <f>Data!A656</f>
        <v>Galaviz Rueda, Ximena</v>
      </c>
      <c r="G657" s="55" t="str">
        <f>Data!C656</f>
        <v>12/27/2018</v>
      </c>
      <c r="H657" s="56">
        <f>Data!H656</f>
        <v>44200</v>
      </c>
      <c r="I657" s="56" t="str">
        <f>Data!I656</f>
        <v>1/11/2021</v>
      </c>
      <c r="J657" s="57">
        <f>Data!J656</f>
        <v>102</v>
      </c>
      <c r="K657" s="58">
        <f t="shared" ca="1" si="11"/>
        <v>493</v>
      </c>
      <c r="L657" s="58">
        <f>Data!M656</f>
        <v>0</v>
      </c>
      <c r="M657" s="37" t="s">
        <v>26</v>
      </c>
      <c r="N657" s="43" t="str">
        <f>VLOOKUP(M657,Table1[#All],3,FALSE)</f>
        <v>Note</v>
      </c>
      <c r="O657" s="40" t="str">
        <f>VLOOKUP(M657,Table1[#All],4,FALSE)</f>
        <v>Q1</v>
      </c>
      <c r="P657" s="39"/>
      <c r="Q657" s="40" t="str">
        <f>VLOOKUP(M657,Table1[#All],5,FALSE)</f>
        <v>Q2</v>
      </c>
      <c r="R657" s="79"/>
      <c r="S657" s="40" t="str">
        <f>VLOOKUP(M657,Table1[#All],6,FALSE)</f>
        <v>Q3</v>
      </c>
      <c r="T657" s="79"/>
      <c r="U657" s="40" t="str">
        <f>VLOOKUP(M657,Table1[#All],7,FALSE)</f>
        <v>Q4</v>
      </c>
      <c r="V657" s="79"/>
      <c r="W657" s="40" t="str">
        <f>VLOOKUP(M657,Table1[#All],8,FALSE)</f>
        <v>Q5</v>
      </c>
      <c r="X657" s="79"/>
      <c r="Y657" s="44" t="str">
        <f>VLOOKUP(M657,Table1[#All],2,FALSE)</f>
        <v>Action</v>
      </c>
      <c r="Z657" s="59" t="str">
        <f>VLOOKUP(M657,Table1[#All],9,FALSE)</f>
        <v>Additional Notes:</v>
      </c>
      <c r="AA657" s="76"/>
      <c r="AB657" s="76"/>
      <c r="AC657" s="90" t="s">
        <v>91</v>
      </c>
      <c r="AD657" s="76" t="s">
        <v>91</v>
      </c>
      <c r="AE657" s="77"/>
      <c r="AF657" s="77"/>
      <c r="AG657" s="41" t="s">
        <v>91</v>
      </c>
    </row>
    <row r="658" spans="1:33" ht="21" hidden="1" x14ac:dyDescent="0.55000000000000004">
      <c r="A658" s="44" t="str">
        <f>Data!K657</f>
        <v>DPOW-CCHP</v>
      </c>
      <c r="B658" s="44" t="str">
        <f>Data!L657</f>
        <v>4143899880</v>
      </c>
      <c r="C658" s="44" t="str">
        <f>Data!D657</f>
        <v xml:space="preserve">Knilans , Joseph </v>
      </c>
      <c r="D658" s="82" t="str">
        <f>Data!F657</f>
        <v>9426900292</v>
      </c>
      <c r="E658" s="82" t="str">
        <f>Data!B657</f>
        <v>4500</v>
      </c>
      <c r="F658" s="44" t="str">
        <f>Data!A657</f>
        <v xml:space="preserve">Knilans , Joseph </v>
      </c>
      <c r="G658" s="55" t="str">
        <f>Data!C657</f>
        <v>7/11/1970</v>
      </c>
      <c r="H658" s="56">
        <f>Data!H657</f>
        <v>44196</v>
      </c>
      <c r="I658" s="56" t="str">
        <f>Data!I657</f>
        <v>12/31/2020</v>
      </c>
      <c r="J658" s="57">
        <f>Data!J657</f>
        <v>2313.6</v>
      </c>
      <c r="K658" s="58">
        <f t="shared" ca="1" si="11"/>
        <v>504</v>
      </c>
      <c r="L658" s="58">
        <f>Data!M657</f>
        <v>0</v>
      </c>
      <c r="M658" s="37" t="s">
        <v>26</v>
      </c>
      <c r="N658" s="43" t="str">
        <f>VLOOKUP(M658,Table1[#All],3,FALSE)</f>
        <v>Note</v>
      </c>
      <c r="O658" s="40" t="str">
        <f>VLOOKUP(M658,Table1[#All],4,FALSE)</f>
        <v>Q1</v>
      </c>
      <c r="P658" s="39"/>
      <c r="Q658" s="40" t="str">
        <f>VLOOKUP(M658,Table1[#All],5,FALSE)</f>
        <v>Q2</v>
      </c>
      <c r="R658" s="79"/>
      <c r="S658" s="40" t="str">
        <f>VLOOKUP(M658,Table1[#All],6,FALSE)</f>
        <v>Q3</v>
      </c>
      <c r="T658" s="79"/>
      <c r="U658" s="40" t="str">
        <f>VLOOKUP(M658,Table1[#All],7,FALSE)</f>
        <v>Q4</v>
      </c>
      <c r="V658" s="79"/>
      <c r="W658" s="40" t="str">
        <f>VLOOKUP(M658,Table1[#All],8,FALSE)</f>
        <v>Q5</v>
      </c>
      <c r="X658" s="79"/>
      <c r="Y658" s="44" t="str">
        <f>VLOOKUP(M658,Table1[#All],2,FALSE)</f>
        <v>Action</v>
      </c>
      <c r="Z658" s="59" t="str">
        <f>VLOOKUP(M658,Table1[#All],9,FALSE)</f>
        <v>Additional Notes:</v>
      </c>
      <c r="AA658" s="76"/>
      <c r="AB658" s="76"/>
      <c r="AC658" s="90" t="s">
        <v>91</v>
      </c>
      <c r="AD658" s="76" t="s">
        <v>91</v>
      </c>
      <c r="AE658" s="77"/>
      <c r="AF658" s="77"/>
      <c r="AG658" s="41" t="s">
        <v>91</v>
      </c>
    </row>
    <row r="659" spans="1:33" ht="21" hidden="1" x14ac:dyDescent="0.55000000000000004">
      <c r="A659" s="44" t="str">
        <f>Data!K658</f>
        <v>DPOW-CCHP</v>
      </c>
      <c r="B659" s="44" t="str">
        <f>Data!L658</f>
        <v>4143899880</v>
      </c>
      <c r="C659" s="44" t="str">
        <f>Data!D658</f>
        <v>Fattah, Nizar</v>
      </c>
      <c r="D659" s="82" t="str">
        <f>Data!F658</f>
        <v>3442334136</v>
      </c>
      <c r="E659" s="82" t="str">
        <f>Data!B658</f>
        <v>2028</v>
      </c>
      <c r="F659" s="44" t="str">
        <f>Data!A658</f>
        <v>Fattah, Nizar</v>
      </c>
      <c r="G659" s="55" t="str">
        <f>Data!C658</f>
        <v>3/5/1970</v>
      </c>
      <c r="H659" s="56">
        <f>Data!H658</f>
        <v>44195</v>
      </c>
      <c r="I659" s="56" t="str">
        <f>Data!I658</f>
        <v>12/30/2020</v>
      </c>
      <c r="J659" s="57">
        <f>Data!J658</f>
        <v>1062</v>
      </c>
      <c r="K659" s="58">
        <f t="shared" ca="1" si="11"/>
        <v>505</v>
      </c>
      <c r="L659" s="58">
        <f>Data!M658</f>
        <v>0</v>
      </c>
      <c r="M659" s="37" t="s">
        <v>26</v>
      </c>
      <c r="N659" s="43" t="str">
        <f>VLOOKUP(M659,Table1[#All],3,FALSE)</f>
        <v>Note</v>
      </c>
      <c r="O659" s="40" t="str">
        <f>VLOOKUP(M659,Table1[#All],4,FALSE)</f>
        <v>Q1</v>
      </c>
      <c r="P659" s="39"/>
      <c r="Q659" s="40" t="str">
        <f>VLOOKUP(M659,Table1[#All],5,FALSE)</f>
        <v>Q2</v>
      </c>
      <c r="R659" s="79"/>
      <c r="S659" s="40" t="str">
        <f>VLOOKUP(M659,Table1[#All],6,FALSE)</f>
        <v>Q3</v>
      </c>
      <c r="T659" s="79"/>
      <c r="U659" s="40" t="str">
        <f>VLOOKUP(M659,Table1[#All],7,FALSE)</f>
        <v>Q4</v>
      </c>
      <c r="V659" s="79"/>
      <c r="W659" s="40" t="str">
        <f>VLOOKUP(M659,Table1[#All],8,FALSE)</f>
        <v>Q5</v>
      </c>
      <c r="X659" s="79"/>
      <c r="Y659" s="44" t="str">
        <f>VLOOKUP(M659,Table1[#All],2,FALSE)</f>
        <v>Action</v>
      </c>
      <c r="Z659" s="59" t="str">
        <f>VLOOKUP(M659,Table1[#All],9,FALSE)</f>
        <v>Additional Notes:</v>
      </c>
      <c r="AA659" s="76"/>
      <c r="AB659" s="76"/>
      <c r="AC659" s="90" t="s">
        <v>91</v>
      </c>
      <c r="AD659" s="76" t="s">
        <v>91</v>
      </c>
      <c r="AE659" s="77"/>
      <c r="AF659" s="77"/>
      <c r="AG659" s="41" t="s">
        <v>91</v>
      </c>
    </row>
    <row r="660" spans="1:33" ht="21" hidden="1" x14ac:dyDescent="0.55000000000000004">
      <c r="A660" s="44" t="str">
        <f>Data!K659</f>
        <v>DPOW-CCHP</v>
      </c>
      <c r="B660" s="44" t="str">
        <f>Data!L659</f>
        <v>4143899880</v>
      </c>
      <c r="C660" s="44" t="str">
        <f>Data!D659</f>
        <v>Pilot, Heather</v>
      </c>
      <c r="D660" s="82" t="str">
        <f>Data!F659</f>
        <v>2427077623</v>
      </c>
      <c r="E660" s="82" t="str">
        <f>Data!B659</f>
        <v>1992</v>
      </c>
      <c r="F660" s="44" t="str">
        <f>Data!A659</f>
        <v>Pilot, Heather</v>
      </c>
      <c r="G660" s="55" t="str">
        <f>Data!C659</f>
        <v>5/27/1994</v>
      </c>
      <c r="H660" s="56">
        <f>Data!H659</f>
        <v>44194</v>
      </c>
      <c r="I660" s="56" t="str">
        <f>Data!I659</f>
        <v>12/30/2020</v>
      </c>
      <c r="J660" s="57">
        <f>Data!J659</f>
        <v>379.2</v>
      </c>
      <c r="K660" s="58">
        <f t="shared" ca="1" si="11"/>
        <v>505</v>
      </c>
      <c r="L660" s="58">
        <f>Data!M659</f>
        <v>0</v>
      </c>
      <c r="M660" s="37" t="s">
        <v>26</v>
      </c>
      <c r="N660" s="43" t="str">
        <f>VLOOKUP(M660,Table1[#All],3,FALSE)</f>
        <v>Note</v>
      </c>
      <c r="O660" s="40" t="str">
        <f>VLOOKUP(M660,Table1[#All],4,FALSE)</f>
        <v>Q1</v>
      </c>
      <c r="P660" s="39"/>
      <c r="Q660" s="40" t="str">
        <f>VLOOKUP(M660,Table1[#All],5,FALSE)</f>
        <v>Q2</v>
      </c>
      <c r="R660" s="79"/>
      <c r="S660" s="40" t="str">
        <f>VLOOKUP(M660,Table1[#All],6,FALSE)</f>
        <v>Q3</v>
      </c>
      <c r="T660" s="79"/>
      <c r="U660" s="40" t="str">
        <f>VLOOKUP(M660,Table1[#All],7,FALSE)</f>
        <v>Q4</v>
      </c>
      <c r="V660" s="79"/>
      <c r="W660" s="40" t="str">
        <f>VLOOKUP(M660,Table1[#All],8,FALSE)</f>
        <v>Q5</v>
      </c>
      <c r="X660" s="79"/>
      <c r="Y660" s="44" t="str">
        <f>VLOOKUP(M660,Table1[#All],2,FALSE)</f>
        <v>Action</v>
      </c>
      <c r="Z660" s="59" t="str">
        <f>VLOOKUP(M660,Table1[#All],9,FALSE)</f>
        <v>Additional Notes:</v>
      </c>
      <c r="AA660" s="76"/>
      <c r="AB660" s="76"/>
      <c r="AC660" s="90" t="s">
        <v>91</v>
      </c>
      <c r="AD660" s="76" t="s">
        <v>91</v>
      </c>
      <c r="AE660" s="77"/>
      <c r="AF660" s="77"/>
      <c r="AG660" s="41" t="s">
        <v>91</v>
      </c>
    </row>
    <row r="661" spans="1:33" ht="21" hidden="1" x14ac:dyDescent="0.55000000000000004">
      <c r="A661" s="44" t="str">
        <f>Data!K660</f>
        <v>DPOW-CCHP</v>
      </c>
      <c r="B661" s="44" t="str">
        <f>Data!L660</f>
        <v>4143899880</v>
      </c>
      <c r="C661" s="44" t="str">
        <f>Data!D660</f>
        <v xml:space="preserve">De La Torre , Eduardo </v>
      </c>
      <c r="D661" s="82" t="str">
        <f>Data!F660</f>
        <v>7422800071</v>
      </c>
      <c r="E661" s="82" t="str">
        <f>Data!B660</f>
        <v>5201</v>
      </c>
      <c r="F661" s="44" t="str">
        <f>Data!A660</f>
        <v xml:space="preserve">De La Torre , Eduardo </v>
      </c>
      <c r="G661" s="55" t="str">
        <f>Data!C660</f>
        <v>12/19/1986</v>
      </c>
      <c r="H661" s="56">
        <f>Data!H660</f>
        <v>44186</v>
      </c>
      <c r="I661" s="56" t="str">
        <f>Data!I660</f>
        <v>12/23/2020</v>
      </c>
      <c r="J661" s="57">
        <f>Data!J660</f>
        <v>860.4</v>
      </c>
      <c r="K661" s="58">
        <f t="shared" ca="1" si="11"/>
        <v>512</v>
      </c>
      <c r="L661" s="58">
        <f>Data!M660</f>
        <v>0</v>
      </c>
      <c r="M661" s="37" t="s">
        <v>26</v>
      </c>
      <c r="N661" s="43" t="str">
        <f>VLOOKUP(M661,Table1[#All],3,FALSE)</f>
        <v>Note</v>
      </c>
      <c r="O661" s="40" t="str">
        <f>VLOOKUP(M661,Table1[#All],4,FALSE)</f>
        <v>Q1</v>
      </c>
      <c r="P661" s="39"/>
      <c r="Q661" s="40" t="str">
        <f>VLOOKUP(M661,Table1[#All],5,FALSE)</f>
        <v>Q2</v>
      </c>
      <c r="R661" s="79"/>
      <c r="S661" s="40" t="str">
        <f>VLOOKUP(M661,Table1[#All],6,FALSE)</f>
        <v>Q3</v>
      </c>
      <c r="T661" s="79"/>
      <c r="U661" s="40" t="str">
        <f>VLOOKUP(M661,Table1[#All],7,FALSE)</f>
        <v>Q4</v>
      </c>
      <c r="V661" s="79"/>
      <c r="W661" s="40" t="str">
        <f>VLOOKUP(M661,Table1[#All],8,FALSE)</f>
        <v>Q5</v>
      </c>
      <c r="X661" s="79"/>
      <c r="Y661" s="44" t="str">
        <f>VLOOKUP(M661,Table1[#All],2,FALSE)</f>
        <v>Action</v>
      </c>
      <c r="Z661" s="59" t="str">
        <f>VLOOKUP(M661,Table1[#All],9,FALSE)</f>
        <v>Additional Notes:</v>
      </c>
      <c r="AA661" s="76"/>
      <c r="AB661" s="76"/>
      <c r="AC661" s="90" t="s">
        <v>91</v>
      </c>
      <c r="AD661" s="76" t="s">
        <v>91</v>
      </c>
      <c r="AE661" s="77"/>
      <c r="AF661" s="77"/>
      <c r="AG661" s="41" t="s">
        <v>91</v>
      </c>
    </row>
    <row r="662" spans="1:33" ht="21" hidden="1" x14ac:dyDescent="0.55000000000000004">
      <c r="A662" s="44" t="str">
        <f>Data!K661</f>
        <v>DPOW-CCHP</v>
      </c>
      <c r="B662" s="44" t="str">
        <f>Data!L661</f>
        <v>4143899880</v>
      </c>
      <c r="C662" s="44" t="str">
        <f>Data!D661</f>
        <v>Fattah, Nizar</v>
      </c>
      <c r="D662" s="82" t="str">
        <f>Data!F661</f>
        <v>3442334136</v>
      </c>
      <c r="E662" s="82" t="str">
        <f>Data!B661</f>
        <v>2028</v>
      </c>
      <c r="F662" s="44" t="str">
        <f>Data!A661</f>
        <v>Fattah, Nizar</v>
      </c>
      <c r="G662" s="55" t="str">
        <f>Data!C661</f>
        <v>3/5/1970</v>
      </c>
      <c r="H662" s="56">
        <f>Data!H661</f>
        <v>44184</v>
      </c>
      <c r="I662" s="56" t="str">
        <f>Data!I661</f>
        <v>12/21/2020</v>
      </c>
      <c r="J662" s="57">
        <f>Data!J661</f>
        <v>92.4</v>
      </c>
      <c r="K662" s="58">
        <f t="shared" ca="1" si="11"/>
        <v>514</v>
      </c>
      <c r="L662" s="58">
        <f>Data!M661</f>
        <v>0</v>
      </c>
      <c r="M662" s="37" t="s">
        <v>26</v>
      </c>
      <c r="N662" s="43" t="str">
        <f>VLOOKUP(M662,Table1[#All],3,FALSE)</f>
        <v>Note</v>
      </c>
      <c r="O662" s="40" t="str">
        <f>VLOOKUP(M662,Table1[#All],4,FALSE)</f>
        <v>Q1</v>
      </c>
      <c r="P662" s="39"/>
      <c r="Q662" s="40" t="str">
        <f>VLOOKUP(M662,Table1[#All],5,FALSE)</f>
        <v>Q2</v>
      </c>
      <c r="R662" s="79"/>
      <c r="S662" s="40" t="str">
        <f>VLOOKUP(M662,Table1[#All],6,FALSE)</f>
        <v>Q3</v>
      </c>
      <c r="T662" s="79"/>
      <c r="U662" s="40" t="str">
        <f>VLOOKUP(M662,Table1[#All],7,FALSE)</f>
        <v>Q4</v>
      </c>
      <c r="V662" s="79"/>
      <c r="W662" s="40" t="str">
        <f>VLOOKUP(M662,Table1[#All],8,FALSE)</f>
        <v>Q5</v>
      </c>
      <c r="X662" s="79"/>
      <c r="Y662" s="44" t="str">
        <f>VLOOKUP(M662,Table1[#All],2,FALSE)</f>
        <v>Action</v>
      </c>
      <c r="Z662" s="59" t="str">
        <f>VLOOKUP(M662,Table1[#All],9,FALSE)</f>
        <v>Additional Notes:</v>
      </c>
      <c r="AA662" s="76"/>
      <c r="AB662" s="76"/>
      <c r="AC662" s="90" t="s">
        <v>91</v>
      </c>
      <c r="AD662" s="76" t="s">
        <v>91</v>
      </c>
      <c r="AE662" s="77"/>
      <c r="AF662" s="77"/>
      <c r="AG662" s="41" t="s">
        <v>91</v>
      </c>
    </row>
    <row r="663" spans="1:33" ht="21" hidden="1" x14ac:dyDescent="0.55000000000000004">
      <c r="A663" s="44" t="str">
        <f>Data!K662</f>
        <v>DPOW-CCHP</v>
      </c>
      <c r="B663" s="44" t="str">
        <f>Data!L662</f>
        <v>4143899880</v>
      </c>
      <c r="C663" s="44" t="str">
        <f>Data!D662</f>
        <v xml:space="preserve">Evans , Brady </v>
      </c>
      <c r="D663" s="82" t="str">
        <f>Data!F662</f>
        <v>1435920619</v>
      </c>
      <c r="E663" s="82" t="str">
        <f>Data!B662</f>
        <v>5063</v>
      </c>
      <c r="F663" s="44" t="str">
        <f>Data!A662</f>
        <v xml:space="preserve">Evans , Brady </v>
      </c>
      <c r="G663" s="55" t="str">
        <f>Data!C662</f>
        <v>11/25/2003</v>
      </c>
      <c r="H663" s="56">
        <f>Data!H662</f>
        <v>44183</v>
      </c>
      <c r="I663" s="56" t="str">
        <f>Data!I662</f>
        <v>12/21/2020</v>
      </c>
      <c r="J663" s="57">
        <f>Data!J662</f>
        <v>294.8</v>
      </c>
      <c r="K663" s="58">
        <f t="shared" ca="1" si="11"/>
        <v>514</v>
      </c>
      <c r="L663" s="58">
        <f>Data!M662</f>
        <v>0</v>
      </c>
      <c r="M663" s="37" t="s">
        <v>26</v>
      </c>
      <c r="N663" s="43" t="str">
        <f>VLOOKUP(M663,Table1[#All],3,FALSE)</f>
        <v>Note</v>
      </c>
      <c r="O663" s="40" t="str">
        <f>VLOOKUP(M663,Table1[#All],4,FALSE)</f>
        <v>Q1</v>
      </c>
      <c r="P663" s="39"/>
      <c r="Q663" s="40" t="str">
        <f>VLOOKUP(M663,Table1[#All],5,FALSE)</f>
        <v>Q2</v>
      </c>
      <c r="R663" s="79"/>
      <c r="S663" s="40" t="str">
        <f>VLOOKUP(M663,Table1[#All],6,FALSE)</f>
        <v>Q3</v>
      </c>
      <c r="T663" s="79"/>
      <c r="U663" s="40" t="str">
        <f>VLOOKUP(M663,Table1[#All],7,FALSE)</f>
        <v>Q4</v>
      </c>
      <c r="V663" s="79"/>
      <c r="W663" s="40" t="str">
        <f>VLOOKUP(M663,Table1[#All],8,FALSE)</f>
        <v>Q5</v>
      </c>
      <c r="X663" s="79"/>
      <c r="Y663" s="44" t="str">
        <f>VLOOKUP(M663,Table1[#All],2,FALSE)</f>
        <v>Action</v>
      </c>
      <c r="Z663" s="59" t="str">
        <f>VLOOKUP(M663,Table1[#All],9,FALSE)</f>
        <v>Additional Notes:</v>
      </c>
      <c r="AA663" s="76"/>
      <c r="AB663" s="76"/>
      <c r="AC663" s="90" t="s">
        <v>91</v>
      </c>
      <c r="AD663" s="76" t="s">
        <v>91</v>
      </c>
      <c r="AE663" s="77"/>
      <c r="AF663" s="77"/>
      <c r="AG663" s="41" t="s">
        <v>91</v>
      </c>
    </row>
    <row r="664" spans="1:33" ht="21" hidden="1" x14ac:dyDescent="0.55000000000000004">
      <c r="A664" s="44" t="str">
        <f>Data!K663</f>
        <v>DPOW-CCHP</v>
      </c>
      <c r="B664" s="44" t="str">
        <f>Data!L663</f>
        <v>4143899880</v>
      </c>
      <c r="C664" s="44" t="str">
        <f>Data!D663</f>
        <v xml:space="preserve">Rosado , Natalia </v>
      </c>
      <c r="D664" s="82" t="str">
        <f>Data!F663</f>
        <v>3443797130</v>
      </c>
      <c r="E664" s="82" t="str">
        <f>Data!B663</f>
        <v>5175</v>
      </c>
      <c r="F664" s="44" t="str">
        <f>Data!A663</f>
        <v xml:space="preserve">Rosado , Natalia </v>
      </c>
      <c r="G664" s="55" t="str">
        <f>Data!C663</f>
        <v>3/15/2013</v>
      </c>
      <c r="H664" s="56">
        <f>Data!H663</f>
        <v>44179</v>
      </c>
      <c r="I664" s="56" t="str">
        <f>Data!I663</f>
        <v>12/15/2020</v>
      </c>
      <c r="J664" s="57">
        <f>Data!J663</f>
        <v>99.6</v>
      </c>
      <c r="K664" s="58">
        <f t="shared" ca="1" si="11"/>
        <v>520</v>
      </c>
      <c r="L664" s="58">
        <f>Data!M663</f>
        <v>0</v>
      </c>
      <c r="M664" s="37" t="s">
        <v>26</v>
      </c>
      <c r="N664" s="43" t="str">
        <f>VLOOKUP(M664,Table1[#All],3,FALSE)</f>
        <v>Note</v>
      </c>
      <c r="O664" s="40" t="str">
        <f>VLOOKUP(M664,Table1[#All],4,FALSE)</f>
        <v>Q1</v>
      </c>
      <c r="P664" s="39"/>
      <c r="Q664" s="40" t="str">
        <f>VLOOKUP(M664,Table1[#All],5,FALSE)</f>
        <v>Q2</v>
      </c>
      <c r="R664" s="79"/>
      <c r="S664" s="40" t="str">
        <f>VLOOKUP(M664,Table1[#All],6,FALSE)</f>
        <v>Q3</v>
      </c>
      <c r="T664" s="79"/>
      <c r="U664" s="40" t="str">
        <f>VLOOKUP(M664,Table1[#All],7,FALSE)</f>
        <v>Q4</v>
      </c>
      <c r="V664" s="79"/>
      <c r="W664" s="40" t="str">
        <f>VLOOKUP(M664,Table1[#All],8,FALSE)</f>
        <v>Q5</v>
      </c>
      <c r="X664" s="79"/>
      <c r="Y664" s="44" t="str">
        <f>VLOOKUP(M664,Table1[#All],2,FALSE)</f>
        <v>Action</v>
      </c>
      <c r="Z664" s="59" t="str">
        <f>VLOOKUP(M664,Table1[#All],9,FALSE)</f>
        <v>Additional Notes:</v>
      </c>
      <c r="AA664" s="76"/>
      <c r="AB664" s="76"/>
      <c r="AC664" s="90" t="s">
        <v>91</v>
      </c>
      <c r="AD664" s="76" t="s">
        <v>91</v>
      </c>
      <c r="AE664" s="77"/>
      <c r="AF664" s="77"/>
      <c r="AG664" s="41" t="s">
        <v>91</v>
      </c>
    </row>
    <row r="665" spans="1:33" ht="21" hidden="1" x14ac:dyDescent="0.55000000000000004">
      <c r="A665" s="44" t="str">
        <f>Data!K664</f>
        <v>DPOW-CCHP</v>
      </c>
      <c r="B665" s="44" t="str">
        <f>Data!L664</f>
        <v>4143899880</v>
      </c>
      <c r="C665" s="44" t="str">
        <f>Data!D664</f>
        <v>Dolley, Tiffany</v>
      </c>
      <c r="D665" s="82" t="str">
        <f>Data!F664</f>
        <v>2409407722</v>
      </c>
      <c r="E665" s="82" t="str">
        <f>Data!B664</f>
        <v>5819</v>
      </c>
      <c r="F665" s="44" t="str">
        <f>Data!A664</f>
        <v>Dolley, Tiffany</v>
      </c>
      <c r="G665" s="55" t="str">
        <f>Data!C664</f>
        <v>8/24/1979</v>
      </c>
      <c r="H665" s="56">
        <f>Data!H664</f>
        <v>44174</v>
      </c>
      <c r="I665" s="56" t="str">
        <f>Data!I664</f>
        <v>12/14/2020</v>
      </c>
      <c r="J665" s="57">
        <f>Data!J664</f>
        <v>558</v>
      </c>
      <c r="K665" s="58">
        <f t="shared" ca="1" si="11"/>
        <v>521</v>
      </c>
      <c r="L665" s="58">
        <f>Data!M664</f>
        <v>0</v>
      </c>
      <c r="M665" s="37" t="s">
        <v>26</v>
      </c>
      <c r="N665" s="43" t="str">
        <f>VLOOKUP(M665,Table1[#All],3,FALSE)</f>
        <v>Note</v>
      </c>
      <c r="O665" s="40" t="str">
        <f>VLOOKUP(M665,Table1[#All],4,FALSE)</f>
        <v>Q1</v>
      </c>
      <c r="P665" s="39"/>
      <c r="Q665" s="40" t="str">
        <f>VLOOKUP(M665,Table1[#All],5,FALSE)</f>
        <v>Q2</v>
      </c>
      <c r="R665" s="79"/>
      <c r="S665" s="40" t="str">
        <f>VLOOKUP(M665,Table1[#All],6,FALSE)</f>
        <v>Q3</v>
      </c>
      <c r="T665" s="79"/>
      <c r="U665" s="40" t="str">
        <f>VLOOKUP(M665,Table1[#All],7,FALSE)</f>
        <v>Q4</v>
      </c>
      <c r="V665" s="79"/>
      <c r="W665" s="40" t="str">
        <f>VLOOKUP(M665,Table1[#All],8,FALSE)</f>
        <v>Q5</v>
      </c>
      <c r="X665" s="79"/>
      <c r="Y665" s="44" t="str">
        <f>VLOOKUP(M665,Table1[#All],2,FALSE)</f>
        <v>Action</v>
      </c>
      <c r="Z665" s="59" t="str">
        <f>VLOOKUP(M665,Table1[#All],9,FALSE)</f>
        <v>Additional Notes:</v>
      </c>
      <c r="AA665" s="76"/>
      <c r="AB665" s="76"/>
      <c r="AC665" s="90" t="s">
        <v>91</v>
      </c>
      <c r="AD665" s="76" t="s">
        <v>91</v>
      </c>
      <c r="AE665" s="77"/>
      <c r="AF665" s="77"/>
      <c r="AG665" s="41" t="s">
        <v>91</v>
      </c>
    </row>
    <row r="666" spans="1:33" ht="21" hidden="1" x14ac:dyDescent="0.55000000000000004">
      <c r="A666" s="44" t="str">
        <f>Data!K665</f>
        <v>DPOW-CCHP</v>
      </c>
      <c r="B666" s="44" t="str">
        <f>Data!L665</f>
        <v>4143899880</v>
      </c>
      <c r="C666" s="44" t="str">
        <f>Data!D665</f>
        <v>Dolley, Michael</v>
      </c>
      <c r="D666" s="82" t="str">
        <f>Data!F665</f>
        <v>1439159912</v>
      </c>
      <c r="E666" s="82" t="str">
        <f>Data!B665</f>
        <v>5818</v>
      </c>
      <c r="F666" s="44" t="str">
        <f>Data!A665</f>
        <v>Dolley, Michael</v>
      </c>
      <c r="G666" s="55" t="str">
        <f>Data!C665</f>
        <v>8/4/1984</v>
      </c>
      <c r="H666" s="56">
        <f>Data!H665</f>
        <v>44174</v>
      </c>
      <c r="I666" s="56" t="str">
        <f>Data!I665</f>
        <v>12/14/2020</v>
      </c>
      <c r="J666" s="57">
        <f>Data!J665</f>
        <v>378</v>
      </c>
      <c r="K666" s="58">
        <f t="shared" ca="1" si="11"/>
        <v>521</v>
      </c>
      <c r="L666" s="58">
        <f>Data!M665</f>
        <v>0</v>
      </c>
      <c r="M666" s="37" t="s">
        <v>26</v>
      </c>
      <c r="N666" s="43" t="str">
        <f>VLOOKUP(M666,Table1[#All],3,FALSE)</f>
        <v>Note</v>
      </c>
      <c r="O666" s="40" t="str">
        <f>VLOOKUP(M666,Table1[#All],4,FALSE)</f>
        <v>Q1</v>
      </c>
      <c r="P666" s="39"/>
      <c r="Q666" s="40" t="str">
        <f>VLOOKUP(M666,Table1[#All],5,FALSE)</f>
        <v>Q2</v>
      </c>
      <c r="R666" s="79"/>
      <c r="S666" s="40" t="str">
        <f>VLOOKUP(M666,Table1[#All],6,FALSE)</f>
        <v>Q3</v>
      </c>
      <c r="T666" s="79"/>
      <c r="U666" s="40" t="str">
        <f>VLOOKUP(M666,Table1[#All],7,FALSE)</f>
        <v>Q4</v>
      </c>
      <c r="V666" s="79"/>
      <c r="W666" s="40" t="str">
        <f>VLOOKUP(M666,Table1[#All],8,FALSE)</f>
        <v>Q5</v>
      </c>
      <c r="X666" s="79"/>
      <c r="Y666" s="44" t="str">
        <f>VLOOKUP(M666,Table1[#All],2,FALSE)</f>
        <v>Action</v>
      </c>
      <c r="Z666" s="59" t="str">
        <f>VLOOKUP(M666,Table1[#All],9,FALSE)</f>
        <v>Additional Notes:</v>
      </c>
      <c r="AA666" s="76"/>
      <c r="AB666" s="76"/>
      <c r="AC666" s="90" t="s">
        <v>91</v>
      </c>
      <c r="AD666" s="76" t="s">
        <v>91</v>
      </c>
      <c r="AE666" s="77"/>
      <c r="AF666" s="77"/>
      <c r="AG666" s="41" t="s">
        <v>91</v>
      </c>
    </row>
    <row r="667" spans="1:33" ht="21" hidden="1" x14ac:dyDescent="0.55000000000000004">
      <c r="A667" s="44" t="str">
        <f>Data!K666</f>
        <v>DPOW-CCHP</v>
      </c>
      <c r="B667" s="44" t="str">
        <f>Data!L666</f>
        <v>4143899880</v>
      </c>
      <c r="C667" s="44" t="str">
        <f>Data!D666</f>
        <v>Nunez, Jose</v>
      </c>
      <c r="D667" s="82" t="str">
        <f>Data!F666</f>
        <v>3409136339</v>
      </c>
      <c r="E667" s="82" t="str">
        <f>Data!B666</f>
        <v>4841</v>
      </c>
      <c r="F667" s="44" t="str">
        <f>Data!A666</f>
        <v>Nunez, Jose</v>
      </c>
      <c r="G667" s="55" t="str">
        <f>Data!C666</f>
        <v>1/20/1971</v>
      </c>
      <c r="H667" s="56">
        <f>Data!H666</f>
        <v>44170</v>
      </c>
      <c r="I667" s="56" t="str">
        <f>Data!I666</f>
        <v>12/14/2020</v>
      </c>
      <c r="J667" s="57">
        <f>Data!J666</f>
        <v>480</v>
      </c>
      <c r="K667" s="58">
        <f t="shared" ca="1" si="11"/>
        <v>521</v>
      </c>
      <c r="L667" s="58">
        <f>Data!M666</f>
        <v>0</v>
      </c>
      <c r="M667" s="37" t="s">
        <v>26</v>
      </c>
      <c r="N667" s="43" t="str">
        <f>VLOOKUP(M667,Table1[#All],3,FALSE)</f>
        <v>Note</v>
      </c>
      <c r="O667" s="40" t="str">
        <f>VLOOKUP(M667,Table1[#All],4,FALSE)</f>
        <v>Q1</v>
      </c>
      <c r="P667" s="39"/>
      <c r="Q667" s="40" t="str">
        <f>VLOOKUP(M667,Table1[#All],5,FALSE)</f>
        <v>Q2</v>
      </c>
      <c r="R667" s="79"/>
      <c r="S667" s="40" t="str">
        <f>VLOOKUP(M667,Table1[#All],6,FALSE)</f>
        <v>Q3</v>
      </c>
      <c r="T667" s="79"/>
      <c r="U667" s="40" t="str">
        <f>VLOOKUP(M667,Table1[#All],7,FALSE)</f>
        <v>Q4</v>
      </c>
      <c r="V667" s="79"/>
      <c r="W667" s="40" t="str">
        <f>VLOOKUP(M667,Table1[#All],8,FALSE)</f>
        <v>Q5</v>
      </c>
      <c r="X667" s="79"/>
      <c r="Y667" s="44" t="str">
        <f>VLOOKUP(M667,Table1[#All],2,FALSE)</f>
        <v>Action</v>
      </c>
      <c r="Z667" s="59" t="str">
        <f>VLOOKUP(M667,Table1[#All],9,FALSE)</f>
        <v>Additional Notes:</v>
      </c>
      <c r="AA667" s="76"/>
      <c r="AB667" s="76"/>
      <c r="AC667" s="90" t="s">
        <v>91</v>
      </c>
      <c r="AD667" s="76" t="s">
        <v>91</v>
      </c>
      <c r="AE667" s="77"/>
      <c r="AF667" s="77"/>
      <c r="AG667" s="41" t="s">
        <v>91</v>
      </c>
    </row>
    <row r="668" spans="1:33" ht="21" hidden="1" x14ac:dyDescent="0.55000000000000004">
      <c r="A668" s="44" t="str">
        <f>Data!K667</f>
        <v>DPOW-CCHP</v>
      </c>
      <c r="B668" s="44" t="str">
        <f>Data!L667</f>
        <v>4143899880</v>
      </c>
      <c r="C668" s="44" t="str">
        <f>Data!D667</f>
        <v>Lentini, Randy</v>
      </c>
      <c r="D668" s="82" t="str">
        <f>Data!F667</f>
        <v>9420219399</v>
      </c>
      <c r="E668" s="82" t="str">
        <f>Data!B667</f>
        <v>3546</v>
      </c>
      <c r="F668" s="44" t="str">
        <f>Data!A667</f>
        <v>Lentini, Randy</v>
      </c>
      <c r="G668" s="55" t="str">
        <f>Data!C667</f>
        <v>4/9/1984</v>
      </c>
      <c r="H668" s="56">
        <f>Data!H667</f>
        <v>44159</v>
      </c>
      <c r="I668" s="56" t="str">
        <f>Data!I667</f>
        <v>11/25/2020</v>
      </c>
      <c r="J668" s="57">
        <f>Data!J667</f>
        <v>80.400000000000006</v>
      </c>
      <c r="K668" s="58">
        <f t="shared" ca="1" si="11"/>
        <v>540</v>
      </c>
      <c r="L668" s="58">
        <f>Data!M667</f>
        <v>0</v>
      </c>
      <c r="M668" s="37" t="s">
        <v>26</v>
      </c>
      <c r="N668" s="43" t="str">
        <f>VLOOKUP(M668,Table1[#All],3,FALSE)</f>
        <v>Note</v>
      </c>
      <c r="O668" s="40" t="str">
        <f>VLOOKUP(M668,Table1[#All],4,FALSE)</f>
        <v>Q1</v>
      </c>
      <c r="P668" s="39"/>
      <c r="Q668" s="40" t="str">
        <f>VLOOKUP(M668,Table1[#All],5,FALSE)</f>
        <v>Q2</v>
      </c>
      <c r="R668" s="79"/>
      <c r="S668" s="40" t="str">
        <f>VLOOKUP(M668,Table1[#All],6,FALSE)</f>
        <v>Q3</v>
      </c>
      <c r="T668" s="79"/>
      <c r="U668" s="40" t="str">
        <f>VLOOKUP(M668,Table1[#All],7,FALSE)</f>
        <v>Q4</v>
      </c>
      <c r="V668" s="79"/>
      <c r="W668" s="40" t="str">
        <f>VLOOKUP(M668,Table1[#All],8,FALSE)</f>
        <v>Q5</v>
      </c>
      <c r="X668" s="79"/>
      <c r="Y668" s="44" t="str">
        <f>VLOOKUP(M668,Table1[#All],2,FALSE)</f>
        <v>Action</v>
      </c>
      <c r="Z668" s="59" t="str">
        <f>VLOOKUP(M668,Table1[#All],9,FALSE)</f>
        <v>Additional Notes:</v>
      </c>
      <c r="AA668" s="76"/>
      <c r="AB668" s="76"/>
      <c r="AC668" s="90" t="s">
        <v>91</v>
      </c>
      <c r="AD668" s="76" t="s">
        <v>91</v>
      </c>
      <c r="AE668" s="77"/>
      <c r="AF668" s="77"/>
      <c r="AG668" s="41" t="s">
        <v>91</v>
      </c>
    </row>
    <row r="669" spans="1:33" ht="21" hidden="1" x14ac:dyDescent="0.55000000000000004">
      <c r="A669" s="44" t="str">
        <f>Data!K668</f>
        <v>DPOW-CCHP</v>
      </c>
      <c r="B669" s="44" t="str">
        <f>Data!L668</f>
        <v>4143899880</v>
      </c>
      <c r="C669" s="44" t="str">
        <f>Data!D668</f>
        <v>Peeples, Michele</v>
      </c>
      <c r="D669" s="82" t="str">
        <f>Data!F668</f>
        <v>0424122006</v>
      </c>
      <c r="E669" s="82" t="str">
        <f>Data!B668</f>
        <v>2825</v>
      </c>
      <c r="F669" s="44" t="str">
        <f>Data!A668</f>
        <v>Peeples, Michele</v>
      </c>
      <c r="G669" s="55" t="str">
        <f>Data!C668</f>
        <v>3/30/1970</v>
      </c>
      <c r="H669" s="56">
        <f>Data!H668</f>
        <v>44152</v>
      </c>
      <c r="I669" s="56" t="str">
        <f>Data!I668</f>
        <v>11/20/2020</v>
      </c>
      <c r="J669" s="57">
        <f>Data!J668</f>
        <v>396</v>
      </c>
      <c r="K669" s="58">
        <f t="shared" ca="1" si="11"/>
        <v>545</v>
      </c>
      <c r="L669" s="58">
        <f>Data!M668</f>
        <v>0</v>
      </c>
      <c r="M669" s="37" t="s">
        <v>26</v>
      </c>
      <c r="N669" s="43" t="str">
        <f>VLOOKUP(M669,Table1[#All],3,FALSE)</f>
        <v>Note</v>
      </c>
      <c r="O669" s="40" t="str">
        <f>VLOOKUP(M669,Table1[#All],4,FALSE)</f>
        <v>Q1</v>
      </c>
      <c r="P669" s="39"/>
      <c r="Q669" s="40" t="str">
        <f>VLOOKUP(M669,Table1[#All],5,FALSE)</f>
        <v>Q2</v>
      </c>
      <c r="R669" s="79"/>
      <c r="S669" s="40" t="str">
        <f>VLOOKUP(M669,Table1[#All],6,FALSE)</f>
        <v>Q3</v>
      </c>
      <c r="T669" s="79"/>
      <c r="U669" s="40" t="str">
        <f>VLOOKUP(M669,Table1[#All],7,FALSE)</f>
        <v>Q4</v>
      </c>
      <c r="V669" s="79"/>
      <c r="W669" s="40" t="str">
        <f>VLOOKUP(M669,Table1[#All],8,FALSE)</f>
        <v>Q5</v>
      </c>
      <c r="X669" s="79"/>
      <c r="Y669" s="44" t="str">
        <f>VLOOKUP(M669,Table1[#All],2,FALSE)</f>
        <v>Action</v>
      </c>
      <c r="Z669" s="59" t="str">
        <f>VLOOKUP(M669,Table1[#All],9,FALSE)</f>
        <v>Additional Notes:</v>
      </c>
      <c r="AA669" s="76"/>
      <c r="AB669" s="76"/>
      <c r="AC669" s="90" t="s">
        <v>91</v>
      </c>
      <c r="AD669" s="76" t="s">
        <v>91</v>
      </c>
      <c r="AE669" s="77"/>
      <c r="AF669" s="77"/>
      <c r="AG669" s="41" t="s">
        <v>91</v>
      </c>
    </row>
    <row r="670" spans="1:33" ht="21" hidden="1" x14ac:dyDescent="0.55000000000000004">
      <c r="A670" s="44" t="str">
        <f>Data!K669</f>
        <v>DPOW-CCHP</v>
      </c>
      <c r="B670" s="44" t="str">
        <f>Data!L669</f>
        <v>4143899880</v>
      </c>
      <c r="C670" s="44" t="str">
        <f>Data!D669</f>
        <v>Nunez, Jose</v>
      </c>
      <c r="D670" s="82" t="str">
        <f>Data!F669</f>
        <v>3409136339</v>
      </c>
      <c r="E670" s="82" t="str">
        <f>Data!B669</f>
        <v>4841</v>
      </c>
      <c r="F670" s="44" t="str">
        <f>Data!A669</f>
        <v>Nunez, Jose</v>
      </c>
      <c r="G670" s="55" t="str">
        <f>Data!C669</f>
        <v>1/20/1971</v>
      </c>
      <c r="H670" s="56">
        <f>Data!H669</f>
        <v>44151</v>
      </c>
      <c r="I670" s="56" t="str">
        <f>Data!I669</f>
        <v>11/18/2020</v>
      </c>
      <c r="J670" s="57">
        <f>Data!J669</f>
        <v>480</v>
      </c>
      <c r="K670" s="58">
        <f t="shared" ca="1" si="11"/>
        <v>547</v>
      </c>
      <c r="L670" s="58">
        <f>Data!M669</f>
        <v>0</v>
      </c>
      <c r="M670" s="37" t="s">
        <v>26</v>
      </c>
      <c r="N670" s="43" t="str">
        <f>VLOOKUP(M670,Table1[#All],3,FALSE)</f>
        <v>Note</v>
      </c>
      <c r="O670" s="40" t="str">
        <f>VLOOKUP(M670,Table1[#All],4,FALSE)</f>
        <v>Q1</v>
      </c>
      <c r="P670" s="39"/>
      <c r="Q670" s="40" t="str">
        <f>VLOOKUP(M670,Table1[#All],5,FALSE)</f>
        <v>Q2</v>
      </c>
      <c r="R670" s="79"/>
      <c r="S670" s="40" t="str">
        <f>VLOOKUP(M670,Table1[#All],6,FALSE)</f>
        <v>Q3</v>
      </c>
      <c r="T670" s="79"/>
      <c r="U670" s="40" t="str">
        <f>VLOOKUP(M670,Table1[#All],7,FALSE)</f>
        <v>Q4</v>
      </c>
      <c r="V670" s="79"/>
      <c r="W670" s="40" t="str">
        <f>VLOOKUP(M670,Table1[#All],8,FALSE)</f>
        <v>Q5</v>
      </c>
      <c r="X670" s="79"/>
      <c r="Y670" s="44" t="str">
        <f>VLOOKUP(M670,Table1[#All],2,FALSE)</f>
        <v>Action</v>
      </c>
      <c r="Z670" s="59" t="str">
        <f>VLOOKUP(M670,Table1[#All],9,FALSE)</f>
        <v>Additional Notes:</v>
      </c>
      <c r="AA670" s="76"/>
      <c r="AB670" s="76"/>
      <c r="AC670" s="90" t="s">
        <v>91</v>
      </c>
      <c r="AD670" s="76" t="s">
        <v>91</v>
      </c>
      <c r="AE670" s="77"/>
      <c r="AF670" s="77"/>
      <c r="AG670" s="41" t="s">
        <v>91</v>
      </c>
    </row>
    <row r="671" spans="1:33" ht="21" hidden="1" x14ac:dyDescent="0.55000000000000004">
      <c r="A671" s="44" t="str">
        <f>Data!K670</f>
        <v>DPOW-CCHP</v>
      </c>
      <c r="B671" s="44" t="str">
        <f>Data!L670</f>
        <v>4143899880</v>
      </c>
      <c r="C671" s="44" t="str">
        <f>Data!D670</f>
        <v>Mullen, Lakeasha</v>
      </c>
      <c r="D671" s="82" t="str">
        <f>Data!F670</f>
        <v>0409643700</v>
      </c>
      <c r="E671" s="82" t="str">
        <f>Data!B670</f>
        <v>1662</v>
      </c>
      <c r="F671" s="44" t="str">
        <f>Data!A670</f>
        <v>Mullen, Lakeasha</v>
      </c>
      <c r="G671" s="55" t="str">
        <f>Data!C670</f>
        <v>8/23/1989</v>
      </c>
      <c r="H671" s="56">
        <f>Data!H670</f>
        <v>44034</v>
      </c>
      <c r="I671" s="56" t="str">
        <f>Data!I670</f>
        <v>10/4/2020</v>
      </c>
      <c r="J671" s="57">
        <f>Data!J670</f>
        <v>67.599999999999994</v>
      </c>
      <c r="K671" s="58">
        <f t="shared" ca="1" si="11"/>
        <v>592</v>
      </c>
      <c r="L671" s="58">
        <f>Data!M670</f>
        <v>0</v>
      </c>
      <c r="M671" s="37" t="s">
        <v>26</v>
      </c>
      <c r="N671" s="43" t="str">
        <f>VLOOKUP(M671,Table1[#All],3,FALSE)</f>
        <v>Note</v>
      </c>
      <c r="O671" s="40" t="str">
        <f>VLOOKUP(M671,Table1[#All],4,FALSE)</f>
        <v>Q1</v>
      </c>
      <c r="P671" s="39"/>
      <c r="Q671" s="40" t="str">
        <f>VLOOKUP(M671,Table1[#All],5,FALSE)</f>
        <v>Q2</v>
      </c>
      <c r="R671" s="79"/>
      <c r="S671" s="40" t="str">
        <f>VLOOKUP(M671,Table1[#All],6,FALSE)</f>
        <v>Q3</v>
      </c>
      <c r="T671" s="79"/>
      <c r="U671" s="40" t="str">
        <f>VLOOKUP(M671,Table1[#All],7,FALSE)</f>
        <v>Q4</v>
      </c>
      <c r="V671" s="79"/>
      <c r="W671" s="40" t="str">
        <f>VLOOKUP(M671,Table1[#All],8,FALSE)</f>
        <v>Q5</v>
      </c>
      <c r="X671" s="79"/>
      <c r="Y671" s="44" t="str">
        <f>VLOOKUP(M671,Table1[#All],2,FALSE)</f>
        <v>Action</v>
      </c>
      <c r="Z671" s="59" t="str">
        <f>VLOOKUP(M671,Table1[#All],9,FALSE)</f>
        <v>Additional Notes:</v>
      </c>
      <c r="AA671" s="76"/>
      <c r="AB671" s="76"/>
      <c r="AC671" s="90" t="s">
        <v>91</v>
      </c>
      <c r="AD671" s="76" t="s">
        <v>91</v>
      </c>
      <c r="AE671" s="77"/>
      <c r="AF671" s="77"/>
      <c r="AG671" s="41" t="s">
        <v>91</v>
      </c>
    </row>
    <row r="672" spans="1:33" ht="21" hidden="1" x14ac:dyDescent="0.55000000000000004">
      <c r="A672" s="44" t="str">
        <f>Data!K671</f>
        <v>DPOW-CCHP</v>
      </c>
      <c r="B672" s="44" t="str">
        <f>Data!L671</f>
        <v>4143899880</v>
      </c>
      <c r="C672" s="44" t="str">
        <f>Data!D671</f>
        <v xml:space="preserve">Gutierrez Perez , Wendy </v>
      </c>
      <c r="D672" s="82" t="str">
        <f>Data!F671</f>
        <v>5420440458</v>
      </c>
      <c r="E672" s="82" t="str">
        <f>Data!B671</f>
        <v>5258</v>
      </c>
      <c r="F672" s="44" t="str">
        <f>Data!A671</f>
        <v xml:space="preserve">Gutierrez Perez , Wendy </v>
      </c>
      <c r="G672" s="55" t="str">
        <f>Data!C671</f>
        <v>3/22/2001</v>
      </c>
      <c r="H672" s="56">
        <f>Data!H671</f>
        <v>44105</v>
      </c>
      <c r="I672" s="56" t="str">
        <f>Data!I671</f>
        <v>10/5/2020</v>
      </c>
      <c r="J672" s="57">
        <f>Data!J671</f>
        <v>895.2</v>
      </c>
      <c r="K672" s="58">
        <f t="shared" ca="1" si="11"/>
        <v>591</v>
      </c>
      <c r="L672" s="58">
        <f>Data!M671</f>
        <v>0</v>
      </c>
      <c r="M672" s="37" t="s">
        <v>26</v>
      </c>
      <c r="N672" s="43" t="str">
        <f>VLOOKUP(M672,Table1[#All],3,FALSE)</f>
        <v>Note</v>
      </c>
      <c r="O672" s="40" t="str">
        <f>VLOOKUP(M672,Table1[#All],4,FALSE)</f>
        <v>Q1</v>
      </c>
      <c r="P672" s="39"/>
      <c r="Q672" s="40" t="str">
        <f>VLOOKUP(M672,Table1[#All],5,FALSE)</f>
        <v>Q2</v>
      </c>
      <c r="R672" s="79"/>
      <c r="S672" s="40" t="str">
        <f>VLOOKUP(M672,Table1[#All],6,FALSE)</f>
        <v>Q3</v>
      </c>
      <c r="T672" s="79"/>
      <c r="U672" s="40" t="str">
        <f>VLOOKUP(M672,Table1[#All],7,FALSE)</f>
        <v>Q4</v>
      </c>
      <c r="V672" s="79"/>
      <c r="W672" s="40" t="str">
        <f>VLOOKUP(M672,Table1[#All],8,FALSE)</f>
        <v>Q5</v>
      </c>
      <c r="X672" s="79"/>
      <c r="Y672" s="44" t="str">
        <f>VLOOKUP(M672,Table1[#All],2,FALSE)</f>
        <v>Action</v>
      </c>
      <c r="Z672" s="59" t="str">
        <f>VLOOKUP(M672,Table1[#All],9,FALSE)</f>
        <v>Additional Notes:</v>
      </c>
      <c r="AA672" s="76"/>
      <c r="AB672" s="76"/>
      <c r="AC672" s="90" t="s">
        <v>91</v>
      </c>
      <c r="AD672" s="76" t="s">
        <v>91</v>
      </c>
      <c r="AE672" s="77"/>
      <c r="AF672" s="77"/>
      <c r="AG672" s="41" t="s">
        <v>91</v>
      </c>
    </row>
    <row r="673" spans="1:33" ht="21" hidden="1" x14ac:dyDescent="0.55000000000000004">
      <c r="A673" s="44" t="str">
        <f>Data!K672</f>
        <v>DPOW-CCHP</v>
      </c>
      <c r="B673" s="44" t="str">
        <f>Data!L672</f>
        <v>4143899880</v>
      </c>
      <c r="C673" s="44" t="str">
        <f>Data!D672</f>
        <v>Abuyyash , Noor</v>
      </c>
      <c r="D673" s="82" t="str">
        <f>Data!F672</f>
        <v>8430945385</v>
      </c>
      <c r="E673" s="82" t="str">
        <f>Data!B672</f>
        <v>5205</v>
      </c>
      <c r="F673" s="44" t="str">
        <f>Data!A672</f>
        <v>Abuyyash , Noor</v>
      </c>
      <c r="G673" s="55" t="str">
        <f>Data!C672</f>
        <v>8/2/2008</v>
      </c>
      <c r="H673" s="56">
        <f>Data!H672</f>
        <v>44104</v>
      </c>
      <c r="I673" s="56" t="str">
        <f>Data!I672</f>
        <v>10/5/2020</v>
      </c>
      <c r="J673" s="57">
        <f>Data!J672</f>
        <v>399.6</v>
      </c>
      <c r="K673" s="58">
        <f t="shared" ca="1" si="11"/>
        <v>591</v>
      </c>
      <c r="L673" s="58">
        <f>Data!M672</f>
        <v>0</v>
      </c>
      <c r="M673" s="37" t="s">
        <v>26</v>
      </c>
      <c r="N673" s="43" t="str">
        <f>VLOOKUP(M673,Table1[#All],3,FALSE)</f>
        <v>Note</v>
      </c>
      <c r="O673" s="40" t="str">
        <f>VLOOKUP(M673,Table1[#All],4,FALSE)</f>
        <v>Q1</v>
      </c>
      <c r="P673" s="39"/>
      <c r="Q673" s="40" t="str">
        <f>VLOOKUP(M673,Table1[#All],5,FALSE)</f>
        <v>Q2</v>
      </c>
      <c r="R673" s="79"/>
      <c r="S673" s="40" t="str">
        <f>VLOOKUP(M673,Table1[#All],6,FALSE)</f>
        <v>Q3</v>
      </c>
      <c r="T673" s="79"/>
      <c r="U673" s="40" t="str">
        <f>VLOOKUP(M673,Table1[#All],7,FALSE)</f>
        <v>Q4</v>
      </c>
      <c r="V673" s="79"/>
      <c r="W673" s="40" t="str">
        <f>VLOOKUP(M673,Table1[#All],8,FALSE)</f>
        <v>Q5</v>
      </c>
      <c r="X673" s="79"/>
      <c r="Y673" s="44" t="str">
        <f>VLOOKUP(M673,Table1[#All],2,FALSE)</f>
        <v>Action</v>
      </c>
      <c r="Z673" s="59" t="str">
        <f>VLOOKUP(M673,Table1[#All],9,FALSE)</f>
        <v>Additional Notes:</v>
      </c>
      <c r="AA673" s="76"/>
      <c r="AB673" s="76"/>
      <c r="AC673" s="90" t="s">
        <v>91</v>
      </c>
      <c r="AD673" s="76" t="s">
        <v>91</v>
      </c>
      <c r="AE673" s="77"/>
      <c r="AF673" s="77"/>
      <c r="AG673" s="41" t="s">
        <v>91</v>
      </c>
    </row>
    <row r="674" spans="1:33" ht="21" hidden="1" x14ac:dyDescent="0.55000000000000004">
      <c r="A674" s="44" t="str">
        <f>Data!K673</f>
        <v>DPOW-CCHP</v>
      </c>
      <c r="B674" s="44" t="str">
        <f>Data!L673</f>
        <v>4143899880</v>
      </c>
      <c r="C674" s="44" t="str">
        <f>Data!D673</f>
        <v xml:space="preserve">Hoffmann, Tyler </v>
      </c>
      <c r="D674" s="82" t="str">
        <f>Data!F673</f>
        <v>5411548055</v>
      </c>
      <c r="E674" s="82" t="str">
        <f>Data!B673</f>
        <v>4401</v>
      </c>
      <c r="F674" s="44" t="str">
        <f>Data!A673</f>
        <v xml:space="preserve">Hoffmann, Tyler </v>
      </c>
      <c r="G674" s="55" t="str">
        <f>Data!C673</f>
        <v>2/4/2004</v>
      </c>
      <c r="H674" s="56">
        <f>Data!H673</f>
        <v>44013</v>
      </c>
      <c r="I674" s="56" t="str">
        <f>Data!I673</f>
        <v>7/3/2020</v>
      </c>
      <c r="J674" s="57">
        <f>Data!J673</f>
        <v>674.8</v>
      </c>
      <c r="K674" s="58">
        <f t="shared" ca="1" si="11"/>
        <v>685</v>
      </c>
      <c r="L674" s="58">
        <f>Data!M673</f>
        <v>0</v>
      </c>
      <c r="M674" s="37" t="s">
        <v>26</v>
      </c>
      <c r="N674" s="43" t="str">
        <f>VLOOKUP(M674,Table1[#All],3,FALSE)</f>
        <v>Note</v>
      </c>
      <c r="O674" s="40" t="str">
        <f>VLOOKUP(M674,Table1[#All],4,FALSE)</f>
        <v>Q1</v>
      </c>
      <c r="P674" s="39"/>
      <c r="Q674" s="40" t="str">
        <f>VLOOKUP(M674,Table1[#All],5,FALSE)</f>
        <v>Q2</v>
      </c>
      <c r="R674" s="79"/>
      <c r="S674" s="40" t="str">
        <f>VLOOKUP(M674,Table1[#All],6,FALSE)</f>
        <v>Q3</v>
      </c>
      <c r="T674" s="79"/>
      <c r="U674" s="40" t="str">
        <f>VLOOKUP(M674,Table1[#All],7,FALSE)</f>
        <v>Q4</v>
      </c>
      <c r="V674" s="79"/>
      <c r="W674" s="40" t="str">
        <f>VLOOKUP(M674,Table1[#All],8,FALSE)</f>
        <v>Q5</v>
      </c>
      <c r="X674" s="79"/>
      <c r="Y674" s="44" t="str">
        <f>VLOOKUP(M674,Table1[#All],2,FALSE)</f>
        <v>Action</v>
      </c>
      <c r="Z674" s="59" t="str">
        <f>VLOOKUP(M674,Table1[#All],9,FALSE)</f>
        <v>Additional Notes:</v>
      </c>
      <c r="AA674" s="76"/>
      <c r="AB674" s="76"/>
      <c r="AC674" s="90" t="s">
        <v>91</v>
      </c>
      <c r="AD674" s="76" t="s">
        <v>91</v>
      </c>
      <c r="AE674" s="77"/>
      <c r="AF674" s="77"/>
      <c r="AG674" s="41" t="s">
        <v>91</v>
      </c>
    </row>
    <row r="675" spans="1:33" ht="21" hidden="1" x14ac:dyDescent="0.55000000000000004">
      <c r="A675" s="44" t="str">
        <f>Data!K674</f>
        <v>DPOW-CCHP</v>
      </c>
      <c r="B675" s="44" t="str">
        <f>Data!L674</f>
        <v>4143899880</v>
      </c>
      <c r="C675" s="44" t="str">
        <f>Data!D674</f>
        <v>HERNANDEZ PEREZ, JAASIEL</v>
      </c>
      <c r="D675" s="82" t="str">
        <f>Data!F674</f>
        <v>2425673628</v>
      </c>
      <c r="E675" s="82" t="str">
        <f>Data!B674</f>
        <v>3547</v>
      </c>
      <c r="F675" s="44" t="str">
        <f>Data!A674</f>
        <v>HERNANDEZ PEREZ, JAASIEL</v>
      </c>
      <c r="G675" s="55" t="str">
        <f>Data!C674</f>
        <v>2/18/2006</v>
      </c>
      <c r="H675" s="56">
        <f>Data!H674</f>
        <v>44000</v>
      </c>
      <c r="I675" s="56" t="str">
        <f>Data!I674</f>
        <v>6/18/2020</v>
      </c>
      <c r="J675" s="57">
        <f>Data!J674</f>
        <v>202.8</v>
      </c>
      <c r="K675" s="58">
        <f t="shared" ca="1" si="11"/>
        <v>700</v>
      </c>
      <c r="L675" s="58">
        <f>Data!M674</f>
        <v>0</v>
      </c>
      <c r="M675" s="37" t="s">
        <v>26</v>
      </c>
      <c r="N675" s="43" t="str">
        <f>VLOOKUP(M675,Table1[#All],3,FALSE)</f>
        <v>Note</v>
      </c>
      <c r="O675" s="40" t="str">
        <f>VLOOKUP(M675,Table1[#All],4,FALSE)</f>
        <v>Q1</v>
      </c>
      <c r="P675" s="39"/>
      <c r="Q675" s="40" t="str">
        <f>VLOOKUP(M675,Table1[#All],5,FALSE)</f>
        <v>Q2</v>
      </c>
      <c r="R675" s="79"/>
      <c r="S675" s="40" t="str">
        <f>VLOOKUP(M675,Table1[#All],6,FALSE)</f>
        <v>Q3</v>
      </c>
      <c r="T675" s="79"/>
      <c r="U675" s="40" t="str">
        <f>VLOOKUP(M675,Table1[#All],7,FALSE)</f>
        <v>Q4</v>
      </c>
      <c r="V675" s="79"/>
      <c r="W675" s="40" t="str">
        <f>VLOOKUP(M675,Table1[#All],8,FALSE)</f>
        <v>Q5</v>
      </c>
      <c r="X675" s="79"/>
      <c r="Y675" s="44" t="str">
        <f>VLOOKUP(M675,Table1[#All],2,FALSE)</f>
        <v>Action</v>
      </c>
      <c r="Z675" s="59" t="str">
        <f>VLOOKUP(M675,Table1[#All],9,FALSE)</f>
        <v>Additional Notes:</v>
      </c>
      <c r="AA675" s="76"/>
      <c r="AB675" s="76"/>
      <c r="AC675" s="90" t="s">
        <v>91</v>
      </c>
      <c r="AD675" s="76" t="s">
        <v>91</v>
      </c>
      <c r="AE675" s="77"/>
      <c r="AF675" s="77"/>
      <c r="AG675" s="41" t="s">
        <v>91</v>
      </c>
    </row>
    <row r="676" spans="1:33" ht="21" hidden="1" x14ac:dyDescent="0.55000000000000004">
      <c r="A676" s="44" t="str">
        <f>Data!K675</f>
        <v>DPOW-CCHP</v>
      </c>
      <c r="B676" s="44" t="str">
        <f>Data!L675</f>
        <v>4143899880</v>
      </c>
      <c r="C676" s="44" t="str">
        <f>Data!D675</f>
        <v>D PE , WAHI</v>
      </c>
      <c r="D676" s="82" t="str">
        <f>Data!F675</f>
        <v>2442103427</v>
      </c>
      <c r="E676" s="82" t="str">
        <f>Data!B675</f>
        <v>3955</v>
      </c>
      <c r="F676" s="44" t="str">
        <f>Data!A675</f>
        <v>D PE , WAHI</v>
      </c>
      <c r="G676" s="55" t="str">
        <f>Data!C675</f>
        <v>8/18/2009</v>
      </c>
      <c r="H676" s="56">
        <f>Data!H675</f>
        <v>43999</v>
      </c>
      <c r="I676" s="56" t="str">
        <f>Data!I675</f>
        <v>6/18/2020</v>
      </c>
      <c r="J676" s="57">
        <f>Data!J675</f>
        <v>922.8</v>
      </c>
      <c r="K676" s="58">
        <f t="shared" ca="1" si="11"/>
        <v>700</v>
      </c>
      <c r="L676" s="58">
        <f>Data!M675</f>
        <v>0</v>
      </c>
      <c r="M676" s="37" t="s">
        <v>26</v>
      </c>
      <c r="N676" s="43" t="str">
        <f>VLOOKUP(M676,Table1[#All],3,FALSE)</f>
        <v>Note</v>
      </c>
      <c r="O676" s="40" t="str">
        <f>VLOOKUP(M676,Table1[#All],4,FALSE)</f>
        <v>Q1</v>
      </c>
      <c r="P676" s="39"/>
      <c r="Q676" s="40" t="str">
        <f>VLOOKUP(M676,Table1[#All],5,FALSE)</f>
        <v>Q2</v>
      </c>
      <c r="R676" s="79"/>
      <c r="S676" s="40" t="str">
        <f>VLOOKUP(M676,Table1[#All],6,FALSE)</f>
        <v>Q3</v>
      </c>
      <c r="T676" s="79"/>
      <c r="U676" s="40" t="str">
        <f>VLOOKUP(M676,Table1[#All],7,FALSE)</f>
        <v>Q4</v>
      </c>
      <c r="V676" s="79"/>
      <c r="W676" s="40" t="str">
        <f>VLOOKUP(M676,Table1[#All],8,FALSE)</f>
        <v>Q5</v>
      </c>
      <c r="X676" s="79"/>
      <c r="Y676" s="44" t="str">
        <f>VLOOKUP(M676,Table1[#All],2,FALSE)</f>
        <v>Action</v>
      </c>
      <c r="Z676" s="59" t="str">
        <f>VLOOKUP(M676,Table1[#All],9,FALSE)</f>
        <v>Additional Notes:</v>
      </c>
      <c r="AA676" s="76"/>
      <c r="AB676" s="76"/>
      <c r="AC676" s="90" t="s">
        <v>91</v>
      </c>
      <c r="AD676" s="76" t="s">
        <v>91</v>
      </c>
      <c r="AE676" s="77"/>
      <c r="AF676" s="77"/>
      <c r="AG676" s="41" t="s">
        <v>91</v>
      </c>
    </row>
    <row r="677" spans="1:33" ht="21" hidden="1" x14ac:dyDescent="0.55000000000000004">
      <c r="A677" s="44" t="str">
        <f>Data!K676</f>
        <v>DPOW-CCHP</v>
      </c>
      <c r="B677" s="44" t="str">
        <f>Data!L676</f>
        <v>4143899880</v>
      </c>
      <c r="C677" s="44" t="str">
        <f>Data!D676</f>
        <v>Ziemianin, Karson</v>
      </c>
      <c r="D677" s="82" t="str">
        <f>Data!F676</f>
        <v>7454780571</v>
      </c>
      <c r="E677" s="82" t="str">
        <f>Data!B676</f>
        <v>4319</v>
      </c>
      <c r="F677" s="44" t="str">
        <f>Data!A676</f>
        <v>Ziemianin, Karson</v>
      </c>
      <c r="G677" s="55" t="str">
        <f>Data!C676</f>
        <v>6/4/2019</v>
      </c>
      <c r="H677" s="56">
        <f>Data!H676</f>
        <v>43999</v>
      </c>
      <c r="I677" s="56" t="str">
        <f>Data!I676</f>
        <v>6/18/2020</v>
      </c>
      <c r="J677" s="57">
        <f>Data!J676</f>
        <v>72</v>
      </c>
      <c r="K677" s="58">
        <f t="shared" ca="1" si="11"/>
        <v>700</v>
      </c>
      <c r="L677" s="58">
        <f>Data!M676</f>
        <v>0</v>
      </c>
      <c r="M677" s="37" t="s">
        <v>26</v>
      </c>
      <c r="N677" s="43" t="str">
        <f>VLOOKUP(M677,Table1[#All],3,FALSE)</f>
        <v>Note</v>
      </c>
      <c r="O677" s="40" t="str">
        <f>VLOOKUP(M677,Table1[#All],4,FALSE)</f>
        <v>Q1</v>
      </c>
      <c r="P677" s="39"/>
      <c r="Q677" s="40" t="str">
        <f>VLOOKUP(M677,Table1[#All],5,FALSE)</f>
        <v>Q2</v>
      </c>
      <c r="R677" s="79"/>
      <c r="S677" s="40" t="str">
        <f>VLOOKUP(M677,Table1[#All],6,FALSE)</f>
        <v>Q3</v>
      </c>
      <c r="T677" s="79"/>
      <c r="U677" s="40" t="str">
        <f>VLOOKUP(M677,Table1[#All],7,FALSE)</f>
        <v>Q4</v>
      </c>
      <c r="V677" s="79"/>
      <c r="W677" s="40" t="str">
        <f>VLOOKUP(M677,Table1[#All],8,FALSE)</f>
        <v>Q5</v>
      </c>
      <c r="X677" s="79"/>
      <c r="Y677" s="44" t="str">
        <f>VLOOKUP(M677,Table1[#All],2,FALSE)</f>
        <v>Action</v>
      </c>
      <c r="Z677" s="59" t="str">
        <f>VLOOKUP(M677,Table1[#All],9,FALSE)</f>
        <v>Additional Notes:</v>
      </c>
      <c r="AA677" s="76"/>
      <c r="AB677" s="76"/>
      <c r="AC677" s="90" t="s">
        <v>91</v>
      </c>
      <c r="AD677" s="76" t="s">
        <v>91</v>
      </c>
      <c r="AE677" s="77"/>
      <c r="AF677" s="77"/>
      <c r="AG677" s="41" t="s">
        <v>91</v>
      </c>
    </row>
    <row r="678" spans="1:33" ht="21" hidden="1" x14ac:dyDescent="0.55000000000000004">
      <c r="A678" s="44" t="str">
        <f>Data!K677</f>
        <v>DPOW-CCHP</v>
      </c>
      <c r="B678" s="44" t="str">
        <f>Data!L677</f>
        <v>4143899880</v>
      </c>
      <c r="C678" s="44" t="str">
        <f>Data!D677</f>
        <v xml:space="preserve">Romero, Christian </v>
      </c>
      <c r="D678" s="82" t="str">
        <f>Data!F677</f>
        <v>3409312234</v>
      </c>
      <c r="E678" s="82" t="str">
        <f>Data!B677</f>
        <v>4304</v>
      </c>
      <c r="F678" s="44" t="str">
        <f>Data!A677</f>
        <v xml:space="preserve">Romero, Christian </v>
      </c>
      <c r="G678" s="55" t="str">
        <f>Data!C677</f>
        <v>8/5/1984</v>
      </c>
      <c r="H678" s="56">
        <f>Data!H677</f>
        <v>43999</v>
      </c>
      <c r="I678" s="56" t="str">
        <f>Data!I677</f>
        <v>6/18/2020</v>
      </c>
      <c r="J678" s="57">
        <f>Data!J677</f>
        <v>364.8</v>
      </c>
      <c r="K678" s="58">
        <f t="shared" ca="1" si="11"/>
        <v>700</v>
      </c>
      <c r="L678" s="58">
        <f>Data!M677</f>
        <v>0</v>
      </c>
      <c r="M678" s="37" t="s">
        <v>26</v>
      </c>
      <c r="N678" s="43" t="str">
        <f>VLOOKUP(M678,Table1[#All],3,FALSE)</f>
        <v>Note</v>
      </c>
      <c r="O678" s="40" t="str">
        <f>VLOOKUP(M678,Table1[#All],4,FALSE)</f>
        <v>Q1</v>
      </c>
      <c r="P678" s="39"/>
      <c r="Q678" s="40" t="str">
        <f>VLOOKUP(M678,Table1[#All],5,FALSE)</f>
        <v>Q2</v>
      </c>
      <c r="R678" s="79"/>
      <c r="S678" s="40" t="str">
        <f>VLOOKUP(M678,Table1[#All],6,FALSE)</f>
        <v>Q3</v>
      </c>
      <c r="T678" s="79"/>
      <c r="U678" s="40" t="str">
        <f>VLOOKUP(M678,Table1[#All],7,FALSE)</f>
        <v>Q4</v>
      </c>
      <c r="V678" s="79"/>
      <c r="W678" s="40" t="str">
        <f>VLOOKUP(M678,Table1[#All],8,FALSE)</f>
        <v>Q5</v>
      </c>
      <c r="X678" s="79"/>
      <c r="Y678" s="44" t="str">
        <f>VLOOKUP(M678,Table1[#All],2,FALSE)</f>
        <v>Action</v>
      </c>
      <c r="Z678" s="59" t="str">
        <f>VLOOKUP(M678,Table1[#All],9,FALSE)</f>
        <v>Additional Notes:</v>
      </c>
      <c r="AA678" s="76"/>
      <c r="AB678" s="76"/>
      <c r="AC678" s="90" t="s">
        <v>91</v>
      </c>
      <c r="AD678" s="76" t="s">
        <v>91</v>
      </c>
      <c r="AE678" s="77"/>
      <c r="AF678" s="77"/>
      <c r="AG678" s="41" t="s">
        <v>91</v>
      </c>
    </row>
    <row r="679" spans="1:33" ht="21" hidden="1" x14ac:dyDescent="0.55000000000000004">
      <c r="A679" s="44" t="str">
        <f>Data!K678</f>
        <v>DPOW-CCHP</v>
      </c>
      <c r="B679" s="44" t="str">
        <f>Data!L678</f>
        <v>4143899880</v>
      </c>
      <c r="C679" s="44" t="str">
        <f>Data!D678</f>
        <v>Gutierrez, Dalilah</v>
      </c>
      <c r="D679" s="82" t="str">
        <f>Data!F678</f>
        <v>6436354069</v>
      </c>
      <c r="E679" s="82" t="str">
        <f>Data!B678</f>
        <v>4272</v>
      </c>
      <c r="F679" s="44" t="str">
        <f>Data!A678</f>
        <v>Gutierrez, Dalilah</v>
      </c>
      <c r="G679" s="55" t="str">
        <f>Data!C678</f>
        <v>6/25/2009</v>
      </c>
      <c r="H679" s="56">
        <f>Data!H678</f>
        <v>43999</v>
      </c>
      <c r="I679" s="56" t="str">
        <f>Data!I678</f>
        <v>6/18/2020</v>
      </c>
      <c r="J679" s="57">
        <f>Data!J678</f>
        <v>599.79999999999995</v>
      </c>
      <c r="K679" s="58">
        <f t="shared" ca="1" si="11"/>
        <v>700</v>
      </c>
      <c r="L679" s="58">
        <f>Data!M678</f>
        <v>0</v>
      </c>
      <c r="M679" s="37" t="s">
        <v>26</v>
      </c>
      <c r="N679" s="43" t="str">
        <f>VLOOKUP(M679,Table1[#All],3,FALSE)</f>
        <v>Note</v>
      </c>
      <c r="O679" s="40" t="str">
        <f>VLOOKUP(M679,Table1[#All],4,FALSE)</f>
        <v>Q1</v>
      </c>
      <c r="P679" s="39"/>
      <c r="Q679" s="40" t="str">
        <f>VLOOKUP(M679,Table1[#All],5,FALSE)</f>
        <v>Q2</v>
      </c>
      <c r="R679" s="79"/>
      <c r="S679" s="40" t="str">
        <f>VLOOKUP(M679,Table1[#All],6,FALSE)</f>
        <v>Q3</v>
      </c>
      <c r="T679" s="79"/>
      <c r="U679" s="40" t="str">
        <f>VLOOKUP(M679,Table1[#All],7,FALSE)</f>
        <v>Q4</v>
      </c>
      <c r="V679" s="79"/>
      <c r="W679" s="40" t="str">
        <f>VLOOKUP(M679,Table1[#All],8,FALSE)</f>
        <v>Q5</v>
      </c>
      <c r="X679" s="79"/>
      <c r="Y679" s="44" t="str">
        <f>VLOOKUP(M679,Table1[#All],2,FALSE)</f>
        <v>Action</v>
      </c>
      <c r="Z679" s="59" t="str">
        <f>VLOOKUP(M679,Table1[#All],9,FALSE)</f>
        <v>Additional Notes:</v>
      </c>
      <c r="AA679" s="76"/>
      <c r="AB679" s="76"/>
      <c r="AC679" s="90" t="s">
        <v>91</v>
      </c>
      <c r="AD679" s="76" t="s">
        <v>91</v>
      </c>
      <c r="AE679" s="77"/>
      <c r="AF679" s="77"/>
      <c r="AG679" s="41" t="s">
        <v>91</v>
      </c>
    </row>
    <row r="680" spans="1:33" ht="21" hidden="1" x14ac:dyDescent="0.55000000000000004">
      <c r="A680" s="44" t="str">
        <f>Data!K679</f>
        <v>DPOW-CCHP</v>
      </c>
      <c r="B680" s="44" t="str">
        <f>Data!L679</f>
        <v>4143899880</v>
      </c>
      <c r="C680" s="44" t="str">
        <f>Data!D679</f>
        <v xml:space="preserve">Martinez Lopez , Daniel </v>
      </c>
      <c r="D680" s="82" t="str">
        <f>Data!F679</f>
        <v>5451663955</v>
      </c>
      <c r="E680" s="82" t="str">
        <f>Data!B679</f>
        <v>1199</v>
      </c>
      <c r="F680" s="44" t="str">
        <f>Data!A679</f>
        <v xml:space="preserve">Martinez Lopez , Daniel </v>
      </c>
      <c r="G680" s="55" t="str">
        <f>Data!C679</f>
        <v>5/14/2017</v>
      </c>
      <c r="H680" s="56">
        <f>Data!H679</f>
        <v>43997</v>
      </c>
      <c r="I680" s="56" t="str">
        <f>Data!I679</f>
        <v>6/16/2020</v>
      </c>
      <c r="J680" s="57">
        <f>Data!J679</f>
        <v>410.4</v>
      </c>
      <c r="K680" s="58">
        <f t="shared" ref="K680:K743" ca="1" si="12">TODAY()-I680</f>
        <v>702</v>
      </c>
      <c r="L680" s="58">
        <f>Data!M679</f>
        <v>0</v>
      </c>
      <c r="M680" s="37" t="s">
        <v>26</v>
      </c>
      <c r="N680" s="43" t="str">
        <f>VLOOKUP(M680,Table1[#All],3,FALSE)</f>
        <v>Note</v>
      </c>
      <c r="O680" s="40" t="str">
        <f>VLOOKUP(M680,Table1[#All],4,FALSE)</f>
        <v>Q1</v>
      </c>
      <c r="P680" s="39"/>
      <c r="Q680" s="40" t="str">
        <f>VLOOKUP(M680,Table1[#All],5,FALSE)</f>
        <v>Q2</v>
      </c>
      <c r="R680" s="79"/>
      <c r="S680" s="40" t="str">
        <f>VLOOKUP(M680,Table1[#All],6,FALSE)</f>
        <v>Q3</v>
      </c>
      <c r="T680" s="79"/>
      <c r="U680" s="40" t="str">
        <f>VLOOKUP(M680,Table1[#All],7,FALSE)</f>
        <v>Q4</v>
      </c>
      <c r="V680" s="79"/>
      <c r="W680" s="40" t="str">
        <f>VLOOKUP(M680,Table1[#All],8,FALSE)</f>
        <v>Q5</v>
      </c>
      <c r="X680" s="79"/>
      <c r="Y680" s="44" t="str">
        <f>VLOOKUP(M680,Table1[#All],2,FALSE)</f>
        <v>Action</v>
      </c>
      <c r="Z680" s="59" t="str">
        <f>VLOOKUP(M680,Table1[#All],9,FALSE)</f>
        <v>Additional Notes:</v>
      </c>
      <c r="AA680" s="76"/>
      <c r="AB680" s="76"/>
      <c r="AC680" s="90" t="s">
        <v>91</v>
      </c>
      <c r="AD680" s="76" t="s">
        <v>91</v>
      </c>
      <c r="AE680" s="77"/>
      <c r="AF680" s="77"/>
      <c r="AG680" s="41" t="s">
        <v>91</v>
      </c>
    </row>
    <row r="681" spans="1:33" ht="21" hidden="1" x14ac:dyDescent="0.55000000000000004">
      <c r="A681" s="44" t="str">
        <f>Data!K680</f>
        <v>DPOW-CCHP</v>
      </c>
      <c r="B681" s="44" t="str">
        <f>Data!L680</f>
        <v>4143899880</v>
      </c>
      <c r="C681" s="44" t="str">
        <f>Data!D680</f>
        <v>HERNANDEZ PEREZ, JAASIEL</v>
      </c>
      <c r="D681" s="82" t="str">
        <f>Data!F680</f>
        <v>2425673628</v>
      </c>
      <c r="E681" s="82" t="str">
        <f>Data!B680</f>
        <v>3547</v>
      </c>
      <c r="F681" s="44" t="str">
        <f>Data!A680</f>
        <v>HERNANDEZ PEREZ, JAASIEL</v>
      </c>
      <c r="G681" s="55" t="str">
        <f>Data!C680</f>
        <v>2/18/2006</v>
      </c>
      <c r="H681" s="56">
        <f>Data!H680</f>
        <v>43997</v>
      </c>
      <c r="I681" s="56" t="str">
        <f>Data!I680</f>
        <v>6/16/2020</v>
      </c>
      <c r="J681" s="57">
        <f>Data!J680</f>
        <v>498.8</v>
      </c>
      <c r="K681" s="58">
        <f t="shared" ca="1" si="12"/>
        <v>702</v>
      </c>
      <c r="L681" s="58">
        <f>Data!M680</f>
        <v>0</v>
      </c>
      <c r="M681" s="37" t="s">
        <v>26</v>
      </c>
      <c r="N681" s="43" t="str">
        <f>VLOOKUP(M681,Table1[#All],3,FALSE)</f>
        <v>Note</v>
      </c>
      <c r="O681" s="40" t="str">
        <f>VLOOKUP(M681,Table1[#All],4,FALSE)</f>
        <v>Q1</v>
      </c>
      <c r="P681" s="39"/>
      <c r="Q681" s="40" t="str">
        <f>VLOOKUP(M681,Table1[#All],5,FALSE)</f>
        <v>Q2</v>
      </c>
      <c r="R681" s="79"/>
      <c r="S681" s="40" t="str">
        <f>VLOOKUP(M681,Table1[#All],6,FALSE)</f>
        <v>Q3</v>
      </c>
      <c r="T681" s="79"/>
      <c r="U681" s="40" t="str">
        <f>VLOOKUP(M681,Table1[#All],7,FALSE)</f>
        <v>Q4</v>
      </c>
      <c r="V681" s="79"/>
      <c r="W681" s="40" t="str">
        <f>VLOOKUP(M681,Table1[#All],8,FALSE)</f>
        <v>Q5</v>
      </c>
      <c r="X681" s="79"/>
      <c r="Y681" s="44" t="str">
        <f>VLOOKUP(M681,Table1[#All],2,FALSE)</f>
        <v>Action</v>
      </c>
      <c r="Z681" s="59" t="str">
        <f>VLOOKUP(M681,Table1[#All],9,FALSE)</f>
        <v>Additional Notes:</v>
      </c>
      <c r="AA681" s="76"/>
      <c r="AB681" s="76"/>
      <c r="AC681" s="90" t="s">
        <v>91</v>
      </c>
      <c r="AD681" s="76" t="s">
        <v>91</v>
      </c>
      <c r="AE681" s="77"/>
      <c r="AF681" s="77"/>
      <c r="AG681" s="41" t="s">
        <v>91</v>
      </c>
    </row>
    <row r="682" spans="1:33" ht="21" hidden="1" x14ac:dyDescent="0.55000000000000004">
      <c r="A682" s="44" t="str">
        <f>Data!K681</f>
        <v>DPOW-CCHP</v>
      </c>
      <c r="B682" s="44" t="str">
        <f>Data!L681</f>
        <v>4143899880</v>
      </c>
      <c r="C682" s="44" t="str">
        <f>Data!D681</f>
        <v>Ryan , Reeve</v>
      </c>
      <c r="D682" s="82" t="str">
        <f>Data!F681</f>
        <v>0445411708</v>
      </c>
      <c r="E682" s="82" t="str">
        <f>Data!B681</f>
        <v>3469</v>
      </c>
      <c r="F682" s="44" t="str">
        <f>Data!A681</f>
        <v>Ryan , Reeve</v>
      </c>
      <c r="G682" s="55" t="str">
        <f>Data!C681</f>
        <v>1/25/2014</v>
      </c>
      <c r="H682" s="56">
        <f>Data!H681</f>
        <v>43850</v>
      </c>
      <c r="I682" s="56" t="str">
        <f>Data!I681</f>
        <v>1/21/2020</v>
      </c>
      <c r="J682" s="57">
        <f>Data!J681</f>
        <v>27.6</v>
      </c>
      <c r="K682" s="58">
        <f t="shared" ca="1" si="12"/>
        <v>849</v>
      </c>
      <c r="L682" s="58">
        <f>Data!M681</f>
        <v>0</v>
      </c>
      <c r="M682" s="37" t="s">
        <v>26</v>
      </c>
      <c r="N682" s="43" t="str">
        <f>VLOOKUP(M682,Table1[#All],3,FALSE)</f>
        <v>Note</v>
      </c>
      <c r="O682" s="40" t="str">
        <f>VLOOKUP(M682,Table1[#All],4,FALSE)</f>
        <v>Q1</v>
      </c>
      <c r="P682" s="39"/>
      <c r="Q682" s="40" t="str">
        <f>VLOOKUP(M682,Table1[#All],5,FALSE)</f>
        <v>Q2</v>
      </c>
      <c r="R682" s="79"/>
      <c r="S682" s="40" t="str">
        <f>VLOOKUP(M682,Table1[#All],6,FALSE)</f>
        <v>Q3</v>
      </c>
      <c r="T682" s="79"/>
      <c r="U682" s="40" t="str">
        <f>VLOOKUP(M682,Table1[#All],7,FALSE)</f>
        <v>Q4</v>
      </c>
      <c r="V682" s="79"/>
      <c r="W682" s="40" t="str">
        <f>VLOOKUP(M682,Table1[#All],8,FALSE)</f>
        <v>Q5</v>
      </c>
      <c r="X682" s="79"/>
      <c r="Y682" s="44" t="str">
        <f>VLOOKUP(M682,Table1[#All],2,FALSE)</f>
        <v>Action</v>
      </c>
      <c r="Z682" s="59" t="str">
        <f>VLOOKUP(M682,Table1[#All],9,FALSE)</f>
        <v>Additional Notes:</v>
      </c>
      <c r="AA682" s="76"/>
      <c r="AB682" s="76"/>
      <c r="AC682" s="90" t="s">
        <v>91</v>
      </c>
      <c r="AD682" s="76" t="s">
        <v>91</v>
      </c>
      <c r="AE682" s="77"/>
      <c r="AF682" s="77"/>
      <c r="AG682" s="41" t="s">
        <v>91</v>
      </c>
    </row>
    <row r="683" spans="1:33" ht="21" hidden="1" x14ac:dyDescent="0.55000000000000004">
      <c r="A683" s="44" t="str">
        <f>Data!K682</f>
        <v>DPOW-CCHP</v>
      </c>
      <c r="B683" s="44" t="str">
        <f>Data!L682</f>
        <v>4143899880</v>
      </c>
      <c r="C683" s="44" t="str">
        <f>Data!D682</f>
        <v>Ryan , Reeve</v>
      </c>
      <c r="D683" s="82" t="str">
        <f>Data!F682</f>
        <v>0445411708</v>
      </c>
      <c r="E683" s="82" t="str">
        <f>Data!B682</f>
        <v>3469</v>
      </c>
      <c r="F683" s="44" t="str">
        <f>Data!A682</f>
        <v>Ryan , Reeve</v>
      </c>
      <c r="G683" s="55" t="str">
        <f>Data!C682</f>
        <v>1/25/2014</v>
      </c>
      <c r="H683" s="56">
        <f>Data!H682</f>
        <v>43832</v>
      </c>
      <c r="I683" s="56" t="str">
        <f>Data!I682</f>
        <v>1/13/2020</v>
      </c>
      <c r="J683" s="57">
        <f>Data!J682</f>
        <v>104</v>
      </c>
      <c r="K683" s="58">
        <f t="shared" ca="1" si="12"/>
        <v>857</v>
      </c>
      <c r="L683" s="58">
        <f>Data!M682</f>
        <v>0</v>
      </c>
      <c r="M683" s="37" t="s">
        <v>26</v>
      </c>
      <c r="N683" s="43" t="str">
        <f>VLOOKUP(M683,Table1[#All],3,FALSE)</f>
        <v>Note</v>
      </c>
      <c r="O683" s="40" t="str">
        <f>VLOOKUP(M683,Table1[#All],4,FALSE)</f>
        <v>Q1</v>
      </c>
      <c r="P683" s="39"/>
      <c r="Q683" s="40" t="str">
        <f>VLOOKUP(M683,Table1[#All],5,FALSE)</f>
        <v>Q2</v>
      </c>
      <c r="R683" s="79"/>
      <c r="S683" s="40" t="str">
        <f>VLOOKUP(M683,Table1[#All],6,FALSE)</f>
        <v>Q3</v>
      </c>
      <c r="T683" s="79"/>
      <c r="U683" s="40" t="str">
        <f>VLOOKUP(M683,Table1[#All],7,FALSE)</f>
        <v>Q4</v>
      </c>
      <c r="V683" s="79"/>
      <c r="W683" s="40" t="str">
        <f>VLOOKUP(M683,Table1[#All],8,FALSE)</f>
        <v>Q5</v>
      </c>
      <c r="X683" s="79"/>
      <c r="Y683" s="44" t="str">
        <f>VLOOKUP(M683,Table1[#All],2,FALSE)</f>
        <v>Action</v>
      </c>
      <c r="Z683" s="59" t="str">
        <f>VLOOKUP(M683,Table1[#All],9,FALSE)</f>
        <v>Additional Notes:</v>
      </c>
      <c r="AA683" s="76"/>
      <c r="AB683" s="76"/>
      <c r="AC683" s="90" t="s">
        <v>91</v>
      </c>
      <c r="AD683" s="76" t="s">
        <v>91</v>
      </c>
      <c r="AE683" s="77"/>
      <c r="AF683" s="77"/>
      <c r="AG683" s="41" t="s">
        <v>91</v>
      </c>
    </row>
    <row r="684" spans="1:33" ht="21" hidden="1" x14ac:dyDescent="0.55000000000000004">
      <c r="A684" s="44" t="str">
        <f>Data!K683</f>
        <v>DPOW-CCHP</v>
      </c>
      <c r="B684" s="44" t="str">
        <f>Data!L683</f>
        <v>4143899880</v>
      </c>
      <c r="C684" s="44" t="str">
        <f>Data!D683</f>
        <v>LANIER, MADALYNN</v>
      </c>
      <c r="D684" s="82" t="str">
        <f>Data!F683</f>
        <v>6453661268</v>
      </c>
      <c r="E684" s="82" t="str">
        <f>Data!B683</f>
        <v>3503</v>
      </c>
      <c r="F684" s="44" t="str">
        <f>Data!A683</f>
        <v>LANIER, MADALYNN</v>
      </c>
      <c r="G684" s="55" t="str">
        <f>Data!C683</f>
        <v>9/8/2018</v>
      </c>
      <c r="H684" s="56">
        <f>Data!H683</f>
        <v>43839</v>
      </c>
      <c r="I684" s="56" t="str">
        <f>Data!I683</f>
        <v>1/9/2020</v>
      </c>
      <c r="J684" s="57">
        <f>Data!J683</f>
        <v>166.8</v>
      </c>
      <c r="K684" s="58">
        <f t="shared" ca="1" si="12"/>
        <v>861</v>
      </c>
      <c r="L684" s="58">
        <f>Data!M683</f>
        <v>0</v>
      </c>
      <c r="M684" s="37" t="s">
        <v>26</v>
      </c>
      <c r="N684" s="43" t="str">
        <f>VLOOKUP(M684,Table1[#All],3,FALSE)</f>
        <v>Note</v>
      </c>
      <c r="O684" s="40" t="str">
        <f>VLOOKUP(M684,Table1[#All],4,FALSE)</f>
        <v>Q1</v>
      </c>
      <c r="P684" s="39"/>
      <c r="Q684" s="40" t="str">
        <f>VLOOKUP(M684,Table1[#All],5,FALSE)</f>
        <v>Q2</v>
      </c>
      <c r="R684" s="79"/>
      <c r="S684" s="40" t="str">
        <f>VLOOKUP(M684,Table1[#All],6,FALSE)</f>
        <v>Q3</v>
      </c>
      <c r="T684" s="79"/>
      <c r="U684" s="40" t="str">
        <f>VLOOKUP(M684,Table1[#All],7,FALSE)</f>
        <v>Q4</v>
      </c>
      <c r="V684" s="79"/>
      <c r="W684" s="40" t="str">
        <f>VLOOKUP(M684,Table1[#All],8,FALSE)</f>
        <v>Q5</v>
      </c>
      <c r="X684" s="79"/>
      <c r="Y684" s="44" t="str">
        <f>VLOOKUP(M684,Table1[#All],2,FALSE)</f>
        <v>Action</v>
      </c>
      <c r="Z684" s="59" t="str">
        <f>VLOOKUP(M684,Table1[#All],9,FALSE)</f>
        <v>Additional Notes:</v>
      </c>
      <c r="AA684" s="76"/>
      <c r="AB684" s="76"/>
      <c r="AC684" s="90" t="s">
        <v>91</v>
      </c>
      <c r="AD684" s="76" t="s">
        <v>91</v>
      </c>
      <c r="AE684" s="77"/>
      <c r="AF684" s="77"/>
      <c r="AG684" s="41" t="s">
        <v>91</v>
      </c>
    </row>
    <row r="685" spans="1:33" ht="21" hidden="1" x14ac:dyDescent="0.55000000000000004">
      <c r="A685" s="44" t="str">
        <f>Data!K684</f>
        <v>DPOW-CCHP</v>
      </c>
      <c r="B685" s="44" t="str">
        <f>Data!L684</f>
        <v>4143899880</v>
      </c>
      <c r="C685" s="44" t="str">
        <f>Data!D684</f>
        <v>Rabe , Julia</v>
      </c>
      <c r="D685" s="82" t="str">
        <f>Data!F684</f>
        <v>1452359814</v>
      </c>
      <c r="E685" s="82" t="str">
        <f>Data!B684</f>
        <v>570</v>
      </c>
      <c r="F685" s="44" t="str">
        <f>Data!A684</f>
        <v>Rabe , Julia</v>
      </c>
      <c r="G685" s="55" t="str">
        <f>Data!C684</f>
        <v>11/9/2017</v>
      </c>
      <c r="H685" s="56">
        <f>Data!H684</f>
        <v>43839</v>
      </c>
      <c r="I685" s="56" t="str">
        <f>Data!I684</f>
        <v>1/9/2020</v>
      </c>
      <c r="J685" s="57">
        <f>Data!J684</f>
        <v>138</v>
      </c>
      <c r="K685" s="58">
        <f t="shared" ca="1" si="12"/>
        <v>861</v>
      </c>
      <c r="L685" s="58">
        <f>Data!M684</f>
        <v>0</v>
      </c>
      <c r="M685" s="37" t="s">
        <v>26</v>
      </c>
      <c r="N685" s="43" t="str">
        <f>VLOOKUP(M685,Table1[#All],3,FALSE)</f>
        <v>Note</v>
      </c>
      <c r="O685" s="40" t="str">
        <f>VLOOKUP(M685,Table1[#All],4,FALSE)</f>
        <v>Q1</v>
      </c>
      <c r="P685" s="39"/>
      <c r="Q685" s="40" t="str">
        <f>VLOOKUP(M685,Table1[#All],5,FALSE)</f>
        <v>Q2</v>
      </c>
      <c r="R685" s="79"/>
      <c r="S685" s="40" t="str">
        <f>VLOOKUP(M685,Table1[#All],6,FALSE)</f>
        <v>Q3</v>
      </c>
      <c r="T685" s="79"/>
      <c r="U685" s="40" t="str">
        <f>VLOOKUP(M685,Table1[#All],7,FALSE)</f>
        <v>Q4</v>
      </c>
      <c r="V685" s="79"/>
      <c r="W685" s="40" t="str">
        <f>VLOOKUP(M685,Table1[#All],8,FALSE)</f>
        <v>Q5</v>
      </c>
      <c r="X685" s="79"/>
      <c r="Y685" s="44" t="str">
        <f>VLOOKUP(M685,Table1[#All],2,FALSE)</f>
        <v>Action</v>
      </c>
      <c r="Z685" s="59" t="str">
        <f>VLOOKUP(M685,Table1[#All],9,FALSE)</f>
        <v>Additional Notes:</v>
      </c>
      <c r="AA685" s="76"/>
      <c r="AB685" s="76"/>
      <c r="AC685" s="90" t="s">
        <v>91</v>
      </c>
      <c r="AD685" s="76" t="s">
        <v>91</v>
      </c>
      <c r="AE685" s="77"/>
      <c r="AF685" s="77"/>
      <c r="AG685" s="41" t="s">
        <v>91</v>
      </c>
    </row>
    <row r="686" spans="1:33" ht="21" hidden="1" x14ac:dyDescent="0.55000000000000004">
      <c r="A686" s="44" t="str">
        <f>Data!K685</f>
        <v>DPOW-CCHP</v>
      </c>
      <c r="B686" s="44" t="str">
        <f>Data!L685</f>
        <v>4143899880</v>
      </c>
      <c r="C686" s="44" t="str">
        <f>Data!D685</f>
        <v xml:space="preserve">Navarrette , Alyson </v>
      </c>
      <c r="D686" s="82" t="str">
        <f>Data!F685</f>
        <v>4440371141</v>
      </c>
      <c r="E686" s="82" t="str">
        <f>Data!B685</f>
        <v>79</v>
      </c>
      <c r="F686" s="44" t="str">
        <f>Data!A685</f>
        <v xml:space="preserve">Navarrette , Alyson </v>
      </c>
      <c r="G686" s="55" t="str">
        <f>Data!C685</f>
        <v>4/17/2011</v>
      </c>
      <c r="H686" s="56">
        <f>Data!H685</f>
        <v>43832</v>
      </c>
      <c r="I686" s="56" t="str">
        <f>Data!I685</f>
        <v>1/3/2020</v>
      </c>
      <c r="J686" s="57">
        <f>Data!J685</f>
        <v>375.2</v>
      </c>
      <c r="K686" s="58">
        <f t="shared" ca="1" si="12"/>
        <v>867</v>
      </c>
      <c r="L686" s="58">
        <f>Data!M685</f>
        <v>0</v>
      </c>
      <c r="M686" s="37" t="s">
        <v>26</v>
      </c>
      <c r="N686" s="43" t="str">
        <f>VLOOKUP(M686,Table1[#All],3,FALSE)</f>
        <v>Note</v>
      </c>
      <c r="O686" s="40" t="str">
        <f>VLOOKUP(M686,Table1[#All],4,FALSE)</f>
        <v>Q1</v>
      </c>
      <c r="P686" s="39"/>
      <c r="Q686" s="40" t="str">
        <f>VLOOKUP(M686,Table1[#All],5,FALSE)</f>
        <v>Q2</v>
      </c>
      <c r="R686" s="79"/>
      <c r="S686" s="40" t="str">
        <f>VLOOKUP(M686,Table1[#All],6,FALSE)</f>
        <v>Q3</v>
      </c>
      <c r="T686" s="79"/>
      <c r="U686" s="40" t="str">
        <f>VLOOKUP(M686,Table1[#All],7,FALSE)</f>
        <v>Q4</v>
      </c>
      <c r="V686" s="79"/>
      <c r="W686" s="40" t="str">
        <f>VLOOKUP(M686,Table1[#All],8,FALSE)</f>
        <v>Q5</v>
      </c>
      <c r="X686" s="79"/>
      <c r="Y686" s="44" t="str">
        <f>VLOOKUP(M686,Table1[#All],2,FALSE)</f>
        <v>Action</v>
      </c>
      <c r="Z686" s="59" t="str">
        <f>VLOOKUP(M686,Table1[#All],9,FALSE)</f>
        <v>Additional Notes:</v>
      </c>
      <c r="AA686" s="76"/>
      <c r="AB686" s="76"/>
      <c r="AC686" s="90" t="s">
        <v>91</v>
      </c>
      <c r="AD686" s="76" t="s">
        <v>91</v>
      </c>
      <c r="AE686" s="77"/>
      <c r="AF686" s="77"/>
      <c r="AG686" s="41" t="s">
        <v>91</v>
      </c>
    </row>
    <row r="687" spans="1:33" ht="21" hidden="1" x14ac:dyDescent="0.55000000000000004">
      <c r="A687" s="44" t="str">
        <f>Data!K686</f>
        <v>DPOW-CCHP</v>
      </c>
      <c r="B687" s="44" t="str">
        <f>Data!L686</f>
        <v>4143899880</v>
      </c>
      <c r="C687" s="44" t="str">
        <f>Data!D686</f>
        <v>Navarrete, Jade</v>
      </c>
      <c r="D687" s="82" t="str">
        <f>Data!F686</f>
        <v>0451194004</v>
      </c>
      <c r="E687" s="82" t="str">
        <f>Data!B686</f>
        <v>1264</v>
      </c>
      <c r="F687" s="44" t="str">
        <f>Data!A686</f>
        <v>Navarrete, Jade</v>
      </c>
      <c r="G687" s="55" t="str">
        <f>Data!C686</f>
        <v>2/13/2017</v>
      </c>
      <c r="H687" s="56">
        <f>Data!H686</f>
        <v>43832</v>
      </c>
      <c r="I687" s="56" t="str">
        <f>Data!I686</f>
        <v>1/3/2020</v>
      </c>
      <c r="J687" s="57">
        <f>Data!J686</f>
        <v>166.8</v>
      </c>
      <c r="K687" s="58">
        <f t="shared" ca="1" si="12"/>
        <v>867</v>
      </c>
      <c r="L687" s="58">
        <f>Data!M686</f>
        <v>0</v>
      </c>
      <c r="M687" s="37" t="s">
        <v>26</v>
      </c>
      <c r="N687" s="43" t="str">
        <f>VLOOKUP(M687,Table1[#All],3,FALSE)</f>
        <v>Note</v>
      </c>
      <c r="O687" s="40" t="str">
        <f>VLOOKUP(M687,Table1[#All],4,FALSE)</f>
        <v>Q1</v>
      </c>
      <c r="P687" s="39"/>
      <c r="Q687" s="40" t="str">
        <f>VLOOKUP(M687,Table1[#All],5,FALSE)</f>
        <v>Q2</v>
      </c>
      <c r="R687" s="79"/>
      <c r="S687" s="40" t="str">
        <f>VLOOKUP(M687,Table1[#All],6,FALSE)</f>
        <v>Q3</v>
      </c>
      <c r="T687" s="79"/>
      <c r="U687" s="40" t="str">
        <f>VLOOKUP(M687,Table1[#All],7,FALSE)</f>
        <v>Q4</v>
      </c>
      <c r="V687" s="79"/>
      <c r="W687" s="40" t="str">
        <f>VLOOKUP(M687,Table1[#All],8,FALSE)</f>
        <v>Q5</v>
      </c>
      <c r="X687" s="79"/>
      <c r="Y687" s="44" t="str">
        <f>VLOOKUP(M687,Table1[#All],2,FALSE)</f>
        <v>Action</v>
      </c>
      <c r="Z687" s="59" t="str">
        <f>VLOOKUP(M687,Table1[#All],9,FALSE)</f>
        <v>Additional Notes:</v>
      </c>
      <c r="AA687" s="76"/>
      <c r="AB687" s="76"/>
      <c r="AC687" s="90" t="s">
        <v>91</v>
      </c>
      <c r="AD687" s="76" t="s">
        <v>91</v>
      </c>
      <c r="AE687" s="77"/>
      <c r="AF687" s="77"/>
      <c r="AG687" s="41" t="s">
        <v>91</v>
      </c>
    </row>
    <row r="688" spans="1:33" ht="21" hidden="1" x14ac:dyDescent="0.55000000000000004">
      <c r="A688" s="44" t="str">
        <f>Data!K687</f>
        <v>DPOW-CCHP</v>
      </c>
      <c r="B688" s="44" t="str">
        <f>Data!L687</f>
        <v>4143899880</v>
      </c>
      <c r="C688" s="44" t="str">
        <f>Data!D687</f>
        <v>Navarrete, Jacob</v>
      </c>
      <c r="D688" s="82" t="str">
        <f>Data!F687</f>
        <v>8443405180</v>
      </c>
      <c r="E688" s="82" t="str">
        <f>Data!B687</f>
        <v>131</v>
      </c>
      <c r="F688" s="44" t="str">
        <f>Data!A687</f>
        <v>Navarrete, Jacob</v>
      </c>
      <c r="G688" s="55" t="str">
        <f>Data!C687</f>
        <v>12/13/2012</v>
      </c>
      <c r="H688" s="56">
        <f>Data!H687</f>
        <v>43832</v>
      </c>
      <c r="I688" s="56" t="str">
        <f>Data!I687</f>
        <v>1/3/2020</v>
      </c>
      <c r="J688" s="57">
        <f>Data!J687</f>
        <v>326</v>
      </c>
      <c r="K688" s="58">
        <f t="shared" ca="1" si="12"/>
        <v>867</v>
      </c>
      <c r="L688" s="58">
        <f>Data!M687</f>
        <v>0</v>
      </c>
      <c r="M688" s="37" t="s">
        <v>26</v>
      </c>
      <c r="N688" s="43" t="str">
        <f>VLOOKUP(M688,Table1[#All],3,FALSE)</f>
        <v>Note</v>
      </c>
      <c r="O688" s="40" t="str">
        <f>VLOOKUP(M688,Table1[#All],4,FALSE)</f>
        <v>Q1</v>
      </c>
      <c r="P688" s="39"/>
      <c r="Q688" s="40" t="str">
        <f>VLOOKUP(M688,Table1[#All],5,FALSE)</f>
        <v>Q2</v>
      </c>
      <c r="R688" s="79"/>
      <c r="S688" s="40" t="str">
        <f>VLOOKUP(M688,Table1[#All],6,FALSE)</f>
        <v>Q3</v>
      </c>
      <c r="T688" s="79"/>
      <c r="U688" s="40" t="str">
        <f>VLOOKUP(M688,Table1[#All],7,FALSE)</f>
        <v>Q4</v>
      </c>
      <c r="V688" s="79"/>
      <c r="W688" s="40" t="str">
        <f>VLOOKUP(M688,Table1[#All],8,FALSE)</f>
        <v>Q5</v>
      </c>
      <c r="X688" s="79"/>
      <c r="Y688" s="44" t="str">
        <f>VLOOKUP(M688,Table1[#All],2,FALSE)</f>
        <v>Action</v>
      </c>
      <c r="Z688" s="59" t="str">
        <f>VLOOKUP(M688,Table1[#All],9,FALSE)</f>
        <v>Additional Notes:</v>
      </c>
      <c r="AA688" s="76"/>
      <c r="AB688" s="76"/>
      <c r="AC688" s="90" t="s">
        <v>91</v>
      </c>
      <c r="AD688" s="76" t="s">
        <v>91</v>
      </c>
      <c r="AE688" s="77"/>
      <c r="AF688" s="77"/>
      <c r="AG688" s="41" t="s">
        <v>91</v>
      </c>
    </row>
    <row r="689" spans="1:33" ht="21" hidden="1" x14ac:dyDescent="0.55000000000000004">
      <c r="A689" s="44" t="str">
        <f>Data!K688</f>
        <v>DPOW-CCHP</v>
      </c>
      <c r="B689" s="44" t="str">
        <f>Data!L688</f>
        <v>4143899880</v>
      </c>
      <c r="C689" s="44" t="str">
        <f>Data!D688</f>
        <v xml:space="preserve">Esparza , Crystal </v>
      </c>
      <c r="D689" s="82" t="str">
        <f>Data!F688</f>
        <v>2437144820</v>
      </c>
      <c r="E689" s="82" t="str">
        <f>Data!B688</f>
        <v>3218</v>
      </c>
      <c r="F689" s="44" t="str">
        <f>Data!A688</f>
        <v xml:space="preserve">Esparza , Crystal </v>
      </c>
      <c r="G689" s="55" t="str">
        <f>Data!C688</f>
        <v>10/19/2009</v>
      </c>
      <c r="H689" s="56">
        <f>Data!H688</f>
        <v>43813</v>
      </c>
      <c r="I689" s="56" t="str">
        <f>Data!I688</f>
        <v>12/18/2019</v>
      </c>
      <c r="J689" s="57">
        <f>Data!J688</f>
        <v>273.2</v>
      </c>
      <c r="K689" s="58">
        <f t="shared" ca="1" si="12"/>
        <v>883</v>
      </c>
      <c r="L689" s="58">
        <f>Data!M688</f>
        <v>0</v>
      </c>
      <c r="M689" s="37" t="s">
        <v>26</v>
      </c>
      <c r="N689" s="43" t="str">
        <f>VLOOKUP(M689,Table1[#All],3,FALSE)</f>
        <v>Note</v>
      </c>
      <c r="O689" s="40" t="str">
        <f>VLOOKUP(M689,Table1[#All],4,FALSE)</f>
        <v>Q1</v>
      </c>
      <c r="P689" s="39"/>
      <c r="Q689" s="40" t="str">
        <f>VLOOKUP(M689,Table1[#All],5,FALSE)</f>
        <v>Q2</v>
      </c>
      <c r="R689" s="79"/>
      <c r="S689" s="40" t="str">
        <f>VLOOKUP(M689,Table1[#All],6,FALSE)</f>
        <v>Q3</v>
      </c>
      <c r="T689" s="79"/>
      <c r="U689" s="40" t="str">
        <f>VLOOKUP(M689,Table1[#All],7,FALSE)</f>
        <v>Q4</v>
      </c>
      <c r="V689" s="79"/>
      <c r="W689" s="40" t="str">
        <f>VLOOKUP(M689,Table1[#All],8,FALSE)</f>
        <v>Q5</v>
      </c>
      <c r="X689" s="79"/>
      <c r="Y689" s="44" t="str">
        <f>VLOOKUP(M689,Table1[#All],2,FALSE)</f>
        <v>Action</v>
      </c>
      <c r="Z689" s="59" t="str">
        <f>VLOOKUP(M689,Table1[#All],9,FALSE)</f>
        <v>Additional Notes:</v>
      </c>
      <c r="AA689" s="76"/>
      <c r="AB689" s="76"/>
      <c r="AC689" s="90" t="s">
        <v>91</v>
      </c>
      <c r="AD689" s="76" t="s">
        <v>91</v>
      </c>
      <c r="AE689" s="77"/>
      <c r="AF689" s="77"/>
      <c r="AG689" s="41" t="s">
        <v>91</v>
      </c>
    </row>
    <row r="690" spans="1:33" ht="21" hidden="1" x14ac:dyDescent="0.55000000000000004">
      <c r="A690" s="44" t="str">
        <f>Data!K689</f>
        <v>DPOW-CCHP</v>
      </c>
      <c r="B690" s="44" t="str">
        <f>Data!L689</f>
        <v>4143899880</v>
      </c>
      <c r="C690" s="44" t="str">
        <f>Data!D689</f>
        <v xml:space="preserve">Esparza , Zenia </v>
      </c>
      <c r="D690" s="82" t="str">
        <f>Data!F689</f>
        <v>9425839891</v>
      </c>
      <c r="E690" s="82" t="str">
        <f>Data!B689</f>
        <v>3269</v>
      </c>
      <c r="F690" s="44" t="str">
        <f>Data!A689</f>
        <v xml:space="preserve">Esparza , Zenia </v>
      </c>
      <c r="G690" s="55" t="str">
        <f>Data!C689</f>
        <v>3/9/2006</v>
      </c>
      <c r="H690" s="56">
        <f>Data!H689</f>
        <v>43810</v>
      </c>
      <c r="I690" s="56" t="str">
        <f>Data!I689</f>
        <v>12/13/2019</v>
      </c>
      <c r="J690" s="57">
        <f>Data!J689</f>
        <v>266</v>
      </c>
      <c r="K690" s="58">
        <f t="shared" ca="1" si="12"/>
        <v>888</v>
      </c>
      <c r="L690" s="58">
        <f>Data!M689</f>
        <v>0</v>
      </c>
      <c r="M690" s="37" t="s">
        <v>26</v>
      </c>
      <c r="N690" s="43" t="str">
        <f>VLOOKUP(M690,Table1[#All],3,FALSE)</f>
        <v>Note</v>
      </c>
      <c r="O690" s="40" t="str">
        <f>VLOOKUP(M690,Table1[#All],4,FALSE)</f>
        <v>Q1</v>
      </c>
      <c r="P690" s="39"/>
      <c r="Q690" s="40" t="str">
        <f>VLOOKUP(M690,Table1[#All],5,FALSE)</f>
        <v>Q2</v>
      </c>
      <c r="R690" s="79"/>
      <c r="S690" s="40" t="str">
        <f>VLOOKUP(M690,Table1[#All],6,FALSE)</f>
        <v>Q3</v>
      </c>
      <c r="T690" s="79"/>
      <c r="U690" s="40" t="str">
        <f>VLOOKUP(M690,Table1[#All],7,FALSE)</f>
        <v>Q4</v>
      </c>
      <c r="V690" s="79"/>
      <c r="W690" s="40" t="str">
        <f>VLOOKUP(M690,Table1[#All],8,FALSE)</f>
        <v>Q5</v>
      </c>
      <c r="X690" s="79"/>
      <c r="Y690" s="44" t="str">
        <f>VLOOKUP(M690,Table1[#All],2,FALSE)</f>
        <v>Action</v>
      </c>
      <c r="Z690" s="59" t="str">
        <f>VLOOKUP(M690,Table1[#All],9,FALSE)</f>
        <v>Additional Notes:</v>
      </c>
      <c r="AA690" s="76"/>
      <c r="AB690" s="76"/>
      <c r="AC690" s="90" t="s">
        <v>91</v>
      </c>
      <c r="AD690" s="76" t="s">
        <v>91</v>
      </c>
      <c r="AE690" s="77"/>
      <c r="AF690" s="77"/>
      <c r="AG690" s="41" t="s">
        <v>91</v>
      </c>
    </row>
    <row r="691" spans="1:33" ht="21" hidden="1" x14ac:dyDescent="0.55000000000000004">
      <c r="A691" s="44" t="str">
        <f>Data!K690</f>
        <v>DPOW-CCHP</v>
      </c>
      <c r="B691" s="44" t="str">
        <f>Data!L690</f>
        <v>4143899880</v>
      </c>
      <c r="C691" s="44" t="str">
        <f>Data!D690</f>
        <v xml:space="preserve">Porter , Marqwan </v>
      </c>
      <c r="D691" s="82" t="str">
        <f>Data!F690</f>
        <v>4450081048</v>
      </c>
      <c r="E691" s="82" t="str">
        <f>Data!B690</f>
        <v>2188</v>
      </c>
      <c r="F691" s="44" t="str">
        <f>Data!A690</f>
        <v xml:space="preserve">Porter , Marqwan </v>
      </c>
      <c r="G691" s="55" t="str">
        <f>Data!C690</f>
        <v>6/29/2016</v>
      </c>
      <c r="H691" s="56">
        <f>Data!H690</f>
        <v>43685</v>
      </c>
      <c r="I691" s="56" t="str">
        <f>Data!I690</f>
        <v>11/25/2019</v>
      </c>
      <c r="J691" s="57">
        <f>Data!J690</f>
        <v>166.8</v>
      </c>
      <c r="K691" s="58">
        <f t="shared" ca="1" si="12"/>
        <v>906</v>
      </c>
      <c r="L691" s="58">
        <f>Data!M690</f>
        <v>0</v>
      </c>
      <c r="M691" s="37" t="s">
        <v>26</v>
      </c>
      <c r="N691" s="43" t="str">
        <f>VLOOKUP(M691,Table1[#All],3,FALSE)</f>
        <v>Note</v>
      </c>
      <c r="O691" s="40" t="str">
        <f>VLOOKUP(M691,Table1[#All],4,FALSE)</f>
        <v>Q1</v>
      </c>
      <c r="P691" s="39"/>
      <c r="Q691" s="40" t="str">
        <f>VLOOKUP(M691,Table1[#All],5,FALSE)</f>
        <v>Q2</v>
      </c>
      <c r="R691" s="79"/>
      <c r="S691" s="40" t="str">
        <f>VLOOKUP(M691,Table1[#All],6,FALSE)</f>
        <v>Q3</v>
      </c>
      <c r="T691" s="79"/>
      <c r="U691" s="40" t="str">
        <f>VLOOKUP(M691,Table1[#All],7,FALSE)</f>
        <v>Q4</v>
      </c>
      <c r="V691" s="79"/>
      <c r="W691" s="40" t="str">
        <f>VLOOKUP(M691,Table1[#All],8,FALSE)</f>
        <v>Q5</v>
      </c>
      <c r="X691" s="79"/>
      <c r="Y691" s="44" t="str">
        <f>VLOOKUP(M691,Table1[#All],2,FALSE)</f>
        <v>Action</v>
      </c>
      <c r="Z691" s="59" t="str">
        <f>VLOOKUP(M691,Table1[#All],9,FALSE)</f>
        <v>Additional Notes:</v>
      </c>
      <c r="AA691" s="76"/>
      <c r="AB691" s="76"/>
      <c r="AC691" s="90" t="s">
        <v>91</v>
      </c>
      <c r="AD691" s="76" t="s">
        <v>91</v>
      </c>
      <c r="AE691" s="77"/>
      <c r="AF691" s="77"/>
      <c r="AG691" s="41" t="s">
        <v>91</v>
      </c>
    </row>
    <row r="692" spans="1:33" ht="21" hidden="1" x14ac:dyDescent="0.55000000000000004">
      <c r="A692" s="44" t="str">
        <f>Data!K691</f>
        <v>DPOW-CCHP</v>
      </c>
      <c r="B692" s="44" t="str">
        <f>Data!L691</f>
        <v>4143899880</v>
      </c>
      <c r="C692" s="44" t="str">
        <f>Data!D691</f>
        <v>BENTLEY, CHARLES</v>
      </c>
      <c r="D692" s="82" t="str">
        <f>Data!F691</f>
        <v>7442119476</v>
      </c>
      <c r="E692" s="82" t="str">
        <f>Data!B691</f>
        <v>1610</v>
      </c>
      <c r="F692" s="44" t="str">
        <f>Data!A691</f>
        <v>BENTLEY, CHARLES</v>
      </c>
      <c r="G692" s="55" t="str">
        <f>Data!C691</f>
        <v>4/25/2012</v>
      </c>
      <c r="H692" s="56">
        <f>Data!H691</f>
        <v>43621</v>
      </c>
      <c r="I692" s="56" t="str">
        <f>Data!I691</f>
        <v>10/31/2019</v>
      </c>
      <c r="J692" s="57">
        <f>Data!J691</f>
        <v>414</v>
      </c>
      <c r="K692" s="58">
        <f t="shared" ca="1" si="12"/>
        <v>931</v>
      </c>
      <c r="L692" s="58">
        <f>Data!M691</f>
        <v>0</v>
      </c>
      <c r="M692" s="37" t="s">
        <v>26</v>
      </c>
      <c r="N692" s="43" t="str">
        <f>VLOOKUP(M692,Table1[#All],3,FALSE)</f>
        <v>Note</v>
      </c>
      <c r="O692" s="40" t="str">
        <f>VLOOKUP(M692,Table1[#All],4,FALSE)</f>
        <v>Q1</v>
      </c>
      <c r="P692" s="39"/>
      <c r="Q692" s="40" t="str">
        <f>VLOOKUP(M692,Table1[#All],5,FALSE)</f>
        <v>Q2</v>
      </c>
      <c r="R692" s="79"/>
      <c r="S692" s="40" t="str">
        <f>VLOOKUP(M692,Table1[#All],6,FALSE)</f>
        <v>Q3</v>
      </c>
      <c r="T692" s="79"/>
      <c r="U692" s="40" t="str">
        <f>VLOOKUP(M692,Table1[#All],7,FALSE)</f>
        <v>Q4</v>
      </c>
      <c r="V692" s="79"/>
      <c r="W692" s="40" t="str">
        <f>VLOOKUP(M692,Table1[#All],8,FALSE)</f>
        <v>Q5</v>
      </c>
      <c r="X692" s="79"/>
      <c r="Y692" s="44" t="str">
        <f>VLOOKUP(M692,Table1[#All],2,FALSE)</f>
        <v>Action</v>
      </c>
      <c r="Z692" s="59" t="str">
        <f>VLOOKUP(M692,Table1[#All],9,FALSE)</f>
        <v>Additional Notes:</v>
      </c>
      <c r="AA692" s="76"/>
      <c r="AB692" s="76"/>
      <c r="AC692" s="90" t="s">
        <v>91</v>
      </c>
      <c r="AD692" s="76" t="s">
        <v>91</v>
      </c>
      <c r="AE692" s="77"/>
      <c r="AF692" s="77"/>
      <c r="AG692" s="41" t="s">
        <v>91</v>
      </c>
    </row>
    <row r="693" spans="1:33" ht="21" hidden="1" x14ac:dyDescent="0.55000000000000004">
      <c r="A693" s="44" t="str">
        <f>Data!K692</f>
        <v>DPOW-CCHP</v>
      </c>
      <c r="B693" s="44" t="str">
        <f>Data!L692</f>
        <v>4143899880</v>
      </c>
      <c r="C693" s="44" t="str">
        <f>Data!D692</f>
        <v>Townsend, Londyn</v>
      </c>
      <c r="D693" s="82" t="str">
        <f>Data!F692</f>
        <v>7453407079</v>
      </c>
      <c r="E693" s="82" t="str">
        <f>Data!B692</f>
        <v>716</v>
      </c>
      <c r="F693" s="44" t="str">
        <f>Data!A692</f>
        <v>Townsend, Londyn</v>
      </c>
      <c r="G693" s="55" t="str">
        <f>Data!C692</f>
        <v>1/9/2017</v>
      </c>
      <c r="H693" s="56">
        <f>Data!H692</f>
        <v>43571</v>
      </c>
      <c r="I693" s="56" t="str">
        <f>Data!I692</f>
        <v>4/19/2019</v>
      </c>
      <c r="J693" s="57">
        <f>Data!J692</f>
        <v>88.8</v>
      </c>
      <c r="K693" s="58">
        <f t="shared" ca="1" si="12"/>
        <v>1126</v>
      </c>
      <c r="L693" s="58">
        <f>Data!M692</f>
        <v>0</v>
      </c>
      <c r="M693" s="37" t="s">
        <v>26</v>
      </c>
      <c r="N693" s="43" t="str">
        <f>VLOOKUP(M693,Table1[#All],3,FALSE)</f>
        <v>Note</v>
      </c>
      <c r="O693" s="40" t="str">
        <f>VLOOKUP(M693,Table1[#All],4,FALSE)</f>
        <v>Q1</v>
      </c>
      <c r="P693" s="39"/>
      <c r="Q693" s="40" t="str">
        <f>VLOOKUP(M693,Table1[#All],5,FALSE)</f>
        <v>Q2</v>
      </c>
      <c r="R693" s="79"/>
      <c r="S693" s="40" t="str">
        <f>VLOOKUP(M693,Table1[#All],6,FALSE)</f>
        <v>Q3</v>
      </c>
      <c r="T693" s="79"/>
      <c r="U693" s="40" t="str">
        <f>VLOOKUP(M693,Table1[#All],7,FALSE)</f>
        <v>Q4</v>
      </c>
      <c r="V693" s="79"/>
      <c r="W693" s="40" t="str">
        <f>VLOOKUP(M693,Table1[#All],8,FALSE)</f>
        <v>Q5</v>
      </c>
      <c r="X693" s="79"/>
      <c r="Y693" s="44" t="str">
        <f>VLOOKUP(M693,Table1[#All],2,FALSE)</f>
        <v>Action</v>
      </c>
      <c r="Z693" s="59" t="str">
        <f>VLOOKUP(M693,Table1[#All],9,FALSE)</f>
        <v>Additional Notes:</v>
      </c>
      <c r="AA693" s="76"/>
      <c r="AB693" s="76"/>
      <c r="AC693" s="90" t="s">
        <v>91</v>
      </c>
      <c r="AD693" s="76" t="s">
        <v>91</v>
      </c>
      <c r="AE693" s="77"/>
      <c r="AF693" s="77"/>
      <c r="AG693" s="41" t="s">
        <v>91</v>
      </c>
    </row>
    <row r="694" spans="1:33" ht="21" hidden="1" x14ac:dyDescent="0.55000000000000004">
      <c r="A694" s="44" t="str">
        <f>Data!K693</f>
        <v>Forward Health</v>
      </c>
      <c r="B694" s="44" t="str">
        <f>Data!L693</f>
        <v>8009479627</v>
      </c>
      <c r="C694" s="44" t="str">
        <f>Data!D693</f>
        <v>Lebron Correa, Yahir</v>
      </c>
      <c r="D694" s="82" t="str">
        <f>Data!F693</f>
        <v>7452223071</v>
      </c>
      <c r="E694" s="82" t="str">
        <f>Data!B693</f>
        <v>7330</v>
      </c>
      <c r="F694" s="44" t="str">
        <f>Data!A693</f>
        <v>Lebron Correa, Yahir</v>
      </c>
      <c r="G694" s="55" t="str">
        <f>Data!C693</f>
        <v>9/9/2014</v>
      </c>
      <c r="H694" s="56">
        <f>Data!H693</f>
        <v>44652</v>
      </c>
      <c r="I694" s="56" t="str">
        <f>Data!I693</f>
        <v>4/4/2022</v>
      </c>
      <c r="J694" s="57">
        <f>Data!J693</f>
        <v>992.4</v>
      </c>
      <c r="K694" s="58">
        <f t="shared" ca="1" si="12"/>
        <v>45</v>
      </c>
      <c r="L694" s="58">
        <f>Data!M693</f>
        <v>0</v>
      </c>
      <c r="M694" s="37" t="s">
        <v>26</v>
      </c>
      <c r="N694" s="43" t="str">
        <f>VLOOKUP(M694,Table1[#All],3,FALSE)</f>
        <v>Note</v>
      </c>
      <c r="O694" s="40" t="str">
        <f>VLOOKUP(M694,Table1[#All],4,FALSE)</f>
        <v>Q1</v>
      </c>
      <c r="P694" s="39"/>
      <c r="Q694" s="40" t="str">
        <f>VLOOKUP(M694,Table1[#All],5,FALSE)</f>
        <v>Q2</v>
      </c>
      <c r="R694" s="79"/>
      <c r="S694" s="40" t="str">
        <f>VLOOKUP(M694,Table1[#All],6,FALSE)</f>
        <v>Q3</v>
      </c>
      <c r="T694" s="79"/>
      <c r="U694" s="40" t="str">
        <f>VLOOKUP(M694,Table1[#All],7,FALSE)</f>
        <v>Q4</v>
      </c>
      <c r="V694" s="79"/>
      <c r="W694" s="40" t="str">
        <f>VLOOKUP(M694,Table1[#All],8,FALSE)</f>
        <v>Q5</v>
      </c>
      <c r="X694" s="79"/>
      <c r="Y694" s="44" t="str">
        <f>VLOOKUP(M694,Table1[#All],2,FALSE)</f>
        <v>Action</v>
      </c>
      <c r="Z694" s="59" t="str">
        <f>VLOOKUP(M694,Table1[#All],9,FALSE)</f>
        <v>Additional Notes:</v>
      </c>
      <c r="AA694" s="76"/>
      <c r="AB694" s="76"/>
      <c r="AC694" s="90" t="s">
        <v>91</v>
      </c>
      <c r="AD694" s="76" t="s">
        <v>91</v>
      </c>
      <c r="AE694" s="77"/>
      <c r="AF694" s="77"/>
      <c r="AG694" s="41" t="s">
        <v>91</v>
      </c>
    </row>
    <row r="695" spans="1:33" ht="21" hidden="1" x14ac:dyDescent="0.55000000000000004">
      <c r="A695" s="44" t="str">
        <f>Data!K694</f>
        <v>Forward Health</v>
      </c>
      <c r="B695" s="44" t="str">
        <f>Data!L694</f>
        <v>8009479627</v>
      </c>
      <c r="C695" s="44" t="str">
        <f>Data!D694</f>
        <v xml:space="preserve">Lagerman , Harper </v>
      </c>
      <c r="D695" s="82" t="str">
        <f>Data!F694</f>
        <v>2454446227</v>
      </c>
      <c r="E695" s="82" t="str">
        <f>Data!B694</f>
        <v>9307</v>
      </c>
      <c r="F695" s="44" t="str">
        <f>Data!A694</f>
        <v xml:space="preserve">Lagerman , Harper </v>
      </c>
      <c r="G695" s="55" t="str">
        <f>Data!C694</f>
        <v>5/9/2017</v>
      </c>
      <c r="H695" s="56">
        <f>Data!H694</f>
        <v>44652</v>
      </c>
      <c r="I695" s="56" t="str">
        <f>Data!I694</f>
        <v>4/4/2022</v>
      </c>
      <c r="J695" s="57">
        <f>Data!J694</f>
        <v>808.8</v>
      </c>
      <c r="K695" s="58">
        <f t="shared" ca="1" si="12"/>
        <v>45</v>
      </c>
      <c r="L695" s="58">
        <f>Data!M694</f>
        <v>0</v>
      </c>
      <c r="M695" s="37" t="s">
        <v>26</v>
      </c>
      <c r="N695" s="43" t="str">
        <f>VLOOKUP(M695,Table1[#All],3,FALSE)</f>
        <v>Note</v>
      </c>
      <c r="O695" s="40" t="str">
        <f>VLOOKUP(M695,Table1[#All],4,FALSE)</f>
        <v>Q1</v>
      </c>
      <c r="P695" s="39"/>
      <c r="Q695" s="40" t="str">
        <f>VLOOKUP(M695,Table1[#All],5,FALSE)</f>
        <v>Q2</v>
      </c>
      <c r="R695" s="79"/>
      <c r="S695" s="40" t="str">
        <f>VLOOKUP(M695,Table1[#All],6,FALSE)</f>
        <v>Q3</v>
      </c>
      <c r="T695" s="79"/>
      <c r="U695" s="40" t="str">
        <f>VLOOKUP(M695,Table1[#All],7,FALSE)</f>
        <v>Q4</v>
      </c>
      <c r="V695" s="79"/>
      <c r="W695" s="40" t="str">
        <f>VLOOKUP(M695,Table1[#All],8,FALSE)</f>
        <v>Q5</v>
      </c>
      <c r="X695" s="79"/>
      <c r="Y695" s="44" t="str">
        <f>VLOOKUP(M695,Table1[#All],2,FALSE)</f>
        <v>Action</v>
      </c>
      <c r="Z695" s="59" t="str">
        <f>VLOOKUP(M695,Table1[#All],9,FALSE)</f>
        <v>Additional Notes:</v>
      </c>
      <c r="AA695" s="76"/>
      <c r="AB695" s="76"/>
      <c r="AC695" s="90" t="s">
        <v>91</v>
      </c>
      <c r="AD695" s="76" t="s">
        <v>91</v>
      </c>
      <c r="AE695" s="77"/>
      <c r="AF695" s="77"/>
      <c r="AG695" s="41" t="s">
        <v>91</v>
      </c>
    </row>
    <row r="696" spans="1:33" ht="21" hidden="1" x14ac:dyDescent="0.55000000000000004">
      <c r="A696" s="44" t="str">
        <f>Data!K695</f>
        <v>Forward Health</v>
      </c>
      <c r="B696" s="44" t="str">
        <f>Data!L695</f>
        <v>8009479627</v>
      </c>
      <c r="C696" s="44" t="str">
        <f>Data!D695</f>
        <v xml:space="preserve">Brooks, Lucia </v>
      </c>
      <c r="D696" s="82" t="str">
        <f>Data!F695</f>
        <v>4410244949</v>
      </c>
      <c r="E696" s="82" t="str">
        <f>Data!B695</f>
        <v>1347</v>
      </c>
      <c r="F696" s="44" t="str">
        <f>Data!A695</f>
        <v xml:space="preserve">Brooks, Lucia </v>
      </c>
      <c r="G696" s="55" t="str">
        <f>Data!C695</f>
        <v>2/17/1977</v>
      </c>
      <c r="H696" s="56">
        <f>Data!H695</f>
        <v>44652</v>
      </c>
      <c r="I696" s="56" t="str">
        <f>Data!I695</f>
        <v>4/4/2022</v>
      </c>
      <c r="J696" s="57">
        <f>Data!J695</f>
        <v>266</v>
      </c>
      <c r="K696" s="58">
        <f t="shared" ca="1" si="12"/>
        <v>45</v>
      </c>
      <c r="L696" s="58">
        <f>Data!M695</f>
        <v>0</v>
      </c>
      <c r="M696" s="37" t="s">
        <v>26</v>
      </c>
      <c r="N696" s="43" t="str">
        <f>VLOOKUP(M696,Table1[#All],3,FALSE)</f>
        <v>Note</v>
      </c>
      <c r="O696" s="40" t="str">
        <f>VLOOKUP(M696,Table1[#All],4,FALSE)</f>
        <v>Q1</v>
      </c>
      <c r="P696" s="39"/>
      <c r="Q696" s="40" t="str">
        <f>VLOOKUP(M696,Table1[#All],5,FALSE)</f>
        <v>Q2</v>
      </c>
      <c r="R696" s="79"/>
      <c r="S696" s="40" t="str">
        <f>VLOOKUP(M696,Table1[#All],6,FALSE)</f>
        <v>Q3</v>
      </c>
      <c r="T696" s="79"/>
      <c r="U696" s="40" t="str">
        <f>VLOOKUP(M696,Table1[#All],7,FALSE)</f>
        <v>Q4</v>
      </c>
      <c r="V696" s="79"/>
      <c r="W696" s="40" t="str">
        <f>VLOOKUP(M696,Table1[#All],8,FALSE)</f>
        <v>Q5</v>
      </c>
      <c r="X696" s="79"/>
      <c r="Y696" s="44" t="str">
        <f>VLOOKUP(M696,Table1[#All],2,FALSE)</f>
        <v>Action</v>
      </c>
      <c r="Z696" s="59" t="str">
        <f>VLOOKUP(M696,Table1[#All],9,FALSE)</f>
        <v>Additional Notes:</v>
      </c>
      <c r="AA696" s="76"/>
      <c r="AB696" s="76"/>
      <c r="AC696" s="90" t="s">
        <v>91</v>
      </c>
      <c r="AD696" s="76" t="s">
        <v>91</v>
      </c>
      <c r="AE696" s="77"/>
      <c r="AF696" s="77"/>
      <c r="AG696" s="41" t="s">
        <v>91</v>
      </c>
    </row>
    <row r="697" spans="1:33" ht="21" hidden="1" x14ac:dyDescent="0.55000000000000004">
      <c r="A697" s="44" t="str">
        <f>Data!K696</f>
        <v>Forward Health</v>
      </c>
      <c r="B697" s="44" t="str">
        <f>Data!L696</f>
        <v>8009479627</v>
      </c>
      <c r="C697" s="44" t="str">
        <f>Data!D696</f>
        <v>Fleming , Glenn</v>
      </c>
      <c r="D697" s="82" t="str">
        <f>Data!F696</f>
        <v>1439379017</v>
      </c>
      <c r="E697" s="82" t="str">
        <f>Data!B696</f>
        <v>9158</v>
      </c>
      <c r="F697" s="44" t="str">
        <f>Data!A696</f>
        <v>Fleming , Glenn</v>
      </c>
      <c r="G697" s="55" t="str">
        <f>Data!C696</f>
        <v>7/14/1958</v>
      </c>
      <c r="H697" s="56">
        <f>Data!H696</f>
        <v>44651</v>
      </c>
      <c r="I697" s="56" t="str">
        <f>Data!I696</f>
        <v>4/1/2022</v>
      </c>
      <c r="J697" s="57">
        <f>Data!J696</f>
        <v>2019.6</v>
      </c>
      <c r="K697" s="58">
        <f t="shared" ca="1" si="12"/>
        <v>48</v>
      </c>
      <c r="L697" s="58">
        <f>Data!M696</f>
        <v>0</v>
      </c>
      <c r="M697" s="37" t="s">
        <v>26</v>
      </c>
      <c r="N697" s="43" t="str">
        <f>VLOOKUP(M697,Table1[#All],3,FALSE)</f>
        <v>Note</v>
      </c>
      <c r="O697" s="40" t="str">
        <f>VLOOKUP(M697,Table1[#All],4,FALSE)</f>
        <v>Q1</v>
      </c>
      <c r="P697" s="39"/>
      <c r="Q697" s="40" t="str">
        <f>VLOOKUP(M697,Table1[#All],5,FALSE)</f>
        <v>Q2</v>
      </c>
      <c r="R697" s="79"/>
      <c r="S697" s="40" t="str">
        <f>VLOOKUP(M697,Table1[#All],6,FALSE)</f>
        <v>Q3</v>
      </c>
      <c r="T697" s="79"/>
      <c r="U697" s="40" t="str">
        <f>VLOOKUP(M697,Table1[#All],7,FALSE)</f>
        <v>Q4</v>
      </c>
      <c r="V697" s="79"/>
      <c r="W697" s="40" t="str">
        <f>VLOOKUP(M697,Table1[#All],8,FALSE)</f>
        <v>Q5</v>
      </c>
      <c r="X697" s="79"/>
      <c r="Y697" s="44" t="str">
        <f>VLOOKUP(M697,Table1[#All],2,FALSE)</f>
        <v>Action</v>
      </c>
      <c r="Z697" s="59" t="str">
        <f>VLOOKUP(M697,Table1[#All],9,FALSE)</f>
        <v>Additional Notes:</v>
      </c>
      <c r="AA697" s="76"/>
      <c r="AB697" s="76"/>
      <c r="AC697" s="90" t="s">
        <v>91</v>
      </c>
      <c r="AD697" s="76" t="s">
        <v>91</v>
      </c>
      <c r="AE697" s="77"/>
      <c r="AF697" s="77"/>
      <c r="AG697" s="41" t="s">
        <v>91</v>
      </c>
    </row>
    <row r="698" spans="1:33" ht="21" hidden="1" x14ac:dyDescent="0.55000000000000004">
      <c r="A698" s="44" t="str">
        <f>Data!K697</f>
        <v>Forward Health</v>
      </c>
      <c r="B698" s="44" t="str">
        <f>Data!L697</f>
        <v>8009479627</v>
      </c>
      <c r="C698" s="44" t="str">
        <f>Data!D697</f>
        <v>Lewis, Tye</v>
      </c>
      <c r="D698" s="82" t="str">
        <f>Data!F697</f>
        <v>0415685702</v>
      </c>
      <c r="E698" s="82" t="str">
        <f>Data!B697</f>
        <v>9331</v>
      </c>
      <c r="F698" s="44" t="str">
        <f>Data!A697</f>
        <v>Lewis, Tye</v>
      </c>
      <c r="G698" s="55" t="str">
        <f>Data!C697</f>
        <v>5/31/1969</v>
      </c>
      <c r="H698" s="56">
        <f>Data!H697</f>
        <v>44651</v>
      </c>
      <c r="I698" s="56" t="str">
        <f>Data!I697</f>
        <v>4/1/2022</v>
      </c>
      <c r="J698" s="57">
        <f>Data!J697</f>
        <v>348</v>
      </c>
      <c r="K698" s="58">
        <f t="shared" ca="1" si="12"/>
        <v>48</v>
      </c>
      <c r="L698" s="58">
        <f>Data!M697</f>
        <v>0</v>
      </c>
      <c r="M698" s="37" t="s">
        <v>26</v>
      </c>
      <c r="N698" s="43" t="str">
        <f>VLOOKUP(M698,Table1[#All],3,FALSE)</f>
        <v>Note</v>
      </c>
      <c r="O698" s="40" t="str">
        <f>VLOOKUP(M698,Table1[#All],4,FALSE)</f>
        <v>Q1</v>
      </c>
      <c r="P698" s="39"/>
      <c r="Q698" s="40" t="str">
        <f>VLOOKUP(M698,Table1[#All],5,FALSE)</f>
        <v>Q2</v>
      </c>
      <c r="R698" s="79"/>
      <c r="S698" s="40" t="str">
        <f>VLOOKUP(M698,Table1[#All],6,FALSE)</f>
        <v>Q3</v>
      </c>
      <c r="T698" s="79"/>
      <c r="U698" s="40" t="str">
        <f>VLOOKUP(M698,Table1[#All],7,FALSE)</f>
        <v>Q4</v>
      </c>
      <c r="V698" s="79"/>
      <c r="W698" s="40" t="str">
        <f>VLOOKUP(M698,Table1[#All],8,FALSE)</f>
        <v>Q5</v>
      </c>
      <c r="X698" s="79"/>
      <c r="Y698" s="44" t="str">
        <f>VLOOKUP(M698,Table1[#All],2,FALSE)</f>
        <v>Action</v>
      </c>
      <c r="Z698" s="59" t="str">
        <f>VLOOKUP(M698,Table1[#All],9,FALSE)</f>
        <v>Additional Notes:</v>
      </c>
      <c r="AA698" s="76"/>
      <c r="AB698" s="76"/>
      <c r="AC698" s="90" t="s">
        <v>91</v>
      </c>
      <c r="AD698" s="76" t="s">
        <v>91</v>
      </c>
      <c r="AE698" s="77"/>
      <c r="AF698" s="77"/>
      <c r="AG698" s="41" t="s">
        <v>91</v>
      </c>
    </row>
    <row r="699" spans="1:33" ht="21" hidden="1" x14ac:dyDescent="0.55000000000000004">
      <c r="A699" s="44" t="str">
        <f>Data!K698</f>
        <v>Forward Health</v>
      </c>
      <c r="B699" s="44" t="str">
        <f>Data!L698</f>
        <v>8009479627</v>
      </c>
      <c r="C699" s="44" t="str">
        <f>Data!D698</f>
        <v>Mc`Allister, Mary</v>
      </c>
      <c r="D699" s="82" t="str">
        <f>Data!F698</f>
        <v>0418747903</v>
      </c>
      <c r="E699" s="82" t="str">
        <f>Data!B698</f>
        <v>9405</v>
      </c>
      <c r="F699" s="44" t="str">
        <f>Data!A698</f>
        <v>Mc`Allister, Mary</v>
      </c>
      <c r="G699" s="55" t="str">
        <f>Data!C698</f>
        <v>7/31/1958</v>
      </c>
      <c r="H699" s="56">
        <f>Data!H698</f>
        <v>44650</v>
      </c>
      <c r="I699" s="56" t="str">
        <f>Data!I698</f>
        <v>4/1/2022</v>
      </c>
      <c r="J699" s="57">
        <f>Data!J698</f>
        <v>226.8</v>
      </c>
      <c r="K699" s="58">
        <f t="shared" ca="1" si="12"/>
        <v>48</v>
      </c>
      <c r="L699" s="58">
        <f>Data!M698</f>
        <v>0</v>
      </c>
      <c r="M699" s="37" t="s">
        <v>26</v>
      </c>
      <c r="N699" s="43" t="str">
        <f>VLOOKUP(M699,Table1[#All],3,FALSE)</f>
        <v>Note</v>
      </c>
      <c r="O699" s="40" t="str">
        <f>VLOOKUP(M699,Table1[#All],4,FALSE)</f>
        <v>Q1</v>
      </c>
      <c r="P699" s="39"/>
      <c r="Q699" s="40" t="str">
        <f>VLOOKUP(M699,Table1[#All],5,FALSE)</f>
        <v>Q2</v>
      </c>
      <c r="R699" s="79"/>
      <c r="S699" s="40" t="str">
        <f>VLOOKUP(M699,Table1[#All],6,FALSE)</f>
        <v>Q3</v>
      </c>
      <c r="T699" s="79"/>
      <c r="U699" s="40" t="str">
        <f>VLOOKUP(M699,Table1[#All],7,FALSE)</f>
        <v>Q4</v>
      </c>
      <c r="V699" s="79"/>
      <c r="W699" s="40" t="str">
        <f>VLOOKUP(M699,Table1[#All],8,FALSE)</f>
        <v>Q5</v>
      </c>
      <c r="X699" s="79"/>
      <c r="Y699" s="44" t="str">
        <f>VLOOKUP(M699,Table1[#All],2,FALSE)</f>
        <v>Action</v>
      </c>
      <c r="Z699" s="59" t="str">
        <f>VLOOKUP(M699,Table1[#All],9,FALSE)</f>
        <v>Additional Notes:</v>
      </c>
      <c r="AA699" s="76"/>
      <c r="AB699" s="76"/>
      <c r="AC699" s="90" t="s">
        <v>91</v>
      </c>
      <c r="AD699" s="76" t="s">
        <v>91</v>
      </c>
      <c r="AE699" s="77"/>
      <c r="AF699" s="77"/>
      <c r="AG699" s="41" t="s">
        <v>91</v>
      </c>
    </row>
    <row r="700" spans="1:33" ht="21" hidden="1" x14ac:dyDescent="0.55000000000000004">
      <c r="A700" s="44" t="str">
        <f>Data!K699</f>
        <v>Forward Health</v>
      </c>
      <c r="B700" s="44" t="str">
        <f>Data!L699</f>
        <v>8009479627</v>
      </c>
      <c r="C700" s="44" t="str">
        <f>Data!D699</f>
        <v xml:space="preserve">Kearney, Troy </v>
      </c>
      <c r="D700" s="82" t="str">
        <f>Data!F699</f>
        <v>9405247891</v>
      </c>
      <c r="E700" s="82" t="str">
        <f>Data!B699</f>
        <v>9019</v>
      </c>
      <c r="F700" s="44" t="str">
        <f>Data!A699</f>
        <v xml:space="preserve">Kearney, Troy </v>
      </c>
      <c r="G700" s="55" t="str">
        <f>Data!C699</f>
        <v>8/10/1993</v>
      </c>
      <c r="H700" s="56">
        <f>Data!H699</f>
        <v>44650</v>
      </c>
      <c r="I700" s="56" t="str">
        <f>Data!I699</f>
        <v>3/31/2022</v>
      </c>
      <c r="J700" s="57">
        <f>Data!J699</f>
        <v>253.2</v>
      </c>
      <c r="K700" s="58">
        <f t="shared" ca="1" si="12"/>
        <v>49</v>
      </c>
      <c r="L700" s="58">
        <f>Data!M699</f>
        <v>0</v>
      </c>
      <c r="M700" s="37" t="s">
        <v>26</v>
      </c>
      <c r="N700" s="43" t="str">
        <f>VLOOKUP(M700,Table1[#All],3,FALSE)</f>
        <v>Note</v>
      </c>
      <c r="O700" s="40" t="str">
        <f>VLOOKUP(M700,Table1[#All],4,FALSE)</f>
        <v>Q1</v>
      </c>
      <c r="P700" s="39"/>
      <c r="Q700" s="40" t="str">
        <f>VLOOKUP(M700,Table1[#All],5,FALSE)</f>
        <v>Q2</v>
      </c>
      <c r="R700" s="79"/>
      <c r="S700" s="40" t="str">
        <f>VLOOKUP(M700,Table1[#All],6,FALSE)</f>
        <v>Q3</v>
      </c>
      <c r="T700" s="79"/>
      <c r="U700" s="40" t="str">
        <f>VLOOKUP(M700,Table1[#All],7,FALSE)</f>
        <v>Q4</v>
      </c>
      <c r="V700" s="79"/>
      <c r="W700" s="40" t="str">
        <f>VLOOKUP(M700,Table1[#All],8,FALSE)</f>
        <v>Q5</v>
      </c>
      <c r="X700" s="79"/>
      <c r="Y700" s="44" t="str">
        <f>VLOOKUP(M700,Table1[#All],2,FALSE)</f>
        <v>Action</v>
      </c>
      <c r="Z700" s="59" t="str">
        <f>VLOOKUP(M700,Table1[#All],9,FALSE)</f>
        <v>Additional Notes:</v>
      </c>
      <c r="AA700" s="76"/>
      <c r="AB700" s="76"/>
      <c r="AC700" s="90" t="s">
        <v>91</v>
      </c>
      <c r="AD700" s="76" t="s">
        <v>91</v>
      </c>
      <c r="AE700" s="77"/>
      <c r="AF700" s="77"/>
      <c r="AG700" s="41" t="s">
        <v>91</v>
      </c>
    </row>
    <row r="701" spans="1:33" ht="21" hidden="1" x14ac:dyDescent="0.55000000000000004">
      <c r="A701" s="44" t="str">
        <f>Data!K700</f>
        <v>Forward Health</v>
      </c>
      <c r="B701" s="44" t="str">
        <f>Data!L700</f>
        <v>8009479627</v>
      </c>
      <c r="C701" s="44" t="str">
        <f>Data!D700</f>
        <v xml:space="preserve">Flores, Raul </v>
      </c>
      <c r="D701" s="82" t="str">
        <f>Data!F700</f>
        <v>1422235017</v>
      </c>
      <c r="E701" s="82" t="str">
        <f>Data!B700</f>
        <v>8563</v>
      </c>
      <c r="F701" s="44" t="str">
        <f>Data!A700</f>
        <v xml:space="preserve">Flores, Raul </v>
      </c>
      <c r="G701" s="55" t="str">
        <f>Data!C700</f>
        <v>6/18/1958</v>
      </c>
      <c r="H701" s="56">
        <f>Data!H700</f>
        <v>44650</v>
      </c>
      <c r="I701" s="56" t="str">
        <f>Data!I700</f>
        <v>3/31/2022</v>
      </c>
      <c r="J701" s="57">
        <f>Data!J700</f>
        <v>480</v>
      </c>
      <c r="K701" s="58">
        <f t="shared" ca="1" si="12"/>
        <v>49</v>
      </c>
      <c r="L701" s="58">
        <f>Data!M700</f>
        <v>0</v>
      </c>
      <c r="M701" s="37" t="s">
        <v>26</v>
      </c>
      <c r="N701" s="43" t="str">
        <f>VLOOKUP(M701,Table1[#All],3,FALSE)</f>
        <v>Note</v>
      </c>
      <c r="O701" s="40" t="str">
        <f>VLOOKUP(M701,Table1[#All],4,FALSE)</f>
        <v>Q1</v>
      </c>
      <c r="P701" s="39"/>
      <c r="Q701" s="40" t="str">
        <f>VLOOKUP(M701,Table1[#All],5,FALSE)</f>
        <v>Q2</v>
      </c>
      <c r="R701" s="79"/>
      <c r="S701" s="40" t="str">
        <f>VLOOKUP(M701,Table1[#All],6,FALSE)</f>
        <v>Q3</v>
      </c>
      <c r="T701" s="79"/>
      <c r="U701" s="40" t="str">
        <f>VLOOKUP(M701,Table1[#All],7,FALSE)</f>
        <v>Q4</v>
      </c>
      <c r="V701" s="79"/>
      <c r="W701" s="40" t="str">
        <f>VLOOKUP(M701,Table1[#All],8,FALSE)</f>
        <v>Q5</v>
      </c>
      <c r="X701" s="79"/>
      <c r="Y701" s="44" t="str">
        <f>VLOOKUP(M701,Table1[#All],2,FALSE)</f>
        <v>Action</v>
      </c>
      <c r="Z701" s="59" t="str">
        <f>VLOOKUP(M701,Table1[#All],9,FALSE)</f>
        <v>Additional Notes:</v>
      </c>
      <c r="AA701" s="76"/>
      <c r="AB701" s="76"/>
      <c r="AC701" s="90" t="s">
        <v>91</v>
      </c>
      <c r="AD701" s="76" t="s">
        <v>91</v>
      </c>
      <c r="AE701" s="77"/>
      <c r="AF701" s="77"/>
      <c r="AG701" s="41" t="s">
        <v>91</v>
      </c>
    </row>
    <row r="702" spans="1:33" ht="21" hidden="1" x14ac:dyDescent="0.55000000000000004">
      <c r="A702" s="44" t="str">
        <f>Data!K701</f>
        <v>Forward Health</v>
      </c>
      <c r="B702" s="44" t="str">
        <f>Data!L701</f>
        <v>8009479627</v>
      </c>
      <c r="C702" s="44" t="str">
        <f>Data!D701</f>
        <v xml:space="preserve">Trapp, Kimberly </v>
      </c>
      <c r="D702" s="82" t="str">
        <f>Data!F701</f>
        <v>8405603484</v>
      </c>
      <c r="E702" s="82" t="str">
        <f>Data!B701</f>
        <v>7815</v>
      </c>
      <c r="F702" s="44" t="str">
        <f>Data!A701</f>
        <v xml:space="preserve">Trapp, Kimberly </v>
      </c>
      <c r="G702" s="55" t="str">
        <f>Data!C701</f>
        <v>4/19/1991</v>
      </c>
      <c r="H702" s="56">
        <f>Data!H701</f>
        <v>44649</v>
      </c>
      <c r="I702" s="56" t="str">
        <f>Data!I701</f>
        <v>3/30/2022</v>
      </c>
      <c r="J702" s="57">
        <f>Data!J701</f>
        <v>250.8</v>
      </c>
      <c r="K702" s="58">
        <f t="shared" ca="1" si="12"/>
        <v>50</v>
      </c>
      <c r="L702" s="58">
        <f>Data!M701</f>
        <v>0</v>
      </c>
      <c r="M702" s="37" t="s">
        <v>26</v>
      </c>
      <c r="N702" s="43" t="str">
        <f>VLOOKUP(M702,Table1[#All],3,FALSE)</f>
        <v>Note</v>
      </c>
      <c r="O702" s="40" t="str">
        <f>VLOOKUP(M702,Table1[#All],4,FALSE)</f>
        <v>Q1</v>
      </c>
      <c r="P702" s="39"/>
      <c r="Q702" s="40" t="str">
        <f>VLOOKUP(M702,Table1[#All],5,FALSE)</f>
        <v>Q2</v>
      </c>
      <c r="R702" s="79"/>
      <c r="S702" s="40" t="str">
        <f>VLOOKUP(M702,Table1[#All],6,FALSE)</f>
        <v>Q3</v>
      </c>
      <c r="T702" s="79"/>
      <c r="U702" s="40" t="str">
        <f>VLOOKUP(M702,Table1[#All],7,FALSE)</f>
        <v>Q4</v>
      </c>
      <c r="V702" s="79"/>
      <c r="W702" s="40" t="str">
        <f>VLOOKUP(M702,Table1[#All],8,FALSE)</f>
        <v>Q5</v>
      </c>
      <c r="X702" s="79"/>
      <c r="Y702" s="44" t="str">
        <f>VLOOKUP(M702,Table1[#All],2,FALSE)</f>
        <v>Action</v>
      </c>
      <c r="Z702" s="59" t="str">
        <f>VLOOKUP(M702,Table1[#All],9,FALSE)</f>
        <v>Additional Notes:</v>
      </c>
      <c r="AA702" s="76"/>
      <c r="AB702" s="76"/>
      <c r="AC702" s="90" t="s">
        <v>91</v>
      </c>
      <c r="AD702" s="76" t="s">
        <v>91</v>
      </c>
      <c r="AE702" s="77"/>
      <c r="AF702" s="77"/>
      <c r="AG702" s="41" t="s">
        <v>91</v>
      </c>
    </row>
    <row r="703" spans="1:33" ht="21" hidden="1" x14ac:dyDescent="0.55000000000000004">
      <c r="A703" s="44" t="str">
        <f>Data!K702</f>
        <v>Forward Health</v>
      </c>
      <c r="B703" s="44" t="str">
        <f>Data!L702</f>
        <v>8009479627</v>
      </c>
      <c r="C703" s="44" t="str">
        <f>Data!D702</f>
        <v xml:space="preserve">Ruiz , Helen </v>
      </c>
      <c r="D703" s="82" t="str">
        <f>Data!F702</f>
        <v>7419119571</v>
      </c>
      <c r="E703" s="82" t="str">
        <f>Data!B702</f>
        <v>2686</v>
      </c>
      <c r="F703" s="44" t="str">
        <f>Data!A702</f>
        <v xml:space="preserve">Ruiz , Helen </v>
      </c>
      <c r="G703" s="55" t="str">
        <f>Data!C702</f>
        <v>4/30/1972</v>
      </c>
      <c r="H703" s="56">
        <f>Data!H702</f>
        <v>44649</v>
      </c>
      <c r="I703" s="56" t="str">
        <f>Data!I702</f>
        <v>3/30/2022</v>
      </c>
      <c r="J703" s="57">
        <f>Data!J702</f>
        <v>966</v>
      </c>
      <c r="K703" s="58">
        <f t="shared" ca="1" si="12"/>
        <v>50</v>
      </c>
      <c r="L703" s="58">
        <f>Data!M702</f>
        <v>0</v>
      </c>
      <c r="M703" s="37" t="s">
        <v>26</v>
      </c>
      <c r="N703" s="43" t="str">
        <f>VLOOKUP(M703,Table1[#All],3,FALSE)</f>
        <v>Note</v>
      </c>
      <c r="O703" s="40" t="str">
        <f>VLOOKUP(M703,Table1[#All],4,FALSE)</f>
        <v>Q1</v>
      </c>
      <c r="P703" s="39"/>
      <c r="Q703" s="40" t="str">
        <f>VLOOKUP(M703,Table1[#All],5,FALSE)</f>
        <v>Q2</v>
      </c>
      <c r="R703" s="79"/>
      <c r="S703" s="40" t="str">
        <f>VLOOKUP(M703,Table1[#All],6,FALSE)</f>
        <v>Q3</v>
      </c>
      <c r="T703" s="79"/>
      <c r="U703" s="40" t="str">
        <f>VLOOKUP(M703,Table1[#All],7,FALSE)</f>
        <v>Q4</v>
      </c>
      <c r="V703" s="79"/>
      <c r="W703" s="40" t="str">
        <f>VLOOKUP(M703,Table1[#All],8,FALSE)</f>
        <v>Q5</v>
      </c>
      <c r="X703" s="79"/>
      <c r="Y703" s="44" t="str">
        <f>VLOOKUP(M703,Table1[#All],2,FALSE)</f>
        <v>Action</v>
      </c>
      <c r="Z703" s="59" t="str">
        <f>VLOOKUP(M703,Table1[#All],9,FALSE)</f>
        <v>Additional Notes:</v>
      </c>
      <c r="AA703" s="76"/>
      <c r="AB703" s="76"/>
      <c r="AC703" s="90" t="s">
        <v>91</v>
      </c>
      <c r="AD703" s="76" t="s">
        <v>91</v>
      </c>
      <c r="AE703" s="77"/>
      <c r="AF703" s="77"/>
      <c r="AG703" s="41" t="s">
        <v>91</v>
      </c>
    </row>
    <row r="704" spans="1:33" ht="21" hidden="1" x14ac:dyDescent="0.55000000000000004">
      <c r="A704" s="44" t="str">
        <f>Data!K703</f>
        <v>Forward Health</v>
      </c>
      <c r="B704" s="44" t="str">
        <f>Data!L703</f>
        <v>8009479627</v>
      </c>
      <c r="C704" s="44" t="str">
        <f>Data!D703</f>
        <v>Tercher , James</v>
      </c>
      <c r="D704" s="82" t="str">
        <f>Data!F703</f>
        <v>7437156377</v>
      </c>
      <c r="E704" s="82" t="str">
        <f>Data!B703</f>
        <v>9267</v>
      </c>
      <c r="F704" s="44" t="str">
        <f>Data!A703</f>
        <v>Tercher , James</v>
      </c>
      <c r="G704" s="55" t="str">
        <f>Data!C703</f>
        <v>1/19/1962</v>
      </c>
      <c r="H704" s="56">
        <f>Data!H703</f>
        <v>44649</v>
      </c>
      <c r="I704" s="56" t="str">
        <f>Data!I703</f>
        <v>3/30/2022</v>
      </c>
      <c r="J704" s="57">
        <f>Data!J703</f>
        <v>162</v>
      </c>
      <c r="K704" s="58">
        <f t="shared" ca="1" si="12"/>
        <v>50</v>
      </c>
      <c r="L704" s="58">
        <f>Data!M703</f>
        <v>0</v>
      </c>
      <c r="M704" s="37" t="s">
        <v>26</v>
      </c>
      <c r="N704" s="43" t="str">
        <f>VLOOKUP(M704,Table1[#All],3,FALSE)</f>
        <v>Note</v>
      </c>
      <c r="O704" s="40" t="str">
        <f>VLOOKUP(M704,Table1[#All],4,FALSE)</f>
        <v>Q1</v>
      </c>
      <c r="P704" s="39"/>
      <c r="Q704" s="40" t="str">
        <f>VLOOKUP(M704,Table1[#All],5,FALSE)</f>
        <v>Q2</v>
      </c>
      <c r="R704" s="79"/>
      <c r="S704" s="40" t="str">
        <f>VLOOKUP(M704,Table1[#All],6,FALSE)</f>
        <v>Q3</v>
      </c>
      <c r="T704" s="79"/>
      <c r="U704" s="40" t="str">
        <f>VLOOKUP(M704,Table1[#All],7,FALSE)</f>
        <v>Q4</v>
      </c>
      <c r="V704" s="79"/>
      <c r="W704" s="40" t="str">
        <f>VLOOKUP(M704,Table1[#All],8,FALSE)</f>
        <v>Q5</v>
      </c>
      <c r="X704" s="79"/>
      <c r="Y704" s="44" t="str">
        <f>VLOOKUP(M704,Table1[#All],2,FALSE)</f>
        <v>Action</v>
      </c>
      <c r="Z704" s="59" t="str">
        <f>VLOOKUP(M704,Table1[#All],9,FALSE)</f>
        <v>Additional Notes:</v>
      </c>
      <c r="AA704" s="76"/>
      <c r="AB704" s="76"/>
      <c r="AC704" s="90" t="s">
        <v>91</v>
      </c>
      <c r="AD704" s="76" t="s">
        <v>91</v>
      </c>
      <c r="AE704" s="77"/>
      <c r="AF704" s="77"/>
      <c r="AG704" s="41" t="s">
        <v>91</v>
      </c>
    </row>
    <row r="705" spans="1:33" ht="21" hidden="1" x14ac:dyDescent="0.55000000000000004">
      <c r="A705" s="44" t="str">
        <f>Data!K704</f>
        <v>Forward Health</v>
      </c>
      <c r="B705" s="44" t="str">
        <f>Data!L704</f>
        <v>8009479627</v>
      </c>
      <c r="C705" s="44" t="str">
        <f>Data!D704</f>
        <v xml:space="preserve">Cervantes, Caress </v>
      </c>
      <c r="D705" s="82" t="str">
        <f>Data!F704</f>
        <v>5419155656</v>
      </c>
      <c r="E705" s="82" t="str">
        <f>Data!B704</f>
        <v>4419</v>
      </c>
      <c r="F705" s="44" t="str">
        <f>Data!A704</f>
        <v xml:space="preserve">Cervantes, Caress </v>
      </c>
      <c r="G705" s="55" t="str">
        <f>Data!C704</f>
        <v>6/4/1991</v>
      </c>
      <c r="H705" s="56">
        <f>Data!H704</f>
        <v>44649</v>
      </c>
      <c r="I705" s="56" t="str">
        <f>Data!I704</f>
        <v>3/30/2022</v>
      </c>
      <c r="J705" s="57">
        <f>Data!J704</f>
        <v>259.2</v>
      </c>
      <c r="K705" s="58">
        <f t="shared" ca="1" si="12"/>
        <v>50</v>
      </c>
      <c r="L705" s="58">
        <f>Data!M704</f>
        <v>0</v>
      </c>
      <c r="M705" s="37" t="s">
        <v>26</v>
      </c>
      <c r="N705" s="43" t="str">
        <f>VLOOKUP(M705,Table1[#All],3,FALSE)</f>
        <v>Note</v>
      </c>
      <c r="O705" s="40" t="str">
        <f>VLOOKUP(M705,Table1[#All],4,FALSE)</f>
        <v>Q1</v>
      </c>
      <c r="P705" s="39"/>
      <c r="Q705" s="40" t="str">
        <f>VLOOKUP(M705,Table1[#All],5,FALSE)</f>
        <v>Q2</v>
      </c>
      <c r="R705" s="79"/>
      <c r="S705" s="40" t="str">
        <f>VLOOKUP(M705,Table1[#All],6,FALSE)</f>
        <v>Q3</v>
      </c>
      <c r="T705" s="79"/>
      <c r="U705" s="40" t="str">
        <f>VLOOKUP(M705,Table1[#All],7,FALSE)</f>
        <v>Q4</v>
      </c>
      <c r="V705" s="79"/>
      <c r="W705" s="40" t="str">
        <f>VLOOKUP(M705,Table1[#All],8,FALSE)</f>
        <v>Q5</v>
      </c>
      <c r="X705" s="79"/>
      <c r="Y705" s="44" t="str">
        <f>VLOOKUP(M705,Table1[#All],2,FALSE)</f>
        <v>Action</v>
      </c>
      <c r="Z705" s="59" t="str">
        <f>VLOOKUP(M705,Table1[#All],9,FALSE)</f>
        <v>Additional Notes:</v>
      </c>
      <c r="AA705" s="76"/>
      <c r="AB705" s="76"/>
      <c r="AC705" s="90" t="s">
        <v>91</v>
      </c>
      <c r="AD705" s="76" t="s">
        <v>91</v>
      </c>
      <c r="AE705" s="77"/>
      <c r="AF705" s="77"/>
      <c r="AG705" s="41" t="s">
        <v>91</v>
      </c>
    </row>
    <row r="706" spans="1:33" ht="21" hidden="1" x14ac:dyDescent="0.55000000000000004">
      <c r="A706" s="44" t="str">
        <f>Data!K705</f>
        <v>Forward Health</v>
      </c>
      <c r="B706" s="44" t="str">
        <f>Data!L705</f>
        <v>8009479627</v>
      </c>
      <c r="C706" s="44" t="str">
        <f>Data!D705</f>
        <v>Vasey, Ayden</v>
      </c>
      <c r="D706" s="82" t="str">
        <f>Data!F705</f>
        <v>0437235301</v>
      </c>
      <c r="E706" s="82" t="str">
        <f>Data!B705</f>
        <v>1460</v>
      </c>
      <c r="F706" s="44" t="str">
        <f>Data!A705</f>
        <v>Vasey, Ayden</v>
      </c>
      <c r="G706" s="55" t="str">
        <f>Data!C705</f>
        <v>11/5/2009</v>
      </c>
      <c r="H706" s="56">
        <f>Data!H705</f>
        <v>44649</v>
      </c>
      <c r="I706" s="56" t="str">
        <f>Data!I705</f>
        <v>3/30/2022</v>
      </c>
      <c r="J706" s="57">
        <f>Data!J705</f>
        <v>227.6</v>
      </c>
      <c r="K706" s="58">
        <f t="shared" ca="1" si="12"/>
        <v>50</v>
      </c>
      <c r="L706" s="58">
        <f>Data!M705</f>
        <v>0</v>
      </c>
      <c r="M706" s="37" t="s">
        <v>26</v>
      </c>
      <c r="N706" s="43" t="str">
        <f>VLOOKUP(M706,Table1[#All],3,FALSE)</f>
        <v>Note</v>
      </c>
      <c r="O706" s="40" t="str">
        <f>VLOOKUP(M706,Table1[#All],4,FALSE)</f>
        <v>Q1</v>
      </c>
      <c r="P706" s="39"/>
      <c r="Q706" s="40" t="str">
        <f>VLOOKUP(M706,Table1[#All],5,FALSE)</f>
        <v>Q2</v>
      </c>
      <c r="R706" s="79"/>
      <c r="S706" s="40" t="str">
        <f>VLOOKUP(M706,Table1[#All],6,FALSE)</f>
        <v>Q3</v>
      </c>
      <c r="T706" s="79"/>
      <c r="U706" s="40" t="str">
        <f>VLOOKUP(M706,Table1[#All],7,FALSE)</f>
        <v>Q4</v>
      </c>
      <c r="V706" s="79"/>
      <c r="W706" s="40" t="str">
        <f>VLOOKUP(M706,Table1[#All],8,FALSE)</f>
        <v>Q5</v>
      </c>
      <c r="X706" s="79"/>
      <c r="Y706" s="44" t="str">
        <f>VLOOKUP(M706,Table1[#All],2,FALSE)</f>
        <v>Action</v>
      </c>
      <c r="Z706" s="59" t="str">
        <f>VLOOKUP(M706,Table1[#All],9,FALSE)</f>
        <v>Additional Notes:</v>
      </c>
      <c r="AA706" s="76"/>
      <c r="AB706" s="76"/>
      <c r="AC706" s="90" t="s">
        <v>91</v>
      </c>
      <c r="AD706" s="76" t="s">
        <v>91</v>
      </c>
      <c r="AE706" s="77"/>
      <c r="AF706" s="77"/>
      <c r="AG706" s="41" t="s">
        <v>91</v>
      </c>
    </row>
    <row r="707" spans="1:33" ht="21" hidden="1" x14ac:dyDescent="0.55000000000000004">
      <c r="A707" s="44" t="str">
        <f>Data!K706</f>
        <v>Forward Health</v>
      </c>
      <c r="B707" s="44" t="str">
        <f>Data!L706</f>
        <v>8009479627</v>
      </c>
      <c r="C707" s="44" t="str">
        <f>Data!D706</f>
        <v xml:space="preserve">Popp, Kimberly </v>
      </c>
      <c r="D707" s="82" t="str">
        <f>Data!F706</f>
        <v>0442050704</v>
      </c>
      <c r="E707" s="82" t="str">
        <f>Data!B706</f>
        <v>9328</v>
      </c>
      <c r="F707" s="44" t="str">
        <f>Data!A706</f>
        <v xml:space="preserve">Popp, Kimberly </v>
      </c>
      <c r="G707" s="55" t="str">
        <f>Data!C706</f>
        <v>5/14/1961</v>
      </c>
      <c r="H707" s="56">
        <f>Data!H706</f>
        <v>44649</v>
      </c>
      <c r="I707" s="56" t="str">
        <f>Data!I706</f>
        <v>3/30/2022</v>
      </c>
      <c r="J707" s="57">
        <f>Data!J706</f>
        <v>564</v>
      </c>
      <c r="K707" s="58">
        <f t="shared" ca="1" si="12"/>
        <v>50</v>
      </c>
      <c r="L707" s="58">
        <f>Data!M706</f>
        <v>0</v>
      </c>
      <c r="M707" s="37" t="s">
        <v>26</v>
      </c>
      <c r="N707" s="43" t="str">
        <f>VLOOKUP(M707,Table1[#All],3,FALSE)</f>
        <v>Note</v>
      </c>
      <c r="O707" s="40" t="str">
        <f>VLOOKUP(M707,Table1[#All],4,FALSE)</f>
        <v>Q1</v>
      </c>
      <c r="P707" s="39"/>
      <c r="Q707" s="40" t="str">
        <f>VLOOKUP(M707,Table1[#All],5,FALSE)</f>
        <v>Q2</v>
      </c>
      <c r="R707" s="79"/>
      <c r="S707" s="40" t="str">
        <f>VLOOKUP(M707,Table1[#All],6,FALSE)</f>
        <v>Q3</v>
      </c>
      <c r="T707" s="79"/>
      <c r="U707" s="40" t="str">
        <f>VLOOKUP(M707,Table1[#All],7,FALSE)</f>
        <v>Q4</v>
      </c>
      <c r="V707" s="79"/>
      <c r="W707" s="40" t="str">
        <f>VLOOKUP(M707,Table1[#All],8,FALSE)</f>
        <v>Q5</v>
      </c>
      <c r="X707" s="79"/>
      <c r="Y707" s="44" t="str">
        <f>VLOOKUP(M707,Table1[#All],2,FALSE)</f>
        <v>Action</v>
      </c>
      <c r="Z707" s="59" t="str">
        <f>VLOOKUP(M707,Table1[#All],9,FALSE)</f>
        <v>Additional Notes:</v>
      </c>
      <c r="AA707" s="76"/>
      <c r="AB707" s="76"/>
      <c r="AC707" s="90" t="s">
        <v>91</v>
      </c>
      <c r="AD707" s="76" t="s">
        <v>91</v>
      </c>
      <c r="AE707" s="77"/>
      <c r="AF707" s="77"/>
      <c r="AG707" s="41" t="s">
        <v>91</v>
      </c>
    </row>
    <row r="708" spans="1:33" ht="21" hidden="1" x14ac:dyDescent="0.55000000000000004">
      <c r="A708" s="44" t="str">
        <f>Data!K707</f>
        <v>Forward Health</v>
      </c>
      <c r="B708" s="44" t="str">
        <f>Data!L707</f>
        <v>8009479627</v>
      </c>
      <c r="C708" s="44" t="str">
        <f>Data!D707</f>
        <v xml:space="preserve">Weiss, Bonnie </v>
      </c>
      <c r="D708" s="82" t="str">
        <f>Data!F707</f>
        <v>8406307587</v>
      </c>
      <c r="E708" s="82" t="str">
        <f>Data!B707</f>
        <v>8064</v>
      </c>
      <c r="F708" s="44" t="str">
        <f>Data!A707</f>
        <v xml:space="preserve">Weiss, Bonnie </v>
      </c>
      <c r="G708" s="55" t="str">
        <f>Data!C707</f>
        <v>12/8/1956</v>
      </c>
      <c r="H708" s="56">
        <f>Data!H707</f>
        <v>44621</v>
      </c>
      <c r="I708" s="56" t="str">
        <f>Data!I707</f>
        <v>3/30/2022</v>
      </c>
      <c r="J708" s="57">
        <f>Data!J707</f>
        <v>1312.8</v>
      </c>
      <c r="K708" s="58">
        <f t="shared" ca="1" si="12"/>
        <v>50</v>
      </c>
      <c r="L708" s="58">
        <f>Data!M707</f>
        <v>0</v>
      </c>
      <c r="M708" s="37" t="s">
        <v>26</v>
      </c>
      <c r="N708" s="43" t="str">
        <f>VLOOKUP(M708,Table1[#All],3,FALSE)</f>
        <v>Note</v>
      </c>
      <c r="O708" s="40" t="str">
        <f>VLOOKUP(M708,Table1[#All],4,FALSE)</f>
        <v>Q1</v>
      </c>
      <c r="P708" s="39"/>
      <c r="Q708" s="40" t="str">
        <f>VLOOKUP(M708,Table1[#All],5,FALSE)</f>
        <v>Q2</v>
      </c>
      <c r="R708" s="79"/>
      <c r="S708" s="40" t="str">
        <f>VLOOKUP(M708,Table1[#All],6,FALSE)</f>
        <v>Q3</v>
      </c>
      <c r="T708" s="79"/>
      <c r="U708" s="40" t="str">
        <f>VLOOKUP(M708,Table1[#All],7,FALSE)</f>
        <v>Q4</v>
      </c>
      <c r="V708" s="79"/>
      <c r="W708" s="40" t="str">
        <f>VLOOKUP(M708,Table1[#All],8,FALSE)</f>
        <v>Q5</v>
      </c>
      <c r="X708" s="79"/>
      <c r="Y708" s="44" t="str">
        <f>VLOOKUP(M708,Table1[#All],2,FALSE)</f>
        <v>Action</v>
      </c>
      <c r="Z708" s="59" t="str">
        <f>VLOOKUP(M708,Table1[#All],9,FALSE)</f>
        <v>Additional Notes:</v>
      </c>
      <c r="AA708" s="76"/>
      <c r="AB708" s="76"/>
      <c r="AC708" s="90" t="s">
        <v>91</v>
      </c>
      <c r="AD708" s="76" t="s">
        <v>91</v>
      </c>
      <c r="AE708" s="77"/>
      <c r="AF708" s="77"/>
      <c r="AG708" s="41" t="s">
        <v>91</v>
      </c>
    </row>
    <row r="709" spans="1:33" ht="21" hidden="1" x14ac:dyDescent="0.55000000000000004">
      <c r="A709" s="44" t="str">
        <f>Data!K708</f>
        <v>Forward Health</v>
      </c>
      <c r="B709" s="44" t="str">
        <f>Data!L708</f>
        <v>8009479627</v>
      </c>
      <c r="C709" s="44" t="str">
        <f>Data!D708</f>
        <v xml:space="preserve">Kemp, Isaiah </v>
      </c>
      <c r="D709" s="82" t="str">
        <f>Data!F708</f>
        <v>8445034383</v>
      </c>
      <c r="E709" s="82" t="str">
        <f>Data!B708</f>
        <v>8006</v>
      </c>
      <c r="F709" s="44" t="str">
        <f>Data!A708</f>
        <v xml:space="preserve">Kemp, Isaiah </v>
      </c>
      <c r="G709" s="55" t="str">
        <f>Data!C708</f>
        <v>11/15/2013</v>
      </c>
      <c r="H709" s="56">
        <f>Data!H708</f>
        <v>44648</v>
      </c>
      <c r="I709" s="56" t="str">
        <f>Data!I708</f>
        <v>3/29/2022</v>
      </c>
      <c r="J709" s="57">
        <f>Data!J708</f>
        <v>191.6</v>
      </c>
      <c r="K709" s="58">
        <f t="shared" ca="1" si="12"/>
        <v>51</v>
      </c>
      <c r="L709" s="58">
        <f>Data!M708</f>
        <v>0</v>
      </c>
      <c r="M709" s="37" t="s">
        <v>26</v>
      </c>
      <c r="N709" s="43" t="str">
        <f>VLOOKUP(M709,Table1[#All],3,FALSE)</f>
        <v>Note</v>
      </c>
      <c r="O709" s="40" t="str">
        <f>VLOOKUP(M709,Table1[#All],4,FALSE)</f>
        <v>Q1</v>
      </c>
      <c r="P709" s="39"/>
      <c r="Q709" s="40" t="str">
        <f>VLOOKUP(M709,Table1[#All],5,FALSE)</f>
        <v>Q2</v>
      </c>
      <c r="R709" s="79"/>
      <c r="S709" s="40" t="str">
        <f>VLOOKUP(M709,Table1[#All],6,FALSE)</f>
        <v>Q3</v>
      </c>
      <c r="T709" s="79"/>
      <c r="U709" s="40" t="str">
        <f>VLOOKUP(M709,Table1[#All],7,FALSE)</f>
        <v>Q4</v>
      </c>
      <c r="V709" s="79"/>
      <c r="W709" s="40" t="str">
        <f>VLOOKUP(M709,Table1[#All],8,FALSE)</f>
        <v>Q5</v>
      </c>
      <c r="X709" s="79"/>
      <c r="Y709" s="44" t="str">
        <f>VLOOKUP(M709,Table1[#All],2,FALSE)</f>
        <v>Action</v>
      </c>
      <c r="Z709" s="59" t="str">
        <f>VLOOKUP(M709,Table1[#All],9,FALSE)</f>
        <v>Additional Notes:</v>
      </c>
      <c r="AA709" s="76"/>
      <c r="AB709" s="76"/>
      <c r="AC709" s="90" t="s">
        <v>91</v>
      </c>
      <c r="AD709" s="76" t="s">
        <v>91</v>
      </c>
      <c r="AE709" s="77"/>
      <c r="AF709" s="77"/>
      <c r="AG709" s="41" t="s">
        <v>91</v>
      </c>
    </row>
    <row r="710" spans="1:33" ht="21" hidden="1" x14ac:dyDescent="0.55000000000000004">
      <c r="A710" s="44" t="str">
        <f>Data!K709</f>
        <v>Forward Health</v>
      </c>
      <c r="B710" s="44" t="str">
        <f>Data!L709</f>
        <v>8009479627</v>
      </c>
      <c r="C710" s="44" t="str">
        <f>Data!D709</f>
        <v xml:space="preserve">Valle Teron , Luis </v>
      </c>
      <c r="D710" s="82" t="str">
        <f>Data!F709</f>
        <v>0412383004</v>
      </c>
      <c r="E710" s="82" t="str">
        <f>Data!B709</f>
        <v>9279</v>
      </c>
      <c r="F710" s="44" t="str">
        <f>Data!A709</f>
        <v xml:space="preserve">Valle Teron , Luis </v>
      </c>
      <c r="G710" s="55" t="str">
        <f>Data!C709</f>
        <v>1/11/1982</v>
      </c>
      <c r="H710" s="56">
        <f>Data!H709</f>
        <v>44645</v>
      </c>
      <c r="I710" s="56" t="str">
        <f>Data!I709</f>
        <v>3/28/2022</v>
      </c>
      <c r="J710" s="57">
        <f>Data!J709</f>
        <v>492</v>
      </c>
      <c r="K710" s="58">
        <f t="shared" ca="1" si="12"/>
        <v>52</v>
      </c>
      <c r="L710" s="58">
        <f>Data!M709</f>
        <v>0</v>
      </c>
      <c r="M710" s="37" t="s">
        <v>26</v>
      </c>
      <c r="N710" s="43" t="str">
        <f>VLOOKUP(M710,Table1[#All],3,FALSE)</f>
        <v>Note</v>
      </c>
      <c r="O710" s="40" t="str">
        <f>VLOOKUP(M710,Table1[#All],4,FALSE)</f>
        <v>Q1</v>
      </c>
      <c r="P710" s="39"/>
      <c r="Q710" s="40" t="str">
        <f>VLOOKUP(M710,Table1[#All],5,FALSE)</f>
        <v>Q2</v>
      </c>
      <c r="R710" s="79"/>
      <c r="S710" s="40" t="str">
        <f>VLOOKUP(M710,Table1[#All],6,FALSE)</f>
        <v>Q3</v>
      </c>
      <c r="T710" s="79"/>
      <c r="U710" s="40" t="str">
        <f>VLOOKUP(M710,Table1[#All],7,FALSE)</f>
        <v>Q4</v>
      </c>
      <c r="V710" s="79"/>
      <c r="W710" s="40" t="str">
        <f>VLOOKUP(M710,Table1[#All],8,FALSE)</f>
        <v>Q5</v>
      </c>
      <c r="X710" s="79"/>
      <c r="Y710" s="44" t="str">
        <f>VLOOKUP(M710,Table1[#All],2,FALSE)</f>
        <v>Action</v>
      </c>
      <c r="Z710" s="59" t="str">
        <f>VLOOKUP(M710,Table1[#All],9,FALSE)</f>
        <v>Additional Notes:</v>
      </c>
      <c r="AA710" s="76"/>
      <c r="AB710" s="76"/>
      <c r="AC710" s="90" t="s">
        <v>91</v>
      </c>
      <c r="AD710" s="76" t="s">
        <v>91</v>
      </c>
      <c r="AE710" s="77"/>
      <c r="AF710" s="77"/>
      <c r="AG710" s="41" t="s">
        <v>91</v>
      </c>
    </row>
    <row r="711" spans="1:33" ht="21" hidden="1" x14ac:dyDescent="0.55000000000000004">
      <c r="A711" s="44" t="str">
        <f>Data!K710</f>
        <v>Forward Health</v>
      </c>
      <c r="B711" s="44" t="str">
        <f>Data!L710</f>
        <v>8009479627</v>
      </c>
      <c r="C711" s="44" t="str">
        <f>Data!D710</f>
        <v>Jacobsen , Makayla</v>
      </c>
      <c r="D711" s="82" t="str">
        <f>Data!F710</f>
        <v>2420418425</v>
      </c>
      <c r="E711" s="82" t="str">
        <f>Data!B710</f>
        <v>9261</v>
      </c>
      <c r="F711" s="44" t="str">
        <f>Data!A710</f>
        <v>Jacobsen , Makayla</v>
      </c>
      <c r="G711" s="55" t="str">
        <f>Data!C710</f>
        <v>2/23/2002</v>
      </c>
      <c r="H711" s="56">
        <f>Data!H710</f>
        <v>44636</v>
      </c>
      <c r="I711" s="56" t="str">
        <f>Data!I710</f>
        <v>3/28/2022</v>
      </c>
      <c r="J711" s="57">
        <f>Data!J710</f>
        <v>61.2</v>
      </c>
      <c r="K711" s="58">
        <f t="shared" ca="1" si="12"/>
        <v>52</v>
      </c>
      <c r="L711" s="58">
        <f>Data!M710</f>
        <v>0</v>
      </c>
      <c r="M711" s="37" t="s">
        <v>26</v>
      </c>
      <c r="N711" s="43" t="str">
        <f>VLOOKUP(M711,Table1[#All],3,FALSE)</f>
        <v>Note</v>
      </c>
      <c r="O711" s="40" t="str">
        <f>VLOOKUP(M711,Table1[#All],4,FALSE)</f>
        <v>Q1</v>
      </c>
      <c r="P711" s="39"/>
      <c r="Q711" s="40" t="str">
        <f>VLOOKUP(M711,Table1[#All],5,FALSE)</f>
        <v>Q2</v>
      </c>
      <c r="R711" s="79"/>
      <c r="S711" s="40" t="str">
        <f>VLOOKUP(M711,Table1[#All],6,FALSE)</f>
        <v>Q3</v>
      </c>
      <c r="T711" s="79"/>
      <c r="U711" s="40" t="str">
        <f>VLOOKUP(M711,Table1[#All],7,FALSE)</f>
        <v>Q4</v>
      </c>
      <c r="V711" s="79"/>
      <c r="W711" s="40" t="str">
        <f>VLOOKUP(M711,Table1[#All],8,FALSE)</f>
        <v>Q5</v>
      </c>
      <c r="X711" s="79"/>
      <c r="Y711" s="44" t="str">
        <f>VLOOKUP(M711,Table1[#All],2,FALSE)</f>
        <v>Action</v>
      </c>
      <c r="Z711" s="59" t="str">
        <f>VLOOKUP(M711,Table1[#All],9,FALSE)</f>
        <v>Additional Notes:</v>
      </c>
      <c r="AA711" s="76"/>
      <c r="AB711" s="76"/>
      <c r="AC711" s="90" t="s">
        <v>91</v>
      </c>
      <c r="AD711" s="76" t="s">
        <v>91</v>
      </c>
      <c r="AE711" s="77"/>
      <c r="AF711" s="77"/>
      <c r="AG711" s="41" t="s">
        <v>91</v>
      </c>
    </row>
    <row r="712" spans="1:33" ht="21" hidden="1" x14ac:dyDescent="0.55000000000000004">
      <c r="A712" s="44" t="str">
        <f>Data!K711</f>
        <v>Forward Health</v>
      </c>
      <c r="B712" s="44" t="str">
        <f>Data!L711</f>
        <v>8009479627</v>
      </c>
      <c r="C712" s="44" t="str">
        <f>Data!D711</f>
        <v xml:space="preserve">Taylor , Natalie </v>
      </c>
      <c r="D712" s="82" t="str">
        <f>Data!F711</f>
        <v>1416524410</v>
      </c>
      <c r="E712" s="82" t="str">
        <f>Data!B711</f>
        <v>9340</v>
      </c>
      <c r="F712" s="44" t="str">
        <f>Data!A711</f>
        <v xml:space="preserve">Taylor , Natalie </v>
      </c>
      <c r="G712" s="55" t="str">
        <f>Data!C711</f>
        <v>4/13/1974</v>
      </c>
      <c r="H712" s="56">
        <f>Data!H711</f>
        <v>44643</v>
      </c>
      <c r="I712" s="56" t="str">
        <f>Data!I711</f>
        <v>3/24/2022</v>
      </c>
      <c r="J712" s="57">
        <f>Data!J711</f>
        <v>186</v>
      </c>
      <c r="K712" s="58">
        <f t="shared" ca="1" si="12"/>
        <v>56</v>
      </c>
      <c r="L712" s="58">
        <f>Data!M711</f>
        <v>0</v>
      </c>
      <c r="M712" s="37" t="s">
        <v>26</v>
      </c>
      <c r="N712" s="43" t="str">
        <f>VLOOKUP(M712,Table1[#All],3,FALSE)</f>
        <v>Note</v>
      </c>
      <c r="O712" s="40" t="str">
        <f>VLOOKUP(M712,Table1[#All],4,FALSE)</f>
        <v>Q1</v>
      </c>
      <c r="P712" s="39"/>
      <c r="Q712" s="40" t="str">
        <f>VLOOKUP(M712,Table1[#All],5,FALSE)</f>
        <v>Q2</v>
      </c>
      <c r="R712" s="79"/>
      <c r="S712" s="40" t="str">
        <f>VLOOKUP(M712,Table1[#All],6,FALSE)</f>
        <v>Q3</v>
      </c>
      <c r="T712" s="79"/>
      <c r="U712" s="40" t="str">
        <f>VLOOKUP(M712,Table1[#All],7,FALSE)</f>
        <v>Q4</v>
      </c>
      <c r="V712" s="79"/>
      <c r="W712" s="40" t="str">
        <f>VLOOKUP(M712,Table1[#All],8,FALSE)</f>
        <v>Q5</v>
      </c>
      <c r="X712" s="79"/>
      <c r="Y712" s="44" t="str">
        <f>VLOOKUP(M712,Table1[#All],2,FALSE)</f>
        <v>Action</v>
      </c>
      <c r="Z712" s="59" t="str">
        <f>VLOOKUP(M712,Table1[#All],9,FALSE)</f>
        <v>Additional Notes:</v>
      </c>
      <c r="AA712" s="76"/>
      <c r="AB712" s="76"/>
      <c r="AC712" s="90" t="s">
        <v>91</v>
      </c>
      <c r="AD712" s="76" t="s">
        <v>91</v>
      </c>
      <c r="AE712" s="77"/>
      <c r="AF712" s="77"/>
      <c r="AG712" s="41" t="s">
        <v>91</v>
      </c>
    </row>
    <row r="713" spans="1:33" ht="21" hidden="1" x14ac:dyDescent="0.55000000000000004">
      <c r="A713" s="44" t="str">
        <f>Data!K712</f>
        <v>Forward Health</v>
      </c>
      <c r="B713" s="44" t="str">
        <f>Data!L712</f>
        <v>8009479627</v>
      </c>
      <c r="C713" s="44" t="str">
        <f>Data!D712</f>
        <v>Porter, Tobarus</v>
      </c>
      <c r="D713" s="82" t="str">
        <f>Data!F712</f>
        <v>5409643755</v>
      </c>
      <c r="E713" s="82" t="str">
        <f>Data!B712</f>
        <v>9343</v>
      </c>
      <c r="F713" s="44" t="str">
        <f>Data!A712</f>
        <v>Porter, Tobarus</v>
      </c>
      <c r="G713" s="55" t="str">
        <f>Data!C712</f>
        <v>4/7/1988</v>
      </c>
      <c r="H713" s="56">
        <f>Data!H712</f>
        <v>44643</v>
      </c>
      <c r="I713" s="56" t="str">
        <f>Data!I712</f>
        <v>3/24/2022</v>
      </c>
      <c r="J713" s="57">
        <f>Data!J712</f>
        <v>88.8</v>
      </c>
      <c r="K713" s="58">
        <f t="shared" ca="1" si="12"/>
        <v>56</v>
      </c>
      <c r="L713" s="58">
        <f>Data!M712</f>
        <v>0</v>
      </c>
      <c r="M713" s="37" t="s">
        <v>26</v>
      </c>
      <c r="N713" s="43" t="str">
        <f>VLOOKUP(M713,Table1[#All],3,FALSE)</f>
        <v>Note</v>
      </c>
      <c r="O713" s="40" t="str">
        <f>VLOOKUP(M713,Table1[#All],4,FALSE)</f>
        <v>Q1</v>
      </c>
      <c r="P713" s="39"/>
      <c r="Q713" s="40" t="str">
        <f>VLOOKUP(M713,Table1[#All],5,FALSE)</f>
        <v>Q2</v>
      </c>
      <c r="R713" s="79"/>
      <c r="S713" s="40" t="str">
        <f>VLOOKUP(M713,Table1[#All],6,FALSE)</f>
        <v>Q3</v>
      </c>
      <c r="T713" s="79"/>
      <c r="U713" s="40" t="str">
        <f>VLOOKUP(M713,Table1[#All],7,FALSE)</f>
        <v>Q4</v>
      </c>
      <c r="V713" s="79"/>
      <c r="W713" s="40" t="str">
        <f>VLOOKUP(M713,Table1[#All],8,FALSE)</f>
        <v>Q5</v>
      </c>
      <c r="X713" s="79"/>
      <c r="Y713" s="44" t="str">
        <f>VLOOKUP(M713,Table1[#All],2,FALSE)</f>
        <v>Action</v>
      </c>
      <c r="Z713" s="59" t="str">
        <f>VLOOKUP(M713,Table1[#All],9,FALSE)</f>
        <v>Additional Notes:</v>
      </c>
      <c r="AA713" s="76"/>
      <c r="AB713" s="76"/>
      <c r="AC713" s="90" t="s">
        <v>91</v>
      </c>
      <c r="AD713" s="76" t="s">
        <v>91</v>
      </c>
      <c r="AE713" s="77"/>
      <c r="AF713" s="77"/>
      <c r="AG713" s="41" t="s">
        <v>91</v>
      </c>
    </row>
    <row r="714" spans="1:33" ht="21" hidden="1" x14ac:dyDescent="0.55000000000000004">
      <c r="A714" s="44" t="str">
        <f>Data!K713</f>
        <v>Forward Health</v>
      </c>
      <c r="B714" s="44" t="str">
        <f>Data!L713</f>
        <v>8009479627</v>
      </c>
      <c r="C714" s="44" t="str">
        <f>Data!D713</f>
        <v>Tyler, Aria</v>
      </c>
      <c r="D714" s="82" t="str">
        <f>Data!F713</f>
        <v>4440909141</v>
      </c>
      <c r="E714" s="82" t="str">
        <f>Data!B713</f>
        <v>9309</v>
      </c>
      <c r="F714" s="44" t="str">
        <f>Data!A713</f>
        <v>Tyler, Aria</v>
      </c>
      <c r="G714" s="55" t="str">
        <f>Data!C713</f>
        <v>8/12/2011</v>
      </c>
      <c r="H714" s="56">
        <f>Data!H713</f>
        <v>44643</v>
      </c>
      <c r="I714" s="56" t="str">
        <f>Data!I713</f>
        <v>3/24/2022</v>
      </c>
      <c r="J714" s="57">
        <f>Data!J713</f>
        <v>432</v>
      </c>
      <c r="K714" s="58">
        <f t="shared" ca="1" si="12"/>
        <v>56</v>
      </c>
      <c r="L714" s="58">
        <f>Data!M713</f>
        <v>0</v>
      </c>
      <c r="M714" s="37" t="s">
        <v>26</v>
      </c>
      <c r="N714" s="43" t="str">
        <f>VLOOKUP(M714,Table1[#All],3,FALSE)</f>
        <v>Note</v>
      </c>
      <c r="O714" s="40" t="str">
        <f>VLOOKUP(M714,Table1[#All],4,FALSE)</f>
        <v>Q1</v>
      </c>
      <c r="P714" s="39"/>
      <c r="Q714" s="40" t="str">
        <f>VLOOKUP(M714,Table1[#All],5,FALSE)</f>
        <v>Q2</v>
      </c>
      <c r="R714" s="79"/>
      <c r="S714" s="40" t="str">
        <f>VLOOKUP(M714,Table1[#All],6,FALSE)</f>
        <v>Q3</v>
      </c>
      <c r="T714" s="79"/>
      <c r="U714" s="40" t="str">
        <f>VLOOKUP(M714,Table1[#All],7,FALSE)</f>
        <v>Q4</v>
      </c>
      <c r="V714" s="79"/>
      <c r="W714" s="40" t="str">
        <f>VLOOKUP(M714,Table1[#All],8,FALSE)</f>
        <v>Q5</v>
      </c>
      <c r="X714" s="79"/>
      <c r="Y714" s="44" t="str">
        <f>VLOOKUP(M714,Table1[#All],2,FALSE)</f>
        <v>Action</v>
      </c>
      <c r="Z714" s="59" t="str">
        <f>VLOOKUP(M714,Table1[#All],9,FALSE)</f>
        <v>Additional Notes:</v>
      </c>
      <c r="AA714" s="76"/>
      <c r="AB714" s="76"/>
      <c r="AC714" s="90" t="s">
        <v>91</v>
      </c>
      <c r="AD714" s="76" t="s">
        <v>91</v>
      </c>
      <c r="AE714" s="77"/>
      <c r="AF714" s="77"/>
      <c r="AG714" s="41" t="s">
        <v>91</v>
      </c>
    </row>
    <row r="715" spans="1:33" ht="21" hidden="1" x14ac:dyDescent="0.55000000000000004">
      <c r="A715" s="44" t="str">
        <f>Data!K714</f>
        <v>Forward Health</v>
      </c>
      <c r="B715" s="44" t="str">
        <f>Data!L714</f>
        <v>8009479627</v>
      </c>
      <c r="C715" s="44" t="str">
        <f>Data!D714</f>
        <v xml:space="preserve">Taylor , Adrian </v>
      </c>
      <c r="D715" s="82" t="str">
        <f>Data!F714</f>
        <v>5436927254</v>
      </c>
      <c r="E715" s="82" t="str">
        <f>Data!B714</f>
        <v>9308</v>
      </c>
      <c r="F715" s="44" t="str">
        <f>Data!A714</f>
        <v xml:space="preserve">Taylor , Adrian </v>
      </c>
      <c r="G715" s="55" t="str">
        <f>Data!C714</f>
        <v>9/27/2009</v>
      </c>
      <c r="H715" s="56">
        <f>Data!H714</f>
        <v>44643</v>
      </c>
      <c r="I715" s="56" t="str">
        <f>Data!I714</f>
        <v>3/24/2022</v>
      </c>
      <c r="J715" s="57">
        <f>Data!J714</f>
        <v>708</v>
      </c>
      <c r="K715" s="58">
        <f t="shared" ca="1" si="12"/>
        <v>56</v>
      </c>
      <c r="L715" s="58">
        <f>Data!M714</f>
        <v>0</v>
      </c>
      <c r="M715" s="37" t="s">
        <v>26</v>
      </c>
      <c r="N715" s="43" t="str">
        <f>VLOOKUP(M715,Table1[#All],3,FALSE)</f>
        <v>Note</v>
      </c>
      <c r="O715" s="40" t="str">
        <f>VLOOKUP(M715,Table1[#All],4,FALSE)</f>
        <v>Q1</v>
      </c>
      <c r="P715" s="39"/>
      <c r="Q715" s="40" t="str">
        <f>VLOOKUP(M715,Table1[#All],5,FALSE)</f>
        <v>Q2</v>
      </c>
      <c r="R715" s="79"/>
      <c r="S715" s="40" t="str">
        <f>VLOOKUP(M715,Table1[#All],6,FALSE)</f>
        <v>Q3</v>
      </c>
      <c r="T715" s="79"/>
      <c r="U715" s="40" t="str">
        <f>VLOOKUP(M715,Table1[#All],7,FALSE)</f>
        <v>Q4</v>
      </c>
      <c r="V715" s="79"/>
      <c r="W715" s="40" t="str">
        <f>VLOOKUP(M715,Table1[#All],8,FALSE)</f>
        <v>Q5</v>
      </c>
      <c r="X715" s="79"/>
      <c r="Y715" s="44" t="str">
        <f>VLOOKUP(M715,Table1[#All],2,FALSE)</f>
        <v>Action</v>
      </c>
      <c r="Z715" s="59" t="str">
        <f>VLOOKUP(M715,Table1[#All],9,FALSE)</f>
        <v>Additional Notes:</v>
      </c>
      <c r="AA715" s="76"/>
      <c r="AB715" s="76"/>
      <c r="AC715" s="90" t="s">
        <v>91</v>
      </c>
      <c r="AD715" s="76" t="s">
        <v>91</v>
      </c>
      <c r="AE715" s="77"/>
      <c r="AF715" s="77"/>
      <c r="AG715" s="41" t="s">
        <v>91</v>
      </c>
    </row>
    <row r="716" spans="1:33" ht="21" hidden="1" x14ac:dyDescent="0.55000000000000004">
      <c r="A716" s="44" t="str">
        <f>Data!K715</f>
        <v>Forward Health</v>
      </c>
      <c r="B716" s="44" t="str">
        <f>Data!L715</f>
        <v>8009479627</v>
      </c>
      <c r="C716" s="44" t="str">
        <f>Data!D715</f>
        <v xml:space="preserve">Ahrens , Carrie </v>
      </c>
      <c r="D716" s="82" t="str">
        <f>Data!F715</f>
        <v>4411396645</v>
      </c>
      <c r="E716" s="82" t="str">
        <f>Data!B715</f>
        <v>9121</v>
      </c>
      <c r="F716" s="44" t="str">
        <f>Data!A715</f>
        <v xml:space="preserve">Ahrens , Carrie </v>
      </c>
      <c r="G716" s="55" t="str">
        <f>Data!C715</f>
        <v>6/8/1961</v>
      </c>
      <c r="H716" s="56">
        <f>Data!H715</f>
        <v>44642</v>
      </c>
      <c r="I716" s="56" t="str">
        <f>Data!I715</f>
        <v>3/23/2022</v>
      </c>
      <c r="J716" s="57">
        <f>Data!J715</f>
        <v>116.4</v>
      </c>
      <c r="K716" s="58">
        <f t="shared" ca="1" si="12"/>
        <v>57</v>
      </c>
      <c r="L716" s="58">
        <f>Data!M715</f>
        <v>0</v>
      </c>
      <c r="M716" s="37" t="s">
        <v>26</v>
      </c>
      <c r="N716" s="43" t="str">
        <f>VLOOKUP(M716,Table1[#All],3,FALSE)</f>
        <v>Note</v>
      </c>
      <c r="O716" s="40" t="str">
        <f>VLOOKUP(M716,Table1[#All],4,FALSE)</f>
        <v>Q1</v>
      </c>
      <c r="P716" s="39"/>
      <c r="Q716" s="40" t="str">
        <f>VLOOKUP(M716,Table1[#All],5,FALSE)</f>
        <v>Q2</v>
      </c>
      <c r="R716" s="79"/>
      <c r="S716" s="40" t="str">
        <f>VLOOKUP(M716,Table1[#All],6,FALSE)</f>
        <v>Q3</v>
      </c>
      <c r="T716" s="79"/>
      <c r="U716" s="40" t="str">
        <f>VLOOKUP(M716,Table1[#All],7,FALSE)</f>
        <v>Q4</v>
      </c>
      <c r="V716" s="79"/>
      <c r="W716" s="40" t="str">
        <f>VLOOKUP(M716,Table1[#All],8,FALSE)</f>
        <v>Q5</v>
      </c>
      <c r="X716" s="79"/>
      <c r="Y716" s="44" t="str">
        <f>VLOOKUP(M716,Table1[#All],2,FALSE)</f>
        <v>Action</v>
      </c>
      <c r="Z716" s="59" t="str">
        <f>VLOOKUP(M716,Table1[#All],9,FALSE)</f>
        <v>Additional Notes:</v>
      </c>
      <c r="AA716" s="76"/>
      <c r="AB716" s="76"/>
      <c r="AC716" s="90" t="s">
        <v>91</v>
      </c>
      <c r="AD716" s="76" t="s">
        <v>91</v>
      </c>
      <c r="AE716" s="77"/>
      <c r="AF716" s="77"/>
      <c r="AG716" s="41" t="s">
        <v>91</v>
      </c>
    </row>
    <row r="717" spans="1:33" ht="21" hidden="1" x14ac:dyDescent="0.55000000000000004">
      <c r="A717" s="44" t="str">
        <f>Data!K716</f>
        <v>Forward Health</v>
      </c>
      <c r="B717" s="44" t="str">
        <f>Data!L716</f>
        <v>8009479627</v>
      </c>
      <c r="C717" s="44" t="str">
        <f>Data!D716</f>
        <v>Lopez, Linda</v>
      </c>
      <c r="D717" s="82" t="str">
        <f>Data!F716</f>
        <v>2405259923</v>
      </c>
      <c r="E717" s="82" t="str">
        <f>Data!B716</f>
        <v>7045</v>
      </c>
      <c r="F717" s="44" t="str">
        <f>Data!A716</f>
        <v>Lopez, Linda</v>
      </c>
      <c r="G717" s="55" t="str">
        <f>Data!C716</f>
        <v>8/1/1975</v>
      </c>
      <c r="H717" s="56">
        <f>Data!H716</f>
        <v>44642</v>
      </c>
      <c r="I717" s="56" t="str">
        <f>Data!I716</f>
        <v>3/23/2022</v>
      </c>
      <c r="J717" s="57">
        <f>Data!J716</f>
        <v>727.2</v>
      </c>
      <c r="K717" s="58">
        <f t="shared" ca="1" si="12"/>
        <v>57</v>
      </c>
      <c r="L717" s="58">
        <f>Data!M716</f>
        <v>0</v>
      </c>
      <c r="M717" s="37" t="s">
        <v>26</v>
      </c>
      <c r="N717" s="43" t="str">
        <f>VLOOKUP(M717,Table1[#All],3,FALSE)</f>
        <v>Note</v>
      </c>
      <c r="O717" s="40" t="str">
        <f>VLOOKUP(M717,Table1[#All],4,FALSE)</f>
        <v>Q1</v>
      </c>
      <c r="P717" s="39"/>
      <c r="Q717" s="40" t="str">
        <f>VLOOKUP(M717,Table1[#All],5,FALSE)</f>
        <v>Q2</v>
      </c>
      <c r="R717" s="79"/>
      <c r="S717" s="40" t="str">
        <f>VLOOKUP(M717,Table1[#All],6,FALSE)</f>
        <v>Q3</v>
      </c>
      <c r="T717" s="79"/>
      <c r="U717" s="40" t="str">
        <f>VLOOKUP(M717,Table1[#All],7,FALSE)</f>
        <v>Q4</v>
      </c>
      <c r="V717" s="79"/>
      <c r="W717" s="40" t="str">
        <f>VLOOKUP(M717,Table1[#All],8,FALSE)</f>
        <v>Q5</v>
      </c>
      <c r="X717" s="79"/>
      <c r="Y717" s="44" t="str">
        <f>VLOOKUP(M717,Table1[#All],2,FALSE)</f>
        <v>Action</v>
      </c>
      <c r="Z717" s="59" t="str">
        <f>VLOOKUP(M717,Table1[#All],9,FALSE)</f>
        <v>Additional Notes:</v>
      </c>
      <c r="AA717" s="76"/>
      <c r="AB717" s="76"/>
      <c r="AC717" s="90" t="s">
        <v>91</v>
      </c>
      <c r="AD717" s="76" t="s">
        <v>91</v>
      </c>
      <c r="AE717" s="77"/>
      <c r="AF717" s="77"/>
      <c r="AG717" s="41" t="s">
        <v>91</v>
      </c>
    </row>
    <row r="718" spans="1:33" ht="21" hidden="1" x14ac:dyDescent="0.55000000000000004">
      <c r="A718" s="44" t="str">
        <f>Data!K717</f>
        <v>Forward Health</v>
      </c>
      <c r="B718" s="44" t="str">
        <f>Data!L717</f>
        <v>8009479627</v>
      </c>
      <c r="C718" s="44" t="str">
        <f>Data!D717</f>
        <v xml:space="preserve">Mobley , Rosie </v>
      </c>
      <c r="D718" s="82" t="str">
        <f>Data!F717</f>
        <v>5450442556</v>
      </c>
      <c r="E718" s="82" t="str">
        <f>Data!B717</f>
        <v>8959</v>
      </c>
      <c r="F718" s="44" t="str">
        <f>Data!A717</f>
        <v xml:space="preserve">Mobley , Rosie </v>
      </c>
      <c r="G718" s="55" t="str">
        <f>Data!C717</f>
        <v>4/5/1933</v>
      </c>
      <c r="H718" s="56">
        <f>Data!H717</f>
        <v>44642</v>
      </c>
      <c r="I718" s="56" t="str">
        <f>Data!I717</f>
        <v>3/23/2022</v>
      </c>
      <c r="J718" s="57">
        <f>Data!J717</f>
        <v>138</v>
      </c>
      <c r="K718" s="58">
        <f t="shared" ca="1" si="12"/>
        <v>57</v>
      </c>
      <c r="L718" s="58">
        <f>Data!M717</f>
        <v>0</v>
      </c>
      <c r="M718" s="37" t="s">
        <v>26</v>
      </c>
      <c r="N718" s="43" t="str">
        <f>VLOOKUP(M718,Table1[#All],3,FALSE)</f>
        <v>Note</v>
      </c>
      <c r="O718" s="40" t="str">
        <f>VLOOKUP(M718,Table1[#All],4,FALSE)</f>
        <v>Q1</v>
      </c>
      <c r="P718" s="39"/>
      <c r="Q718" s="40" t="str">
        <f>VLOOKUP(M718,Table1[#All],5,FALSE)</f>
        <v>Q2</v>
      </c>
      <c r="R718" s="79"/>
      <c r="S718" s="40" t="str">
        <f>VLOOKUP(M718,Table1[#All],6,FALSE)</f>
        <v>Q3</v>
      </c>
      <c r="T718" s="79"/>
      <c r="U718" s="40" t="str">
        <f>VLOOKUP(M718,Table1[#All],7,FALSE)</f>
        <v>Q4</v>
      </c>
      <c r="V718" s="79"/>
      <c r="W718" s="40" t="str">
        <f>VLOOKUP(M718,Table1[#All],8,FALSE)</f>
        <v>Q5</v>
      </c>
      <c r="X718" s="79"/>
      <c r="Y718" s="44" t="str">
        <f>VLOOKUP(M718,Table1[#All],2,FALSE)</f>
        <v>Action</v>
      </c>
      <c r="Z718" s="59" t="str">
        <f>VLOOKUP(M718,Table1[#All],9,FALSE)</f>
        <v>Additional Notes:</v>
      </c>
      <c r="AA718" s="76"/>
      <c r="AB718" s="76"/>
      <c r="AC718" s="90" t="s">
        <v>91</v>
      </c>
      <c r="AD718" s="76" t="s">
        <v>91</v>
      </c>
      <c r="AE718" s="77"/>
      <c r="AF718" s="77"/>
      <c r="AG718" s="41" t="s">
        <v>91</v>
      </c>
    </row>
    <row r="719" spans="1:33" ht="21" hidden="1" x14ac:dyDescent="0.55000000000000004">
      <c r="A719" s="44" t="str">
        <f>Data!K718</f>
        <v>Forward Health</v>
      </c>
      <c r="B719" s="44" t="str">
        <f>Data!L718</f>
        <v>8009479627</v>
      </c>
      <c r="C719" s="44" t="str">
        <f>Data!D718</f>
        <v>Abdul Majid , Abdulrashi</v>
      </c>
      <c r="D719" s="82" t="str">
        <f>Data!F718</f>
        <v>2450814221</v>
      </c>
      <c r="E719" s="82" t="str">
        <f>Data!B718</f>
        <v>9277</v>
      </c>
      <c r="F719" s="44" t="str">
        <f>Data!A718</f>
        <v>Abdul Majid , Abdulrashi</v>
      </c>
      <c r="G719" s="55" t="str">
        <f>Data!C718</f>
        <v>9/1/1961</v>
      </c>
      <c r="H719" s="56">
        <f>Data!H718</f>
        <v>44642</v>
      </c>
      <c r="I719" s="56" t="str">
        <f>Data!I718</f>
        <v>3/23/2022</v>
      </c>
      <c r="J719" s="57">
        <f>Data!J718</f>
        <v>276</v>
      </c>
      <c r="K719" s="58">
        <f t="shared" ca="1" si="12"/>
        <v>57</v>
      </c>
      <c r="L719" s="58">
        <f>Data!M718</f>
        <v>0</v>
      </c>
      <c r="M719" s="37" t="s">
        <v>26</v>
      </c>
      <c r="N719" s="43" t="str">
        <f>VLOOKUP(M719,Table1[#All],3,FALSE)</f>
        <v>Note</v>
      </c>
      <c r="O719" s="40" t="str">
        <f>VLOOKUP(M719,Table1[#All],4,FALSE)</f>
        <v>Q1</v>
      </c>
      <c r="P719" s="39"/>
      <c r="Q719" s="40" t="str">
        <f>VLOOKUP(M719,Table1[#All],5,FALSE)</f>
        <v>Q2</v>
      </c>
      <c r="R719" s="79"/>
      <c r="S719" s="40" t="str">
        <f>VLOOKUP(M719,Table1[#All],6,FALSE)</f>
        <v>Q3</v>
      </c>
      <c r="T719" s="79"/>
      <c r="U719" s="40" t="str">
        <f>VLOOKUP(M719,Table1[#All],7,FALSE)</f>
        <v>Q4</v>
      </c>
      <c r="V719" s="79"/>
      <c r="W719" s="40" t="str">
        <f>VLOOKUP(M719,Table1[#All],8,FALSE)</f>
        <v>Q5</v>
      </c>
      <c r="X719" s="79"/>
      <c r="Y719" s="44" t="str">
        <f>VLOOKUP(M719,Table1[#All],2,FALSE)</f>
        <v>Action</v>
      </c>
      <c r="Z719" s="59" t="str">
        <f>VLOOKUP(M719,Table1[#All],9,FALSE)</f>
        <v>Additional Notes:</v>
      </c>
      <c r="AA719" s="76"/>
      <c r="AB719" s="76"/>
      <c r="AC719" s="90" t="s">
        <v>91</v>
      </c>
      <c r="AD719" s="76" t="s">
        <v>91</v>
      </c>
      <c r="AE719" s="77"/>
      <c r="AF719" s="77"/>
      <c r="AG719" s="41" t="s">
        <v>91</v>
      </c>
    </row>
    <row r="720" spans="1:33" ht="21" hidden="1" x14ac:dyDescent="0.55000000000000004">
      <c r="A720" s="44" t="str">
        <f>Data!K719</f>
        <v>Forward Health</v>
      </c>
      <c r="B720" s="44" t="str">
        <f>Data!L719</f>
        <v>8009479627</v>
      </c>
      <c r="C720" s="44" t="str">
        <f>Data!D719</f>
        <v>Dhami, Usha</v>
      </c>
      <c r="D720" s="82" t="str">
        <f>Data!F719</f>
        <v>1457134110</v>
      </c>
      <c r="E720" s="82" t="str">
        <f>Data!B719</f>
        <v>9321</v>
      </c>
      <c r="F720" s="44" t="str">
        <f>Data!A719</f>
        <v>Dhami, Usha</v>
      </c>
      <c r="G720" s="55" t="str">
        <f>Data!C719</f>
        <v>5/8/1955</v>
      </c>
      <c r="H720" s="56">
        <f>Data!H719</f>
        <v>44642</v>
      </c>
      <c r="I720" s="56" t="str">
        <f>Data!I719</f>
        <v>3/23/2022</v>
      </c>
      <c r="J720" s="57">
        <f>Data!J719</f>
        <v>302.39999999999998</v>
      </c>
      <c r="K720" s="58">
        <f t="shared" ca="1" si="12"/>
        <v>57</v>
      </c>
      <c r="L720" s="58">
        <f>Data!M719</f>
        <v>0</v>
      </c>
      <c r="M720" s="37" t="s">
        <v>26</v>
      </c>
      <c r="N720" s="43" t="str">
        <f>VLOOKUP(M720,Table1[#All],3,FALSE)</f>
        <v>Note</v>
      </c>
      <c r="O720" s="40" t="str">
        <f>VLOOKUP(M720,Table1[#All],4,FALSE)</f>
        <v>Q1</v>
      </c>
      <c r="P720" s="39"/>
      <c r="Q720" s="40" t="str">
        <f>VLOOKUP(M720,Table1[#All],5,FALSE)</f>
        <v>Q2</v>
      </c>
      <c r="R720" s="79"/>
      <c r="S720" s="40" t="str">
        <f>VLOOKUP(M720,Table1[#All],6,FALSE)</f>
        <v>Q3</v>
      </c>
      <c r="T720" s="79"/>
      <c r="U720" s="40" t="str">
        <f>VLOOKUP(M720,Table1[#All],7,FALSE)</f>
        <v>Q4</v>
      </c>
      <c r="V720" s="79"/>
      <c r="W720" s="40" t="str">
        <f>VLOOKUP(M720,Table1[#All],8,FALSE)</f>
        <v>Q5</v>
      </c>
      <c r="X720" s="79"/>
      <c r="Y720" s="44" t="str">
        <f>VLOOKUP(M720,Table1[#All],2,FALSE)</f>
        <v>Action</v>
      </c>
      <c r="Z720" s="59" t="str">
        <f>VLOOKUP(M720,Table1[#All],9,FALSE)</f>
        <v>Additional Notes:</v>
      </c>
      <c r="AA720" s="76"/>
      <c r="AB720" s="76"/>
      <c r="AC720" s="90" t="s">
        <v>91</v>
      </c>
      <c r="AD720" s="76" t="s">
        <v>91</v>
      </c>
      <c r="AE720" s="77"/>
      <c r="AF720" s="77"/>
      <c r="AG720" s="41" t="s">
        <v>91</v>
      </c>
    </row>
    <row r="721" spans="1:33" ht="21" hidden="1" x14ac:dyDescent="0.55000000000000004">
      <c r="A721" s="44" t="str">
        <f>Data!K720</f>
        <v>Forward Health</v>
      </c>
      <c r="B721" s="44" t="str">
        <f>Data!L720</f>
        <v>8009479627</v>
      </c>
      <c r="C721" s="44" t="str">
        <f>Data!D720</f>
        <v>Haupt , Breanna</v>
      </c>
      <c r="D721" s="82" t="str">
        <f>Data!F720</f>
        <v>2408853427</v>
      </c>
      <c r="E721" s="82" t="str">
        <f>Data!B720</f>
        <v>2288</v>
      </c>
      <c r="F721" s="44" t="str">
        <f>Data!A720</f>
        <v>Haupt , Breanna</v>
      </c>
      <c r="G721" s="55" t="str">
        <f>Data!C720</f>
        <v>8/7/2002</v>
      </c>
      <c r="H721" s="56">
        <f>Data!H720</f>
        <v>44642</v>
      </c>
      <c r="I721" s="56" t="str">
        <f>Data!I720</f>
        <v>3/23/2022</v>
      </c>
      <c r="J721" s="57">
        <f>Data!J720</f>
        <v>986</v>
      </c>
      <c r="K721" s="58">
        <f t="shared" ca="1" si="12"/>
        <v>57</v>
      </c>
      <c r="L721" s="58">
        <f>Data!M720</f>
        <v>0</v>
      </c>
      <c r="M721" s="37" t="s">
        <v>26</v>
      </c>
      <c r="N721" s="43" t="str">
        <f>VLOOKUP(M721,Table1[#All],3,FALSE)</f>
        <v>Note</v>
      </c>
      <c r="O721" s="40" t="str">
        <f>VLOOKUP(M721,Table1[#All],4,FALSE)</f>
        <v>Q1</v>
      </c>
      <c r="P721" s="39"/>
      <c r="Q721" s="40" t="str">
        <f>VLOOKUP(M721,Table1[#All],5,FALSE)</f>
        <v>Q2</v>
      </c>
      <c r="R721" s="79"/>
      <c r="S721" s="40" t="str">
        <f>VLOOKUP(M721,Table1[#All],6,FALSE)</f>
        <v>Q3</v>
      </c>
      <c r="T721" s="79"/>
      <c r="U721" s="40" t="str">
        <f>VLOOKUP(M721,Table1[#All],7,FALSE)</f>
        <v>Q4</v>
      </c>
      <c r="V721" s="79"/>
      <c r="W721" s="40" t="str">
        <f>VLOOKUP(M721,Table1[#All],8,FALSE)</f>
        <v>Q5</v>
      </c>
      <c r="X721" s="79"/>
      <c r="Y721" s="44" t="str">
        <f>VLOOKUP(M721,Table1[#All],2,FALSE)</f>
        <v>Action</v>
      </c>
      <c r="Z721" s="59" t="str">
        <f>VLOOKUP(M721,Table1[#All],9,FALSE)</f>
        <v>Additional Notes:</v>
      </c>
      <c r="AA721" s="76"/>
      <c r="AB721" s="76"/>
      <c r="AC721" s="90" t="s">
        <v>91</v>
      </c>
      <c r="AD721" s="76" t="s">
        <v>91</v>
      </c>
      <c r="AE721" s="77"/>
      <c r="AF721" s="77"/>
      <c r="AG721" s="41" t="s">
        <v>91</v>
      </c>
    </row>
    <row r="722" spans="1:33" ht="21" hidden="1" x14ac:dyDescent="0.55000000000000004">
      <c r="A722" s="44" t="str">
        <f>Data!K721</f>
        <v>Forward Health</v>
      </c>
      <c r="B722" s="44" t="str">
        <f>Data!L721</f>
        <v>8009479627</v>
      </c>
      <c r="C722" s="44" t="str">
        <f>Data!D721</f>
        <v>Nevius, Logan</v>
      </c>
      <c r="D722" s="82" t="str">
        <f>Data!F721</f>
        <v>6440058967</v>
      </c>
      <c r="E722" s="82" t="str">
        <f>Data!B721</f>
        <v>7974</v>
      </c>
      <c r="F722" s="44" t="str">
        <f>Data!A721</f>
        <v>Nevius, Logan</v>
      </c>
      <c r="G722" s="55" t="str">
        <f>Data!C721</f>
        <v>2/19/2011</v>
      </c>
      <c r="H722" s="56">
        <f>Data!H721</f>
        <v>44642</v>
      </c>
      <c r="I722" s="56" t="str">
        <f>Data!I721</f>
        <v>3/23/2022</v>
      </c>
      <c r="J722" s="57">
        <f>Data!J721</f>
        <v>227.6</v>
      </c>
      <c r="K722" s="58">
        <f t="shared" ca="1" si="12"/>
        <v>57</v>
      </c>
      <c r="L722" s="58">
        <f>Data!M721</f>
        <v>0</v>
      </c>
      <c r="M722" s="37" t="s">
        <v>26</v>
      </c>
      <c r="N722" s="43" t="str">
        <f>VLOOKUP(M722,Table1[#All],3,FALSE)</f>
        <v>Note</v>
      </c>
      <c r="O722" s="40" t="str">
        <f>VLOOKUP(M722,Table1[#All],4,FALSE)</f>
        <v>Q1</v>
      </c>
      <c r="P722" s="39"/>
      <c r="Q722" s="40" t="str">
        <f>VLOOKUP(M722,Table1[#All],5,FALSE)</f>
        <v>Q2</v>
      </c>
      <c r="R722" s="79"/>
      <c r="S722" s="40" t="str">
        <f>VLOOKUP(M722,Table1[#All],6,FALSE)</f>
        <v>Q3</v>
      </c>
      <c r="T722" s="79"/>
      <c r="U722" s="40" t="str">
        <f>VLOOKUP(M722,Table1[#All],7,FALSE)</f>
        <v>Q4</v>
      </c>
      <c r="V722" s="79"/>
      <c r="W722" s="40" t="str">
        <f>VLOOKUP(M722,Table1[#All],8,FALSE)</f>
        <v>Q5</v>
      </c>
      <c r="X722" s="79"/>
      <c r="Y722" s="44" t="str">
        <f>VLOOKUP(M722,Table1[#All],2,FALSE)</f>
        <v>Action</v>
      </c>
      <c r="Z722" s="59" t="str">
        <f>VLOOKUP(M722,Table1[#All],9,FALSE)</f>
        <v>Additional Notes:</v>
      </c>
      <c r="AA722" s="76"/>
      <c r="AB722" s="76"/>
      <c r="AC722" s="90" t="s">
        <v>91</v>
      </c>
      <c r="AD722" s="76" t="s">
        <v>91</v>
      </c>
      <c r="AE722" s="77"/>
      <c r="AF722" s="77"/>
      <c r="AG722" s="41" t="s">
        <v>91</v>
      </c>
    </row>
    <row r="723" spans="1:33" ht="21" hidden="1" x14ac:dyDescent="0.55000000000000004">
      <c r="A723" s="44" t="str">
        <f>Data!K722</f>
        <v>Forward Health</v>
      </c>
      <c r="B723" s="44" t="str">
        <f>Data!L722</f>
        <v>8009479627</v>
      </c>
      <c r="C723" s="44" t="str">
        <f>Data!D722</f>
        <v>Griffin , Jade</v>
      </c>
      <c r="D723" s="82" t="str">
        <f>Data!F722</f>
        <v>1420231910</v>
      </c>
      <c r="E723" s="82" t="str">
        <f>Data!B722</f>
        <v>9317</v>
      </c>
      <c r="F723" s="44" t="str">
        <f>Data!A722</f>
        <v>Griffin , Jade</v>
      </c>
      <c r="G723" s="55" t="str">
        <f>Data!C722</f>
        <v>11/6/2000</v>
      </c>
      <c r="H723" s="56">
        <f>Data!H722</f>
        <v>44642</v>
      </c>
      <c r="I723" s="56" t="str">
        <f>Data!I722</f>
        <v>3/23/2022</v>
      </c>
      <c r="J723" s="57">
        <f>Data!J722</f>
        <v>428.4</v>
      </c>
      <c r="K723" s="58">
        <f t="shared" ca="1" si="12"/>
        <v>57</v>
      </c>
      <c r="L723" s="58">
        <f>Data!M722</f>
        <v>0</v>
      </c>
      <c r="M723" s="37" t="s">
        <v>26</v>
      </c>
      <c r="N723" s="43" t="str">
        <f>VLOOKUP(M723,Table1[#All],3,FALSE)</f>
        <v>Note</v>
      </c>
      <c r="O723" s="40" t="str">
        <f>VLOOKUP(M723,Table1[#All],4,FALSE)</f>
        <v>Q1</v>
      </c>
      <c r="P723" s="39"/>
      <c r="Q723" s="40" t="str">
        <f>VLOOKUP(M723,Table1[#All],5,FALSE)</f>
        <v>Q2</v>
      </c>
      <c r="R723" s="79"/>
      <c r="S723" s="40" t="str">
        <f>VLOOKUP(M723,Table1[#All],6,FALSE)</f>
        <v>Q3</v>
      </c>
      <c r="T723" s="79"/>
      <c r="U723" s="40" t="str">
        <f>VLOOKUP(M723,Table1[#All],7,FALSE)</f>
        <v>Q4</v>
      </c>
      <c r="V723" s="79"/>
      <c r="W723" s="40" t="str">
        <f>VLOOKUP(M723,Table1[#All],8,FALSE)</f>
        <v>Q5</v>
      </c>
      <c r="X723" s="79"/>
      <c r="Y723" s="44" t="str">
        <f>VLOOKUP(M723,Table1[#All],2,FALSE)</f>
        <v>Action</v>
      </c>
      <c r="Z723" s="59" t="str">
        <f>VLOOKUP(M723,Table1[#All],9,FALSE)</f>
        <v>Additional Notes:</v>
      </c>
      <c r="AA723" s="76"/>
      <c r="AB723" s="76"/>
      <c r="AC723" s="90" t="s">
        <v>91</v>
      </c>
      <c r="AD723" s="76" t="s">
        <v>91</v>
      </c>
      <c r="AE723" s="77"/>
      <c r="AF723" s="77"/>
      <c r="AG723" s="41" t="s">
        <v>91</v>
      </c>
    </row>
    <row r="724" spans="1:33" ht="21" hidden="1" x14ac:dyDescent="0.55000000000000004">
      <c r="A724" s="44" t="str">
        <f>Data!K723</f>
        <v>Forward Health</v>
      </c>
      <c r="B724" s="44" t="str">
        <f>Data!L723</f>
        <v>8009479627</v>
      </c>
      <c r="C724" s="44" t="str">
        <f>Data!D723</f>
        <v xml:space="preserve">Flores, Raul </v>
      </c>
      <c r="D724" s="82" t="str">
        <f>Data!F723</f>
        <v>1422235017</v>
      </c>
      <c r="E724" s="82" t="str">
        <f>Data!B723</f>
        <v>8563</v>
      </c>
      <c r="F724" s="44" t="str">
        <f>Data!A723</f>
        <v xml:space="preserve">Flores, Raul </v>
      </c>
      <c r="G724" s="55" t="str">
        <f>Data!C723</f>
        <v>6/18/1958</v>
      </c>
      <c r="H724" s="56">
        <f>Data!H723</f>
        <v>44641</v>
      </c>
      <c r="I724" s="56" t="str">
        <f>Data!I723</f>
        <v>3/22/2022</v>
      </c>
      <c r="J724" s="57">
        <f>Data!J723</f>
        <v>480</v>
      </c>
      <c r="K724" s="58">
        <f t="shared" ca="1" si="12"/>
        <v>58</v>
      </c>
      <c r="L724" s="58">
        <f>Data!M723</f>
        <v>0</v>
      </c>
      <c r="M724" s="37" t="s">
        <v>26</v>
      </c>
      <c r="N724" s="43" t="str">
        <f>VLOOKUP(M724,Table1[#All],3,FALSE)</f>
        <v>Note</v>
      </c>
      <c r="O724" s="40" t="str">
        <f>VLOOKUP(M724,Table1[#All],4,FALSE)</f>
        <v>Q1</v>
      </c>
      <c r="P724" s="39"/>
      <c r="Q724" s="40" t="str">
        <f>VLOOKUP(M724,Table1[#All],5,FALSE)</f>
        <v>Q2</v>
      </c>
      <c r="R724" s="79"/>
      <c r="S724" s="40" t="str">
        <f>VLOOKUP(M724,Table1[#All],6,FALSE)</f>
        <v>Q3</v>
      </c>
      <c r="T724" s="79"/>
      <c r="U724" s="40" t="str">
        <f>VLOOKUP(M724,Table1[#All],7,FALSE)</f>
        <v>Q4</v>
      </c>
      <c r="V724" s="79"/>
      <c r="W724" s="40" t="str">
        <f>VLOOKUP(M724,Table1[#All],8,FALSE)</f>
        <v>Q5</v>
      </c>
      <c r="X724" s="79"/>
      <c r="Y724" s="44" t="str">
        <f>VLOOKUP(M724,Table1[#All],2,FALSE)</f>
        <v>Action</v>
      </c>
      <c r="Z724" s="59" t="str">
        <f>VLOOKUP(M724,Table1[#All],9,FALSE)</f>
        <v>Additional Notes:</v>
      </c>
      <c r="AA724" s="76"/>
      <c r="AB724" s="76"/>
      <c r="AC724" s="90" t="s">
        <v>91</v>
      </c>
      <c r="AD724" s="76" t="s">
        <v>91</v>
      </c>
      <c r="AE724" s="77"/>
      <c r="AF724" s="77"/>
      <c r="AG724" s="41" t="s">
        <v>91</v>
      </c>
    </row>
    <row r="725" spans="1:33" ht="21" hidden="1" x14ac:dyDescent="0.55000000000000004">
      <c r="A725" s="44" t="str">
        <f>Data!K724</f>
        <v>Forward Health</v>
      </c>
      <c r="B725" s="44" t="str">
        <f>Data!L724</f>
        <v>8009479627</v>
      </c>
      <c r="C725" s="44" t="str">
        <f>Data!D724</f>
        <v>Tyler, Aria</v>
      </c>
      <c r="D725" s="82" t="str">
        <f>Data!F724</f>
        <v>4440909141</v>
      </c>
      <c r="E725" s="82" t="str">
        <f>Data!B724</f>
        <v>9309</v>
      </c>
      <c r="F725" s="44" t="str">
        <f>Data!A724</f>
        <v>Tyler, Aria</v>
      </c>
      <c r="G725" s="55" t="str">
        <f>Data!C724</f>
        <v>8/12/2011</v>
      </c>
      <c r="H725" s="56">
        <f>Data!H724</f>
        <v>44641</v>
      </c>
      <c r="I725" s="56" t="str">
        <f>Data!I724</f>
        <v>3/22/2022</v>
      </c>
      <c r="J725" s="57">
        <f>Data!J724</f>
        <v>354.8</v>
      </c>
      <c r="K725" s="58">
        <f t="shared" ca="1" si="12"/>
        <v>58</v>
      </c>
      <c r="L725" s="58">
        <f>Data!M724</f>
        <v>0</v>
      </c>
      <c r="M725" s="37" t="s">
        <v>26</v>
      </c>
      <c r="N725" s="43" t="str">
        <f>VLOOKUP(M725,Table1[#All],3,FALSE)</f>
        <v>Note</v>
      </c>
      <c r="O725" s="40" t="str">
        <f>VLOOKUP(M725,Table1[#All],4,FALSE)</f>
        <v>Q1</v>
      </c>
      <c r="P725" s="39"/>
      <c r="Q725" s="40" t="str">
        <f>VLOOKUP(M725,Table1[#All],5,FALSE)</f>
        <v>Q2</v>
      </c>
      <c r="R725" s="79"/>
      <c r="S725" s="40" t="str">
        <f>VLOOKUP(M725,Table1[#All],6,FALSE)</f>
        <v>Q3</v>
      </c>
      <c r="T725" s="79"/>
      <c r="U725" s="40" t="str">
        <f>VLOOKUP(M725,Table1[#All],7,FALSE)</f>
        <v>Q4</v>
      </c>
      <c r="V725" s="79"/>
      <c r="W725" s="40" t="str">
        <f>VLOOKUP(M725,Table1[#All],8,FALSE)</f>
        <v>Q5</v>
      </c>
      <c r="X725" s="79"/>
      <c r="Y725" s="44" t="str">
        <f>VLOOKUP(M725,Table1[#All],2,FALSE)</f>
        <v>Action</v>
      </c>
      <c r="Z725" s="59" t="str">
        <f>VLOOKUP(M725,Table1[#All],9,FALSE)</f>
        <v>Additional Notes:</v>
      </c>
      <c r="AA725" s="76"/>
      <c r="AB725" s="76"/>
      <c r="AC725" s="90" t="s">
        <v>91</v>
      </c>
      <c r="AD725" s="76" t="s">
        <v>91</v>
      </c>
      <c r="AE725" s="77"/>
      <c r="AF725" s="77"/>
      <c r="AG725" s="41" t="s">
        <v>91</v>
      </c>
    </row>
    <row r="726" spans="1:33" ht="21" hidden="1" x14ac:dyDescent="0.55000000000000004">
      <c r="A726" s="44" t="str">
        <f>Data!K725</f>
        <v>Forward Health</v>
      </c>
      <c r="B726" s="44" t="str">
        <f>Data!L725</f>
        <v>8009479627</v>
      </c>
      <c r="C726" s="44" t="str">
        <f>Data!D725</f>
        <v xml:space="preserve">Taylor , Adrian </v>
      </c>
      <c r="D726" s="82" t="str">
        <f>Data!F725</f>
        <v>5436927254</v>
      </c>
      <c r="E726" s="82" t="str">
        <f>Data!B725</f>
        <v>9308</v>
      </c>
      <c r="F726" s="44" t="str">
        <f>Data!A725</f>
        <v xml:space="preserve">Taylor , Adrian </v>
      </c>
      <c r="G726" s="55" t="str">
        <f>Data!C725</f>
        <v>9/27/2009</v>
      </c>
      <c r="H726" s="56">
        <f>Data!H725</f>
        <v>44641</v>
      </c>
      <c r="I726" s="56" t="str">
        <f>Data!I725</f>
        <v>3/22/2022</v>
      </c>
      <c r="J726" s="57">
        <f>Data!J725</f>
        <v>256.39999999999998</v>
      </c>
      <c r="K726" s="58">
        <f t="shared" ca="1" si="12"/>
        <v>58</v>
      </c>
      <c r="L726" s="58">
        <f>Data!M725</f>
        <v>0</v>
      </c>
      <c r="M726" s="37" t="s">
        <v>26</v>
      </c>
      <c r="N726" s="43" t="str">
        <f>VLOOKUP(M726,Table1[#All],3,FALSE)</f>
        <v>Note</v>
      </c>
      <c r="O726" s="40" t="str">
        <f>VLOOKUP(M726,Table1[#All],4,FALSE)</f>
        <v>Q1</v>
      </c>
      <c r="P726" s="39"/>
      <c r="Q726" s="40" t="str">
        <f>VLOOKUP(M726,Table1[#All],5,FALSE)</f>
        <v>Q2</v>
      </c>
      <c r="R726" s="79"/>
      <c r="S726" s="40" t="str">
        <f>VLOOKUP(M726,Table1[#All],6,FALSE)</f>
        <v>Q3</v>
      </c>
      <c r="T726" s="79"/>
      <c r="U726" s="40" t="str">
        <f>VLOOKUP(M726,Table1[#All],7,FALSE)</f>
        <v>Q4</v>
      </c>
      <c r="V726" s="79"/>
      <c r="W726" s="40" t="str">
        <f>VLOOKUP(M726,Table1[#All],8,FALSE)</f>
        <v>Q5</v>
      </c>
      <c r="X726" s="79"/>
      <c r="Y726" s="44" t="str">
        <f>VLOOKUP(M726,Table1[#All],2,FALSE)</f>
        <v>Action</v>
      </c>
      <c r="Z726" s="59" t="str">
        <f>VLOOKUP(M726,Table1[#All],9,FALSE)</f>
        <v>Additional Notes:</v>
      </c>
      <c r="AA726" s="76"/>
      <c r="AB726" s="76"/>
      <c r="AC726" s="90" t="s">
        <v>91</v>
      </c>
      <c r="AD726" s="76" t="s">
        <v>91</v>
      </c>
      <c r="AE726" s="77"/>
      <c r="AF726" s="77"/>
      <c r="AG726" s="41" t="s">
        <v>91</v>
      </c>
    </row>
    <row r="727" spans="1:33" ht="21" hidden="1" x14ac:dyDescent="0.55000000000000004">
      <c r="A727" s="44" t="str">
        <f>Data!K726</f>
        <v>Forward Health</v>
      </c>
      <c r="B727" s="44" t="str">
        <f>Data!L726</f>
        <v>8009479627</v>
      </c>
      <c r="C727" s="44" t="str">
        <f>Data!D726</f>
        <v xml:space="preserve">GUZMAN, KEELY </v>
      </c>
      <c r="D727" s="82" t="str">
        <f>Data!F726</f>
        <v>0446615706</v>
      </c>
      <c r="E727" s="82" t="str">
        <f>Data!B726</f>
        <v>6013</v>
      </c>
      <c r="F727" s="44" t="str">
        <f>Data!A726</f>
        <v xml:space="preserve">GUZMAN, KEELY </v>
      </c>
      <c r="G727" s="55" t="str">
        <f>Data!C726</f>
        <v>11/27/1992</v>
      </c>
      <c r="H727" s="56">
        <f>Data!H726</f>
        <v>44639</v>
      </c>
      <c r="I727" s="56" t="str">
        <f>Data!I726</f>
        <v>3/21/2022</v>
      </c>
      <c r="J727" s="57">
        <f>Data!J726</f>
        <v>226.8</v>
      </c>
      <c r="K727" s="58">
        <f t="shared" ca="1" si="12"/>
        <v>59</v>
      </c>
      <c r="L727" s="58">
        <f>Data!M726</f>
        <v>0</v>
      </c>
      <c r="M727" s="37" t="s">
        <v>26</v>
      </c>
      <c r="N727" s="43" t="str">
        <f>VLOOKUP(M727,Table1[#All],3,FALSE)</f>
        <v>Note</v>
      </c>
      <c r="O727" s="40" t="str">
        <f>VLOOKUP(M727,Table1[#All],4,FALSE)</f>
        <v>Q1</v>
      </c>
      <c r="P727" s="39"/>
      <c r="Q727" s="40" t="str">
        <f>VLOOKUP(M727,Table1[#All],5,FALSE)</f>
        <v>Q2</v>
      </c>
      <c r="R727" s="79"/>
      <c r="S727" s="40" t="str">
        <f>VLOOKUP(M727,Table1[#All],6,FALSE)</f>
        <v>Q3</v>
      </c>
      <c r="T727" s="79"/>
      <c r="U727" s="40" t="str">
        <f>VLOOKUP(M727,Table1[#All],7,FALSE)</f>
        <v>Q4</v>
      </c>
      <c r="V727" s="79"/>
      <c r="W727" s="40" t="str">
        <f>VLOOKUP(M727,Table1[#All],8,FALSE)</f>
        <v>Q5</v>
      </c>
      <c r="X727" s="79"/>
      <c r="Y727" s="44" t="str">
        <f>VLOOKUP(M727,Table1[#All],2,FALSE)</f>
        <v>Action</v>
      </c>
      <c r="Z727" s="59" t="str">
        <f>VLOOKUP(M727,Table1[#All],9,FALSE)</f>
        <v>Additional Notes:</v>
      </c>
      <c r="AA727" s="76"/>
      <c r="AB727" s="76"/>
      <c r="AC727" s="90" t="s">
        <v>91</v>
      </c>
      <c r="AD727" s="76" t="s">
        <v>91</v>
      </c>
      <c r="AE727" s="77"/>
      <c r="AF727" s="77"/>
      <c r="AG727" s="41" t="s">
        <v>91</v>
      </c>
    </row>
    <row r="728" spans="1:33" ht="21" hidden="1" x14ac:dyDescent="0.55000000000000004">
      <c r="A728" s="44" t="str">
        <f>Data!K727</f>
        <v>Forward Health</v>
      </c>
      <c r="B728" s="44" t="str">
        <f>Data!L727</f>
        <v>8009479627</v>
      </c>
      <c r="C728" s="44" t="str">
        <f>Data!D727</f>
        <v xml:space="preserve">BROWN , MYRON </v>
      </c>
      <c r="D728" s="82" t="str">
        <f>Data!F727</f>
        <v>5407513552</v>
      </c>
      <c r="E728" s="82" t="str">
        <f>Data!B727</f>
        <v>4447</v>
      </c>
      <c r="F728" s="44" t="str">
        <f>Data!A727</f>
        <v xml:space="preserve">BROWN , MYRON </v>
      </c>
      <c r="G728" s="55" t="str">
        <f>Data!C727</f>
        <v>11/8/1979</v>
      </c>
      <c r="H728" s="56">
        <f>Data!H727</f>
        <v>44639</v>
      </c>
      <c r="I728" s="56" t="str">
        <f>Data!I727</f>
        <v>3/21/2022</v>
      </c>
      <c r="J728" s="57">
        <f>Data!J727</f>
        <v>149.6</v>
      </c>
      <c r="K728" s="58">
        <f t="shared" ca="1" si="12"/>
        <v>59</v>
      </c>
      <c r="L728" s="58">
        <f>Data!M727</f>
        <v>0</v>
      </c>
      <c r="M728" s="37" t="s">
        <v>26</v>
      </c>
      <c r="N728" s="43" t="str">
        <f>VLOOKUP(M728,Table1[#All],3,FALSE)</f>
        <v>Note</v>
      </c>
      <c r="O728" s="40" t="str">
        <f>VLOOKUP(M728,Table1[#All],4,FALSE)</f>
        <v>Q1</v>
      </c>
      <c r="P728" s="39"/>
      <c r="Q728" s="40" t="str">
        <f>VLOOKUP(M728,Table1[#All],5,FALSE)</f>
        <v>Q2</v>
      </c>
      <c r="R728" s="79"/>
      <c r="S728" s="40" t="str">
        <f>VLOOKUP(M728,Table1[#All],6,FALSE)</f>
        <v>Q3</v>
      </c>
      <c r="T728" s="79"/>
      <c r="U728" s="40" t="str">
        <f>VLOOKUP(M728,Table1[#All],7,FALSE)</f>
        <v>Q4</v>
      </c>
      <c r="V728" s="79"/>
      <c r="W728" s="40" t="str">
        <f>VLOOKUP(M728,Table1[#All],8,FALSE)</f>
        <v>Q5</v>
      </c>
      <c r="X728" s="79"/>
      <c r="Y728" s="44" t="str">
        <f>VLOOKUP(M728,Table1[#All],2,FALSE)</f>
        <v>Action</v>
      </c>
      <c r="Z728" s="59" t="str">
        <f>VLOOKUP(M728,Table1[#All],9,FALSE)</f>
        <v>Additional Notes:</v>
      </c>
      <c r="AA728" s="76"/>
      <c r="AB728" s="76"/>
      <c r="AC728" s="90" t="s">
        <v>91</v>
      </c>
      <c r="AD728" s="76" t="s">
        <v>91</v>
      </c>
      <c r="AE728" s="77"/>
      <c r="AF728" s="77"/>
      <c r="AG728" s="41" t="s">
        <v>91</v>
      </c>
    </row>
    <row r="729" spans="1:33" ht="21" hidden="1" x14ac:dyDescent="0.55000000000000004">
      <c r="A729" s="44" t="str">
        <f>Data!K728</f>
        <v>Forward Health</v>
      </c>
      <c r="B729" s="44" t="str">
        <f>Data!L728</f>
        <v>8009479627</v>
      </c>
      <c r="C729" s="44" t="str">
        <f>Data!D728</f>
        <v>Lopez Ramirez, Evelyn</v>
      </c>
      <c r="D729" s="82" t="str">
        <f>Data!F728</f>
        <v>8434975785</v>
      </c>
      <c r="E729" s="82" t="str">
        <f>Data!B728</f>
        <v>1196</v>
      </c>
      <c r="F729" s="44" t="str">
        <f>Data!A728</f>
        <v>Lopez Ramirez, Evelyn</v>
      </c>
      <c r="G729" s="55" t="str">
        <f>Data!C728</f>
        <v>1/31/1988</v>
      </c>
      <c r="H729" s="56">
        <f>Data!H728</f>
        <v>44638</v>
      </c>
      <c r="I729" s="56" t="str">
        <f>Data!I728</f>
        <v>3/21/2022</v>
      </c>
      <c r="J729" s="57">
        <f>Data!J728</f>
        <v>466.8</v>
      </c>
      <c r="K729" s="58">
        <f t="shared" ca="1" si="12"/>
        <v>59</v>
      </c>
      <c r="L729" s="58">
        <f>Data!M728</f>
        <v>0</v>
      </c>
      <c r="M729" s="37" t="s">
        <v>26</v>
      </c>
      <c r="N729" s="43" t="str">
        <f>VLOOKUP(M729,Table1[#All],3,FALSE)</f>
        <v>Note</v>
      </c>
      <c r="O729" s="40" t="str">
        <f>VLOOKUP(M729,Table1[#All],4,FALSE)</f>
        <v>Q1</v>
      </c>
      <c r="P729" s="39"/>
      <c r="Q729" s="40" t="str">
        <f>VLOOKUP(M729,Table1[#All],5,FALSE)</f>
        <v>Q2</v>
      </c>
      <c r="R729" s="79"/>
      <c r="S729" s="40" t="str">
        <f>VLOOKUP(M729,Table1[#All],6,FALSE)</f>
        <v>Q3</v>
      </c>
      <c r="T729" s="79"/>
      <c r="U729" s="40" t="str">
        <f>VLOOKUP(M729,Table1[#All],7,FALSE)</f>
        <v>Q4</v>
      </c>
      <c r="V729" s="79"/>
      <c r="W729" s="40" t="str">
        <f>VLOOKUP(M729,Table1[#All],8,FALSE)</f>
        <v>Q5</v>
      </c>
      <c r="X729" s="79"/>
      <c r="Y729" s="44" t="str">
        <f>VLOOKUP(M729,Table1[#All],2,FALSE)</f>
        <v>Action</v>
      </c>
      <c r="Z729" s="59" t="str">
        <f>VLOOKUP(M729,Table1[#All],9,FALSE)</f>
        <v>Additional Notes:</v>
      </c>
      <c r="AA729" s="76"/>
      <c r="AB729" s="76"/>
      <c r="AC729" s="90" t="s">
        <v>91</v>
      </c>
      <c r="AD729" s="76" t="s">
        <v>91</v>
      </c>
      <c r="AE729" s="77"/>
      <c r="AF729" s="77"/>
      <c r="AG729" s="41" t="s">
        <v>91</v>
      </c>
    </row>
    <row r="730" spans="1:33" ht="21" hidden="1" x14ac:dyDescent="0.55000000000000004">
      <c r="A730" s="44" t="str">
        <f>Data!K729</f>
        <v>Forward Health</v>
      </c>
      <c r="B730" s="44" t="str">
        <f>Data!L729</f>
        <v>8009479627</v>
      </c>
      <c r="C730" s="44" t="str">
        <f>Data!D729</f>
        <v xml:space="preserve">Wooden, Shana </v>
      </c>
      <c r="D730" s="82" t="str">
        <f>Data!F729</f>
        <v>5419961253</v>
      </c>
      <c r="E730" s="82" t="str">
        <f>Data!B729</f>
        <v>2235</v>
      </c>
      <c r="F730" s="44" t="str">
        <f>Data!A729</f>
        <v xml:space="preserve">Wooden, Shana </v>
      </c>
      <c r="G730" s="55" t="str">
        <f>Data!C729</f>
        <v>11/20/1983</v>
      </c>
      <c r="H730" s="56">
        <f>Data!H729</f>
        <v>44638</v>
      </c>
      <c r="I730" s="56" t="str">
        <f>Data!I729</f>
        <v>3/21/2022</v>
      </c>
      <c r="J730" s="57">
        <f>Data!J729</f>
        <v>266</v>
      </c>
      <c r="K730" s="58">
        <f t="shared" ca="1" si="12"/>
        <v>59</v>
      </c>
      <c r="L730" s="58">
        <f>Data!M729</f>
        <v>0</v>
      </c>
      <c r="M730" s="37" t="s">
        <v>26</v>
      </c>
      <c r="N730" s="43" t="str">
        <f>VLOOKUP(M730,Table1[#All],3,FALSE)</f>
        <v>Note</v>
      </c>
      <c r="O730" s="40" t="str">
        <f>VLOOKUP(M730,Table1[#All],4,FALSE)</f>
        <v>Q1</v>
      </c>
      <c r="P730" s="39"/>
      <c r="Q730" s="40" t="str">
        <f>VLOOKUP(M730,Table1[#All],5,FALSE)</f>
        <v>Q2</v>
      </c>
      <c r="R730" s="79"/>
      <c r="S730" s="40" t="str">
        <f>VLOOKUP(M730,Table1[#All],6,FALSE)</f>
        <v>Q3</v>
      </c>
      <c r="T730" s="79"/>
      <c r="U730" s="40" t="str">
        <f>VLOOKUP(M730,Table1[#All],7,FALSE)</f>
        <v>Q4</v>
      </c>
      <c r="V730" s="79"/>
      <c r="W730" s="40" t="str">
        <f>VLOOKUP(M730,Table1[#All],8,FALSE)</f>
        <v>Q5</v>
      </c>
      <c r="X730" s="79"/>
      <c r="Y730" s="44" t="str">
        <f>VLOOKUP(M730,Table1[#All],2,FALSE)</f>
        <v>Action</v>
      </c>
      <c r="Z730" s="59" t="str">
        <f>VLOOKUP(M730,Table1[#All],9,FALSE)</f>
        <v>Additional Notes:</v>
      </c>
      <c r="AA730" s="76"/>
      <c r="AB730" s="76"/>
      <c r="AC730" s="90" t="s">
        <v>91</v>
      </c>
      <c r="AD730" s="76" t="s">
        <v>91</v>
      </c>
      <c r="AE730" s="77"/>
      <c r="AF730" s="77"/>
      <c r="AG730" s="41" t="s">
        <v>91</v>
      </c>
    </row>
    <row r="731" spans="1:33" ht="21" hidden="1" x14ac:dyDescent="0.55000000000000004">
      <c r="A731" s="44" t="str">
        <f>Data!K730</f>
        <v>Forward Health</v>
      </c>
      <c r="B731" s="44" t="str">
        <f>Data!L730</f>
        <v>8009479627</v>
      </c>
      <c r="C731" s="44" t="str">
        <f>Data!D730</f>
        <v>Taborn, Tashima</v>
      </c>
      <c r="D731" s="82" t="str">
        <f>Data!F730</f>
        <v>1400007411</v>
      </c>
      <c r="E731" s="82" t="str">
        <f>Data!B730</f>
        <v>962</v>
      </c>
      <c r="F731" s="44" t="str">
        <f>Data!A730</f>
        <v>Taborn, Tashima</v>
      </c>
      <c r="G731" s="55" t="str">
        <f>Data!C730</f>
        <v>8/16/1989</v>
      </c>
      <c r="H731" s="56">
        <f>Data!H730</f>
        <v>44638</v>
      </c>
      <c r="I731" s="56" t="str">
        <f>Data!I730</f>
        <v>3/21/2022</v>
      </c>
      <c r="J731" s="57">
        <f>Data!J730</f>
        <v>61.2</v>
      </c>
      <c r="K731" s="58">
        <f t="shared" ca="1" si="12"/>
        <v>59</v>
      </c>
      <c r="L731" s="58">
        <f>Data!M730</f>
        <v>0</v>
      </c>
      <c r="M731" s="37" t="s">
        <v>26</v>
      </c>
      <c r="N731" s="43" t="str">
        <f>VLOOKUP(M731,Table1[#All],3,FALSE)</f>
        <v>Note</v>
      </c>
      <c r="O731" s="40" t="str">
        <f>VLOOKUP(M731,Table1[#All],4,FALSE)</f>
        <v>Q1</v>
      </c>
      <c r="P731" s="39"/>
      <c r="Q731" s="40" t="str">
        <f>VLOOKUP(M731,Table1[#All],5,FALSE)</f>
        <v>Q2</v>
      </c>
      <c r="R731" s="79"/>
      <c r="S731" s="40" t="str">
        <f>VLOOKUP(M731,Table1[#All],6,FALSE)</f>
        <v>Q3</v>
      </c>
      <c r="T731" s="79"/>
      <c r="U731" s="40" t="str">
        <f>VLOOKUP(M731,Table1[#All],7,FALSE)</f>
        <v>Q4</v>
      </c>
      <c r="V731" s="79"/>
      <c r="W731" s="40" t="str">
        <f>VLOOKUP(M731,Table1[#All],8,FALSE)</f>
        <v>Q5</v>
      </c>
      <c r="X731" s="79"/>
      <c r="Y731" s="44" t="str">
        <f>VLOOKUP(M731,Table1[#All],2,FALSE)</f>
        <v>Action</v>
      </c>
      <c r="Z731" s="59" t="str">
        <f>VLOOKUP(M731,Table1[#All],9,FALSE)</f>
        <v>Additional Notes:</v>
      </c>
      <c r="AA731" s="76"/>
      <c r="AB731" s="76"/>
      <c r="AC731" s="90" t="s">
        <v>91</v>
      </c>
      <c r="AD731" s="76" t="s">
        <v>91</v>
      </c>
      <c r="AE731" s="77"/>
      <c r="AF731" s="77"/>
      <c r="AG731" s="41" t="s">
        <v>91</v>
      </c>
    </row>
    <row r="732" spans="1:33" ht="21" hidden="1" x14ac:dyDescent="0.55000000000000004">
      <c r="A732" s="44" t="str">
        <f>Data!K731</f>
        <v>Forward Health</v>
      </c>
      <c r="B732" s="44" t="str">
        <f>Data!L731</f>
        <v>8009479627</v>
      </c>
      <c r="C732" s="44" t="str">
        <f>Data!D731</f>
        <v>Fleming , Glenn</v>
      </c>
      <c r="D732" s="82" t="str">
        <f>Data!F731</f>
        <v>1439379017</v>
      </c>
      <c r="E732" s="82" t="str">
        <f>Data!B731</f>
        <v>9158</v>
      </c>
      <c r="F732" s="44" t="str">
        <f>Data!A731</f>
        <v>Fleming , Glenn</v>
      </c>
      <c r="G732" s="55" t="str">
        <f>Data!C731</f>
        <v>7/14/1958</v>
      </c>
      <c r="H732" s="56">
        <f>Data!H731</f>
        <v>44637</v>
      </c>
      <c r="I732" s="56" t="str">
        <f>Data!I731</f>
        <v>3/18/2022</v>
      </c>
      <c r="J732" s="57">
        <f>Data!J731</f>
        <v>1058.4000000000001</v>
      </c>
      <c r="K732" s="58">
        <f t="shared" ca="1" si="12"/>
        <v>62</v>
      </c>
      <c r="L732" s="58">
        <f>Data!M731</f>
        <v>0</v>
      </c>
      <c r="M732" s="37" t="s">
        <v>26</v>
      </c>
      <c r="N732" s="43" t="str">
        <f>VLOOKUP(M732,Table1[#All],3,FALSE)</f>
        <v>Note</v>
      </c>
      <c r="O732" s="40" t="str">
        <f>VLOOKUP(M732,Table1[#All],4,FALSE)</f>
        <v>Q1</v>
      </c>
      <c r="P732" s="39"/>
      <c r="Q732" s="40" t="str">
        <f>VLOOKUP(M732,Table1[#All],5,FALSE)</f>
        <v>Q2</v>
      </c>
      <c r="R732" s="79"/>
      <c r="S732" s="40" t="str">
        <f>VLOOKUP(M732,Table1[#All],6,FALSE)</f>
        <v>Q3</v>
      </c>
      <c r="T732" s="79"/>
      <c r="U732" s="40" t="str">
        <f>VLOOKUP(M732,Table1[#All],7,FALSE)</f>
        <v>Q4</v>
      </c>
      <c r="V732" s="79"/>
      <c r="W732" s="40" t="str">
        <f>VLOOKUP(M732,Table1[#All],8,FALSE)</f>
        <v>Q5</v>
      </c>
      <c r="X732" s="79"/>
      <c r="Y732" s="44" t="str">
        <f>VLOOKUP(M732,Table1[#All],2,FALSE)</f>
        <v>Action</v>
      </c>
      <c r="Z732" s="59" t="str">
        <f>VLOOKUP(M732,Table1[#All],9,FALSE)</f>
        <v>Additional Notes:</v>
      </c>
      <c r="AA732" s="76"/>
      <c r="AB732" s="76"/>
      <c r="AC732" s="90" t="s">
        <v>91</v>
      </c>
      <c r="AD732" s="76" t="s">
        <v>91</v>
      </c>
      <c r="AE732" s="77"/>
      <c r="AF732" s="77"/>
      <c r="AG732" s="41" t="s">
        <v>91</v>
      </c>
    </row>
    <row r="733" spans="1:33" ht="21" hidden="1" x14ac:dyDescent="0.55000000000000004">
      <c r="A733" s="44" t="str">
        <f>Data!K732</f>
        <v>Forward Health</v>
      </c>
      <c r="B733" s="44" t="str">
        <f>Data!L732</f>
        <v>8009479627</v>
      </c>
      <c r="C733" s="44" t="str">
        <f>Data!D732</f>
        <v>Garcia , Qjorge</v>
      </c>
      <c r="D733" s="82" t="str">
        <f>Data!F732</f>
        <v>7429025277</v>
      </c>
      <c r="E733" s="82" t="str">
        <f>Data!B732</f>
        <v>9133</v>
      </c>
      <c r="F733" s="44" t="str">
        <f>Data!A732</f>
        <v>Garcia , Qjorge</v>
      </c>
      <c r="G733" s="55" t="str">
        <f>Data!C732</f>
        <v>8/31/1967</v>
      </c>
      <c r="H733" s="56">
        <f>Data!H732</f>
        <v>44637</v>
      </c>
      <c r="I733" s="56" t="str">
        <f>Data!I732</f>
        <v>3/18/2022</v>
      </c>
      <c r="J733" s="57">
        <f>Data!J732</f>
        <v>162</v>
      </c>
      <c r="K733" s="58">
        <f t="shared" ca="1" si="12"/>
        <v>62</v>
      </c>
      <c r="L733" s="58">
        <f>Data!M732</f>
        <v>0</v>
      </c>
      <c r="M733" s="37" t="s">
        <v>26</v>
      </c>
      <c r="N733" s="43" t="str">
        <f>VLOOKUP(M733,Table1[#All],3,FALSE)</f>
        <v>Note</v>
      </c>
      <c r="O733" s="40" t="str">
        <f>VLOOKUP(M733,Table1[#All],4,FALSE)</f>
        <v>Q1</v>
      </c>
      <c r="P733" s="39"/>
      <c r="Q733" s="40" t="str">
        <f>VLOOKUP(M733,Table1[#All],5,FALSE)</f>
        <v>Q2</v>
      </c>
      <c r="R733" s="79"/>
      <c r="S733" s="40" t="str">
        <f>VLOOKUP(M733,Table1[#All],6,FALSE)</f>
        <v>Q3</v>
      </c>
      <c r="T733" s="79"/>
      <c r="U733" s="40" t="str">
        <f>VLOOKUP(M733,Table1[#All],7,FALSE)</f>
        <v>Q4</v>
      </c>
      <c r="V733" s="79"/>
      <c r="W733" s="40" t="str">
        <f>VLOOKUP(M733,Table1[#All],8,FALSE)</f>
        <v>Q5</v>
      </c>
      <c r="X733" s="79"/>
      <c r="Y733" s="44" t="str">
        <f>VLOOKUP(M733,Table1[#All],2,FALSE)</f>
        <v>Action</v>
      </c>
      <c r="Z733" s="59" t="str">
        <f>VLOOKUP(M733,Table1[#All],9,FALSE)</f>
        <v>Additional Notes:</v>
      </c>
      <c r="AA733" s="76"/>
      <c r="AB733" s="76"/>
      <c r="AC733" s="90" t="s">
        <v>91</v>
      </c>
      <c r="AD733" s="76" t="s">
        <v>91</v>
      </c>
      <c r="AE733" s="77"/>
      <c r="AF733" s="77"/>
      <c r="AG733" s="41" t="s">
        <v>91</v>
      </c>
    </row>
    <row r="734" spans="1:33" ht="21" hidden="1" x14ac:dyDescent="0.55000000000000004">
      <c r="A734" s="44" t="str">
        <f>Data!K733</f>
        <v>Forward Health</v>
      </c>
      <c r="B734" s="44" t="str">
        <f>Data!L733</f>
        <v>8009479627</v>
      </c>
      <c r="C734" s="44" t="str">
        <f>Data!D733</f>
        <v>Win, Khin</v>
      </c>
      <c r="D734" s="82" t="str">
        <f>Data!F733</f>
        <v>0443497001</v>
      </c>
      <c r="E734" s="82" t="str">
        <f>Data!B733</f>
        <v>9246</v>
      </c>
      <c r="F734" s="44" t="str">
        <f>Data!A733</f>
        <v>Win, Khin</v>
      </c>
      <c r="G734" s="55" t="str">
        <f>Data!C733</f>
        <v>12/12/1948</v>
      </c>
      <c r="H734" s="56">
        <f>Data!H733</f>
        <v>44637</v>
      </c>
      <c r="I734" s="56" t="str">
        <f>Data!I733</f>
        <v>3/18/2022</v>
      </c>
      <c r="J734" s="57">
        <f>Data!J733</f>
        <v>186</v>
      </c>
      <c r="K734" s="58">
        <f t="shared" ca="1" si="12"/>
        <v>62</v>
      </c>
      <c r="L734" s="58">
        <f>Data!M733</f>
        <v>0</v>
      </c>
      <c r="M734" s="37" t="s">
        <v>26</v>
      </c>
      <c r="N734" s="43" t="str">
        <f>VLOOKUP(M734,Table1[#All],3,FALSE)</f>
        <v>Note</v>
      </c>
      <c r="O734" s="40" t="str">
        <f>VLOOKUP(M734,Table1[#All],4,FALSE)</f>
        <v>Q1</v>
      </c>
      <c r="P734" s="39"/>
      <c r="Q734" s="40" t="str">
        <f>VLOOKUP(M734,Table1[#All],5,FALSE)</f>
        <v>Q2</v>
      </c>
      <c r="R734" s="79"/>
      <c r="S734" s="40" t="str">
        <f>VLOOKUP(M734,Table1[#All],6,FALSE)</f>
        <v>Q3</v>
      </c>
      <c r="T734" s="79"/>
      <c r="U734" s="40" t="str">
        <f>VLOOKUP(M734,Table1[#All],7,FALSE)</f>
        <v>Q4</v>
      </c>
      <c r="V734" s="79"/>
      <c r="W734" s="40" t="str">
        <f>VLOOKUP(M734,Table1[#All],8,FALSE)</f>
        <v>Q5</v>
      </c>
      <c r="X734" s="79"/>
      <c r="Y734" s="44" t="str">
        <f>VLOOKUP(M734,Table1[#All],2,FALSE)</f>
        <v>Action</v>
      </c>
      <c r="Z734" s="59" t="str">
        <f>VLOOKUP(M734,Table1[#All],9,FALSE)</f>
        <v>Additional Notes:</v>
      </c>
      <c r="AA734" s="76"/>
      <c r="AB734" s="76"/>
      <c r="AC734" s="90" t="s">
        <v>91</v>
      </c>
      <c r="AD734" s="76" t="s">
        <v>91</v>
      </c>
      <c r="AE734" s="77"/>
      <c r="AF734" s="77"/>
      <c r="AG734" s="41" t="s">
        <v>91</v>
      </c>
    </row>
    <row r="735" spans="1:33" ht="21" hidden="1" x14ac:dyDescent="0.55000000000000004">
      <c r="A735" s="44" t="str">
        <f>Data!K734</f>
        <v>Forward Health</v>
      </c>
      <c r="B735" s="44" t="str">
        <f>Data!L734</f>
        <v>8009479627</v>
      </c>
      <c r="C735" s="44" t="str">
        <f>Data!D734</f>
        <v>Morales Rivera , Yomary</v>
      </c>
      <c r="D735" s="82" t="str">
        <f>Data!F734</f>
        <v>3446858539</v>
      </c>
      <c r="E735" s="82" t="str">
        <f>Data!B734</f>
        <v>9095</v>
      </c>
      <c r="F735" s="44" t="str">
        <f>Data!A734</f>
        <v>Morales Rivera , Yomary</v>
      </c>
      <c r="G735" s="55" t="str">
        <f>Data!C734</f>
        <v>12/14/2011</v>
      </c>
      <c r="H735" s="56">
        <f>Data!H734</f>
        <v>44636</v>
      </c>
      <c r="I735" s="56" t="str">
        <f>Data!I734</f>
        <v>3/17/2022</v>
      </c>
      <c r="J735" s="57">
        <f>Data!J734</f>
        <v>960</v>
      </c>
      <c r="K735" s="58">
        <f t="shared" ca="1" si="12"/>
        <v>63</v>
      </c>
      <c r="L735" s="58">
        <f>Data!M734</f>
        <v>0</v>
      </c>
      <c r="M735" s="37" t="s">
        <v>26</v>
      </c>
      <c r="N735" s="43" t="str">
        <f>VLOOKUP(M735,Table1[#All],3,FALSE)</f>
        <v>Note</v>
      </c>
      <c r="O735" s="40" t="str">
        <f>VLOOKUP(M735,Table1[#All],4,FALSE)</f>
        <v>Q1</v>
      </c>
      <c r="P735" s="39"/>
      <c r="Q735" s="40" t="str">
        <f>VLOOKUP(M735,Table1[#All],5,FALSE)</f>
        <v>Q2</v>
      </c>
      <c r="R735" s="79"/>
      <c r="S735" s="40" t="str">
        <f>VLOOKUP(M735,Table1[#All],6,FALSE)</f>
        <v>Q3</v>
      </c>
      <c r="T735" s="79"/>
      <c r="U735" s="40" t="str">
        <f>VLOOKUP(M735,Table1[#All],7,FALSE)</f>
        <v>Q4</v>
      </c>
      <c r="V735" s="79"/>
      <c r="W735" s="40" t="str">
        <f>VLOOKUP(M735,Table1[#All],8,FALSE)</f>
        <v>Q5</v>
      </c>
      <c r="X735" s="79"/>
      <c r="Y735" s="44" t="str">
        <f>VLOOKUP(M735,Table1[#All],2,FALSE)</f>
        <v>Action</v>
      </c>
      <c r="Z735" s="59" t="str">
        <f>VLOOKUP(M735,Table1[#All],9,FALSE)</f>
        <v>Additional Notes:</v>
      </c>
      <c r="AA735" s="76"/>
      <c r="AB735" s="76"/>
      <c r="AC735" s="90" t="s">
        <v>91</v>
      </c>
      <c r="AD735" s="76" t="s">
        <v>91</v>
      </c>
      <c r="AE735" s="77"/>
      <c r="AF735" s="77"/>
      <c r="AG735" s="41" t="s">
        <v>91</v>
      </c>
    </row>
    <row r="736" spans="1:33" ht="21" hidden="1" x14ac:dyDescent="0.55000000000000004">
      <c r="A736" s="44" t="str">
        <f>Data!K735</f>
        <v>Forward Health</v>
      </c>
      <c r="B736" s="44" t="str">
        <f>Data!L735</f>
        <v>8009479627</v>
      </c>
      <c r="C736" s="44" t="str">
        <f>Data!D735</f>
        <v>Vetor, Shayla</v>
      </c>
      <c r="D736" s="82" t="str">
        <f>Data!F735</f>
        <v>3426784831</v>
      </c>
      <c r="E736" s="82" t="str">
        <f>Data!B735</f>
        <v>7723</v>
      </c>
      <c r="F736" s="44" t="str">
        <f>Data!A735</f>
        <v>Vetor, Shayla</v>
      </c>
      <c r="G736" s="55" t="str">
        <f>Data!C735</f>
        <v>10/30/2006</v>
      </c>
      <c r="H736" s="56">
        <f>Data!H735</f>
        <v>44636</v>
      </c>
      <c r="I736" s="56" t="str">
        <f>Data!I735</f>
        <v>3/17/2022</v>
      </c>
      <c r="J736" s="57">
        <f>Data!J735</f>
        <v>266</v>
      </c>
      <c r="K736" s="58">
        <f t="shared" ca="1" si="12"/>
        <v>63</v>
      </c>
      <c r="L736" s="58">
        <f>Data!M735</f>
        <v>0</v>
      </c>
      <c r="M736" s="37" t="s">
        <v>26</v>
      </c>
      <c r="N736" s="43" t="str">
        <f>VLOOKUP(M736,Table1[#All],3,FALSE)</f>
        <v>Note</v>
      </c>
      <c r="O736" s="40" t="str">
        <f>VLOOKUP(M736,Table1[#All],4,FALSE)</f>
        <v>Q1</v>
      </c>
      <c r="P736" s="39"/>
      <c r="Q736" s="40" t="str">
        <f>VLOOKUP(M736,Table1[#All],5,FALSE)</f>
        <v>Q2</v>
      </c>
      <c r="R736" s="79"/>
      <c r="S736" s="40" t="str">
        <f>VLOOKUP(M736,Table1[#All],6,FALSE)</f>
        <v>Q3</v>
      </c>
      <c r="T736" s="79"/>
      <c r="U736" s="40" t="str">
        <f>VLOOKUP(M736,Table1[#All],7,FALSE)</f>
        <v>Q4</v>
      </c>
      <c r="V736" s="79"/>
      <c r="W736" s="40" t="str">
        <f>VLOOKUP(M736,Table1[#All],8,FALSE)</f>
        <v>Q5</v>
      </c>
      <c r="X736" s="79"/>
      <c r="Y736" s="44" t="str">
        <f>VLOOKUP(M736,Table1[#All],2,FALSE)</f>
        <v>Action</v>
      </c>
      <c r="Z736" s="59" t="str">
        <f>VLOOKUP(M736,Table1[#All],9,FALSE)</f>
        <v>Additional Notes:</v>
      </c>
      <c r="AA736" s="76"/>
      <c r="AB736" s="76"/>
      <c r="AC736" s="90" t="s">
        <v>91</v>
      </c>
      <c r="AD736" s="76" t="s">
        <v>91</v>
      </c>
      <c r="AE736" s="77"/>
      <c r="AF736" s="77"/>
      <c r="AG736" s="41" t="s">
        <v>91</v>
      </c>
    </row>
    <row r="737" spans="1:33" ht="21" hidden="1" x14ac:dyDescent="0.55000000000000004">
      <c r="A737" s="44" t="str">
        <f>Data!K736</f>
        <v>Forward Health</v>
      </c>
      <c r="B737" s="44" t="str">
        <f>Data!L736</f>
        <v>8009479627</v>
      </c>
      <c r="C737" s="44" t="str">
        <f>Data!D736</f>
        <v>Abdul Majid , Abdulrashi</v>
      </c>
      <c r="D737" s="82" t="str">
        <f>Data!F736</f>
        <v>2450814221</v>
      </c>
      <c r="E737" s="82" t="str">
        <f>Data!B736</f>
        <v>9277</v>
      </c>
      <c r="F737" s="44" t="str">
        <f>Data!A736</f>
        <v>Abdul Majid , Abdulrashi</v>
      </c>
      <c r="G737" s="55" t="str">
        <f>Data!C736</f>
        <v>9/1/1961</v>
      </c>
      <c r="H737" s="56">
        <f>Data!H736</f>
        <v>44636</v>
      </c>
      <c r="I737" s="56" t="str">
        <f>Data!I736</f>
        <v>3/17/2022</v>
      </c>
      <c r="J737" s="57">
        <f>Data!J736</f>
        <v>186</v>
      </c>
      <c r="K737" s="58">
        <f t="shared" ca="1" si="12"/>
        <v>63</v>
      </c>
      <c r="L737" s="58">
        <f>Data!M736</f>
        <v>0</v>
      </c>
      <c r="M737" s="37" t="s">
        <v>26</v>
      </c>
      <c r="N737" s="43" t="str">
        <f>VLOOKUP(M737,Table1[#All],3,FALSE)</f>
        <v>Note</v>
      </c>
      <c r="O737" s="40" t="str">
        <f>VLOOKUP(M737,Table1[#All],4,FALSE)</f>
        <v>Q1</v>
      </c>
      <c r="P737" s="39"/>
      <c r="Q737" s="40" t="str">
        <f>VLOOKUP(M737,Table1[#All],5,FALSE)</f>
        <v>Q2</v>
      </c>
      <c r="R737" s="79"/>
      <c r="S737" s="40" t="str">
        <f>VLOOKUP(M737,Table1[#All],6,FALSE)</f>
        <v>Q3</v>
      </c>
      <c r="T737" s="79"/>
      <c r="U737" s="40" t="str">
        <f>VLOOKUP(M737,Table1[#All],7,FALSE)</f>
        <v>Q4</v>
      </c>
      <c r="V737" s="79"/>
      <c r="W737" s="40" t="str">
        <f>VLOOKUP(M737,Table1[#All],8,FALSE)</f>
        <v>Q5</v>
      </c>
      <c r="X737" s="79"/>
      <c r="Y737" s="44" t="str">
        <f>VLOOKUP(M737,Table1[#All],2,FALSE)</f>
        <v>Action</v>
      </c>
      <c r="Z737" s="59" t="str">
        <f>VLOOKUP(M737,Table1[#All],9,FALSE)</f>
        <v>Additional Notes:</v>
      </c>
      <c r="AA737" s="76"/>
      <c r="AB737" s="76"/>
      <c r="AC737" s="90" t="s">
        <v>91</v>
      </c>
      <c r="AD737" s="76" t="s">
        <v>91</v>
      </c>
      <c r="AE737" s="77"/>
      <c r="AF737" s="77"/>
      <c r="AG737" s="41" t="s">
        <v>91</v>
      </c>
    </row>
    <row r="738" spans="1:33" ht="21" hidden="1" x14ac:dyDescent="0.55000000000000004">
      <c r="A738" s="44" t="str">
        <f>Data!K737</f>
        <v>Forward Health</v>
      </c>
      <c r="B738" s="44" t="str">
        <f>Data!L737</f>
        <v>8009479627</v>
      </c>
      <c r="C738" s="44" t="str">
        <f>Data!D737</f>
        <v xml:space="preserve">Lembke , David </v>
      </c>
      <c r="D738" s="82" t="str">
        <f>Data!F737</f>
        <v>2405160722</v>
      </c>
      <c r="E738" s="82" t="str">
        <f>Data!B737</f>
        <v>9266</v>
      </c>
      <c r="F738" s="44" t="str">
        <f>Data!A737</f>
        <v xml:space="preserve">Lembke , David </v>
      </c>
      <c r="G738" s="55" t="str">
        <f>Data!C737</f>
        <v>10/12/1971</v>
      </c>
      <c r="H738" s="56">
        <f>Data!H737</f>
        <v>44634</v>
      </c>
      <c r="I738" s="56" t="str">
        <f>Data!I737</f>
        <v>3/17/2022</v>
      </c>
      <c r="J738" s="57">
        <f>Data!J737</f>
        <v>428.4</v>
      </c>
      <c r="K738" s="58">
        <f t="shared" ca="1" si="12"/>
        <v>63</v>
      </c>
      <c r="L738" s="58">
        <f>Data!M737</f>
        <v>0</v>
      </c>
      <c r="M738" s="37" t="s">
        <v>26</v>
      </c>
      <c r="N738" s="43" t="str">
        <f>VLOOKUP(M738,Table1[#All],3,FALSE)</f>
        <v>Note</v>
      </c>
      <c r="O738" s="40" t="str">
        <f>VLOOKUP(M738,Table1[#All],4,FALSE)</f>
        <v>Q1</v>
      </c>
      <c r="P738" s="39"/>
      <c r="Q738" s="40" t="str">
        <f>VLOOKUP(M738,Table1[#All],5,FALSE)</f>
        <v>Q2</v>
      </c>
      <c r="R738" s="79"/>
      <c r="S738" s="40" t="str">
        <f>VLOOKUP(M738,Table1[#All],6,FALSE)</f>
        <v>Q3</v>
      </c>
      <c r="T738" s="79"/>
      <c r="U738" s="40" t="str">
        <f>VLOOKUP(M738,Table1[#All],7,FALSE)</f>
        <v>Q4</v>
      </c>
      <c r="V738" s="79"/>
      <c r="W738" s="40" t="str">
        <f>VLOOKUP(M738,Table1[#All],8,FALSE)</f>
        <v>Q5</v>
      </c>
      <c r="X738" s="79"/>
      <c r="Y738" s="44" t="str">
        <f>VLOOKUP(M738,Table1[#All],2,FALSE)</f>
        <v>Action</v>
      </c>
      <c r="Z738" s="59" t="str">
        <f>VLOOKUP(M738,Table1[#All],9,FALSE)</f>
        <v>Additional Notes:</v>
      </c>
      <c r="AA738" s="76"/>
      <c r="AB738" s="76"/>
      <c r="AC738" s="90" t="s">
        <v>91</v>
      </c>
      <c r="AD738" s="76" t="s">
        <v>91</v>
      </c>
      <c r="AE738" s="77"/>
      <c r="AF738" s="77"/>
      <c r="AG738" s="41" t="s">
        <v>91</v>
      </c>
    </row>
    <row r="739" spans="1:33" ht="21" hidden="1" x14ac:dyDescent="0.55000000000000004">
      <c r="A739" s="44" t="str">
        <f>Data!K738</f>
        <v>Forward Health</v>
      </c>
      <c r="B739" s="44" t="str">
        <f>Data!L738</f>
        <v>8009479627</v>
      </c>
      <c r="C739" s="44" t="str">
        <f>Data!D738</f>
        <v>Hamilton, Nathan</v>
      </c>
      <c r="D739" s="82" t="str">
        <f>Data!F738</f>
        <v>9435389791</v>
      </c>
      <c r="E739" s="82" t="str">
        <f>Data!B738</f>
        <v>7053</v>
      </c>
      <c r="F739" s="44" t="str">
        <f>Data!A738</f>
        <v>Hamilton, Nathan</v>
      </c>
      <c r="G739" s="55" t="str">
        <f>Data!C738</f>
        <v>1/19/2009</v>
      </c>
      <c r="H739" s="56">
        <f>Data!H738</f>
        <v>44635</v>
      </c>
      <c r="I739" s="56" t="str">
        <f>Data!I738</f>
        <v>3/16/2022</v>
      </c>
      <c r="J739" s="57">
        <f>Data!J738</f>
        <v>552</v>
      </c>
      <c r="K739" s="58">
        <f t="shared" ca="1" si="12"/>
        <v>64</v>
      </c>
      <c r="L739" s="58">
        <f>Data!M738</f>
        <v>0</v>
      </c>
      <c r="M739" s="37" t="s">
        <v>26</v>
      </c>
      <c r="N739" s="43" t="str">
        <f>VLOOKUP(M739,Table1[#All],3,FALSE)</f>
        <v>Note</v>
      </c>
      <c r="O739" s="40" t="str">
        <f>VLOOKUP(M739,Table1[#All],4,FALSE)</f>
        <v>Q1</v>
      </c>
      <c r="P739" s="39"/>
      <c r="Q739" s="40" t="str">
        <f>VLOOKUP(M739,Table1[#All],5,FALSE)</f>
        <v>Q2</v>
      </c>
      <c r="R739" s="79"/>
      <c r="S739" s="40" t="str">
        <f>VLOOKUP(M739,Table1[#All],6,FALSE)</f>
        <v>Q3</v>
      </c>
      <c r="T739" s="79"/>
      <c r="U739" s="40" t="str">
        <f>VLOOKUP(M739,Table1[#All],7,FALSE)</f>
        <v>Q4</v>
      </c>
      <c r="V739" s="79"/>
      <c r="W739" s="40" t="str">
        <f>VLOOKUP(M739,Table1[#All],8,FALSE)</f>
        <v>Q5</v>
      </c>
      <c r="X739" s="79"/>
      <c r="Y739" s="44" t="str">
        <f>VLOOKUP(M739,Table1[#All],2,FALSE)</f>
        <v>Action</v>
      </c>
      <c r="Z739" s="59" t="str">
        <f>VLOOKUP(M739,Table1[#All],9,FALSE)</f>
        <v>Additional Notes:</v>
      </c>
      <c r="AA739" s="76"/>
      <c r="AB739" s="76"/>
      <c r="AC739" s="90" t="s">
        <v>91</v>
      </c>
      <c r="AD739" s="76" t="s">
        <v>91</v>
      </c>
      <c r="AE739" s="77"/>
      <c r="AF739" s="77"/>
      <c r="AG739" s="41" t="s">
        <v>91</v>
      </c>
    </row>
    <row r="740" spans="1:33" ht="21" hidden="1" x14ac:dyDescent="0.55000000000000004">
      <c r="A740" s="44" t="str">
        <f>Data!K739</f>
        <v>Forward Health</v>
      </c>
      <c r="B740" s="44" t="str">
        <f>Data!L739</f>
        <v>8009479627</v>
      </c>
      <c r="C740" s="44" t="str">
        <f>Data!D739</f>
        <v>Verdejo, Amelia</v>
      </c>
      <c r="D740" s="82" t="str">
        <f>Data!F739</f>
        <v>5402897956</v>
      </c>
      <c r="E740" s="82" t="str">
        <f>Data!B739</f>
        <v>7370</v>
      </c>
      <c r="F740" s="44" t="str">
        <f>Data!A739</f>
        <v>Verdejo, Amelia</v>
      </c>
      <c r="G740" s="55" t="str">
        <f>Data!C739</f>
        <v>3/31/1941</v>
      </c>
      <c r="H740" s="56">
        <f>Data!H739</f>
        <v>44635</v>
      </c>
      <c r="I740" s="56" t="str">
        <f>Data!I739</f>
        <v>3/16/2022</v>
      </c>
      <c r="J740" s="57">
        <f>Data!J739</f>
        <v>1312.8</v>
      </c>
      <c r="K740" s="58">
        <f t="shared" ca="1" si="12"/>
        <v>64</v>
      </c>
      <c r="L740" s="58">
        <f>Data!M739</f>
        <v>0</v>
      </c>
      <c r="M740" s="37" t="s">
        <v>26</v>
      </c>
      <c r="N740" s="43" t="str">
        <f>VLOOKUP(M740,Table1[#All],3,FALSE)</f>
        <v>Note</v>
      </c>
      <c r="O740" s="40" t="str">
        <f>VLOOKUP(M740,Table1[#All],4,FALSE)</f>
        <v>Q1</v>
      </c>
      <c r="P740" s="39"/>
      <c r="Q740" s="40" t="str">
        <f>VLOOKUP(M740,Table1[#All],5,FALSE)</f>
        <v>Q2</v>
      </c>
      <c r="R740" s="79"/>
      <c r="S740" s="40" t="str">
        <f>VLOOKUP(M740,Table1[#All],6,FALSE)</f>
        <v>Q3</v>
      </c>
      <c r="T740" s="79"/>
      <c r="U740" s="40" t="str">
        <f>VLOOKUP(M740,Table1[#All],7,FALSE)</f>
        <v>Q4</v>
      </c>
      <c r="V740" s="79"/>
      <c r="W740" s="40" t="str">
        <f>VLOOKUP(M740,Table1[#All],8,FALSE)</f>
        <v>Q5</v>
      </c>
      <c r="X740" s="79"/>
      <c r="Y740" s="44" t="str">
        <f>VLOOKUP(M740,Table1[#All],2,FALSE)</f>
        <v>Action</v>
      </c>
      <c r="Z740" s="59" t="str">
        <f>VLOOKUP(M740,Table1[#All],9,FALSE)</f>
        <v>Additional Notes:</v>
      </c>
      <c r="AA740" s="76"/>
      <c r="AB740" s="76"/>
      <c r="AC740" s="90" t="s">
        <v>91</v>
      </c>
      <c r="AD740" s="76" t="s">
        <v>91</v>
      </c>
      <c r="AE740" s="77"/>
      <c r="AF740" s="77"/>
      <c r="AG740" s="41" t="s">
        <v>91</v>
      </c>
    </row>
    <row r="741" spans="1:33" ht="21" hidden="1" x14ac:dyDescent="0.55000000000000004">
      <c r="A741" s="44" t="str">
        <f>Data!K740</f>
        <v>Forward Health</v>
      </c>
      <c r="B741" s="44" t="str">
        <f>Data!L740</f>
        <v>8009479627</v>
      </c>
      <c r="C741" s="44" t="str">
        <f>Data!D740</f>
        <v>Tercher , James</v>
      </c>
      <c r="D741" s="82" t="str">
        <f>Data!F740</f>
        <v>7437156377</v>
      </c>
      <c r="E741" s="82" t="str">
        <f>Data!B740</f>
        <v>9267</v>
      </c>
      <c r="F741" s="44" t="str">
        <f>Data!A740</f>
        <v>Tercher , James</v>
      </c>
      <c r="G741" s="55" t="str">
        <f>Data!C740</f>
        <v>1/19/1962</v>
      </c>
      <c r="H741" s="56">
        <f>Data!H740</f>
        <v>44635</v>
      </c>
      <c r="I741" s="56" t="str">
        <f>Data!I740</f>
        <v>3/16/2022</v>
      </c>
      <c r="J741" s="57">
        <f>Data!J740</f>
        <v>313.2</v>
      </c>
      <c r="K741" s="58">
        <f t="shared" ca="1" si="12"/>
        <v>64</v>
      </c>
      <c r="L741" s="58">
        <f>Data!M740</f>
        <v>0</v>
      </c>
      <c r="M741" s="37" t="s">
        <v>26</v>
      </c>
      <c r="N741" s="43" t="str">
        <f>VLOOKUP(M741,Table1[#All],3,FALSE)</f>
        <v>Note</v>
      </c>
      <c r="O741" s="40" t="str">
        <f>VLOOKUP(M741,Table1[#All],4,FALSE)</f>
        <v>Q1</v>
      </c>
      <c r="P741" s="39"/>
      <c r="Q741" s="40" t="str">
        <f>VLOOKUP(M741,Table1[#All],5,FALSE)</f>
        <v>Q2</v>
      </c>
      <c r="R741" s="79"/>
      <c r="S741" s="40" t="str">
        <f>VLOOKUP(M741,Table1[#All],6,FALSE)</f>
        <v>Q3</v>
      </c>
      <c r="T741" s="79"/>
      <c r="U741" s="40" t="str">
        <f>VLOOKUP(M741,Table1[#All],7,FALSE)</f>
        <v>Q4</v>
      </c>
      <c r="V741" s="79"/>
      <c r="W741" s="40" t="str">
        <f>VLOOKUP(M741,Table1[#All],8,FALSE)</f>
        <v>Q5</v>
      </c>
      <c r="X741" s="79"/>
      <c r="Y741" s="44" t="str">
        <f>VLOOKUP(M741,Table1[#All],2,FALSE)</f>
        <v>Action</v>
      </c>
      <c r="Z741" s="59" t="str">
        <f>VLOOKUP(M741,Table1[#All],9,FALSE)</f>
        <v>Additional Notes:</v>
      </c>
      <c r="AA741" s="76"/>
      <c r="AB741" s="76"/>
      <c r="AC741" s="90" t="s">
        <v>91</v>
      </c>
      <c r="AD741" s="76" t="s">
        <v>91</v>
      </c>
      <c r="AE741" s="77"/>
      <c r="AF741" s="77"/>
      <c r="AG741" s="41" t="s">
        <v>91</v>
      </c>
    </row>
    <row r="742" spans="1:33" ht="21" hidden="1" x14ac:dyDescent="0.55000000000000004">
      <c r="A742" s="44" t="str">
        <f>Data!K741</f>
        <v>Forward Health</v>
      </c>
      <c r="B742" s="44" t="str">
        <f>Data!L741</f>
        <v>8009479627</v>
      </c>
      <c r="C742" s="44" t="str">
        <f>Data!D741</f>
        <v>Disney, Cody</v>
      </c>
      <c r="D742" s="82" t="str">
        <f>Data!F741</f>
        <v>3413823434</v>
      </c>
      <c r="E742" s="82" t="str">
        <f>Data!B741</f>
        <v>9271</v>
      </c>
      <c r="F742" s="44" t="str">
        <f>Data!A741</f>
        <v>Disney, Cody</v>
      </c>
      <c r="G742" s="55" t="str">
        <f>Data!C741</f>
        <v>8/13/2003</v>
      </c>
      <c r="H742" s="56">
        <f>Data!H741</f>
        <v>44635</v>
      </c>
      <c r="I742" s="56" t="str">
        <f>Data!I741</f>
        <v>3/16/2022</v>
      </c>
      <c r="J742" s="57">
        <f>Data!J741</f>
        <v>175.2</v>
      </c>
      <c r="K742" s="58">
        <f t="shared" ca="1" si="12"/>
        <v>64</v>
      </c>
      <c r="L742" s="58">
        <f>Data!M741</f>
        <v>0</v>
      </c>
      <c r="M742" s="37" t="s">
        <v>26</v>
      </c>
      <c r="N742" s="43" t="str">
        <f>VLOOKUP(M742,Table1[#All],3,FALSE)</f>
        <v>Note</v>
      </c>
      <c r="O742" s="40" t="str">
        <f>VLOOKUP(M742,Table1[#All],4,FALSE)</f>
        <v>Q1</v>
      </c>
      <c r="P742" s="39"/>
      <c r="Q742" s="40" t="str">
        <f>VLOOKUP(M742,Table1[#All],5,FALSE)</f>
        <v>Q2</v>
      </c>
      <c r="R742" s="79"/>
      <c r="S742" s="40" t="str">
        <f>VLOOKUP(M742,Table1[#All],6,FALSE)</f>
        <v>Q3</v>
      </c>
      <c r="T742" s="79"/>
      <c r="U742" s="40" t="str">
        <f>VLOOKUP(M742,Table1[#All],7,FALSE)</f>
        <v>Q4</v>
      </c>
      <c r="V742" s="79"/>
      <c r="W742" s="40" t="str">
        <f>VLOOKUP(M742,Table1[#All],8,FALSE)</f>
        <v>Q5</v>
      </c>
      <c r="X742" s="79"/>
      <c r="Y742" s="44" t="str">
        <f>VLOOKUP(M742,Table1[#All],2,FALSE)</f>
        <v>Action</v>
      </c>
      <c r="Z742" s="59" t="str">
        <f>VLOOKUP(M742,Table1[#All],9,FALSE)</f>
        <v>Additional Notes:</v>
      </c>
      <c r="AA742" s="76"/>
      <c r="AB742" s="76"/>
      <c r="AC742" s="90" t="s">
        <v>91</v>
      </c>
      <c r="AD742" s="76" t="s">
        <v>91</v>
      </c>
      <c r="AE742" s="77"/>
      <c r="AF742" s="77"/>
      <c r="AG742" s="41" t="s">
        <v>91</v>
      </c>
    </row>
    <row r="743" spans="1:33" ht="21" hidden="1" x14ac:dyDescent="0.55000000000000004">
      <c r="A743" s="44" t="str">
        <f>Data!K742</f>
        <v>Forward Health</v>
      </c>
      <c r="B743" s="44" t="str">
        <f>Data!L742</f>
        <v>8009479627</v>
      </c>
      <c r="C743" s="44" t="str">
        <f>Data!D742</f>
        <v xml:space="preserve">Kearney, Troy </v>
      </c>
      <c r="D743" s="82" t="str">
        <f>Data!F742</f>
        <v>9405247891</v>
      </c>
      <c r="E743" s="82" t="str">
        <f>Data!B742</f>
        <v>9019</v>
      </c>
      <c r="F743" s="44" t="str">
        <f>Data!A742</f>
        <v xml:space="preserve">Kearney, Troy </v>
      </c>
      <c r="G743" s="55" t="str">
        <f>Data!C742</f>
        <v>8/10/1993</v>
      </c>
      <c r="H743" s="56">
        <f>Data!H742</f>
        <v>44632</v>
      </c>
      <c r="I743" s="56" t="str">
        <f>Data!I742</f>
        <v>3/15/2022</v>
      </c>
      <c r="J743" s="57">
        <f>Data!J742</f>
        <v>162</v>
      </c>
      <c r="K743" s="58">
        <f t="shared" ca="1" si="12"/>
        <v>65</v>
      </c>
      <c r="L743" s="58">
        <f>Data!M742</f>
        <v>0</v>
      </c>
      <c r="M743" s="37" t="s">
        <v>26</v>
      </c>
      <c r="N743" s="43" t="str">
        <f>VLOOKUP(M743,Table1[#All],3,FALSE)</f>
        <v>Note</v>
      </c>
      <c r="O743" s="40" t="str">
        <f>VLOOKUP(M743,Table1[#All],4,FALSE)</f>
        <v>Q1</v>
      </c>
      <c r="P743" s="39"/>
      <c r="Q743" s="40" t="str">
        <f>VLOOKUP(M743,Table1[#All],5,FALSE)</f>
        <v>Q2</v>
      </c>
      <c r="R743" s="79"/>
      <c r="S743" s="40" t="str">
        <f>VLOOKUP(M743,Table1[#All],6,FALSE)</f>
        <v>Q3</v>
      </c>
      <c r="T743" s="79"/>
      <c r="U743" s="40" t="str">
        <f>VLOOKUP(M743,Table1[#All],7,FALSE)</f>
        <v>Q4</v>
      </c>
      <c r="V743" s="79"/>
      <c r="W743" s="40" t="str">
        <f>VLOOKUP(M743,Table1[#All],8,FALSE)</f>
        <v>Q5</v>
      </c>
      <c r="X743" s="79"/>
      <c r="Y743" s="44" t="str">
        <f>VLOOKUP(M743,Table1[#All],2,FALSE)</f>
        <v>Action</v>
      </c>
      <c r="Z743" s="59" t="str">
        <f>VLOOKUP(M743,Table1[#All],9,FALSE)</f>
        <v>Additional Notes:</v>
      </c>
      <c r="AA743" s="76"/>
      <c r="AB743" s="76"/>
      <c r="AC743" s="90" t="s">
        <v>91</v>
      </c>
      <c r="AD743" s="76" t="s">
        <v>91</v>
      </c>
      <c r="AE743" s="77"/>
      <c r="AF743" s="77"/>
      <c r="AG743" s="41" t="s">
        <v>91</v>
      </c>
    </row>
    <row r="744" spans="1:33" ht="21" hidden="1" x14ac:dyDescent="0.55000000000000004">
      <c r="A744" s="44" t="str">
        <f>Data!K743</f>
        <v>Forward Health</v>
      </c>
      <c r="B744" s="44" t="str">
        <f>Data!L743</f>
        <v>8009479627</v>
      </c>
      <c r="C744" s="44" t="str">
        <f>Data!D743</f>
        <v>Harper, Tom</v>
      </c>
      <c r="D744" s="82" t="str">
        <f>Data!F743</f>
        <v>0439333903</v>
      </c>
      <c r="E744" s="82" t="str">
        <f>Data!B743</f>
        <v>5922</v>
      </c>
      <c r="F744" s="44" t="str">
        <f>Data!A743</f>
        <v>Harper, Tom</v>
      </c>
      <c r="G744" s="55" t="str">
        <f>Data!C743</f>
        <v>7/31/1956</v>
      </c>
      <c r="H744" s="56">
        <f>Data!H743</f>
        <v>44632</v>
      </c>
      <c r="I744" s="56" t="str">
        <f>Data!I743</f>
        <v>3/15/2022</v>
      </c>
      <c r="J744" s="57">
        <f>Data!J743</f>
        <v>133.19999999999999</v>
      </c>
      <c r="K744" s="58">
        <f t="shared" ref="K744:K807" ca="1" si="13">TODAY()-I744</f>
        <v>65</v>
      </c>
      <c r="L744" s="58">
        <f>Data!M743</f>
        <v>0</v>
      </c>
      <c r="M744" s="37" t="s">
        <v>26</v>
      </c>
      <c r="N744" s="43" t="str">
        <f>VLOOKUP(M744,Table1[#All],3,FALSE)</f>
        <v>Note</v>
      </c>
      <c r="O744" s="40" t="str">
        <f>VLOOKUP(M744,Table1[#All],4,FALSE)</f>
        <v>Q1</v>
      </c>
      <c r="P744" s="39"/>
      <c r="Q744" s="40" t="str">
        <f>VLOOKUP(M744,Table1[#All],5,FALSE)</f>
        <v>Q2</v>
      </c>
      <c r="R744" s="79"/>
      <c r="S744" s="40" t="str">
        <f>VLOOKUP(M744,Table1[#All],6,FALSE)</f>
        <v>Q3</v>
      </c>
      <c r="T744" s="79"/>
      <c r="U744" s="40" t="str">
        <f>VLOOKUP(M744,Table1[#All],7,FALSE)</f>
        <v>Q4</v>
      </c>
      <c r="V744" s="79"/>
      <c r="W744" s="40" t="str">
        <f>VLOOKUP(M744,Table1[#All],8,FALSE)</f>
        <v>Q5</v>
      </c>
      <c r="X744" s="79"/>
      <c r="Y744" s="44" t="str">
        <f>VLOOKUP(M744,Table1[#All],2,FALSE)</f>
        <v>Action</v>
      </c>
      <c r="Z744" s="59" t="str">
        <f>VLOOKUP(M744,Table1[#All],9,FALSE)</f>
        <v>Additional Notes:</v>
      </c>
      <c r="AA744" s="76"/>
      <c r="AB744" s="76"/>
      <c r="AC744" s="90" t="s">
        <v>91</v>
      </c>
      <c r="AD744" s="76" t="s">
        <v>91</v>
      </c>
      <c r="AE744" s="77"/>
      <c r="AF744" s="77"/>
      <c r="AG744" s="41" t="s">
        <v>91</v>
      </c>
    </row>
    <row r="745" spans="1:33" ht="21" hidden="1" x14ac:dyDescent="0.55000000000000004">
      <c r="A745" s="44" t="str">
        <f>Data!K744</f>
        <v>Forward Health</v>
      </c>
      <c r="B745" s="44" t="str">
        <f>Data!L744</f>
        <v>8009479627</v>
      </c>
      <c r="C745" s="44" t="str">
        <f>Data!D744</f>
        <v xml:space="preserve">Asala , Tracey </v>
      </c>
      <c r="D745" s="82" t="str">
        <f>Data!F744</f>
        <v>0425031101</v>
      </c>
      <c r="E745" s="82" t="str">
        <f>Data!B744</f>
        <v>8929</v>
      </c>
      <c r="F745" s="44" t="str">
        <f>Data!A744</f>
        <v xml:space="preserve">Asala , Tracey </v>
      </c>
      <c r="G745" s="55" t="str">
        <f>Data!C744</f>
        <v>6/17/1966</v>
      </c>
      <c r="H745" s="56">
        <f>Data!H744</f>
        <v>44632</v>
      </c>
      <c r="I745" s="56" t="str">
        <f>Data!I744</f>
        <v>3/15/2022</v>
      </c>
      <c r="J745" s="57">
        <f>Data!J744</f>
        <v>873.6</v>
      </c>
      <c r="K745" s="58">
        <f t="shared" ca="1" si="13"/>
        <v>65</v>
      </c>
      <c r="L745" s="58">
        <f>Data!M744</f>
        <v>0</v>
      </c>
      <c r="M745" s="37" t="s">
        <v>26</v>
      </c>
      <c r="N745" s="43" t="str">
        <f>VLOOKUP(M745,Table1[#All],3,FALSE)</f>
        <v>Note</v>
      </c>
      <c r="O745" s="40" t="str">
        <f>VLOOKUP(M745,Table1[#All],4,FALSE)</f>
        <v>Q1</v>
      </c>
      <c r="P745" s="39"/>
      <c r="Q745" s="40" t="str">
        <f>VLOOKUP(M745,Table1[#All],5,FALSE)</f>
        <v>Q2</v>
      </c>
      <c r="R745" s="79"/>
      <c r="S745" s="40" t="str">
        <f>VLOOKUP(M745,Table1[#All],6,FALSE)</f>
        <v>Q3</v>
      </c>
      <c r="T745" s="79"/>
      <c r="U745" s="40" t="str">
        <f>VLOOKUP(M745,Table1[#All],7,FALSE)</f>
        <v>Q4</v>
      </c>
      <c r="V745" s="79"/>
      <c r="W745" s="40" t="str">
        <f>VLOOKUP(M745,Table1[#All],8,FALSE)</f>
        <v>Q5</v>
      </c>
      <c r="X745" s="79"/>
      <c r="Y745" s="44" t="str">
        <f>VLOOKUP(M745,Table1[#All],2,FALSE)</f>
        <v>Action</v>
      </c>
      <c r="Z745" s="59" t="str">
        <f>VLOOKUP(M745,Table1[#All],9,FALSE)</f>
        <v>Additional Notes:</v>
      </c>
      <c r="AA745" s="76"/>
      <c r="AB745" s="76"/>
      <c r="AC745" s="90" t="s">
        <v>91</v>
      </c>
      <c r="AD745" s="76" t="s">
        <v>91</v>
      </c>
      <c r="AE745" s="77"/>
      <c r="AF745" s="77"/>
      <c r="AG745" s="41" t="s">
        <v>91</v>
      </c>
    </row>
    <row r="746" spans="1:33" ht="21" hidden="1" x14ac:dyDescent="0.55000000000000004">
      <c r="A746" s="44" t="str">
        <f>Data!K745</f>
        <v>Forward Health</v>
      </c>
      <c r="B746" s="44" t="str">
        <f>Data!L745</f>
        <v>8009479627</v>
      </c>
      <c r="C746" s="44" t="str">
        <f>Data!D745</f>
        <v>Klim, Landan</v>
      </c>
      <c r="D746" s="82" t="str">
        <f>Data!F745</f>
        <v>9448820798</v>
      </c>
      <c r="E746" s="82" t="str">
        <f>Data!B745</f>
        <v>7561</v>
      </c>
      <c r="F746" s="44" t="str">
        <f>Data!A745</f>
        <v>Klim, Landan</v>
      </c>
      <c r="G746" s="55" t="str">
        <f>Data!C745</f>
        <v>10/20/2015</v>
      </c>
      <c r="H746" s="56">
        <f>Data!H745</f>
        <v>44617</v>
      </c>
      <c r="I746" s="56" t="str">
        <f>Data!I745</f>
        <v>3/14/2022</v>
      </c>
      <c r="J746" s="57">
        <f>Data!J745</f>
        <v>27.6</v>
      </c>
      <c r="K746" s="58">
        <f t="shared" ca="1" si="13"/>
        <v>66</v>
      </c>
      <c r="L746" s="58">
        <f>Data!M745</f>
        <v>0</v>
      </c>
      <c r="M746" s="37" t="s">
        <v>26</v>
      </c>
      <c r="N746" s="43" t="str">
        <f>VLOOKUP(M746,Table1[#All],3,FALSE)</f>
        <v>Note</v>
      </c>
      <c r="O746" s="40" t="str">
        <f>VLOOKUP(M746,Table1[#All],4,FALSE)</f>
        <v>Q1</v>
      </c>
      <c r="P746" s="39"/>
      <c r="Q746" s="40" t="str">
        <f>VLOOKUP(M746,Table1[#All],5,FALSE)</f>
        <v>Q2</v>
      </c>
      <c r="R746" s="79"/>
      <c r="S746" s="40" t="str">
        <f>VLOOKUP(M746,Table1[#All],6,FALSE)</f>
        <v>Q3</v>
      </c>
      <c r="T746" s="79"/>
      <c r="U746" s="40" t="str">
        <f>VLOOKUP(M746,Table1[#All],7,FALSE)</f>
        <v>Q4</v>
      </c>
      <c r="V746" s="79"/>
      <c r="W746" s="40" t="str">
        <f>VLOOKUP(M746,Table1[#All],8,FALSE)</f>
        <v>Q5</v>
      </c>
      <c r="X746" s="79"/>
      <c r="Y746" s="44" t="str">
        <f>VLOOKUP(M746,Table1[#All],2,FALSE)</f>
        <v>Action</v>
      </c>
      <c r="Z746" s="59" t="str">
        <f>VLOOKUP(M746,Table1[#All],9,FALSE)</f>
        <v>Additional Notes:</v>
      </c>
      <c r="AA746" s="76"/>
      <c r="AB746" s="76"/>
      <c r="AC746" s="90" t="s">
        <v>91</v>
      </c>
      <c r="AD746" s="76" t="s">
        <v>91</v>
      </c>
      <c r="AE746" s="77"/>
      <c r="AF746" s="77"/>
      <c r="AG746" s="41" t="s">
        <v>91</v>
      </c>
    </row>
    <row r="747" spans="1:33" ht="21" hidden="1" x14ac:dyDescent="0.55000000000000004">
      <c r="A747" s="44" t="str">
        <f>Data!K746</f>
        <v>Forward Health</v>
      </c>
      <c r="B747" s="44" t="str">
        <f>Data!L746</f>
        <v>8009479627</v>
      </c>
      <c r="C747" s="44" t="str">
        <f>Data!D746</f>
        <v>Aquino, Alexander</v>
      </c>
      <c r="D747" s="82" t="str">
        <f>Data!F746</f>
        <v>5449325851</v>
      </c>
      <c r="E747" s="82" t="str">
        <f>Data!B746</f>
        <v>7756</v>
      </c>
      <c r="F747" s="44" t="str">
        <f>Data!A746</f>
        <v>Aquino, Alexander</v>
      </c>
      <c r="G747" s="55" t="str">
        <f>Data!C746</f>
        <v>1/15/2016</v>
      </c>
      <c r="H747" s="56">
        <f>Data!H746</f>
        <v>44617</v>
      </c>
      <c r="I747" s="56" t="str">
        <f>Data!I746</f>
        <v>3/14/2022</v>
      </c>
      <c r="J747" s="57">
        <f>Data!J746</f>
        <v>80.400000000000006</v>
      </c>
      <c r="K747" s="58">
        <f t="shared" ca="1" si="13"/>
        <v>66</v>
      </c>
      <c r="L747" s="58">
        <f>Data!M746</f>
        <v>0</v>
      </c>
      <c r="M747" s="37" t="s">
        <v>26</v>
      </c>
      <c r="N747" s="43" t="str">
        <f>VLOOKUP(M747,Table1[#All],3,FALSE)</f>
        <v>Note</v>
      </c>
      <c r="O747" s="40" t="str">
        <f>VLOOKUP(M747,Table1[#All],4,FALSE)</f>
        <v>Q1</v>
      </c>
      <c r="P747" s="39"/>
      <c r="Q747" s="40" t="str">
        <f>VLOOKUP(M747,Table1[#All],5,FALSE)</f>
        <v>Q2</v>
      </c>
      <c r="R747" s="79"/>
      <c r="S747" s="40" t="str">
        <f>VLOOKUP(M747,Table1[#All],6,FALSE)</f>
        <v>Q3</v>
      </c>
      <c r="T747" s="79"/>
      <c r="U747" s="40" t="str">
        <f>VLOOKUP(M747,Table1[#All],7,FALSE)</f>
        <v>Q4</v>
      </c>
      <c r="V747" s="79"/>
      <c r="W747" s="40" t="str">
        <f>VLOOKUP(M747,Table1[#All],8,FALSE)</f>
        <v>Q5</v>
      </c>
      <c r="X747" s="79"/>
      <c r="Y747" s="44" t="str">
        <f>VLOOKUP(M747,Table1[#All],2,FALSE)</f>
        <v>Action</v>
      </c>
      <c r="Z747" s="59" t="str">
        <f>VLOOKUP(M747,Table1[#All],9,FALSE)</f>
        <v>Additional Notes:</v>
      </c>
      <c r="AA747" s="76"/>
      <c r="AB747" s="76"/>
      <c r="AC747" s="90" t="s">
        <v>91</v>
      </c>
      <c r="AD747" s="76" t="s">
        <v>91</v>
      </c>
      <c r="AE747" s="77"/>
      <c r="AF747" s="77"/>
      <c r="AG747" s="41" t="s">
        <v>91</v>
      </c>
    </row>
    <row r="748" spans="1:33" ht="21" hidden="1" x14ac:dyDescent="0.55000000000000004">
      <c r="A748" s="44" t="str">
        <f>Data!K747</f>
        <v>Forward Health</v>
      </c>
      <c r="B748" s="44" t="str">
        <f>Data!L747</f>
        <v>8009479627</v>
      </c>
      <c r="C748" s="44" t="str">
        <f>Data!D747</f>
        <v xml:space="preserve">Williams , Ramon </v>
      </c>
      <c r="D748" s="82" t="str">
        <f>Data!F747</f>
        <v>1427286116</v>
      </c>
      <c r="E748" s="82" t="str">
        <f>Data!B747</f>
        <v>8292</v>
      </c>
      <c r="F748" s="44" t="str">
        <f>Data!A747</f>
        <v xml:space="preserve">Williams , Ramon </v>
      </c>
      <c r="G748" s="55" t="str">
        <f>Data!C747</f>
        <v>3/18/1976</v>
      </c>
      <c r="H748" s="56">
        <f>Data!H747</f>
        <v>44631</v>
      </c>
      <c r="I748" s="56" t="str">
        <f>Data!I747</f>
        <v>3/14/2022</v>
      </c>
      <c r="J748" s="57">
        <f>Data!J747</f>
        <v>61.2</v>
      </c>
      <c r="K748" s="58">
        <f t="shared" ca="1" si="13"/>
        <v>66</v>
      </c>
      <c r="L748" s="58">
        <f>Data!M747</f>
        <v>0</v>
      </c>
      <c r="M748" s="37" t="s">
        <v>26</v>
      </c>
      <c r="N748" s="43" t="str">
        <f>VLOOKUP(M748,Table1[#All],3,FALSE)</f>
        <v>Note</v>
      </c>
      <c r="O748" s="40" t="str">
        <f>VLOOKUP(M748,Table1[#All],4,FALSE)</f>
        <v>Q1</v>
      </c>
      <c r="P748" s="39"/>
      <c r="Q748" s="40" t="str">
        <f>VLOOKUP(M748,Table1[#All],5,FALSE)</f>
        <v>Q2</v>
      </c>
      <c r="R748" s="79"/>
      <c r="S748" s="40" t="str">
        <f>VLOOKUP(M748,Table1[#All],6,FALSE)</f>
        <v>Q3</v>
      </c>
      <c r="T748" s="79"/>
      <c r="U748" s="40" t="str">
        <f>VLOOKUP(M748,Table1[#All],7,FALSE)</f>
        <v>Q4</v>
      </c>
      <c r="V748" s="79"/>
      <c r="W748" s="40" t="str">
        <f>VLOOKUP(M748,Table1[#All],8,FALSE)</f>
        <v>Q5</v>
      </c>
      <c r="X748" s="79"/>
      <c r="Y748" s="44" t="str">
        <f>VLOOKUP(M748,Table1[#All],2,FALSE)</f>
        <v>Action</v>
      </c>
      <c r="Z748" s="59" t="str">
        <f>VLOOKUP(M748,Table1[#All],9,FALSE)</f>
        <v>Additional Notes:</v>
      </c>
      <c r="AA748" s="76"/>
      <c r="AB748" s="76"/>
      <c r="AC748" s="90" t="s">
        <v>91</v>
      </c>
      <c r="AD748" s="76" t="s">
        <v>91</v>
      </c>
      <c r="AE748" s="77"/>
      <c r="AF748" s="77"/>
      <c r="AG748" s="41" t="s">
        <v>91</v>
      </c>
    </row>
    <row r="749" spans="1:33" ht="21" hidden="1" x14ac:dyDescent="0.55000000000000004">
      <c r="A749" s="44" t="str">
        <f>Data!K748</f>
        <v>Forward Health</v>
      </c>
      <c r="B749" s="44" t="str">
        <f>Data!L748</f>
        <v>8009479627</v>
      </c>
      <c r="C749" s="44" t="str">
        <f>Data!D748</f>
        <v xml:space="preserve">Holderman , Brian </v>
      </c>
      <c r="D749" s="82" t="str">
        <f>Data!F748</f>
        <v>5417951153</v>
      </c>
      <c r="E749" s="82" t="str">
        <f>Data!B748</f>
        <v>6328</v>
      </c>
      <c r="F749" s="44" t="str">
        <f>Data!A748</f>
        <v xml:space="preserve">Holderman , Brian </v>
      </c>
      <c r="G749" s="55" t="str">
        <f>Data!C748</f>
        <v>9/28/1964</v>
      </c>
      <c r="H749" s="56">
        <f>Data!H748</f>
        <v>44631</v>
      </c>
      <c r="I749" s="56" t="str">
        <f>Data!I748</f>
        <v>3/24/2022</v>
      </c>
      <c r="J749" s="57">
        <f>Data!J748</f>
        <v>249.2</v>
      </c>
      <c r="K749" s="58">
        <f t="shared" ca="1" si="13"/>
        <v>56</v>
      </c>
      <c r="L749" s="58">
        <f>Data!M748</f>
        <v>0</v>
      </c>
      <c r="M749" s="37" t="s">
        <v>26</v>
      </c>
      <c r="N749" s="43" t="str">
        <f>VLOOKUP(M749,Table1[#All],3,FALSE)</f>
        <v>Note</v>
      </c>
      <c r="O749" s="40" t="str">
        <f>VLOOKUP(M749,Table1[#All],4,FALSE)</f>
        <v>Q1</v>
      </c>
      <c r="P749" s="39"/>
      <c r="Q749" s="40" t="str">
        <f>VLOOKUP(M749,Table1[#All],5,FALSE)</f>
        <v>Q2</v>
      </c>
      <c r="R749" s="79"/>
      <c r="S749" s="40" t="str">
        <f>VLOOKUP(M749,Table1[#All],6,FALSE)</f>
        <v>Q3</v>
      </c>
      <c r="T749" s="79"/>
      <c r="U749" s="40" t="str">
        <f>VLOOKUP(M749,Table1[#All],7,FALSE)</f>
        <v>Q4</v>
      </c>
      <c r="V749" s="79"/>
      <c r="W749" s="40" t="str">
        <f>VLOOKUP(M749,Table1[#All],8,FALSE)</f>
        <v>Q5</v>
      </c>
      <c r="X749" s="79"/>
      <c r="Y749" s="44" t="str">
        <f>VLOOKUP(M749,Table1[#All],2,FALSE)</f>
        <v>Action</v>
      </c>
      <c r="Z749" s="59" t="str">
        <f>VLOOKUP(M749,Table1[#All],9,FALSE)</f>
        <v>Additional Notes:</v>
      </c>
      <c r="AA749" s="76"/>
      <c r="AB749" s="76"/>
      <c r="AC749" s="90" t="s">
        <v>91</v>
      </c>
      <c r="AD749" s="76" t="s">
        <v>91</v>
      </c>
      <c r="AE749" s="77"/>
      <c r="AF749" s="77"/>
      <c r="AG749" s="41" t="s">
        <v>91</v>
      </c>
    </row>
    <row r="750" spans="1:33" ht="21" hidden="1" x14ac:dyDescent="0.55000000000000004">
      <c r="A750" s="44" t="str">
        <f>Data!K749</f>
        <v>Forward Health</v>
      </c>
      <c r="B750" s="44" t="str">
        <f>Data!L749</f>
        <v>8009479627</v>
      </c>
      <c r="C750" s="44" t="str">
        <f>Data!D749</f>
        <v>Aquino, Alexander</v>
      </c>
      <c r="D750" s="82" t="str">
        <f>Data!F749</f>
        <v>5449325851</v>
      </c>
      <c r="E750" s="82" t="str">
        <f>Data!B749</f>
        <v>7756</v>
      </c>
      <c r="F750" s="44" t="str">
        <f>Data!A749</f>
        <v>Aquino, Alexander</v>
      </c>
      <c r="G750" s="55" t="str">
        <f>Data!C749</f>
        <v>1/15/2016</v>
      </c>
      <c r="H750" s="56">
        <f>Data!H749</f>
        <v>44630</v>
      </c>
      <c r="I750" s="56" t="str">
        <f>Data!I749</f>
        <v>3/14/2022</v>
      </c>
      <c r="J750" s="57">
        <f>Data!J749</f>
        <v>278.39999999999998</v>
      </c>
      <c r="K750" s="58">
        <f t="shared" ca="1" si="13"/>
        <v>66</v>
      </c>
      <c r="L750" s="58">
        <f>Data!M749</f>
        <v>0</v>
      </c>
      <c r="M750" s="37" t="s">
        <v>26</v>
      </c>
      <c r="N750" s="43" t="str">
        <f>VLOOKUP(M750,Table1[#All],3,FALSE)</f>
        <v>Note</v>
      </c>
      <c r="O750" s="40" t="str">
        <f>VLOOKUP(M750,Table1[#All],4,FALSE)</f>
        <v>Q1</v>
      </c>
      <c r="P750" s="39"/>
      <c r="Q750" s="40" t="str">
        <f>VLOOKUP(M750,Table1[#All],5,FALSE)</f>
        <v>Q2</v>
      </c>
      <c r="R750" s="79"/>
      <c r="S750" s="40" t="str">
        <f>VLOOKUP(M750,Table1[#All],6,FALSE)</f>
        <v>Q3</v>
      </c>
      <c r="T750" s="79"/>
      <c r="U750" s="40" t="str">
        <f>VLOOKUP(M750,Table1[#All],7,FALSE)</f>
        <v>Q4</v>
      </c>
      <c r="V750" s="79"/>
      <c r="W750" s="40" t="str">
        <f>VLOOKUP(M750,Table1[#All],8,FALSE)</f>
        <v>Q5</v>
      </c>
      <c r="X750" s="79"/>
      <c r="Y750" s="44" t="str">
        <f>VLOOKUP(M750,Table1[#All],2,FALSE)</f>
        <v>Action</v>
      </c>
      <c r="Z750" s="59" t="str">
        <f>VLOOKUP(M750,Table1[#All],9,FALSE)</f>
        <v>Additional Notes:</v>
      </c>
      <c r="AA750" s="76"/>
      <c r="AB750" s="76"/>
      <c r="AC750" s="90" t="s">
        <v>91</v>
      </c>
      <c r="AD750" s="76" t="s">
        <v>91</v>
      </c>
      <c r="AE750" s="77"/>
      <c r="AF750" s="77"/>
      <c r="AG750" s="41" t="s">
        <v>91</v>
      </c>
    </row>
    <row r="751" spans="1:33" ht="21" hidden="1" x14ac:dyDescent="0.55000000000000004">
      <c r="A751" s="44" t="str">
        <f>Data!K750</f>
        <v>Forward Health</v>
      </c>
      <c r="B751" s="44" t="str">
        <f>Data!L750</f>
        <v>8009479627</v>
      </c>
      <c r="C751" s="44" t="str">
        <f>Data!D750</f>
        <v xml:space="preserve">Ward , Glenda </v>
      </c>
      <c r="D751" s="82" t="str">
        <f>Data!F750</f>
        <v>6421504965</v>
      </c>
      <c r="E751" s="82" t="str">
        <f>Data!B750</f>
        <v>7553</v>
      </c>
      <c r="F751" s="44" t="str">
        <f>Data!A750</f>
        <v xml:space="preserve">Ward , Glenda </v>
      </c>
      <c r="G751" s="55" t="str">
        <f>Data!C750</f>
        <v>6/21/1959</v>
      </c>
      <c r="H751" s="56">
        <f>Data!H750</f>
        <v>44630</v>
      </c>
      <c r="I751" s="56" t="str">
        <f>Data!I750</f>
        <v>3/11/2022</v>
      </c>
      <c r="J751" s="57">
        <f>Data!J750</f>
        <v>61.2</v>
      </c>
      <c r="K751" s="58">
        <f t="shared" ca="1" si="13"/>
        <v>69</v>
      </c>
      <c r="L751" s="58">
        <f>Data!M750</f>
        <v>0</v>
      </c>
      <c r="M751" s="37" t="s">
        <v>26</v>
      </c>
      <c r="N751" s="43" t="str">
        <f>VLOOKUP(M751,Table1[#All],3,FALSE)</f>
        <v>Note</v>
      </c>
      <c r="O751" s="40" t="str">
        <f>VLOOKUP(M751,Table1[#All],4,FALSE)</f>
        <v>Q1</v>
      </c>
      <c r="P751" s="39"/>
      <c r="Q751" s="40" t="str">
        <f>VLOOKUP(M751,Table1[#All],5,FALSE)</f>
        <v>Q2</v>
      </c>
      <c r="R751" s="79"/>
      <c r="S751" s="40" t="str">
        <f>VLOOKUP(M751,Table1[#All],6,FALSE)</f>
        <v>Q3</v>
      </c>
      <c r="T751" s="79"/>
      <c r="U751" s="40" t="str">
        <f>VLOOKUP(M751,Table1[#All],7,FALSE)</f>
        <v>Q4</v>
      </c>
      <c r="V751" s="79"/>
      <c r="W751" s="40" t="str">
        <f>VLOOKUP(M751,Table1[#All],8,FALSE)</f>
        <v>Q5</v>
      </c>
      <c r="X751" s="79"/>
      <c r="Y751" s="44" t="str">
        <f>VLOOKUP(M751,Table1[#All],2,FALSE)</f>
        <v>Action</v>
      </c>
      <c r="Z751" s="59" t="str">
        <f>VLOOKUP(M751,Table1[#All],9,FALSE)</f>
        <v>Additional Notes:</v>
      </c>
      <c r="AA751" s="76"/>
      <c r="AB751" s="76"/>
      <c r="AC751" s="90" t="s">
        <v>91</v>
      </c>
      <c r="AD751" s="76" t="s">
        <v>91</v>
      </c>
      <c r="AE751" s="77"/>
      <c r="AF751" s="77"/>
      <c r="AG751" s="41" t="s">
        <v>91</v>
      </c>
    </row>
    <row r="752" spans="1:33" ht="21" hidden="1" x14ac:dyDescent="0.55000000000000004">
      <c r="A752" s="44" t="str">
        <f>Data!K751</f>
        <v>Forward Health</v>
      </c>
      <c r="B752" s="44" t="str">
        <f>Data!L751</f>
        <v>8009479627</v>
      </c>
      <c r="C752" s="44" t="str">
        <f>Data!D751</f>
        <v>Santiago , Ezequiel</v>
      </c>
      <c r="D752" s="82" t="str">
        <f>Data!F751</f>
        <v>0451374002</v>
      </c>
      <c r="E752" s="82" t="str">
        <f>Data!B751</f>
        <v>8884</v>
      </c>
      <c r="F752" s="44" t="str">
        <f>Data!A751</f>
        <v>Santiago , Ezequiel</v>
      </c>
      <c r="G752" s="55" t="str">
        <f>Data!C751</f>
        <v>3/28/2017</v>
      </c>
      <c r="H752" s="56">
        <f>Data!H751</f>
        <v>44629</v>
      </c>
      <c r="I752" s="56" t="str">
        <f>Data!I751</f>
        <v>3/10/2022</v>
      </c>
      <c r="J752" s="57">
        <f>Data!J751</f>
        <v>419.2</v>
      </c>
      <c r="K752" s="58">
        <f t="shared" ca="1" si="13"/>
        <v>70</v>
      </c>
      <c r="L752" s="58">
        <f>Data!M751</f>
        <v>0</v>
      </c>
      <c r="M752" s="37" t="s">
        <v>26</v>
      </c>
      <c r="N752" s="43" t="str">
        <f>VLOOKUP(M752,Table1[#All],3,FALSE)</f>
        <v>Note</v>
      </c>
      <c r="O752" s="40" t="str">
        <f>VLOOKUP(M752,Table1[#All],4,FALSE)</f>
        <v>Q1</v>
      </c>
      <c r="P752" s="39"/>
      <c r="Q752" s="40" t="str">
        <f>VLOOKUP(M752,Table1[#All],5,FALSE)</f>
        <v>Q2</v>
      </c>
      <c r="R752" s="79"/>
      <c r="S752" s="40" t="str">
        <f>VLOOKUP(M752,Table1[#All],6,FALSE)</f>
        <v>Q3</v>
      </c>
      <c r="T752" s="79"/>
      <c r="U752" s="40" t="str">
        <f>VLOOKUP(M752,Table1[#All],7,FALSE)</f>
        <v>Q4</v>
      </c>
      <c r="V752" s="79"/>
      <c r="W752" s="40" t="str">
        <f>VLOOKUP(M752,Table1[#All],8,FALSE)</f>
        <v>Q5</v>
      </c>
      <c r="X752" s="79"/>
      <c r="Y752" s="44" t="str">
        <f>VLOOKUP(M752,Table1[#All],2,FALSE)</f>
        <v>Action</v>
      </c>
      <c r="Z752" s="59" t="str">
        <f>VLOOKUP(M752,Table1[#All],9,FALSE)</f>
        <v>Additional Notes:</v>
      </c>
      <c r="AA752" s="76"/>
      <c r="AB752" s="76"/>
      <c r="AC752" s="90" t="s">
        <v>91</v>
      </c>
      <c r="AD752" s="76" t="s">
        <v>91</v>
      </c>
      <c r="AE752" s="77"/>
      <c r="AF752" s="77"/>
      <c r="AG752" s="41" t="s">
        <v>91</v>
      </c>
    </row>
    <row r="753" spans="1:33" ht="21" hidden="1" x14ac:dyDescent="0.55000000000000004">
      <c r="A753" s="44" t="str">
        <f>Data!K752</f>
        <v>Forward Health</v>
      </c>
      <c r="B753" s="44" t="str">
        <f>Data!L752</f>
        <v>8009479627</v>
      </c>
      <c r="C753" s="44" t="str">
        <f>Data!D752</f>
        <v>Busby, Rajanay</v>
      </c>
      <c r="D753" s="82" t="str">
        <f>Data!F752</f>
        <v>0441699502</v>
      </c>
      <c r="E753" s="82" t="str">
        <f>Data!B752</f>
        <v>1262</v>
      </c>
      <c r="F753" s="44" t="str">
        <f>Data!A752</f>
        <v>Busby, Rajanay</v>
      </c>
      <c r="G753" s="55" t="str">
        <f>Data!C752</f>
        <v>1/19/2012</v>
      </c>
      <c r="H753" s="56">
        <f>Data!H752</f>
        <v>44629</v>
      </c>
      <c r="I753" s="56" t="str">
        <f>Data!I752</f>
        <v>3/10/2022</v>
      </c>
      <c r="J753" s="57">
        <f>Data!J752</f>
        <v>360</v>
      </c>
      <c r="K753" s="58">
        <f t="shared" ca="1" si="13"/>
        <v>70</v>
      </c>
      <c r="L753" s="58">
        <f>Data!M752</f>
        <v>0</v>
      </c>
      <c r="M753" s="37" t="s">
        <v>26</v>
      </c>
      <c r="N753" s="43" t="str">
        <f>VLOOKUP(M753,Table1[#All],3,FALSE)</f>
        <v>Note</v>
      </c>
      <c r="O753" s="40" t="str">
        <f>VLOOKUP(M753,Table1[#All],4,FALSE)</f>
        <v>Q1</v>
      </c>
      <c r="P753" s="39"/>
      <c r="Q753" s="40" t="str">
        <f>VLOOKUP(M753,Table1[#All],5,FALSE)</f>
        <v>Q2</v>
      </c>
      <c r="R753" s="79"/>
      <c r="S753" s="40" t="str">
        <f>VLOOKUP(M753,Table1[#All],6,FALSE)</f>
        <v>Q3</v>
      </c>
      <c r="T753" s="79"/>
      <c r="U753" s="40" t="str">
        <f>VLOOKUP(M753,Table1[#All],7,FALSE)</f>
        <v>Q4</v>
      </c>
      <c r="V753" s="79"/>
      <c r="W753" s="40" t="str">
        <f>VLOOKUP(M753,Table1[#All],8,FALSE)</f>
        <v>Q5</v>
      </c>
      <c r="X753" s="79"/>
      <c r="Y753" s="44" t="str">
        <f>VLOOKUP(M753,Table1[#All],2,FALSE)</f>
        <v>Action</v>
      </c>
      <c r="Z753" s="59" t="str">
        <f>VLOOKUP(M753,Table1[#All],9,FALSE)</f>
        <v>Additional Notes:</v>
      </c>
      <c r="AA753" s="76"/>
      <c r="AB753" s="76"/>
      <c r="AC753" s="90" t="s">
        <v>91</v>
      </c>
      <c r="AD753" s="76" t="s">
        <v>91</v>
      </c>
      <c r="AE753" s="77"/>
      <c r="AF753" s="77"/>
      <c r="AG753" s="41" t="s">
        <v>91</v>
      </c>
    </row>
    <row r="754" spans="1:33" ht="21" hidden="1" x14ac:dyDescent="0.55000000000000004">
      <c r="A754" s="44" t="str">
        <f>Data!K753</f>
        <v>Forward Health</v>
      </c>
      <c r="B754" s="44" t="str">
        <f>Data!L753</f>
        <v>8009479627</v>
      </c>
      <c r="C754" s="44" t="str">
        <f>Data!D753</f>
        <v>Foster , Philip</v>
      </c>
      <c r="D754" s="82" t="str">
        <f>Data!F753</f>
        <v>0429649703</v>
      </c>
      <c r="E754" s="82" t="str">
        <f>Data!B753</f>
        <v>9169</v>
      </c>
      <c r="F754" s="44" t="str">
        <f>Data!A753</f>
        <v>Foster , Philip</v>
      </c>
      <c r="G754" s="55" t="str">
        <f>Data!C753</f>
        <v>12/20/1966</v>
      </c>
      <c r="H754" s="56">
        <f>Data!H753</f>
        <v>44629</v>
      </c>
      <c r="I754" s="56" t="str">
        <f>Data!I753</f>
        <v>3/10/2022</v>
      </c>
      <c r="J754" s="57">
        <f>Data!J753</f>
        <v>61.2</v>
      </c>
      <c r="K754" s="58">
        <f t="shared" ca="1" si="13"/>
        <v>70</v>
      </c>
      <c r="L754" s="58">
        <f>Data!M753</f>
        <v>0</v>
      </c>
      <c r="M754" s="37" t="s">
        <v>26</v>
      </c>
      <c r="N754" s="43" t="str">
        <f>VLOOKUP(M754,Table1[#All],3,FALSE)</f>
        <v>Note</v>
      </c>
      <c r="O754" s="40" t="str">
        <f>VLOOKUP(M754,Table1[#All],4,FALSE)</f>
        <v>Q1</v>
      </c>
      <c r="P754" s="39"/>
      <c r="Q754" s="40" t="str">
        <f>VLOOKUP(M754,Table1[#All],5,FALSE)</f>
        <v>Q2</v>
      </c>
      <c r="R754" s="79"/>
      <c r="S754" s="40" t="str">
        <f>VLOOKUP(M754,Table1[#All],6,FALSE)</f>
        <v>Q3</v>
      </c>
      <c r="T754" s="79"/>
      <c r="U754" s="40" t="str">
        <f>VLOOKUP(M754,Table1[#All],7,FALSE)</f>
        <v>Q4</v>
      </c>
      <c r="V754" s="79"/>
      <c r="W754" s="40" t="str">
        <f>VLOOKUP(M754,Table1[#All],8,FALSE)</f>
        <v>Q5</v>
      </c>
      <c r="X754" s="79"/>
      <c r="Y754" s="44" t="str">
        <f>VLOOKUP(M754,Table1[#All],2,FALSE)</f>
        <v>Action</v>
      </c>
      <c r="Z754" s="59" t="str">
        <f>VLOOKUP(M754,Table1[#All],9,FALSE)</f>
        <v>Additional Notes:</v>
      </c>
      <c r="AA754" s="76"/>
      <c r="AB754" s="76"/>
      <c r="AC754" s="90" t="s">
        <v>91</v>
      </c>
      <c r="AD754" s="76" t="s">
        <v>91</v>
      </c>
      <c r="AE754" s="77"/>
      <c r="AF754" s="77"/>
      <c r="AG754" s="41" t="s">
        <v>91</v>
      </c>
    </row>
    <row r="755" spans="1:33" ht="21" hidden="1" x14ac:dyDescent="0.55000000000000004">
      <c r="A755" s="44" t="str">
        <f>Data!K754</f>
        <v>Forward Health</v>
      </c>
      <c r="B755" s="44" t="str">
        <f>Data!L754</f>
        <v>8009479627</v>
      </c>
      <c r="C755" s="44" t="str">
        <f>Data!D754</f>
        <v xml:space="preserve">Miller, Jimmie </v>
      </c>
      <c r="D755" s="82" t="str">
        <f>Data!F754</f>
        <v>0405451601</v>
      </c>
      <c r="E755" s="82" t="str">
        <f>Data!B754</f>
        <v>9226</v>
      </c>
      <c r="F755" s="44" t="str">
        <f>Data!A754</f>
        <v xml:space="preserve">Miller, Jimmie </v>
      </c>
      <c r="G755" s="55" t="str">
        <f>Data!C754</f>
        <v>7/21/1954</v>
      </c>
      <c r="H755" s="56">
        <f>Data!H754</f>
        <v>44629</v>
      </c>
      <c r="I755" s="56" t="str">
        <f>Data!I754</f>
        <v>3/10/2022</v>
      </c>
      <c r="J755" s="57">
        <f>Data!J754</f>
        <v>348</v>
      </c>
      <c r="K755" s="58">
        <f t="shared" ca="1" si="13"/>
        <v>70</v>
      </c>
      <c r="L755" s="58">
        <f>Data!M754</f>
        <v>0</v>
      </c>
      <c r="M755" s="37" t="s">
        <v>26</v>
      </c>
      <c r="N755" s="43" t="str">
        <f>VLOOKUP(M755,Table1[#All],3,FALSE)</f>
        <v>Note</v>
      </c>
      <c r="O755" s="40" t="str">
        <f>VLOOKUP(M755,Table1[#All],4,FALSE)</f>
        <v>Q1</v>
      </c>
      <c r="P755" s="39"/>
      <c r="Q755" s="40" t="str">
        <f>VLOOKUP(M755,Table1[#All],5,FALSE)</f>
        <v>Q2</v>
      </c>
      <c r="R755" s="79"/>
      <c r="S755" s="40" t="str">
        <f>VLOOKUP(M755,Table1[#All],6,FALSE)</f>
        <v>Q3</v>
      </c>
      <c r="T755" s="79"/>
      <c r="U755" s="40" t="str">
        <f>VLOOKUP(M755,Table1[#All],7,FALSE)</f>
        <v>Q4</v>
      </c>
      <c r="V755" s="79"/>
      <c r="W755" s="40" t="str">
        <f>VLOOKUP(M755,Table1[#All],8,FALSE)</f>
        <v>Q5</v>
      </c>
      <c r="X755" s="79"/>
      <c r="Y755" s="44" t="str">
        <f>VLOOKUP(M755,Table1[#All],2,FALSE)</f>
        <v>Action</v>
      </c>
      <c r="Z755" s="59" t="str">
        <f>VLOOKUP(M755,Table1[#All],9,FALSE)</f>
        <v>Additional Notes:</v>
      </c>
      <c r="AA755" s="76"/>
      <c r="AB755" s="76"/>
      <c r="AC755" s="90" t="s">
        <v>91</v>
      </c>
      <c r="AD755" s="76" t="s">
        <v>91</v>
      </c>
      <c r="AE755" s="77"/>
      <c r="AF755" s="77"/>
      <c r="AG755" s="41" t="s">
        <v>91</v>
      </c>
    </row>
    <row r="756" spans="1:33" ht="21" hidden="1" x14ac:dyDescent="0.55000000000000004">
      <c r="A756" s="44" t="str">
        <f>Data!K755</f>
        <v>Forward Health</v>
      </c>
      <c r="B756" s="44" t="str">
        <f>Data!L755</f>
        <v>8009479627</v>
      </c>
      <c r="C756" s="44" t="str">
        <f>Data!D755</f>
        <v xml:space="preserve">Rogers, Suzette </v>
      </c>
      <c r="D756" s="82" t="str">
        <f>Data!F755</f>
        <v>4411946947</v>
      </c>
      <c r="E756" s="82" t="str">
        <f>Data!B755</f>
        <v>9130</v>
      </c>
      <c r="F756" s="44" t="str">
        <f>Data!A755</f>
        <v xml:space="preserve">Rogers, Suzette </v>
      </c>
      <c r="G756" s="55" t="str">
        <f>Data!C755</f>
        <v>1/29/1963</v>
      </c>
      <c r="H756" s="56">
        <f>Data!H755</f>
        <v>44629</v>
      </c>
      <c r="I756" s="56" t="str">
        <f>Data!I755</f>
        <v>3/10/2022</v>
      </c>
      <c r="J756" s="57">
        <f>Data!J755</f>
        <v>88.8</v>
      </c>
      <c r="K756" s="58">
        <f t="shared" ca="1" si="13"/>
        <v>70</v>
      </c>
      <c r="L756" s="58">
        <f>Data!M755</f>
        <v>0</v>
      </c>
      <c r="M756" s="37" t="s">
        <v>26</v>
      </c>
      <c r="N756" s="43" t="str">
        <f>VLOOKUP(M756,Table1[#All],3,FALSE)</f>
        <v>Note</v>
      </c>
      <c r="O756" s="40" t="str">
        <f>VLOOKUP(M756,Table1[#All],4,FALSE)</f>
        <v>Q1</v>
      </c>
      <c r="P756" s="39"/>
      <c r="Q756" s="40" t="str">
        <f>VLOOKUP(M756,Table1[#All],5,FALSE)</f>
        <v>Q2</v>
      </c>
      <c r="R756" s="79"/>
      <c r="S756" s="40" t="str">
        <f>VLOOKUP(M756,Table1[#All],6,FALSE)</f>
        <v>Q3</v>
      </c>
      <c r="T756" s="79"/>
      <c r="U756" s="40" t="str">
        <f>VLOOKUP(M756,Table1[#All],7,FALSE)</f>
        <v>Q4</v>
      </c>
      <c r="V756" s="79"/>
      <c r="W756" s="40" t="str">
        <f>VLOOKUP(M756,Table1[#All],8,FALSE)</f>
        <v>Q5</v>
      </c>
      <c r="X756" s="79"/>
      <c r="Y756" s="44" t="str">
        <f>VLOOKUP(M756,Table1[#All],2,FALSE)</f>
        <v>Action</v>
      </c>
      <c r="Z756" s="59" t="str">
        <f>VLOOKUP(M756,Table1[#All],9,FALSE)</f>
        <v>Additional Notes:</v>
      </c>
      <c r="AA756" s="76"/>
      <c r="AB756" s="76"/>
      <c r="AC756" s="90" t="s">
        <v>91</v>
      </c>
      <c r="AD756" s="76" t="s">
        <v>91</v>
      </c>
      <c r="AE756" s="77"/>
      <c r="AF756" s="77"/>
      <c r="AG756" s="41" t="s">
        <v>91</v>
      </c>
    </row>
    <row r="757" spans="1:33" ht="21" hidden="1" x14ac:dyDescent="0.55000000000000004">
      <c r="A757" s="44" t="str">
        <f>Data!K756</f>
        <v>Forward Health</v>
      </c>
      <c r="B757" s="44" t="str">
        <f>Data!L756</f>
        <v>8009479627</v>
      </c>
      <c r="C757" s="44" t="str">
        <f>Data!D756</f>
        <v xml:space="preserve">Ruiz , Helen </v>
      </c>
      <c r="D757" s="82" t="str">
        <f>Data!F756</f>
        <v>7419119571</v>
      </c>
      <c r="E757" s="82" t="str">
        <f>Data!B756</f>
        <v>2686</v>
      </c>
      <c r="F757" s="44" t="str">
        <f>Data!A756</f>
        <v xml:space="preserve">Ruiz , Helen </v>
      </c>
      <c r="G757" s="55" t="str">
        <f>Data!C756</f>
        <v>4/30/1972</v>
      </c>
      <c r="H757" s="56">
        <f>Data!H756</f>
        <v>44628</v>
      </c>
      <c r="I757" s="56" t="str">
        <f>Data!I756</f>
        <v>3/9/2022</v>
      </c>
      <c r="J757" s="57">
        <f>Data!J756</f>
        <v>966</v>
      </c>
      <c r="K757" s="58">
        <f t="shared" ca="1" si="13"/>
        <v>71</v>
      </c>
      <c r="L757" s="58">
        <f>Data!M756</f>
        <v>0</v>
      </c>
      <c r="M757" s="37" t="s">
        <v>26</v>
      </c>
      <c r="N757" s="43" t="str">
        <f>VLOOKUP(M757,Table1[#All],3,FALSE)</f>
        <v>Note</v>
      </c>
      <c r="O757" s="40" t="str">
        <f>VLOOKUP(M757,Table1[#All],4,FALSE)</f>
        <v>Q1</v>
      </c>
      <c r="P757" s="39"/>
      <c r="Q757" s="40" t="str">
        <f>VLOOKUP(M757,Table1[#All],5,FALSE)</f>
        <v>Q2</v>
      </c>
      <c r="R757" s="79"/>
      <c r="S757" s="40" t="str">
        <f>VLOOKUP(M757,Table1[#All],6,FALSE)</f>
        <v>Q3</v>
      </c>
      <c r="T757" s="79"/>
      <c r="U757" s="40" t="str">
        <f>VLOOKUP(M757,Table1[#All],7,FALSE)</f>
        <v>Q4</v>
      </c>
      <c r="V757" s="79"/>
      <c r="W757" s="40" t="str">
        <f>VLOOKUP(M757,Table1[#All],8,FALSE)</f>
        <v>Q5</v>
      </c>
      <c r="X757" s="79"/>
      <c r="Y757" s="44" t="str">
        <f>VLOOKUP(M757,Table1[#All],2,FALSE)</f>
        <v>Action</v>
      </c>
      <c r="Z757" s="59" t="str">
        <f>VLOOKUP(M757,Table1[#All],9,FALSE)</f>
        <v>Additional Notes:</v>
      </c>
      <c r="AA757" s="76"/>
      <c r="AB757" s="76"/>
      <c r="AC757" s="90" t="s">
        <v>91</v>
      </c>
      <c r="AD757" s="76" t="s">
        <v>91</v>
      </c>
      <c r="AE757" s="77"/>
      <c r="AF757" s="77"/>
      <c r="AG757" s="41" t="s">
        <v>91</v>
      </c>
    </row>
    <row r="758" spans="1:33" ht="21" hidden="1" x14ac:dyDescent="0.55000000000000004">
      <c r="A758" s="44" t="str">
        <f>Data!K757</f>
        <v>Forward Health</v>
      </c>
      <c r="B758" s="44" t="str">
        <f>Data!L757</f>
        <v>8009479627</v>
      </c>
      <c r="C758" s="44" t="str">
        <f>Data!D757</f>
        <v>Uihlein, Damon</v>
      </c>
      <c r="D758" s="82" t="str">
        <f>Data!F757</f>
        <v>5444222850</v>
      </c>
      <c r="E758" s="82" t="str">
        <f>Data!B757</f>
        <v>9073</v>
      </c>
      <c r="F758" s="44" t="str">
        <f>Data!A757</f>
        <v>Uihlein, Damon</v>
      </c>
      <c r="G758" s="55" t="str">
        <f>Data!C757</f>
        <v>6/21/2013</v>
      </c>
      <c r="H758" s="56">
        <f>Data!H757</f>
        <v>44628</v>
      </c>
      <c r="I758" s="56" t="str">
        <f>Data!I757</f>
        <v>3/9/2022</v>
      </c>
      <c r="J758" s="57">
        <f>Data!J757</f>
        <v>1348</v>
      </c>
      <c r="K758" s="58">
        <f t="shared" ca="1" si="13"/>
        <v>71</v>
      </c>
      <c r="L758" s="58">
        <f>Data!M757</f>
        <v>0</v>
      </c>
      <c r="M758" s="37" t="s">
        <v>26</v>
      </c>
      <c r="N758" s="43" t="str">
        <f>VLOOKUP(M758,Table1[#All],3,FALSE)</f>
        <v>Note</v>
      </c>
      <c r="O758" s="40" t="str">
        <f>VLOOKUP(M758,Table1[#All],4,FALSE)</f>
        <v>Q1</v>
      </c>
      <c r="P758" s="39"/>
      <c r="Q758" s="40" t="str">
        <f>VLOOKUP(M758,Table1[#All],5,FALSE)</f>
        <v>Q2</v>
      </c>
      <c r="R758" s="79"/>
      <c r="S758" s="40" t="str">
        <f>VLOOKUP(M758,Table1[#All],6,FALSE)</f>
        <v>Q3</v>
      </c>
      <c r="T758" s="79"/>
      <c r="U758" s="40" t="str">
        <f>VLOOKUP(M758,Table1[#All],7,FALSE)</f>
        <v>Q4</v>
      </c>
      <c r="V758" s="79"/>
      <c r="W758" s="40" t="str">
        <f>VLOOKUP(M758,Table1[#All],8,FALSE)</f>
        <v>Q5</v>
      </c>
      <c r="X758" s="79"/>
      <c r="Y758" s="44" t="str">
        <f>VLOOKUP(M758,Table1[#All],2,FALSE)</f>
        <v>Action</v>
      </c>
      <c r="Z758" s="59" t="str">
        <f>VLOOKUP(M758,Table1[#All],9,FALSE)</f>
        <v>Additional Notes:</v>
      </c>
      <c r="AA758" s="76"/>
      <c r="AB758" s="76"/>
      <c r="AC758" s="90" t="s">
        <v>91</v>
      </c>
      <c r="AD758" s="76" t="s">
        <v>91</v>
      </c>
      <c r="AE758" s="77"/>
      <c r="AF758" s="77"/>
      <c r="AG758" s="41" t="s">
        <v>91</v>
      </c>
    </row>
    <row r="759" spans="1:33" ht="21" hidden="1" x14ac:dyDescent="0.55000000000000004">
      <c r="A759" s="44" t="str">
        <f>Data!K758</f>
        <v>Forward Health</v>
      </c>
      <c r="B759" s="44" t="str">
        <f>Data!L758</f>
        <v>8009479627</v>
      </c>
      <c r="C759" s="44" t="str">
        <f>Data!D758</f>
        <v>Nelson, Thomas</v>
      </c>
      <c r="D759" s="82" t="str">
        <f>Data!F758</f>
        <v>7428041376</v>
      </c>
      <c r="E759" s="82" t="str">
        <f>Data!B758</f>
        <v>9215</v>
      </c>
      <c r="F759" s="44" t="str">
        <f>Data!A758</f>
        <v>Nelson, Thomas</v>
      </c>
      <c r="G759" s="55" t="str">
        <f>Data!C758</f>
        <v>7/17/1962</v>
      </c>
      <c r="H759" s="56">
        <f>Data!H758</f>
        <v>44628</v>
      </c>
      <c r="I759" s="56" t="str">
        <f>Data!I758</f>
        <v>3/9/2022</v>
      </c>
      <c r="J759" s="57">
        <f>Data!J758</f>
        <v>175.2</v>
      </c>
      <c r="K759" s="58">
        <f t="shared" ca="1" si="13"/>
        <v>71</v>
      </c>
      <c r="L759" s="58">
        <f>Data!M758</f>
        <v>0</v>
      </c>
      <c r="M759" s="37" t="s">
        <v>26</v>
      </c>
      <c r="N759" s="43" t="str">
        <f>VLOOKUP(M759,Table1[#All],3,FALSE)</f>
        <v>Note</v>
      </c>
      <c r="O759" s="40" t="str">
        <f>VLOOKUP(M759,Table1[#All],4,FALSE)</f>
        <v>Q1</v>
      </c>
      <c r="P759" s="39"/>
      <c r="Q759" s="40" t="str">
        <f>VLOOKUP(M759,Table1[#All],5,FALSE)</f>
        <v>Q2</v>
      </c>
      <c r="R759" s="79"/>
      <c r="S759" s="40" t="str">
        <f>VLOOKUP(M759,Table1[#All],6,FALSE)</f>
        <v>Q3</v>
      </c>
      <c r="T759" s="79"/>
      <c r="U759" s="40" t="str">
        <f>VLOOKUP(M759,Table1[#All],7,FALSE)</f>
        <v>Q4</v>
      </c>
      <c r="V759" s="79"/>
      <c r="W759" s="40" t="str">
        <f>VLOOKUP(M759,Table1[#All],8,FALSE)</f>
        <v>Q5</v>
      </c>
      <c r="X759" s="79"/>
      <c r="Y759" s="44" t="str">
        <f>VLOOKUP(M759,Table1[#All],2,FALSE)</f>
        <v>Action</v>
      </c>
      <c r="Z759" s="59" t="str">
        <f>VLOOKUP(M759,Table1[#All],9,FALSE)</f>
        <v>Additional Notes:</v>
      </c>
      <c r="AA759" s="76"/>
      <c r="AB759" s="76"/>
      <c r="AC759" s="90" t="s">
        <v>91</v>
      </c>
      <c r="AD759" s="76" t="s">
        <v>91</v>
      </c>
      <c r="AE759" s="77"/>
      <c r="AF759" s="77"/>
      <c r="AG759" s="41" t="s">
        <v>91</v>
      </c>
    </row>
    <row r="760" spans="1:33" ht="21" hidden="1" x14ac:dyDescent="0.55000000000000004">
      <c r="A760" s="44" t="str">
        <f>Data!K759</f>
        <v>Forward Health</v>
      </c>
      <c r="B760" s="44" t="str">
        <f>Data!L759</f>
        <v>8009479627</v>
      </c>
      <c r="C760" s="44" t="str">
        <f>Data!D759</f>
        <v xml:space="preserve">Cuautle , Jose </v>
      </c>
      <c r="D760" s="82" t="str">
        <f>Data!F759</f>
        <v>0427343909</v>
      </c>
      <c r="E760" s="82" t="str">
        <f>Data!B759</f>
        <v>9212</v>
      </c>
      <c r="F760" s="44" t="str">
        <f>Data!A759</f>
        <v xml:space="preserve">Cuautle , Jose </v>
      </c>
      <c r="G760" s="55" t="str">
        <f>Data!C759</f>
        <v>3/28/1984</v>
      </c>
      <c r="H760" s="56">
        <f>Data!H759</f>
        <v>44627</v>
      </c>
      <c r="I760" s="56" t="str">
        <f>Data!I759</f>
        <v>3/9/2022</v>
      </c>
      <c r="J760" s="57">
        <f>Data!J759</f>
        <v>414</v>
      </c>
      <c r="K760" s="58">
        <f t="shared" ca="1" si="13"/>
        <v>71</v>
      </c>
      <c r="L760" s="58">
        <f>Data!M759</f>
        <v>0</v>
      </c>
      <c r="M760" s="37" t="s">
        <v>26</v>
      </c>
      <c r="N760" s="43" t="str">
        <f>VLOOKUP(M760,Table1[#All],3,FALSE)</f>
        <v>Note</v>
      </c>
      <c r="O760" s="40" t="str">
        <f>VLOOKUP(M760,Table1[#All],4,FALSE)</f>
        <v>Q1</v>
      </c>
      <c r="P760" s="39"/>
      <c r="Q760" s="40" t="str">
        <f>VLOOKUP(M760,Table1[#All],5,FALSE)</f>
        <v>Q2</v>
      </c>
      <c r="R760" s="79"/>
      <c r="S760" s="40" t="str">
        <f>VLOOKUP(M760,Table1[#All],6,FALSE)</f>
        <v>Q3</v>
      </c>
      <c r="T760" s="79"/>
      <c r="U760" s="40" t="str">
        <f>VLOOKUP(M760,Table1[#All],7,FALSE)</f>
        <v>Q4</v>
      </c>
      <c r="V760" s="79"/>
      <c r="W760" s="40" t="str">
        <f>VLOOKUP(M760,Table1[#All],8,FALSE)</f>
        <v>Q5</v>
      </c>
      <c r="X760" s="79"/>
      <c r="Y760" s="44" t="str">
        <f>VLOOKUP(M760,Table1[#All],2,FALSE)</f>
        <v>Action</v>
      </c>
      <c r="Z760" s="59" t="str">
        <f>VLOOKUP(M760,Table1[#All],9,FALSE)</f>
        <v>Additional Notes:</v>
      </c>
      <c r="AA760" s="76"/>
      <c r="AB760" s="76"/>
      <c r="AC760" s="90" t="s">
        <v>91</v>
      </c>
      <c r="AD760" s="76" t="s">
        <v>91</v>
      </c>
      <c r="AE760" s="77"/>
      <c r="AF760" s="77"/>
      <c r="AG760" s="41" t="s">
        <v>91</v>
      </c>
    </row>
    <row r="761" spans="1:33" ht="21" hidden="1" x14ac:dyDescent="0.55000000000000004">
      <c r="A761" s="44" t="str">
        <f>Data!K760</f>
        <v>Forward Health</v>
      </c>
      <c r="B761" s="44" t="str">
        <f>Data!L760</f>
        <v>8009479627</v>
      </c>
      <c r="C761" s="44" t="str">
        <f>Data!D760</f>
        <v>Kayed, Mohammad</v>
      </c>
      <c r="D761" s="82" t="str">
        <f>Data!F760</f>
        <v>8453451184</v>
      </c>
      <c r="E761" s="82" t="str">
        <f>Data!B760</f>
        <v>16</v>
      </c>
      <c r="F761" s="44" t="str">
        <f>Data!A760</f>
        <v>Kayed, Mohammad</v>
      </c>
      <c r="G761" s="55" t="str">
        <f>Data!C760</f>
        <v>10/27/2003</v>
      </c>
      <c r="H761" s="56">
        <f>Data!H760</f>
        <v>44627</v>
      </c>
      <c r="I761" s="56" t="str">
        <f>Data!I760</f>
        <v>3/9/2022</v>
      </c>
      <c r="J761" s="57">
        <f>Data!J760</f>
        <v>1631.6</v>
      </c>
      <c r="K761" s="58">
        <f t="shared" ca="1" si="13"/>
        <v>71</v>
      </c>
      <c r="L761" s="58">
        <f>Data!M760</f>
        <v>0</v>
      </c>
      <c r="M761" s="37" t="s">
        <v>26</v>
      </c>
      <c r="N761" s="43" t="str">
        <f>VLOOKUP(M761,Table1[#All],3,FALSE)</f>
        <v>Note</v>
      </c>
      <c r="O761" s="40" t="str">
        <f>VLOOKUP(M761,Table1[#All],4,FALSE)</f>
        <v>Q1</v>
      </c>
      <c r="P761" s="39"/>
      <c r="Q761" s="40" t="str">
        <f>VLOOKUP(M761,Table1[#All],5,FALSE)</f>
        <v>Q2</v>
      </c>
      <c r="R761" s="79"/>
      <c r="S761" s="40" t="str">
        <f>VLOOKUP(M761,Table1[#All],6,FALSE)</f>
        <v>Q3</v>
      </c>
      <c r="T761" s="79"/>
      <c r="U761" s="40" t="str">
        <f>VLOOKUP(M761,Table1[#All],7,FALSE)</f>
        <v>Q4</v>
      </c>
      <c r="V761" s="79"/>
      <c r="W761" s="40" t="str">
        <f>VLOOKUP(M761,Table1[#All],8,FALSE)</f>
        <v>Q5</v>
      </c>
      <c r="X761" s="79"/>
      <c r="Y761" s="44" t="str">
        <f>VLOOKUP(M761,Table1[#All],2,FALSE)</f>
        <v>Action</v>
      </c>
      <c r="Z761" s="59" t="str">
        <f>VLOOKUP(M761,Table1[#All],9,FALSE)</f>
        <v>Additional Notes:</v>
      </c>
      <c r="AA761" s="76"/>
      <c r="AB761" s="76"/>
      <c r="AC761" s="90" t="s">
        <v>91</v>
      </c>
      <c r="AD761" s="76" t="s">
        <v>91</v>
      </c>
      <c r="AE761" s="77"/>
      <c r="AF761" s="77"/>
      <c r="AG761" s="41" t="s">
        <v>91</v>
      </c>
    </row>
    <row r="762" spans="1:33" ht="21" hidden="1" x14ac:dyDescent="0.55000000000000004">
      <c r="A762" s="44" t="str">
        <f>Data!K761</f>
        <v>Forward Health</v>
      </c>
      <c r="B762" s="44" t="str">
        <f>Data!L761</f>
        <v>8009479627</v>
      </c>
      <c r="C762" s="44" t="str">
        <f>Data!D761</f>
        <v>Taborn, Tashima</v>
      </c>
      <c r="D762" s="82" t="str">
        <f>Data!F761</f>
        <v>1400007411</v>
      </c>
      <c r="E762" s="82" t="str">
        <f>Data!B761</f>
        <v>962</v>
      </c>
      <c r="F762" s="44" t="str">
        <f>Data!A761</f>
        <v>Taborn, Tashima</v>
      </c>
      <c r="G762" s="55" t="str">
        <f>Data!C761</f>
        <v>8/16/1989</v>
      </c>
      <c r="H762" s="56">
        <f>Data!H761</f>
        <v>44627</v>
      </c>
      <c r="I762" s="56" t="str">
        <f>Data!I761</f>
        <v>3/9/2022</v>
      </c>
      <c r="J762" s="57">
        <f>Data!J761</f>
        <v>1044</v>
      </c>
      <c r="K762" s="58">
        <f t="shared" ca="1" si="13"/>
        <v>71</v>
      </c>
      <c r="L762" s="58">
        <f>Data!M761</f>
        <v>0</v>
      </c>
      <c r="M762" s="37" t="s">
        <v>26</v>
      </c>
      <c r="N762" s="43" t="str">
        <f>VLOOKUP(M762,Table1[#All],3,FALSE)</f>
        <v>Note</v>
      </c>
      <c r="O762" s="40" t="str">
        <f>VLOOKUP(M762,Table1[#All],4,FALSE)</f>
        <v>Q1</v>
      </c>
      <c r="P762" s="39"/>
      <c r="Q762" s="40" t="str">
        <f>VLOOKUP(M762,Table1[#All],5,FALSE)</f>
        <v>Q2</v>
      </c>
      <c r="R762" s="79"/>
      <c r="S762" s="40" t="str">
        <f>VLOOKUP(M762,Table1[#All],6,FALSE)</f>
        <v>Q3</v>
      </c>
      <c r="T762" s="79"/>
      <c r="U762" s="40" t="str">
        <f>VLOOKUP(M762,Table1[#All],7,FALSE)</f>
        <v>Q4</v>
      </c>
      <c r="V762" s="79"/>
      <c r="W762" s="40" t="str">
        <f>VLOOKUP(M762,Table1[#All],8,FALSE)</f>
        <v>Q5</v>
      </c>
      <c r="X762" s="79"/>
      <c r="Y762" s="44" t="str">
        <f>VLOOKUP(M762,Table1[#All],2,FALSE)</f>
        <v>Action</v>
      </c>
      <c r="Z762" s="59" t="str">
        <f>VLOOKUP(M762,Table1[#All],9,FALSE)</f>
        <v>Additional Notes:</v>
      </c>
      <c r="AA762" s="76"/>
      <c r="AB762" s="76"/>
      <c r="AC762" s="90" t="s">
        <v>91</v>
      </c>
      <c r="AD762" s="76" t="s">
        <v>91</v>
      </c>
      <c r="AE762" s="77"/>
      <c r="AF762" s="77"/>
      <c r="AG762" s="41" t="s">
        <v>91</v>
      </c>
    </row>
    <row r="763" spans="1:33" ht="21" hidden="1" x14ac:dyDescent="0.55000000000000004">
      <c r="A763" s="44" t="str">
        <f>Data!K762</f>
        <v>Forward Health</v>
      </c>
      <c r="B763" s="44" t="str">
        <f>Data!L762</f>
        <v>8009479627</v>
      </c>
      <c r="C763" s="44" t="str">
        <f>Data!D762</f>
        <v xml:space="preserve">Harris , Kylie </v>
      </c>
      <c r="D763" s="82" t="str">
        <f>Data!F762</f>
        <v>8458664585</v>
      </c>
      <c r="E763" s="82" t="str">
        <f>Data!B762</f>
        <v>8890</v>
      </c>
      <c r="F763" s="44" t="str">
        <f>Data!A762</f>
        <v xml:space="preserve">Harris , Kylie </v>
      </c>
      <c r="G763" s="55" t="str">
        <f>Data!C762</f>
        <v>2/11/1997</v>
      </c>
      <c r="H763" s="56">
        <f>Data!H762</f>
        <v>44624</v>
      </c>
      <c r="I763" s="56" t="str">
        <f>Data!I762</f>
        <v>3/7/2022</v>
      </c>
      <c r="J763" s="57">
        <f>Data!J762</f>
        <v>134.4</v>
      </c>
      <c r="K763" s="58">
        <f t="shared" ca="1" si="13"/>
        <v>73</v>
      </c>
      <c r="L763" s="58">
        <f>Data!M762</f>
        <v>0</v>
      </c>
      <c r="M763" s="37" t="s">
        <v>26</v>
      </c>
      <c r="N763" s="43" t="str">
        <f>VLOOKUP(M763,Table1[#All],3,FALSE)</f>
        <v>Note</v>
      </c>
      <c r="O763" s="40" t="str">
        <f>VLOOKUP(M763,Table1[#All],4,FALSE)</f>
        <v>Q1</v>
      </c>
      <c r="P763" s="39"/>
      <c r="Q763" s="40" t="str">
        <f>VLOOKUP(M763,Table1[#All],5,FALSE)</f>
        <v>Q2</v>
      </c>
      <c r="R763" s="79"/>
      <c r="S763" s="40" t="str">
        <f>VLOOKUP(M763,Table1[#All],6,FALSE)</f>
        <v>Q3</v>
      </c>
      <c r="T763" s="79"/>
      <c r="U763" s="40" t="str">
        <f>VLOOKUP(M763,Table1[#All],7,FALSE)</f>
        <v>Q4</v>
      </c>
      <c r="V763" s="79"/>
      <c r="W763" s="40" t="str">
        <f>VLOOKUP(M763,Table1[#All],8,FALSE)</f>
        <v>Q5</v>
      </c>
      <c r="X763" s="79"/>
      <c r="Y763" s="44" t="str">
        <f>VLOOKUP(M763,Table1[#All],2,FALSE)</f>
        <v>Action</v>
      </c>
      <c r="Z763" s="59" t="str">
        <f>VLOOKUP(M763,Table1[#All],9,FALSE)</f>
        <v>Additional Notes:</v>
      </c>
      <c r="AA763" s="76"/>
      <c r="AB763" s="76"/>
      <c r="AC763" s="90" t="s">
        <v>91</v>
      </c>
      <c r="AD763" s="76" t="s">
        <v>91</v>
      </c>
      <c r="AE763" s="77"/>
      <c r="AF763" s="77"/>
      <c r="AG763" s="41" t="s">
        <v>91</v>
      </c>
    </row>
    <row r="764" spans="1:33" ht="21" hidden="1" x14ac:dyDescent="0.55000000000000004">
      <c r="A764" s="44" t="str">
        <f>Data!K763</f>
        <v>Forward Health</v>
      </c>
      <c r="B764" s="44" t="str">
        <f>Data!L763</f>
        <v>8009479627</v>
      </c>
      <c r="C764" s="44" t="str">
        <f>Data!D763</f>
        <v>Cartagena, Sulma</v>
      </c>
      <c r="D764" s="82" t="str">
        <f>Data!F763</f>
        <v>7409732270</v>
      </c>
      <c r="E764" s="82" t="str">
        <f>Data!B763</f>
        <v>9149</v>
      </c>
      <c r="F764" s="44" t="str">
        <f>Data!A763</f>
        <v>Cartagena, Sulma</v>
      </c>
      <c r="G764" s="55" t="str">
        <f>Data!C763</f>
        <v>12/1/1979</v>
      </c>
      <c r="H764" s="56">
        <f>Data!H763</f>
        <v>44624</v>
      </c>
      <c r="I764" s="56" t="str">
        <f>Data!I763</f>
        <v>3/7/2022</v>
      </c>
      <c r="J764" s="57">
        <f>Data!J763</f>
        <v>545.6</v>
      </c>
      <c r="K764" s="58">
        <f t="shared" ca="1" si="13"/>
        <v>73</v>
      </c>
      <c r="L764" s="58">
        <f>Data!M763</f>
        <v>0</v>
      </c>
      <c r="M764" s="37" t="s">
        <v>26</v>
      </c>
      <c r="N764" s="43" t="str">
        <f>VLOOKUP(M764,Table1[#All],3,FALSE)</f>
        <v>Note</v>
      </c>
      <c r="O764" s="40" t="str">
        <f>VLOOKUP(M764,Table1[#All],4,FALSE)</f>
        <v>Q1</v>
      </c>
      <c r="P764" s="39"/>
      <c r="Q764" s="40" t="str">
        <f>VLOOKUP(M764,Table1[#All],5,FALSE)</f>
        <v>Q2</v>
      </c>
      <c r="R764" s="79"/>
      <c r="S764" s="40" t="str">
        <f>VLOOKUP(M764,Table1[#All],6,FALSE)</f>
        <v>Q3</v>
      </c>
      <c r="T764" s="79"/>
      <c r="U764" s="40" t="str">
        <f>VLOOKUP(M764,Table1[#All],7,FALSE)</f>
        <v>Q4</v>
      </c>
      <c r="V764" s="79"/>
      <c r="W764" s="40" t="str">
        <f>VLOOKUP(M764,Table1[#All],8,FALSE)</f>
        <v>Q5</v>
      </c>
      <c r="X764" s="79"/>
      <c r="Y764" s="44" t="str">
        <f>VLOOKUP(M764,Table1[#All],2,FALSE)</f>
        <v>Action</v>
      </c>
      <c r="Z764" s="59" t="str">
        <f>VLOOKUP(M764,Table1[#All],9,FALSE)</f>
        <v>Additional Notes:</v>
      </c>
      <c r="AA764" s="76"/>
      <c r="AB764" s="76"/>
      <c r="AC764" s="90" t="s">
        <v>91</v>
      </c>
      <c r="AD764" s="76" t="s">
        <v>91</v>
      </c>
      <c r="AE764" s="77"/>
      <c r="AF764" s="77"/>
      <c r="AG764" s="41" t="s">
        <v>91</v>
      </c>
    </row>
    <row r="765" spans="1:33" ht="21" hidden="1" x14ac:dyDescent="0.55000000000000004">
      <c r="A765" s="44" t="str">
        <f>Data!K764</f>
        <v>Forward Health</v>
      </c>
      <c r="B765" s="44" t="str">
        <f>Data!L764</f>
        <v>8009479627</v>
      </c>
      <c r="C765" s="44" t="str">
        <f>Data!D764</f>
        <v xml:space="preserve">Rushing , Robert </v>
      </c>
      <c r="D765" s="82" t="str">
        <f>Data!F764</f>
        <v>0430573804</v>
      </c>
      <c r="E765" s="82" t="str">
        <f>Data!B764</f>
        <v>9107</v>
      </c>
      <c r="F765" s="44" t="str">
        <f>Data!A764</f>
        <v xml:space="preserve">Rushing , Robert </v>
      </c>
      <c r="G765" s="55" t="str">
        <f>Data!C764</f>
        <v>7/17/1980</v>
      </c>
      <c r="H765" s="56">
        <f>Data!H764</f>
        <v>44624</v>
      </c>
      <c r="I765" s="56" t="str">
        <f>Data!I764</f>
        <v>3/7/2022</v>
      </c>
      <c r="J765" s="57">
        <f>Data!J764</f>
        <v>253.2</v>
      </c>
      <c r="K765" s="58">
        <f t="shared" ca="1" si="13"/>
        <v>73</v>
      </c>
      <c r="L765" s="58">
        <f>Data!M764</f>
        <v>0</v>
      </c>
      <c r="M765" s="37" t="s">
        <v>26</v>
      </c>
      <c r="N765" s="43" t="str">
        <f>VLOOKUP(M765,Table1[#All],3,FALSE)</f>
        <v>Note</v>
      </c>
      <c r="O765" s="40" t="str">
        <f>VLOOKUP(M765,Table1[#All],4,FALSE)</f>
        <v>Q1</v>
      </c>
      <c r="P765" s="39"/>
      <c r="Q765" s="40" t="str">
        <f>VLOOKUP(M765,Table1[#All],5,FALSE)</f>
        <v>Q2</v>
      </c>
      <c r="R765" s="79"/>
      <c r="S765" s="40" t="str">
        <f>VLOOKUP(M765,Table1[#All],6,FALSE)</f>
        <v>Q3</v>
      </c>
      <c r="T765" s="79"/>
      <c r="U765" s="40" t="str">
        <f>VLOOKUP(M765,Table1[#All],7,FALSE)</f>
        <v>Q4</v>
      </c>
      <c r="V765" s="79"/>
      <c r="W765" s="40" t="str">
        <f>VLOOKUP(M765,Table1[#All],8,FALSE)</f>
        <v>Q5</v>
      </c>
      <c r="X765" s="79"/>
      <c r="Y765" s="44" t="str">
        <f>VLOOKUP(M765,Table1[#All],2,FALSE)</f>
        <v>Action</v>
      </c>
      <c r="Z765" s="59" t="str">
        <f>VLOOKUP(M765,Table1[#All],9,FALSE)</f>
        <v>Additional Notes:</v>
      </c>
      <c r="AA765" s="76"/>
      <c r="AB765" s="76"/>
      <c r="AC765" s="90" t="s">
        <v>91</v>
      </c>
      <c r="AD765" s="76" t="s">
        <v>91</v>
      </c>
      <c r="AE765" s="77"/>
      <c r="AF765" s="77"/>
      <c r="AG765" s="41" t="s">
        <v>91</v>
      </c>
    </row>
    <row r="766" spans="1:33" ht="21" hidden="1" x14ac:dyDescent="0.55000000000000004">
      <c r="A766" s="44" t="str">
        <f>Data!K765</f>
        <v>Forward Health</v>
      </c>
      <c r="B766" s="44" t="str">
        <f>Data!L765</f>
        <v>8009479627</v>
      </c>
      <c r="C766" s="44" t="str">
        <f>Data!D765</f>
        <v>Wagner , Patricia</v>
      </c>
      <c r="D766" s="82" t="str">
        <f>Data!F765</f>
        <v>3412507334</v>
      </c>
      <c r="E766" s="82" t="str">
        <f>Data!B765</f>
        <v>9042</v>
      </c>
      <c r="F766" s="44" t="str">
        <f>Data!A765</f>
        <v>Wagner , Patricia</v>
      </c>
      <c r="G766" s="55" t="str">
        <f>Data!C765</f>
        <v>10/24/1947</v>
      </c>
      <c r="H766" s="56">
        <f>Data!H765</f>
        <v>44620</v>
      </c>
      <c r="I766" s="56" t="str">
        <f>Data!I765</f>
        <v>3/7/2022</v>
      </c>
      <c r="J766" s="57">
        <f>Data!J765</f>
        <v>270.8</v>
      </c>
      <c r="K766" s="58">
        <f t="shared" ca="1" si="13"/>
        <v>73</v>
      </c>
      <c r="L766" s="58">
        <f>Data!M765</f>
        <v>0</v>
      </c>
      <c r="M766" s="37" t="s">
        <v>26</v>
      </c>
      <c r="N766" s="43" t="str">
        <f>VLOOKUP(M766,Table1[#All],3,FALSE)</f>
        <v>Note</v>
      </c>
      <c r="O766" s="40" t="str">
        <f>VLOOKUP(M766,Table1[#All],4,FALSE)</f>
        <v>Q1</v>
      </c>
      <c r="P766" s="39"/>
      <c r="Q766" s="40" t="str">
        <f>VLOOKUP(M766,Table1[#All],5,FALSE)</f>
        <v>Q2</v>
      </c>
      <c r="R766" s="79"/>
      <c r="S766" s="40" t="str">
        <f>VLOOKUP(M766,Table1[#All],6,FALSE)</f>
        <v>Q3</v>
      </c>
      <c r="T766" s="79"/>
      <c r="U766" s="40" t="str">
        <f>VLOOKUP(M766,Table1[#All],7,FALSE)</f>
        <v>Q4</v>
      </c>
      <c r="V766" s="79"/>
      <c r="W766" s="40" t="str">
        <f>VLOOKUP(M766,Table1[#All],8,FALSE)</f>
        <v>Q5</v>
      </c>
      <c r="X766" s="79"/>
      <c r="Y766" s="44" t="str">
        <f>VLOOKUP(M766,Table1[#All],2,FALSE)</f>
        <v>Action</v>
      </c>
      <c r="Z766" s="59" t="str">
        <f>VLOOKUP(M766,Table1[#All],9,FALSE)</f>
        <v>Additional Notes:</v>
      </c>
      <c r="AA766" s="76"/>
      <c r="AB766" s="76"/>
      <c r="AC766" s="90" t="s">
        <v>91</v>
      </c>
      <c r="AD766" s="76" t="s">
        <v>91</v>
      </c>
      <c r="AE766" s="77"/>
      <c r="AF766" s="77"/>
      <c r="AG766" s="41" t="s">
        <v>91</v>
      </c>
    </row>
    <row r="767" spans="1:33" ht="21" hidden="1" x14ac:dyDescent="0.55000000000000004">
      <c r="A767" s="44" t="str">
        <f>Data!K766</f>
        <v>Forward Health</v>
      </c>
      <c r="B767" s="44" t="str">
        <f>Data!L766</f>
        <v>8009479627</v>
      </c>
      <c r="C767" s="44" t="str">
        <f>Data!D766</f>
        <v xml:space="preserve">Woodall, Anthony </v>
      </c>
      <c r="D767" s="82" t="str">
        <f>Data!F766</f>
        <v>7418807775</v>
      </c>
      <c r="E767" s="82" t="str">
        <f>Data!B766</f>
        <v>8927</v>
      </c>
      <c r="F767" s="44" t="str">
        <f>Data!A766</f>
        <v xml:space="preserve">Woodall, Anthony </v>
      </c>
      <c r="G767" s="55" t="str">
        <f>Data!C766</f>
        <v>2/6/1991</v>
      </c>
      <c r="H767" s="56">
        <f>Data!H766</f>
        <v>44620</v>
      </c>
      <c r="I767" s="56" t="str">
        <f>Data!I766</f>
        <v>3/7/2022</v>
      </c>
      <c r="J767" s="57">
        <f>Data!J766</f>
        <v>162</v>
      </c>
      <c r="K767" s="58">
        <f t="shared" ca="1" si="13"/>
        <v>73</v>
      </c>
      <c r="L767" s="58">
        <f>Data!M766</f>
        <v>0</v>
      </c>
      <c r="M767" s="37" t="s">
        <v>26</v>
      </c>
      <c r="N767" s="43" t="str">
        <f>VLOOKUP(M767,Table1[#All],3,FALSE)</f>
        <v>Note</v>
      </c>
      <c r="O767" s="40" t="str">
        <f>VLOOKUP(M767,Table1[#All],4,FALSE)</f>
        <v>Q1</v>
      </c>
      <c r="P767" s="39"/>
      <c r="Q767" s="40" t="str">
        <f>VLOOKUP(M767,Table1[#All],5,FALSE)</f>
        <v>Q2</v>
      </c>
      <c r="R767" s="79"/>
      <c r="S767" s="40" t="str">
        <f>VLOOKUP(M767,Table1[#All],6,FALSE)</f>
        <v>Q3</v>
      </c>
      <c r="T767" s="79"/>
      <c r="U767" s="40" t="str">
        <f>VLOOKUP(M767,Table1[#All],7,FALSE)</f>
        <v>Q4</v>
      </c>
      <c r="V767" s="79"/>
      <c r="W767" s="40" t="str">
        <f>VLOOKUP(M767,Table1[#All],8,FALSE)</f>
        <v>Q5</v>
      </c>
      <c r="X767" s="79"/>
      <c r="Y767" s="44" t="str">
        <f>VLOOKUP(M767,Table1[#All],2,FALSE)</f>
        <v>Action</v>
      </c>
      <c r="Z767" s="59" t="str">
        <f>VLOOKUP(M767,Table1[#All],9,FALSE)</f>
        <v>Additional Notes:</v>
      </c>
      <c r="AA767" s="76"/>
      <c r="AB767" s="76"/>
      <c r="AC767" s="90" t="s">
        <v>91</v>
      </c>
      <c r="AD767" s="76" t="s">
        <v>91</v>
      </c>
      <c r="AE767" s="77"/>
      <c r="AF767" s="77"/>
      <c r="AG767" s="41" t="s">
        <v>91</v>
      </c>
    </row>
    <row r="768" spans="1:33" ht="21" hidden="1" x14ac:dyDescent="0.55000000000000004">
      <c r="A768" s="44" t="str">
        <f>Data!K767</f>
        <v>Forward Health</v>
      </c>
      <c r="B768" s="44" t="str">
        <f>Data!L767</f>
        <v>8009479627</v>
      </c>
      <c r="C768" s="44" t="str">
        <f>Data!D767</f>
        <v>Fleming , Glenn</v>
      </c>
      <c r="D768" s="82" t="str">
        <f>Data!F767</f>
        <v>1439379017</v>
      </c>
      <c r="E768" s="82" t="str">
        <f>Data!B767</f>
        <v>9158</v>
      </c>
      <c r="F768" s="44" t="str">
        <f>Data!A767</f>
        <v>Fleming , Glenn</v>
      </c>
      <c r="G768" s="55" t="str">
        <f>Data!C767</f>
        <v>7/14/1958</v>
      </c>
      <c r="H768" s="56">
        <f>Data!H767</f>
        <v>44623</v>
      </c>
      <c r="I768" s="56" t="str">
        <f>Data!I767</f>
        <v>3/4/2022</v>
      </c>
      <c r="J768" s="57">
        <f>Data!J767</f>
        <v>186</v>
      </c>
      <c r="K768" s="58">
        <f t="shared" ca="1" si="13"/>
        <v>76</v>
      </c>
      <c r="L768" s="58">
        <f>Data!M767</f>
        <v>0</v>
      </c>
      <c r="M768" s="37" t="s">
        <v>26</v>
      </c>
      <c r="N768" s="43" t="str">
        <f>VLOOKUP(M768,Table1[#All],3,FALSE)</f>
        <v>Note</v>
      </c>
      <c r="O768" s="40" t="str">
        <f>VLOOKUP(M768,Table1[#All],4,FALSE)</f>
        <v>Q1</v>
      </c>
      <c r="P768" s="39"/>
      <c r="Q768" s="40" t="str">
        <f>VLOOKUP(M768,Table1[#All],5,FALSE)</f>
        <v>Q2</v>
      </c>
      <c r="R768" s="79"/>
      <c r="S768" s="40" t="str">
        <f>VLOOKUP(M768,Table1[#All],6,FALSE)</f>
        <v>Q3</v>
      </c>
      <c r="T768" s="79"/>
      <c r="U768" s="40" t="str">
        <f>VLOOKUP(M768,Table1[#All],7,FALSE)</f>
        <v>Q4</v>
      </c>
      <c r="V768" s="79"/>
      <c r="W768" s="40" t="str">
        <f>VLOOKUP(M768,Table1[#All],8,FALSE)</f>
        <v>Q5</v>
      </c>
      <c r="X768" s="79"/>
      <c r="Y768" s="44" t="str">
        <f>VLOOKUP(M768,Table1[#All],2,FALSE)</f>
        <v>Action</v>
      </c>
      <c r="Z768" s="59" t="str">
        <f>VLOOKUP(M768,Table1[#All],9,FALSE)</f>
        <v>Additional Notes:</v>
      </c>
      <c r="AA768" s="76"/>
      <c r="AB768" s="76"/>
      <c r="AC768" s="90" t="s">
        <v>91</v>
      </c>
      <c r="AD768" s="76" t="s">
        <v>91</v>
      </c>
      <c r="AE768" s="77"/>
      <c r="AF768" s="77"/>
      <c r="AG768" s="41" t="s">
        <v>91</v>
      </c>
    </row>
    <row r="769" spans="1:33" ht="21" hidden="1" x14ac:dyDescent="0.55000000000000004">
      <c r="A769" s="44" t="str">
        <f>Data!K768</f>
        <v>Forward Health</v>
      </c>
      <c r="B769" s="44" t="str">
        <f>Data!L768</f>
        <v>8009479627</v>
      </c>
      <c r="C769" s="44" t="str">
        <f>Data!D768</f>
        <v>Miller , Renee</v>
      </c>
      <c r="D769" s="82" t="str">
        <f>Data!F768</f>
        <v>5404739754</v>
      </c>
      <c r="E769" s="82" t="str">
        <f>Data!B768</f>
        <v>9157</v>
      </c>
      <c r="F769" s="44" t="str">
        <f>Data!A768</f>
        <v>Miller , Renee</v>
      </c>
      <c r="G769" s="55" t="str">
        <f>Data!C768</f>
        <v>3/31/1956</v>
      </c>
      <c r="H769" s="56">
        <f>Data!H768</f>
        <v>44623</v>
      </c>
      <c r="I769" s="56" t="str">
        <f>Data!I768</f>
        <v>3/23/2022</v>
      </c>
      <c r="J769" s="57">
        <f>Data!J768</f>
        <v>157.19999999999999</v>
      </c>
      <c r="K769" s="58">
        <f t="shared" ca="1" si="13"/>
        <v>57</v>
      </c>
      <c r="L769" s="58">
        <f>Data!M768</f>
        <v>0</v>
      </c>
      <c r="M769" s="37" t="s">
        <v>26</v>
      </c>
      <c r="N769" s="43" t="str">
        <f>VLOOKUP(M769,Table1[#All],3,FALSE)</f>
        <v>Note</v>
      </c>
      <c r="O769" s="40" t="str">
        <f>VLOOKUP(M769,Table1[#All],4,FALSE)</f>
        <v>Q1</v>
      </c>
      <c r="P769" s="39"/>
      <c r="Q769" s="40" t="str">
        <f>VLOOKUP(M769,Table1[#All],5,FALSE)</f>
        <v>Q2</v>
      </c>
      <c r="R769" s="79"/>
      <c r="S769" s="40" t="str">
        <f>VLOOKUP(M769,Table1[#All],6,FALSE)</f>
        <v>Q3</v>
      </c>
      <c r="T769" s="79"/>
      <c r="U769" s="40" t="str">
        <f>VLOOKUP(M769,Table1[#All],7,FALSE)</f>
        <v>Q4</v>
      </c>
      <c r="V769" s="79"/>
      <c r="W769" s="40" t="str">
        <f>VLOOKUP(M769,Table1[#All],8,FALSE)</f>
        <v>Q5</v>
      </c>
      <c r="X769" s="79"/>
      <c r="Y769" s="44" t="str">
        <f>VLOOKUP(M769,Table1[#All],2,FALSE)</f>
        <v>Action</v>
      </c>
      <c r="Z769" s="59" t="str">
        <f>VLOOKUP(M769,Table1[#All],9,FALSE)</f>
        <v>Additional Notes:</v>
      </c>
      <c r="AA769" s="76"/>
      <c r="AB769" s="76"/>
      <c r="AC769" s="90" t="s">
        <v>91</v>
      </c>
      <c r="AD769" s="76" t="s">
        <v>91</v>
      </c>
      <c r="AE769" s="77"/>
      <c r="AF769" s="77"/>
      <c r="AG769" s="41" t="s">
        <v>91</v>
      </c>
    </row>
    <row r="770" spans="1:33" ht="21" hidden="1" x14ac:dyDescent="0.55000000000000004">
      <c r="A770" s="44" t="str">
        <f>Data!K769</f>
        <v>Forward Health</v>
      </c>
      <c r="B770" s="44" t="str">
        <f>Data!L769</f>
        <v>8009479627</v>
      </c>
      <c r="C770" s="44" t="str">
        <f>Data!D769</f>
        <v xml:space="preserve">Ahrens , Carrie </v>
      </c>
      <c r="D770" s="82" t="str">
        <f>Data!F769</f>
        <v>4411396645</v>
      </c>
      <c r="E770" s="82" t="str">
        <f>Data!B769</f>
        <v>9121</v>
      </c>
      <c r="F770" s="44" t="str">
        <f>Data!A769</f>
        <v xml:space="preserve">Ahrens , Carrie </v>
      </c>
      <c r="G770" s="55" t="str">
        <f>Data!C769</f>
        <v>6/8/1961</v>
      </c>
      <c r="H770" s="56">
        <f>Data!H769</f>
        <v>44622</v>
      </c>
      <c r="I770" s="56" t="str">
        <f>Data!I769</f>
        <v>3/3/2022</v>
      </c>
      <c r="J770" s="57">
        <f>Data!J769</f>
        <v>114</v>
      </c>
      <c r="K770" s="58">
        <f t="shared" ca="1" si="13"/>
        <v>77</v>
      </c>
      <c r="L770" s="58">
        <f>Data!M769</f>
        <v>0</v>
      </c>
      <c r="M770" s="37" t="s">
        <v>26</v>
      </c>
      <c r="N770" s="43" t="str">
        <f>VLOOKUP(M770,Table1[#All],3,FALSE)</f>
        <v>Note</v>
      </c>
      <c r="O770" s="40" t="str">
        <f>VLOOKUP(M770,Table1[#All],4,FALSE)</f>
        <v>Q1</v>
      </c>
      <c r="P770" s="39"/>
      <c r="Q770" s="40" t="str">
        <f>VLOOKUP(M770,Table1[#All],5,FALSE)</f>
        <v>Q2</v>
      </c>
      <c r="R770" s="79"/>
      <c r="S770" s="40" t="str">
        <f>VLOOKUP(M770,Table1[#All],6,FALSE)</f>
        <v>Q3</v>
      </c>
      <c r="T770" s="79"/>
      <c r="U770" s="40" t="str">
        <f>VLOOKUP(M770,Table1[#All],7,FALSE)</f>
        <v>Q4</v>
      </c>
      <c r="V770" s="79"/>
      <c r="W770" s="40" t="str">
        <f>VLOOKUP(M770,Table1[#All],8,FALSE)</f>
        <v>Q5</v>
      </c>
      <c r="X770" s="79"/>
      <c r="Y770" s="44" t="str">
        <f>VLOOKUP(M770,Table1[#All],2,FALSE)</f>
        <v>Action</v>
      </c>
      <c r="Z770" s="59" t="str">
        <f>VLOOKUP(M770,Table1[#All],9,FALSE)</f>
        <v>Additional Notes:</v>
      </c>
      <c r="AA770" s="76"/>
      <c r="AB770" s="76"/>
      <c r="AC770" s="90" t="s">
        <v>91</v>
      </c>
      <c r="AD770" s="76" t="s">
        <v>91</v>
      </c>
      <c r="AE770" s="77"/>
      <c r="AF770" s="77"/>
      <c r="AG770" s="41" t="s">
        <v>91</v>
      </c>
    </row>
    <row r="771" spans="1:33" ht="21" hidden="1" x14ac:dyDescent="0.55000000000000004">
      <c r="A771" s="44" t="str">
        <f>Data!K770</f>
        <v>Forward Health</v>
      </c>
      <c r="B771" s="44" t="str">
        <f>Data!L770</f>
        <v>8009479627</v>
      </c>
      <c r="C771" s="44" t="str">
        <f>Data!D770</f>
        <v xml:space="preserve">Kaczmarek, Robin </v>
      </c>
      <c r="D771" s="82" t="str">
        <f>Data!F770</f>
        <v>5444663651</v>
      </c>
      <c r="E771" s="82" t="str">
        <f>Data!B770</f>
        <v>9168</v>
      </c>
      <c r="F771" s="44" t="str">
        <f>Data!A770</f>
        <v xml:space="preserve">Kaczmarek, Robin </v>
      </c>
      <c r="G771" s="55" t="str">
        <f>Data!C770</f>
        <v>6/21/1959</v>
      </c>
      <c r="H771" s="56">
        <f>Data!H770</f>
        <v>44622</v>
      </c>
      <c r="I771" s="56" t="str">
        <f>Data!I770</f>
        <v>3/3/2022</v>
      </c>
      <c r="J771" s="57">
        <f>Data!J770</f>
        <v>186</v>
      </c>
      <c r="K771" s="58">
        <f t="shared" ca="1" si="13"/>
        <v>77</v>
      </c>
      <c r="L771" s="58">
        <f>Data!M770</f>
        <v>0</v>
      </c>
      <c r="M771" s="37" t="s">
        <v>26</v>
      </c>
      <c r="N771" s="43" t="str">
        <f>VLOOKUP(M771,Table1[#All],3,FALSE)</f>
        <v>Note</v>
      </c>
      <c r="O771" s="40" t="str">
        <f>VLOOKUP(M771,Table1[#All],4,FALSE)</f>
        <v>Q1</v>
      </c>
      <c r="P771" s="39"/>
      <c r="Q771" s="40" t="str">
        <f>VLOOKUP(M771,Table1[#All],5,FALSE)</f>
        <v>Q2</v>
      </c>
      <c r="R771" s="79"/>
      <c r="S771" s="40" t="str">
        <f>VLOOKUP(M771,Table1[#All],6,FALSE)</f>
        <v>Q3</v>
      </c>
      <c r="T771" s="79"/>
      <c r="U771" s="40" t="str">
        <f>VLOOKUP(M771,Table1[#All],7,FALSE)</f>
        <v>Q4</v>
      </c>
      <c r="V771" s="79"/>
      <c r="W771" s="40" t="str">
        <f>VLOOKUP(M771,Table1[#All],8,FALSE)</f>
        <v>Q5</v>
      </c>
      <c r="X771" s="79"/>
      <c r="Y771" s="44" t="str">
        <f>VLOOKUP(M771,Table1[#All],2,FALSE)</f>
        <v>Action</v>
      </c>
      <c r="Z771" s="59" t="str">
        <f>VLOOKUP(M771,Table1[#All],9,FALSE)</f>
        <v>Additional Notes:</v>
      </c>
      <c r="AA771" s="76"/>
      <c r="AB771" s="76"/>
      <c r="AC771" s="90" t="s">
        <v>91</v>
      </c>
      <c r="AD771" s="76" t="s">
        <v>91</v>
      </c>
      <c r="AE771" s="77"/>
      <c r="AF771" s="77"/>
      <c r="AG771" s="41" t="s">
        <v>91</v>
      </c>
    </row>
    <row r="772" spans="1:33" ht="21" hidden="1" x14ac:dyDescent="0.55000000000000004">
      <c r="A772" s="44" t="str">
        <f>Data!K771</f>
        <v>Forward Health</v>
      </c>
      <c r="B772" s="44" t="str">
        <f>Data!L771</f>
        <v>8009479627</v>
      </c>
      <c r="C772" s="44" t="str">
        <f>Data!D771</f>
        <v>Lopez Ramirez, Evelyn</v>
      </c>
      <c r="D772" s="82" t="str">
        <f>Data!F771</f>
        <v>8434975785</v>
      </c>
      <c r="E772" s="82" t="str">
        <f>Data!B771</f>
        <v>1196</v>
      </c>
      <c r="F772" s="44" t="str">
        <f>Data!A771</f>
        <v>Lopez Ramirez, Evelyn</v>
      </c>
      <c r="G772" s="55" t="str">
        <f>Data!C771</f>
        <v>1/31/1988</v>
      </c>
      <c r="H772" s="56">
        <f>Data!H771</f>
        <v>44622</v>
      </c>
      <c r="I772" s="56" t="str">
        <f>Data!I771</f>
        <v>3/3/2022</v>
      </c>
      <c r="J772" s="57">
        <f>Data!J771</f>
        <v>266</v>
      </c>
      <c r="K772" s="58">
        <f t="shared" ca="1" si="13"/>
        <v>77</v>
      </c>
      <c r="L772" s="58">
        <f>Data!M771</f>
        <v>0</v>
      </c>
      <c r="M772" s="37" t="s">
        <v>26</v>
      </c>
      <c r="N772" s="43" t="str">
        <f>VLOOKUP(M772,Table1[#All],3,FALSE)</f>
        <v>Note</v>
      </c>
      <c r="O772" s="40" t="str">
        <f>VLOOKUP(M772,Table1[#All],4,FALSE)</f>
        <v>Q1</v>
      </c>
      <c r="P772" s="39"/>
      <c r="Q772" s="40" t="str">
        <f>VLOOKUP(M772,Table1[#All],5,FALSE)</f>
        <v>Q2</v>
      </c>
      <c r="R772" s="79"/>
      <c r="S772" s="40" t="str">
        <f>VLOOKUP(M772,Table1[#All],6,FALSE)</f>
        <v>Q3</v>
      </c>
      <c r="T772" s="79"/>
      <c r="U772" s="40" t="str">
        <f>VLOOKUP(M772,Table1[#All],7,FALSE)</f>
        <v>Q4</v>
      </c>
      <c r="V772" s="79"/>
      <c r="W772" s="40" t="str">
        <f>VLOOKUP(M772,Table1[#All],8,FALSE)</f>
        <v>Q5</v>
      </c>
      <c r="X772" s="79"/>
      <c r="Y772" s="44" t="str">
        <f>VLOOKUP(M772,Table1[#All],2,FALSE)</f>
        <v>Action</v>
      </c>
      <c r="Z772" s="59" t="str">
        <f>VLOOKUP(M772,Table1[#All],9,FALSE)</f>
        <v>Additional Notes:</v>
      </c>
      <c r="AA772" s="76"/>
      <c r="AB772" s="76"/>
      <c r="AC772" s="90" t="s">
        <v>91</v>
      </c>
      <c r="AD772" s="76" t="s">
        <v>91</v>
      </c>
      <c r="AE772" s="77"/>
      <c r="AF772" s="77"/>
      <c r="AG772" s="41" t="s">
        <v>91</v>
      </c>
    </row>
    <row r="773" spans="1:33" ht="21" hidden="1" x14ac:dyDescent="0.55000000000000004">
      <c r="A773" s="44" t="str">
        <f>Data!K772</f>
        <v>Forward Health</v>
      </c>
      <c r="B773" s="44" t="str">
        <f>Data!L772</f>
        <v>8009479627</v>
      </c>
      <c r="C773" s="44" t="str">
        <f>Data!D772</f>
        <v xml:space="preserve">MCKENNEY , BRYCE </v>
      </c>
      <c r="D773" s="82" t="str">
        <f>Data!F772</f>
        <v>4414008344</v>
      </c>
      <c r="E773" s="82" t="str">
        <f>Data!B772</f>
        <v>3475</v>
      </c>
      <c r="F773" s="44" t="str">
        <f>Data!A772</f>
        <v xml:space="preserve">MCKENNEY , BRYCE </v>
      </c>
      <c r="G773" s="55" t="str">
        <f>Data!C772</f>
        <v>1/5/2005</v>
      </c>
      <c r="H773" s="56">
        <f>Data!H772</f>
        <v>44621</v>
      </c>
      <c r="I773" s="56" t="str">
        <f>Data!I772</f>
        <v>3/2/2022</v>
      </c>
      <c r="J773" s="57">
        <f>Data!J772</f>
        <v>266</v>
      </c>
      <c r="K773" s="58">
        <f t="shared" ca="1" si="13"/>
        <v>78</v>
      </c>
      <c r="L773" s="58">
        <f>Data!M772</f>
        <v>0</v>
      </c>
      <c r="M773" s="37" t="s">
        <v>26</v>
      </c>
      <c r="N773" s="43" t="str">
        <f>VLOOKUP(M773,Table1[#All],3,FALSE)</f>
        <v>Note</v>
      </c>
      <c r="O773" s="40" t="str">
        <f>VLOOKUP(M773,Table1[#All],4,FALSE)</f>
        <v>Q1</v>
      </c>
      <c r="P773" s="39"/>
      <c r="Q773" s="40" t="str">
        <f>VLOOKUP(M773,Table1[#All],5,FALSE)</f>
        <v>Q2</v>
      </c>
      <c r="R773" s="79"/>
      <c r="S773" s="40" t="str">
        <f>VLOOKUP(M773,Table1[#All],6,FALSE)</f>
        <v>Q3</v>
      </c>
      <c r="T773" s="79"/>
      <c r="U773" s="40" t="str">
        <f>VLOOKUP(M773,Table1[#All],7,FALSE)</f>
        <v>Q4</v>
      </c>
      <c r="V773" s="79"/>
      <c r="W773" s="40" t="str">
        <f>VLOOKUP(M773,Table1[#All],8,FALSE)</f>
        <v>Q5</v>
      </c>
      <c r="X773" s="79"/>
      <c r="Y773" s="44" t="str">
        <f>VLOOKUP(M773,Table1[#All],2,FALSE)</f>
        <v>Action</v>
      </c>
      <c r="Z773" s="59" t="str">
        <f>VLOOKUP(M773,Table1[#All],9,FALSE)</f>
        <v>Additional Notes:</v>
      </c>
      <c r="AA773" s="76"/>
      <c r="AB773" s="76"/>
      <c r="AC773" s="90" t="s">
        <v>91</v>
      </c>
      <c r="AD773" s="76" t="s">
        <v>91</v>
      </c>
      <c r="AE773" s="77"/>
      <c r="AF773" s="77"/>
      <c r="AG773" s="41" t="s">
        <v>91</v>
      </c>
    </row>
    <row r="774" spans="1:33" ht="21" hidden="1" x14ac:dyDescent="0.55000000000000004">
      <c r="A774" s="44" t="str">
        <f>Data!K773</f>
        <v>Forward Health</v>
      </c>
      <c r="B774" s="44" t="str">
        <f>Data!L773</f>
        <v>8009479627</v>
      </c>
      <c r="C774" s="44" t="str">
        <f>Data!D773</f>
        <v xml:space="preserve">Just , Angela </v>
      </c>
      <c r="D774" s="82" t="str">
        <f>Data!F773</f>
        <v>4411677547</v>
      </c>
      <c r="E774" s="82" t="str">
        <f>Data!B773</f>
        <v>7724</v>
      </c>
      <c r="F774" s="44" t="str">
        <f>Data!A773</f>
        <v xml:space="preserve">Just , Angela </v>
      </c>
      <c r="G774" s="55" t="str">
        <f>Data!C773</f>
        <v>2/8/1986</v>
      </c>
      <c r="H774" s="56">
        <f>Data!H773</f>
        <v>44621</v>
      </c>
      <c r="I774" s="56" t="str">
        <f>Data!I773</f>
        <v>3/2/2022</v>
      </c>
      <c r="J774" s="57">
        <f>Data!J773</f>
        <v>226.8</v>
      </c>
      <c r="K774" s="58">
        <f t="shared" ca="1" si="13"/>
        <v>78</v>
      </c>
      <c r="L774" s="58">
        <f>Data!M773</f>
        <v>0</v>
      </c>
      <c r="M774" s="37" t="s">
        <v>26</v>
      </c>
      <c r="N774" s="43" t="str">
        <f>VLOOKUP(M774,Table1[#All],3,FALSE)</f>
        <v>Note</v>
      </c>
      <c r="O774" s="40" t="str">
        <f>VLOOKUP(M774,Table1[#All],4,FALSE)</f>
        <v>Q1</v>
      </c>
      <c r="P774" s="39"/>
      <c r="Q774" s="40" t="str">
        <f>VLOOKUP(M774,Table1[#All],5,FALSE)</f>
        <v>Q2</v>
      </c>
      <c r="R774" s="79"/>
      <c r="S774" s="40" t="str">
        <f>VLOOKUP(M774,Table1[#All],6,FALSE)</f>
        <v>Q3</v>
      </c>
      <c r="T774" s="79"/>
      <c r="U774" s="40" t="str">
        <f>VLOOKUP(M774,Table1[#All],7,FALSE)</f>
        <v>Q4</v>
      </c>
      <c r="V774" s="79"/>
      <c r="W774" s="40" t="str">
        <f>VLOOKUP(M774,Table1[#All],8,FALSE)</f>
        <v>Q5</v>
      </c>
      <c r="X774" s="79"/>
      <c r="Y774" s="44" t="str">
        <f>VLOOKUP(M774,Table1[#All],2,FALSE)</f>
        <v>Action</v>
      </c>
      <c r="Z774" s="59" t="str">
        <f>VLOOKUP(M774,Table1[#All],9,FALSE)</f>
        <v>Additional Notes:</v>
      </c>
      <c r="AA774" s="76"/>
      <c r="AB774" s="76"/>
      <c r="AC774" s="90" t="s">
        <v>91</v>
      </c>
      <c r="AD774" s="76" t="s">
        <v>91</v>
      </c>
      <c r="AE774" s="77"/>
      <c r="AF774" s="77"/>
      <c r="AG774" s="41" t="s">
        <v>91</v>
      </c>
    </row>
    <row r="775" spans="1:33" ht="21" hidden="1" x14ac:dyDescent="0.55000000000000004">
      <c r="A775" s="44" t="str">
        <f>Data!K774</f>
        <v>Forward Health</v>
      </c>
      <c r="B775" s="44" t="str">
        <f>Data!L774</f>
        <v>8009479627</v>
      </c>
      <c r="C775" s="44" t="str">
        <f>Data!D774</f>
        <v>RAMIREZ, GINA</v>
      </c>
      <c r="D775" s="82" t="str">
        <f>Data!F774</f>
        <v>1419155610</v>
      </c>
      <c r="E775" s="82" t="str">
        <f>Data!B774</f>
        <v>2918</v>
      </c>
      <c r="F775" s="44" t="str">
        <f>Data!A774</f>
        <v>RAMIREZ, GINA</v>
      </c>
      <c r="G775" s="55" t="str">
        <f>Data!C774</f>
        <v>8/13/1972</v>
      </c>
      <c r="H775" s="56">
        <f>Data!H774</f>
        <v>44621</v>
      </c>
      <c r="I775" s="56" t="str">
        <f>Data!I774</f>
        <v>3/2/2022</v>
      </c>
      <c r="J775" s="57">
        <f>Data!J774</f>
        <v>756</v>
      </c>
      <c r="K775" s="58">
        <f t="shared" ca="1" si="13"/>
        <v>78</v>
      </c>
      <c r="L775" s="58">
        <f>Data!M774</f>
        <v>0</v>
      </c>
      <c r="M775" s="37" t="s">
        <v>26</v>
      </c>
      <c r="N775" s="43" t="str">
        <f>VLOOKUP(M775,Table1[#All],3,FALSE)</f>
        <v>Note</v>
      </c>
      <c r="O775" s="40" t="str">
        <f>VLOOKUP(M775,Table1[#All],4,FALSE)</f>
        <v>Q1</v>
      </c>
      <c r="P775" s="39"/>
      <c r="Q775" s="40" t="str">
        <f>VLOOKUP(M775,Table1[#All],5,FALSE)</f>
        <v>Q2</v>
      </c>
      <c r="R775" s="79"/>
      <c r="S775" s="40" t="str">
        <f>VLOOKUP(M775,Table1[#All],6,FALSE)</f>
        <v>Q3</v>
      </c>
      <c r="T775" s="79"/>
      <c r="U775" s="40" t="str">
        <f>VLOOKUP(M775,Table1[#All],7,FALSE)</f>
        <v>Q4</v>
      </c>
      <c r="V775" s="79"/>
      <c r="W775" s="40" t="str">
        <f>VLOOKUP(M775,Table1[#All],8,FALSE)</f>
        <v>Q5</v>
      </c>
      <c r="X775" s="79"/>
      <c r="Y775" s="44" t="str">
        <f>VLOOKUP(M775,Table1[#All],2,FALSE)</f>
        <v>Action</v>
      </c>
      <c r="Z775" s="59" t="str">
        <f>VLOOKUP(M775,Table1[#All],9,FALSE)</f>
        <v>Additional Notes:</v>
      </c>
      <c r="AA775" s="76"/>
      <c r="AB775" s="76"/>
      <c r="AC775" s="90" t="s">
        <v>91</v>
      </c>
      <c r="AD775" s="76" t="s">
        <v>91</v>
      </c>
      <c r="AE775" s="77"/>
      <c r="AF775" s="77"/>
      <c r="AG775" s="41" t="s">
        <v>91</v>
      </c>
    </row>
    <row r="776" spans="1:33" ht="21" hidden="1" x14ac:dyDescent="0.55000000000000004">
      <c r="A776" s="44" t="str">
        <f>Data!K775</f>
        <v>Forward Health</v>
      </c>
      <c r="B776" s="44" t="str">
        <f>Data!L775</f>
        <v>8009479627</v>
      </c>
      <c r="C776" s="44" t="str">
        <f>Data!D775</f>
        <v xml:space="preserve">Mall, Yuna </v>
      </c>
      <c r="D776" s="82" t="str">
        <f>Data!F775</f>
        <v>4450663047</v>
      </c>
      <c r="E776" s="82" t="str">
        <f>Data!B775</f>
        <v>6188</v>
      </c>
      <c r="F776" s="44" t="str">
        <f>Data!A775</f>
        <v xml:space="preserve">Mall, Yuna </v>
      </c>
      <c r="G776" s="55" t="str">
        <f>Data!C775</f>
        <v>10/30/2016</v>
      </c>
      <c r="H776" s="56">
        <f>Data!H775</f>
        <v>44621</v>
      </c>
      <c r="I776" s="56" t="str">
        <f>Data!I775</f>
        <v>3/2/2022</v>
      </c>
      <c r="J776" s="57">
        <f>Data!J775</f>
        <v>820</v>
      </c>
      <c r="K776" s="58">
        <f t="shared" ca="1" si="13"/>
        <v>78</v>
      </c>
      <c r="L776" s="58">
        <f>Data!M775</f>
        <v>0</v>
      </c>
      <c r="M776" s="37" t="s">
        <v>26</v>
      </c>
      <c r="N776" s="43" t="str">
        <f>VLOOKUP(M776,Table1[#All],3,FALSE)</f>
        <v>Note</v>
      </c>
      <c r="O776" s="40" t="str">
        <f>VLOOKUP(M776,Table1[#All],4,FALSE)</f>
        <v>Q1</v>
      </c>
      <c r="P776" s="39"/>
      <c r="Q776" s="40" t="str">
        <f>VLOOKUP(M776,Table1[#All],5,FALSE)</f>
        <v>Q2</v>
      </c>
      <c r="R776" s="79"/>
      <c r="S776" s="40" t="str">
        <f>VLOOKUP(M776,Table1[#All],6,FALSE)</f>
        <v>Q3</v>
      </c>
      <c r="T776" s="79"/>
      <c r="U776" s="40" t="str">
        <f>VLOOKUP(M776,Table1[#All],7,FALSE)</f>
        <v>Q4</v>
      </c>
      <c r="V776" s="79"/>
      <c r="W776" s="40" t="str">
        <f>VLOOKUP(M776,Table1[#All],8,FALSE)</f>
        <v>Q5</v>
      </c>
      <c r="X776" s="79"/>
      <c r="Y776" s="44" t="str">
        <f>VLOOKUP(M776,Table1[#All],2,FALSE)</f>
        <v>Action</v>
      </c>
      <c r="Z776" s="59" t="str">
        <f>VLOOKUP(M776,Table1[#All],9,FALSE)</f>
        <v>Additional Notes:</v>
      </c>
      <c r="AA776" s="76"/>
      <c r="AB776" s="76"/>
      <c r="AC776" s="90" t="s">
        <v>91</v>
      </c>
      <c r="AD776" s="76" t="s">
        <v>91</v>
      </c>
      <c r="AE776" s="77"/>
      <c r="AF776" s="77"/>
      <c r="AG776" s="41" t="s">
        <v>91</v>
      </c>
    </row>
    <row r="777" spans="1:33" ht="21" hidden="1" x14ac:dyDescent="0.55000000000000004">
      <c r="A777" s="44" t="str">
        <f>Data!K776</f>
        <v>Forward Health</v>
      </c>
      <c r="B777" s="44" t="str">
        <f>Data!L776</f>
        <v>8009479627</v>
      </c>
      <c r="C777" s="44" t="str">
        <f>Data!D776</f>
        <v>Taborn, Tashima</v>
      </c>
      <c r="D777" s="82" t="str">
        <f>Data!F776</f>
        <v>1400007411</v>
      </c>
      <c r="E777" s="82" t="str">
        <f>Data!B776</f>
        <v>962</v>
      </c>
      <c r="F777" s="44" t="str">
        <f>Data!A776</f>
        <v>Taborn, Tashima</v>
      </c>
      <c r="G777" s="55" t="str">
        <f>Data!C776</f>
        <v>8/16/1989</v>
      </c>
      <c r="H777" s="56">
        <f>Data!H776</f>
        <v>44621</v>
      </c>
      <c r="I777" s="56" t="str">
        <f>Data!I776</f>
        <v>3/2/2022</v>
      </c>
      <c r="J777" s="57">
        <f>Data!J776</f>
        <v>266</v>
      </c>
      <c r="K777" s="58">
        <f t="shared" ca="1" si="13"/>
        <v>78</v>
      </c>
      <c r="L777" s="58">
        <f>Data!M776</f>
        <v>0</v>
      </c>
      <c r="M777" s="37" t="s">
        <v>26</v>
      </c>
      <c r="N777" s="43" t="str">
        <f>VLOOKUP(M777,Table1[#All],3,FALSE)</f>
        <v>Note</v>
      </c>
      <c r="O777" s="40" t="str">
        <f>VLOOKUP(M777,Table1[#All],4,FALSE)</f>
        <v>Q1</v>
      </c>
      <c r="P777" s="39"/>
      <c r="Q777" s="40" t="str">
        <f>VLOOKUP(M777,Table1[#All],5,FALSE)</f>
        <v>Q2</v>
      </c>
      <c r="R777" s="79"/>
      <c r="S777" s="40" t="str">
        <f>VLOOKUP(M777,Table1[#All],6,FALSE)</f>
        <v>Q3</v>
      </c>
      <c r="T777" s="79"/>
      <c r="U777" s="40" t="str">
        <f>VLOOKUP(M777,Table1[#All],7,FALSE)</f>
        <v>Q4</v>
      </c>
      <c r="V777" s="79"/>
      <c r="W777" s="40" t="str">
        <f>VLOOKUP(M777,Table1[#All],8,FALSE)</f>
        <v>Q5</v>
      </c>
      <c r="X777" s="79"/>
      <c r="Y777" s="44" t="str">
        <f>VLOOKUP(M777,Table1[#All],2,FALSE)</f>
        <v>Action</v>
      </c>
      <c r="Z777" s="59" t="str">
        <f>VLOOKUP(M777,Table1[#All],9,FALSE)</f>
        <v>Additional Notes:</v>
      </c>
      <c r="AA777" s="76"/>
      <c r="AB777" s="76"/>
      <c r="AC777" s="90" t="s">
        <v>91</v>
      </c>
      <c r="AD777" s="76" t="s">
        <v>91</v>
      </c>
      <c r="AE777" s="77"/>
      <c r="AF777" s="77"/>
      <c r="AG777" s="41" t="s">
        <v>91</v>
      </c>
    </row>
    <row r="778" spans="1:33" ht="21" hidden="1" x14ac:dyDescent="0.55000000000000004">
      <c r="A778" s="44" t="str">
        <f>Data!K777</f>
        <v>Forward Health</v>
      </c>
      <c r="B778" s="44" t="str">
        <f>Data!L777</f>
        <v>8009479627</v>
      </c>
      <c r="C778" s="44" t="str">
        <f>Data!D777</f>
        <v xml:space="preserve">Freed , Cynthia </v>
      </c>
      <c r="D778" s="82" t="str">
        <f>Data!F777</f>
        <v>5418807757</v>
      </c>
      <c r="E778" s="82" t="str">
        <f>Data!B777</f>
        <v>6433</v>
      </c>
      <c r="F778" s="44" t="str">
        <f>Data!A777</f>
        <v xml:space="preserve">Freed , Cynthia </v>
      </c>
      <c r="G778" s="55" t="str">
        <f>Data!C777</f>
        <v>7/7/1961</v>
      </c>
      <c r="H778" s="56">
        <f>Data!H777</f>
        <v>44603</v>
      </c>
      <c r="I778" s="56" t="str">
        <f>Data!I777</f>
        <v>3/1/2022</v>
      </c>
      <c r="J778" s="57">
        <f>Data!J777</f>
        <v>528</v>
      </c>
      <c r="K778" s="58">
        <f t="shared" ca="1" si="13"/>
        <v>79</v>
      </c>
      <c r="L778" s="58">
        <f>Data!M777</f>
        <v>0</v>
      </c>
      <c r="M778" s="37" t="s">
        <v>26</v>
      </c>
      <c r="N778" s="43" t="str">
        <f>VLOOKUP(M778,Table1[#All],3,FALSE)</f>
        <v>Note</v>
      </c>
      <c r="O778" s="40" t="str">
        <f>VLOOKUP(M778,Table1[#All],4,FALSE)</f>
        <v>Q1</v>
      </c>
      <c r="P778" s="39"/>
      <c r="Q778" s="40" t="str">
        <f>VLOOKUP(M778,Table1[#All],5,FALSE)</f>
        <v>Q2</v>
      </c>
      <c r="R778" s="79"/>
      <c r="S778" s="40" t="str">
        <f>VLOOKUP(M778,Table1[#All],6,FALSE)</f>
        <v>Q3</v>
      </c>
      <c r="T778" s="79"/>
      <c r="U778" s="40" t="str">
        <f>VLOOKUP(M778,Table1[#All],7,FALSE)</f>
        <v>Q4</v>
      </c>
      <c r="V778" s="79"/>
      <c r="W778" s="40" t="str">
        <f>VLOOKUP(M778,Table1[#All],8,FALSE)</f>
        <v>Q5</v>
      </c>
      <c r="X778" s="79"/>
      <c r="Y778" s="44" t="str">
        <f>VLOOKUP(M778,Table1[#All],2,FALSE)</f>
        <v>Action</v>
      </c>
      <c r="Z778" s="59" t="str">
        <f>VLOOKUP(M778,Table1[#All],9,FALSE)</f>
        <v>Additional Notes:</v>
      </c>
      <c r="AA778" s="76"/>
      <c r="AB778" s="76"/>
      <c r="AC778" s="90" t="s">
        <v>91</v>
      </c>
      <c r="AD778" s="76" t="s">
        <v>91</v>
      </c>
      <c r="AE778" s="77"/>
      <c r="AF778" s="77"/>
      <c r="AG778" s="41" t="s">
        <v>91</v>
      </c>
    </row>
    <row r="779" spans="1:33" ht="21" hidden="1" x14ac:dyDescent="0.55000000000000004">
      <c r="A779" s="44" t="str">
        <f>Data!K778</f>
        <v>Forward Health</v>
      </c>
      <c r="B779" s="44" t="str">
        <f>Data!L778</f>
        <v>8009479627</v>
      </c>
      <c r="C779" s="44" t="str">
        <f>Data!D778</f>
        <v>Espinoza , Juanmanuel</v>
      </c>
      <c r="D779" s="82" t="str">
        <f>Data!F778</f>
        <v>7426830675</v>
      </c>
      <c r="E779" s="82" t="str">
        <f>Data!B778</f>
        <v>9140</v>
      </c>
      <c r="F779" s="44" t="str">
        <f>Data!A778</f>
        <v>Espinoza , Juanmanuel</v>
      </c>
      <c r="G779" s="55" t="str">
        <f>Data!C778</f>
        <v>11/15/2006</v>
      </c>
      <c r="H779" s="56">
        <f>Data!H778</f>
        <v>44617</v>
      </c>
      <c r="I779" s="56" t="str">
        <f>Data!I778</f>
        <v>2/28/2022</v>
      </c>
      <c r="J779" s="57">
        <f>Data!J778</f>
        <v>1596.8</v>
      </c>
      <c r="K779" s="58">
        <f t="shared" ca="1" si="13"/>
        <v>80</v>
      </c>
      <c r="L779" s="58">
        <f>Data!M778</f>
        <v>0</v>
      </c>
      <c r="M779" s="37" t="s">
        <v>26</v>
      </c>
      <c r="N779" s="43" t="str">
        <f>VLOOKUP(M779,Table1[#All],3,FALSE)</f>
        <v>Note</v>
      </c>
      <c r="O779" s="40" t="str">
        <f>VLOOKUP(M779,Table1[#All],4,FALSE)</f>
        <v>Q1</v>
      </c>
      <c r="P779" s="39"/>
      <c r="Q779" s="40" t="str">
        <f>VLOOKUP(M779,Table1[#All],5,FALSE)</f>
        <v>Q2</v>
      </c>
      <c r="R779" s="79"/>
      <c r="S779" s="40" t="str">
        <f>VLOOKUP(M779,Table1[#All],6,FALSE)</f>
        <v>Q3</v>
      </c>
      <c r="T779" s="79"/>
      <c r="U779" s="40" t="str">
        <f>VLOOKUP(M779,Table1[#All],7,FALSE)</f>
        <v>Q4</v>
      </c>
      <c r="V779" s="79"/>
      <c r="W779" s="40" t="str">
        <f>VLOOKUP(M779,Table1[#All],8,FALSE)</f>
        <v>Q5</v>
      </c>
      <c r="X779" s="79"/>
      <c r="Y779" s="44" t="str">
        <f>VLOOKUP(M779,Table1[#All],2,FALSE)</f>
        <v>Action</v>
      </c>
      <c r="Z779" s="59" t="str">
        <f>VLOOKUP(M779,Table1[#All],9,FALSE)</f>
        <v>Additional Notes:</v>
      </c>
      <c r="AA779" s="76"/>
      <c r="AB779" s="76"/>
      <c r="AC779" s="90" t="s">
        <v>91</v>
      </c>
      <c r="AD779" s="76" t="s">
        <v>91</v>
      </c>
      <c r="AE779" s="77"/>
      <c r="AF779" s="77"/>
      <c r="AG779" s="41" t="s">
        <v>91</v>
      </c>
    </row>
    <row r="780" spans="1:33" ht="21" hidden="1" x14ac:dyDescent="0.55000000000000004">
      <c r="A780" s="44" t="str">
        <f>Data!K779</f>
        <v>Forward Health</v>
      </c>
      <c r="B780" s="44" t="str">
        <f>Data!L779</f>
        <v>8009479627</v>
      </c>
      <c r="C780" s="44" t="str">
        <f>Data!D779</f>
        <v xml:space="preserve">Harris , Kylie </v>
      </c>
      <c r="D780" s="82" t="str">
        <f>Data!F779</f>
        <v>8458664585</v>
      </c>
      <c r="E780" s="82" t="str">
        <f>Data!B779</f>
        <v>8890</v>
      </c>
      <c r="F780" s="44" t="str">
        <f>Data!A779</f>
        <v xml:space="preserve">Harris , Kylie </v>
      </c>
      <c r="G780" s="55" t="str">
        <f>Data!C779</f>
        <v>2/11/1997</v>
      </c>
      <c r="H780" s="56">
        <f>Data!H779</f>
        <v>44587</v>
      </c>
      <c r="I780" s="56" t="str">
        <f>Data!I779</f>
        <v>2/28/2022</v>
      </c>
      <c r="J780" s="57">
        <f>Data!J779</f>
        <v>332.4</v>
      </c>
      <c r="K780" s="58">
        <f t="shared" ca="1" si="13"/>
        <v>80</v>
      </c>
      <c r="L780" s="58">
        <f>Data!M779</f>
        <v>0</v>
      </c>
      <c r="M780" s="37" t="s">
        <v>26</v>
      </c>
      <c r="N780" s="43" t="str">
        <f>VLOOKUP(M780,Table1[#All],3,FALSE)</f>
        <v>Note</v>
      </c>
      <c r="O780" s="40" t="str">
        <f>VLOOKUP(M780,Table1[#All],4,FALSE)</f>
        <v>Q1</v>
      </c>
      <c r="P780" s="39"/>
      <c r="Q780" s="40" t="str">
        <f>VLOOKUP(M780,Table1[#All],5,FALSE)</f>
        <v>Q2</v>
      </c>
      <c r="R780" s="79"/>
      <c r="S780" s="40" t="str">
        <f>VLOOKUP(M780,Table1[#All],6,FALSE)</f>
        <v>Q3</v>
      </c>
      <c r="T780" s="79"/>
      <c r="U780" s="40" t="str">
        <f>VLOOKUP(M780,Table1[#All],7,FALSE)</f>
        <v>Q4</v>
      </c>
      <c r="V780" s="79"/>
      <c r="W780" s="40" t="str">
        <f>VLOOKUP(M780,Table1[#All],8,FALSE)</f>
        <v>Q5</v>
      </c>
      <c r="X780" s="79"/>
      <c r="Y780" s="44" t="str">
        <f>VLOOKUP(M780,Table1[#All],2,FALSE)</f>
        <v>Action</v>
      </c>
      <c r="Z780" s="59" t="str">
        <f>VLOOKUP(M780,Table1[#All],9,FALSE)</f>
        <v>Additional Notes:</v>
      </c>
      <c r="AA780" s="76"/>
      <c r="AB780" s="76"/>
      <c r="AC780" s="90" t="s">
        <v>91</v>
      </c>
      <c r="AD780" s="76" t="s">
        <v>91</v>
      </c>
      <c r="AE780" s="77"/>
      <c r="AF780" s="77"/>
      <c r="AG780" s="41" t="s">
        <v>91</v>
      </c>
    </row>
    <row r="781" spans="1:33" ht="21" hidden="1" x14ac:dyDescent="0.55000000000000004">
      <c r="A781" s="44" t="str">
        <f>Data!K780</f>
        <v>Forward Health</v>
      </c>
      <c r="B781" s="44" t="str">
        <f>Data!L780</f>
        <v>8009479627</v>
      </c>
      <c r="C781" s="44" t="str">
        <f>Data!D780</f>
        <v xml:space="preserve">Anderson, Jaxson </v>
      </c>
      <c r="D781" s="82" t="str">
        <f>Data!F780</f>
        <v>5456052750</v>
      </c>
      <c r="E781" s="82" t="str">
        <f>Data!B780</f>
        <v>6034</v>
      </c>
      <c r="F781" s="44" t="str">
        <f>Data!A780</f>
        <v xml:space="preserve">Anderson, Jaxson </v>
      </c>
      <c r="G781" s="55" t="str">
        <f>Data!C780</f>
        <v>3/19/2008</v>
      </c>
      <c r="H781" s="56">
        <f>Data!H780</f>
        <v>44589</v>
      </c>
      <c r="I781" s="56" t="str">
        <f>Data!I780</f>
        <v>2/28/2022</v>
      </c>
      <c r="J781" s="57">
        <f>Data!J780</f>
        <v>462.8</v>
      </c>
      <c r="K781" s="58">
        <f t="shared" ca="1" si="13"/>
        <v>80</v>
      </c>
      <c r="L781" s="58">
        <f>Data!M780</f>
        <v>0</v>
      </c>
      <c r="M781" s="37" t="s">
        <v>26</v>
      </c>
      <c r="N781" s="43" t="str">
        <f>VLOOKUP(M781,Table1[#All],3,FALSE)</f>
        <v>Note</v>
      </c>
      <c r="O781" s="40" t="str">
        <f>VLOOKUP(M781,Table1[#All],4,FALSE)</f>
        <v>Q1</v>
      </c>
      <c r="P781" s="39"/>
      <c r="Q781" s="40" t="str">
        <f>VLOOKUP(M781,Table1[#All],5,FALSE)</f>
        <v>Q2</v>
      </c>
      <c r="R781" s="79"/>
      <c r="S781" s="40" t="str">
        <f>VLOOKUP(M781,Table1[#All],6,FALSE)</f>
        <v>Q3</v>
      </c>
      <c r="T781" s="79"/>
      <c r="U781" s="40" t="str">
        <f>VLOOKUP(M781,Table1[#All],7,FALSE)</f>
        <v>Q4</v>
      </c>
      <c r="V781" s="79"/>
      <c r="W781" s="40" t="str">
        <f>VLOOKUP(M781,Table1[#All],8,FALSE)</f>
        <v>Q5</v>
      </c>
      <c r="X781" s="79"/>
      <c r="Y781" s="44" t="str">
        <f>VLOOKUP(M781,Table1[#All],2,FALSE)</f>
        <v>Action</v>
      </c>
      <c r="Z781" s="59" t="str">
        <f>VLOOKUP(M781,Table1[#All],9,FALSE)</f>
        <v>Additional Notes:</v>
      </c>
      <c r="AA781" s="76"/>
      <c r="AB781" s="76"/>
      <c r="AC781" s="90" t="s">
        <v>91</v>
      </c>
      <c r="AD781" s="76" t="s">
        <v>91</v>
      </c>
      <c r="AE781" s="77"/>
      <c r="AF781" s="77"/>
      <c r="AG781" s="41" t="s">
        <v>91</v>
      </c>
    </row>
    <row r="782" spans="1:33" ht="21" hidden="1" x14ac:dyDescent="0.55000000000000004">
      <c r="A782" s="44" t="str">
        <f>Data!K781</f>
        <v>Forward Health</v>
      </c>
      <c r="B782" s="44" t="str">
        <f>Data!L781</f>
        <v>8009479627</v>
      </c>
      <c r="C782" s="44" t="str">
        <f>Data!D781</f>
        <v>Patel , Sherri</v>
      </c>
      <c r="D782" s="82" t="str">
        <f>Data!F781</f>
        <v>4413139542</v>
      </c>
      <c r="E782" s="82" t="str">
        <f>Data!B781</f>
        <v>9062</v>
      </c>
      <c r="F782" s="44" t="str">
        <f>Data!A781</f>
        <v>Patel , Sherri</v>
      </c>
      <c r="G782" s="55" t="str">
        <f>Data!C781</f>
        <v>6/29/1994</v>
      </c>
      <c r="H782" s="56">
        <f>Data!H781</f>
        <v>44604</v>
      </c>
      <c r="I782" s="56" t="str">
        <f>Data!I781</f>
        <v>2/22/2022</v>
      </c>
      <c r="J782" s="57">
        <f>Data!J781</f>
        <v>252</v>
      </c>
      <c r="K782" s="58">
        <f t="shared" ca="1" si="13"/>
        <v>86</v>
      </c>
      <c r="L782" s="58">
        <f>Data!M781</f>
        <v>0</v>
      </c>
      <c r="M782" s="37" t="s">
        <v>26</v>
      </c>
      <c r="N782" s="43" t="str">
        <f>VLOOKUP(M782,Table1[#All],3,FALSE)</f>
        <v>Note</v>
      </c>
      <c r="O782" s="40" t="str">
        <f>VLOOKUP(M782,Table1[#All],4,FALSE)</f>
        <v>Q1</v>
      </c>
      <c r="P782" s="39"/>
      <c r="Q782" s="40" t="str">
        <f>VLOOKUP(M782,Table1[#All],5,FALSE)</f>
        <v>Q2</v>
      </c>
      <c r="R782" s="79"/>
      <c r="S782" s="40" t="str">
        <f>VLOOKUP(M782,Table1[#All],6,FALSE)</f>
        <v>Q3</v>
      </c>
      <c r="T782" s="79"/>
      <c r="U782" s="40" t="str">
        <f>VLOOKUP(M782,Table1[#All],7,FALSE)</f>
        <v>Q4</v>
      </c>
      <c r="V782" s="79"/>
      <c r="W782" s="40" t="str">
        <f>VLOOKUP(M782,Table1[#All],8,FALSE)</f>
        <v>Q5</v>
      </c>
      <c r="X782" s="79"/>
      <c r="Y782" s="44" t="str">
        <f>VLOOKUP(M782,Table1[#All],2,FALSE)</f>
        <v>Action</v>
      </c>
      <c r="Z782" s="59" t="str">
        <f>VLOOKUP(M782,Table1[#All],9,FALSE)</f>
        <v>Additional Notes:</v>
      </c>
      <c r="AA782" s="76"/>
      <c r="AB782" s="76"/>
      <c r="AC782" s="90" t="s">
        <v>91</v>
      </c>
      <c r="AD782" s="76" t="s">
        <v>91</v>
      </c>
      <c r="AE782" s="77"/>
      <c r="AF782" s="77"/>
      <c r="AG782" s="41" t="s">
        <v>91</v>
      </c>
    </row>
    <row r="783" spans="1:33" ht="21" hidden="1" x14ac:dyDescent="0.55000000000000004">
      <c r="A783" s="44" t="str">
        <f>Data!K782</f>
        <v>Forward Health</v>
      </c>
      <c r="B783" s="44" t="str">
        <f>Data!L782</f>
        <v>8009479627</v>
      </c>
      <c r="C783" s="44" t="str">
        <f>Data!D782</f>
        <v>FLORES, REYMUNDO</v>
      </c>
      <c r="D783" s="82" t="str">
        <f>Data!F782</f>
        <v>8405264981</v>
      </c>
      <c r="E783" s="82" t="str">
        <f>Data!B782</f>
        <v>7957</v>
      </c>
      <c r="F783" s="44" t="str">
        <f>Data!A782</f>
        <v>FLORES, REYMUNDO</v>
      </c>
      <c r="G783" s="55" t="str">
        <f>Data!C782</f>
        <v>4/2/1976</v>
      </c>
      <c r="H783" s="56">
        <f>Data!H782</f>
        <v>44530</v>
      </c>
      <c r="I783" s="56" t="str">
        <f>Data!I782</f>
        <v>2/18/2022</v>
      </c>
      <c r="J783" s="57">
        <f>Data!J782</f>
        <v>82.8</v>
      </c>
      <c r="K783" s="58">
        <f t="shared" ca="1" si="13"/>
        <v>90</v>
      </c>
      <c r="L783" s="58">
        <f>Data!M782</f>
        <v>0</v>
      </c>
      <c r="M783" s="37" t="s">
        <v>26</v>
      </c>
      <c r="N783" s="43" t="str">
        <f>VLOOKUP(M783,Table1[#All],3,FALSE)</f>
        <v>Note</v>
      </c>
      <c r="O783" s="40" t="str">
        <f>VLOOKUP(M783,Table1[#All],4,FALSE)</f>
        <v>Q1</v>
      </c>
      <c r="P783" s="39"/>
      <c r="Q783" s="40" t="str">
        <f>VLOOKUP(M783,Table1[#All],5,FALSE)</f>
        <v>Q2</v>
      </c>
      <c r="R783" s="79"/>
      <c r="S783" s="40" t="str">
        <f>VLOOKUP(M783,Table1[#All],6,FALSE)</f>
        <v>Q3</v>
      </c>
      <c r="T783" s="79"/>
      <c r="U783" s="40" t="str">
        <f>VLOOKUP(M783,Table1[#All],7,FALSE)</f>
        <v>Q4</v>
      </c>
      <c r="V783" s="79"/>
      <c r="W783" s="40" t="str">
        <f>VLOOKUP(M783,Table1[#All],8,FALSE)</f>
        <v>Q5</v>
      </c>
      <c r="X783" s="79"/>
      <c r="Y783" s="44" t="str">
        <f>VLOOKUP(M783,Table1[#All],2,FALSE)</f>
        <v>Action</v>
      </c>
      <c r="Z783" s="59" t="str">
        <f>VLOOKUP(M783,Table1[#All],9,FALSE)</f>
        <v>Additional Notes:</v>
      </c>
      <c r="AA783" s="76"/>
      <c r="AB783" s="76"/>
      <c r="AC783" s="90" t="s">
        <v>91</v>
      </c>
      <c r="AD783" s="76" t="s">
        <v>91</v>
      </c>
      <c r="AE783" s="77"/>
      <c r="AF783" s="77"/>
      <c r="AG783" s="41" t="s">
        <v>91</v>
      </c>
    </row>
    <row r="784" spans="1:33" ht="21" hidden="1" x14ac:dyDescent="0.55000000000000004">
      <c r="A784" s="44" t="str">
        <f>Data!K783</f>
        <v>Forward Health</v>
      </c>
      <c r="B784" s="44" t="str">
        <f>Data!L783</f>
        <v>8009479627</v>
      </c>
      <c r="C784" s="44" t="str">
        <f>Data!D783</f>
        <v xml:space="preserve">Musaitef, Suha </v>
      </c>
      <c r="D784" s="82" t="str">
        <f>Data!F783</f>
        <v>7410688271</v>
      </c>
      <c r="E784" s="82" t="str">
        <f>Data!B783</f>
        <v>8974</v>
      </c>
      <c r="F784" s="44" t="str">
        <f>Data!A783</f>
        <v xml:space="preserve">Musaitef, Suha </v>
      </c>
      <c r="G784" s="55" t="str">
        <f>Data!C783</f>
        <v>4/27/1977</v>
      </c>
      <c r="H784" s="56">
        <f>Data!H783</f>
        <v>44607</v>
      </c>
      <c r="I784" s="56" t="str">
        <f>Data!I783</f>
        <v>2/16/2022</v>
      </c>
      <c r="J784" s="57">
        <f>Data!J783</f>
        <v>272.39999999999998</v>
      </c>
      <c r="K784" s="58">
        <f t="shared" ca="1" si="13"/>
        <v>92</v>
      </c>
      <c r="L784" s="58">
        <f>Data!M783</f>
        <v>0</v>
      </c>
      <c r="M784" s="37" t="s">
        <v>26</v>
      </c>
      <c r="N784" s="43" t="str">
        <f>VLOOKUP(M784,Table1[#All],3,FALSE)</f>
        <v>Note</v>
      </c>
      <c r="O784" s="40" t="str">
        <f>VLOOKUP(M784,Table1[#All],4,FALSE)</f>
        <v>Q1</v>
      </c>
      <c r="P784" s="39"/>
      <c r="Q784" s="40" t="str">
        <f>VLOOKUP(M784,Table1[#All],5,FALSE)</f>
        <v>Q2</v>
      </c>
      <c r="R784" s="79"/>
      <c r="S784" s="40" t="str">
        <f>VLOOKUP(M784,Table1[#All],6,FALSE)</f>
        <v>Q3</v>
      </c>
      <c r="T784" s="79"/>
      <c r="U784" s="40" t="str">
        <f>VLOOKUP(M784,Table1[#All],7,FALSE)</f>
        <v>Q4</v>
      </c>
      <c r="V784" s="79"/>
      <c r="W784" s="40" t="str">
        <f>VLOOKUP(M784,Table1[#All],8,FALSE)</f>
        <v>Q5</v>
      </c>
      <c r="X784" s="79"/>
      <c r="Y784" s="44" t="str">
        <f>VLOOKUP(M784,Table1[#All],2,FALSE)</f>
        <v>Action</v>
      </c>
      <c r="Z784" s="59" t="str">
        <f>VLOOKUP(M784,Table1[#All],9,FALSE)</f>
        <v>Additional Notes:</v>
      </c>
      <c r="AA784" s="76"/>
      <c r="AB784" s="76"/>
      <c r="AC784" s="90" t="s">
        <v>91</v>
      </c>
      <c r="AD784" s="76" t="s">
        <v>91</v>
      </c>
      <c r="AE784" s="77"/>
      <c r="AF784" s="77"/>
      <c r="AG784" s="41" t="s">
        <v>91</v>
      </c>
    </row>
    <row r="785" spans="1:33" ht="21" hidden="1" x14ac:dyDescent="0.55000000000000004">
      <c r="A785" s="44" t="str">
        <f>Data!K784</f>
        <v>Forward Health</v>
      </c>
      <c r="B785" s="44" t="str">
        <f>Data!L784</f>
        <v>8009479627</v>
      </c>
      <c r="C785" s="44" t="str">
        <f>Data!D784</f>
        <v xml:space="preserve">Ford , Zoe </v>
      </c>
      <c r="D785" s="82" t="str">
        <f>Data!F784</f>
        <v>1448999715</v>
      </c>
      <c r="E785" s="82" t="str">
        <f>Data!B784</f>
        <v>6956</v>
      </c>
      <c r="F785" s="44" t="str">
        <f>Data!A784</f>
        <v xml:space="preserve">Ford , Zoe </v>
      </c>
      <c r="G785" s="55" t="str">
        <f>Data!C784</f>
        <v>11/17/2015</v>
      </c>
      <c r="H785" s="56">
        <f>Data!H784</f>
        <v>44607</v>
      </c>
      <c r="I785" s="56" t="str">
        <f>Data!I784</f>
        <v>2/15/2022</v>
      </c>
      <c r="J785" s="57">
        <f>Data!J784</f>
        <v>731.2</v>
      </c>
      <c r="K785" s="58">
        <f t="shared" ca="1" si="13"/>
        <v>93</v>
      </c>
      <c r="L785" s="58">
        <f>Data!M784</f>
        <v>0</v>
      </c>
      <c r="M785" s="37" t="s">
        <v>26</v>
      </c>
      <c r="N785" s="43" t="str">
        <f>VLOOKUP(M785,Table1[#All],3,FALSE)</f>
        <v>Note</v>
      </c>
      <c r="O785" s="40" t="str">
        <f>VLOOKUP(M785,Table1[#All],4,FALSE)</f>
        <v>Q1</v>
      </c>
      <c r="P785" s="39"/>
      <c r="Q785" s="40" t="str">
        <f>VLOOKUP(M785,Table1[#All],5,FALSE)</f>
        <v>Q2</v>
      </c>
      <c r="R785" s="79"/>
      <c r="S785" s="40" t="str">
        <f>VLOOKUP(M785,Table1[#All],6,FALSE)</f>
        <v>Q3</v>
      </c>
      <c r="T785" s="79"/>
      <c r="U785" s="40" t="str">
        <f>VLOOKUP(M785,Table1[#All],7,FALSE)</f>
        <v>Q4</v>
      </c>
      <c r="V785" s="79"/>
      <c r="W785" s="40" t="str">
        <f>VLOOKUP(M785,Table1[#All],8,FALSE)</f>
        <v>Q5</v>
      </c>
      <c r="X785" s="79"/>
      <c r="Y785" s="44" t="str">
        <f>VLOOKUP(M785,Table1[#All],2,FALSE)</f>
        <v>Action</v>
      </c>
      <c r="Z785" s="59" t="str">
        <f>VLOOKUP(M785,Table1[#All],9,FALSE)</f>
        <v>Additional Notes:</v>
      </c>
      <c r="AA785" s="76"/>
      <c r="AB785" s="76"/>
      <c r="AC785" s="90" t="s">
        <v>91</v>
      </c>
      <c r="AD785" s="76" t="s">
        <v>91</v>
      </c>
      <c r="AE785" s="77"/>
      <c r="AF785" s="77"/>
      <c r="AG785" s="41" t="s">
        <v>91</v>
      </c>
    </row>
    <row r="786" spans="1:33" ht="21" hidden="1" x14ac:dyDescent="0.55000000000000004">
      <c r="A786" s="44" t="str">
        <f>Data!K785</f>
        <v>Forward Health</v>
      </c>
      <c r="B786" s="44" t="str">
        <f>Data!L785</f>
        <v>8009479627</v>
      </c>
      <c r="C786" s="44" t="str">
        <f>Data!D785</f>
        <v>COLLIER, ANDREW</v>
      </c>
      <c r="D786" s="82" t="str">
        <f>Data!F785</f>
        <v>3414613239</v>
      </c>
      <c r="E786" s="82" t="str">
        <f>Data!B785</f>
        <v>1694</v>
      </c>
      <c r="F786" s="44" t="str">
        <f>Data!A785</f>
        <v>COLLIER, ANDREW</v>
      </c>
      <c r="G786" s="55" t="str">
        <f>Data!C785</f>
        <v>2/7/1987</v>
      </c>
      <c r="H786" s="56">
        <f>Data!H785</f>
        <v>44518</v>
      </c>
      <c r="I786" s="56" t="str">
        <f>Data!I785</f>
        <v>2/11/2022</v>
      </c>
      <c r="J786" s="57">
        <f>Data!J785</f>
        <v>88.8</v>
      </c>
      <c r="K786" s="58">
        <f t="shared" ca="1" si="13"/>
        <v>97</v>
      </c>
      <c r="L786" s="58">
        <f>Data!M785</f>
        <v>0</v>
      </c>
      <c r="M786" s="37" t="s">
        <v>26</v>
      </c>
      <c r="N786" s="43" t="str">
        <f>VLOOKUP(M786,Table1[#All],3,FALSE)</f>
        <v>Note</v>
      </c>
      <c r="O786" s="40" t="str">
        <f>VLOOKUP(M786,Table1[#All],4,FALSE)</f>
        <v>Q1</v>
      </c>
      <c r="P786" s="39"/>
      <c r="Q786" s="40" t="str">
        <f>VLOOKUP(M786,Table1[#All],5,FALSE)</f>
        <v>Q2</v>
      </c>
      <c r="R786" s="79"/>
      <c r="S786" s="40" t="str">
        <f>VLOOKUP(M786,Table1[#All],6,FALSE)</f>
        <v>Q3</v>
      </c>
      <c r="T786" s="79"/>
      <c r="U786" s="40" t="str">
        <f>VLOOKUP(M786,Table1[#All],7,FALSE)</f>
        <v>Q4</v>
      </c>
      <c r="V786" s="79"/>
      <c r="W786" s="40" t="str">
        <f>VLOOKUP(M786,Table1[#All],8,FALSE)</f>
        <v>Q5</v>
      </c>
      <c r="X786" s="79"/>
      <c r="Y786" s="44" t="str">
        <f>VLOOKUP(M786,Table1[#All],2,FALSE)</f>
        <v>Action</v>
      </c>
      <c r="Z786" s="59" t="str">
        <f>VLOOKUP(M786,Table1[#All],9,FALSE)</f>
        <v>Additional Notes:</v>
      </c>
      <c r="AA786" s="76"/>
      <c r="AB786" s="76"/>
      <c r="AC786" s="90" t="s">
        <v>91</v>
      </c>
      <c r="AD786" s="76" t="s">
        <v>91</v>
      </c>
      <c r="AE786" s="77"/>
      <c r="AF786" s="77"/>
      <c r="AG786" s="41" t="s">
        <v>91</v>
      </c>
    </row>
    <row r="787" spans="1:33" ht="21" hidden="1" x14ac:dyDescent="0.55000000000000004">
      <c r="A787" s="44" t="str">
        <f>Data!K786</f>
        <v>Forward Health</v>
      </c>
      <c r="B787" s="44" t="str">
        <f>Data!L786</f>
        <v>8009479627</v>
      </c>
      <c r="C787" s="44" t="str">
        <f>Data!D786</f>
        <v>COLLIER, ANDREW</v>
      </c>
      <c r="D787" s="82" t="str">
        <f>Data!F786</f>
        <v>3414613239</v>
      </c>
      <c r="E787" s="82" t="str">
        <f>Data!B786</f>
        <v>1694</v>
      </c>
      <c r="F787" s="44" t="str">
        <f>Data!A786</f>
        <v>COLLIER, ANDREW</v>
      </c>
      <c r="G787" s="55" t="str">
        <f>Data!C786</f>
        <v>2/7/1987</v>
      </c>
      <c r="H787" s="56">
        <f>Data!H786</f>
        <v>44558</v>
      </c>
      <c r="I787" s="56" t="str">
        <f>Data!I786</f>
        <v>2/11/2022</v>
      </c>
      <c r="J787" s="57">
        <f>Data!J786</f>
        <v>244.8</v>
      </c>
      <c r="K787" s="58">
        <f t="shared" ca="1" si="13"/>
        <v>97</v>
      </c>
      <c r="L787" s="58">
        <f>Data!M786</f>
        <v>0</v>
      </c>
      <c r="M787" s="37" t="s">
        <v>26</v>
      </c>
      <c r="N787" s="43" t="str">
        <f>VLOOKUP(M787,Table1[#All],3,FALSE)</f>
        <v>Note</v>
      </c>
      <c r="O787" s="40" t="str">
        <f>VLOOKUP(M787,Table1[#All],4,FALSE)</f>
        <v>Q1</v>
      </c>
      <c r="P787" s="39"/>
      <c r="Q787" s="40" t="str">
        <f>VLOOKUP(M787,Table1[#All],5,FALSE)</f>
        <v>Q2</v>
      </c>
      <c r="R787" s="79"/>
      <c r="S787" s="40" t="str">
        <f>VLOOKUP(M787,Table1[#All],6,FALSE)</f>
        <v>Q3</v>
      </c>
      <c r="T787" s="79"/>
      <c r="U787" s="40" t="str">
        <f>VLOOKUP(M787,Table1[#All],7,FALSE)</f>
        <v>Q4</v>
      </c>
      <c r="V787" s="79"/>
      <c r="W787" s="40" t="str">
        <f>VLOOKUP(M787,Table1[#All],8,FALSE)</f>
        <v>Q5</v>
      </c>
      <c r="X787" s="79"/>
      <c r="Y787" s="44" t="str">
        <f>VLOOKUP(M787,Table1[#All],2,FALSE)</f>
        <v>Action</v>
      </c>
      <c r="Z787" s="59" t="str">
        <f>VLOOKUP(M787,Table1[#All],9,FALSE)</f>
        <v>Additional Notes:</v>
      </c>
      <c r="AA787" s="76"/>
      <c r="AB787" s="76"/>
      <c r="AC787" s="90" t="s">
        <v>91</v>
      </c>
      <c r="AD787" s="76" t="s">
        <v>91</v>
      </c>
      <c r="AE787" s="77"/>
      <c r="AF787" s="77"/>
      <c r="AG787" s="41" t="s">
        <v>91</v>
      </c>
    </row>
    <row r="788" spans="1:33" ht="42" hidden="1" x14ac:dyDescent="0.55000000000000004">
      <c r="A788" s="44" t="str">
        <f>Data!K787</f>
        <v>Forward Health</v>
      </c>
      <c r="B788" s="44" t="str">
        <f>Data!L787</f>
        <v>8009479627</v>
      </c>
      <c r="C788" s="44" t="str">
        <f>Data!D787</f>
        <v xml:space="preserve">Bey, Tieshina </v>
      </c>
      <c r="D788" s="82" t="str">
        <f>Data!F787</f>
        <v>4444081341</v>
      </c>
      <c r="E788" s="82" t="str">
        <f>Data!B787</f>
        <v>8385</v>
      </c>
      <c r="F788" s="44" t="str">
        <f>Data!A787</f>
        <v xml:space="preserve">Bey, Tieshina </v>
      </c>
      <c r="G788" s="55" t="str">
        <f>Data!C787</f>
        <v>2/18/1988</v>
      </c>
      <c r="H788" s="56">
        <f>Data!H787</f>
        <v>44553</v>
      </c>
      <c r="I788" s="56" t="str">
        <f>Data!I787</f>
        <v>2/4/2022</v>
      </c>
      <c r="J788" s="57">
        <f>Data!J787</f>
        <v>480</v>
      </c>
      <c r="K788" s="58">
        <f t="shared" ca="1" si="13"/>
        <v>104</v>
      </c>
      <c r="L788" s="58">
        <f>Data!M787</f>
        <v>0</v>
      </c>
      <c r="M788" s="37" t="s">
        <v>20</v>
      </c>
      <c r="N788" s="43" t="str">
        <f>VLOOKUP(M788,Table1[#All],3,FALSE)</f>
        <v>Ins needs more info, need to submit;</v>
      </c>
      <c r="O788" s="40" t="str">
        <f>VLOOKUP(M788,Table1[#All],4,FALSE)</f>
        <v>Attachments/Info needed?</v>
      </c>
      <c r="P788" s="39" t="s">
        <v>4218</v>
      </c>
      <c r="Q788" s="40" t="str">
        <f>VLOOKUP(M788,Table1[#All],5,FALSE)</f>
        <v>Fax # (If Fax Yes):</v>
      </c>
      <c r="R788" s="79">
        <v>6082218616</v>
      </c>
      <c r="S788" s="40" t="str">
        <f>VLOOKUP(M788,Table1[#All],6,FALSE)</f>
        <v>Call Ref#:</v>
      </c>
      <c r="T788" s="79">
        <v>19333635</v>
      </c>
      <c r="U788" s="40" t="str">
        <f>VLOOKUP(M788,Table1[#All],7,FALSE)</f>
        <v>Cust Rep:</v>
      </c>
      <c r="V788" s="79" t="s">
        <v>3932</v>
      </c>
      <c r="W788" s="40">
        <f>VLOOKUP(M788,Table1[#All],8,FALSE)</f>
        <v>0</v>
      </c>
      <c r="X788" s="79"/>
      <c r="Y788" s="44" t="str">
        <f>VLOOKUP(M788,Table1[#All],2,FALSE)</f>
        <v xml:space="preserve">Task Sub Pending Claims Queue </v>
      </c>
      <c r="Z788" s="59" t="str">
        <f>VLOOKUP(M788,Table1[#All],9,FALSE)</f>
        <v>Additional Notes:</v>
      </c>
      <c r="AA788" s="76" t="s">
        <v>4219</v>
      </c>
      <c r="AB788" s="76" t="s">
        <v>3697</v>
      </c>
      <c r="AC788" s="90" t="s">
        <v>185</v>
      </c>
      <c r="AD788" s="76" t="s">
        <v>177</v>
      </c>
      <c r="AE788" s="77" t="s">
        <v>3770</v>
      </c>
      <c r="AF788" s="110">
        <v>44687</v>
      </c>
      <c r="AG788" s="41" t="s">
        <v>101</v>
      </c>
    </row>
    <row r="789" spans="1:33" ht="21" hidden="1" x14ac:dyDescent="0.55000000000000004">
      <c r="A789" s="44" t="str">
        <f>Data!K788</f>
        <v>Forward Health</v>
      </c>
      <c r="B789" s="44" t="str">
        <f>Data!L788</f>
        <v>8009479627</v>
      </c>
      <c r="C789" s="44" t="str">
        <f>Data!D788</f>
        <v>Coleman , Cedric</v>
      </c>
      <c r="D789" s="82" t="str">
        <f>Data!F788</f>
        <v>7430653871</v>
      </c>
      <c r="E789" s="82" t="str">
        <f>Data!B788</f>
        <v>8973</v>
      </c>
      <c r="F789" s="44" t="str">
        <f>Data!A788</f>
        <v>Coleman , Cedric</v>
      </c>
      <c r="G789" s="55" t="str">
        <f>Data!C788</f>
        <v>6/20/1962</v>
      </c>
      <c r="H789" s="56">
        <f>Data!H788</f>
        <v>44593</v>
      </c>
      <c r="I789" s="56" t="str">
        <f>Data!I788</f>
        <v>2/22/2022</v>
      </c>
      <c r="J789" s="57">
        <f>Data!J788</f>
        <v>498</v>
      </c>
      <c r="K789" s="58">
        <f t="shared" ca="1" si="13"/>
        <v>86</v>
      </c>
      <c r="L789" s="58">
        <f>Data!M788</f>
        <v>0</v>
      </c>
      <c r="M789" s="37" t="s">
        <v>26</v>
      </c>
      <c r="N789" s="43" t="str">
        <f>VLOOKUP(M789,Table1[#All],3,FALSE)</f>
        <v>Note</v>
      </c>
      <c r="O789" s="40" t="str">
        <f>VLOOKUP(M789,Table1[#All],4,FALSE)</f>
        <v>Q1</v>
      </c>
      <c r="P789" s="39"/>
      <c r="Q789" s="40" t="str">
        <f>VLOOKUP(M789,Table1[#All],5,FALSE)</f>
        <v>Q2</v>
      </c>
      <c r="R789" s="79"/>
      <c r="S789" s="40" t="str">
        <f>VLOOKUP(M789,Table1[#All],6,FALSE)</f>
        <v>Q3</v>
      </c>
      <c r="T789" s="79"/>
      <c r="U789" s="40" t="str">
        <f>VLOOKUP(M789,Table1[#All],7,FALSE)</f>
        <v>Q4</v>
      </c>
      <c r="V789" s="79"/>
      <c r="W789" s="40" t="str">
        <f>VLOOKUP(M789,Table1[#All],8,FALSE)</f>
        <v>Q5</v>
      </c>
      <c r="X789" s="79"/>
      <c r="Y789" s="44" t="str">
        <f>VLOOKUP(M789,Table1[#All],2,FALSE)</f>
        <v>Action</v>
      </c>
      <c r="Z789" s="59" t="str">
        <f>VLOOKUP(M789,Table1[#All],9,FALSE)</f>
        <v>Additional Notes:</v>
      </c>
      <c r="AA789" s="76"/>
      <c r="AB789" s="76"/>
      <c r="AC789" s="90" t="s">
        <v>91</v>
      </c>
      <c r="AD789" s="76" t="s">
        <v>91</v>
      </c>
      <c r="AE789" s="77"/>
      <c r="AF789" s="77"/>
      <c r="AG789" s="41" t="s">
        <v>91</v>
      </c>
    </row>
    <row r="790" spans="1:33" ht="21" hidden="1" x14ac:dyDescent="0.55000000000000004">
      <c r="A790" s="44" t="str">
        <f>Data!K789</f>
        <v>Forward Health</v>
      </c>
      <c r="B790" s="44" t="str">
        <f>Data!L789</f>
        <v>8009479627</v>
      </c>
      <c r="C790" s="44" t="str">
        <f>Data!D789</f>
        <v>Jackson, Leslie</v>
      </c>
      <c r="D790" s="82" t="str">
        <f>Data!F789</f>
        <v>3400026131</v>
      </c>
      <c r="E790" s="82" t="str">
        <f>Data!B789</f>
        <v>4647</v>
      </c>
      <c r="F790" s="44" t="str">
        <f>Data!A789</f>
        <v>Jackson, Leslie</v>
      </c>
      <c r="G790" s="55" t="str">
        <f>Data!C789</f>
        <v>6/4/1974</v>
      </c>
      <c r="H790" s="56">
        <f>Data!H789</f>
        <v>44589</v>
      </c>
      <c r="I790" s="56" t="str">
        <f>Data!I789</f>
        <v>2/16/2022</v>
      </c>
      <c r="J790" s="57">
        <f>Data!J789</f>
        <v>88.8</v>
      </c>
      <c r="K790" s="58">
        <f t="shared" ca="1" si="13"/>
        <v>92</v>
      </c>
      <c r="L790" s="58">
        <f>Data!M789</f>
        <v>0</v>
      </c>
      <c r="M790" s="37" t="s">
        <v>26</v>
      </c>
      <c r="N790" s="43" t="str">
        <f>VLOOKUP(M790,Table1[#All],3,FALSE)</f>
        <v>Note</v>
      </c>
      <c r="O790" s="40" t="str">
        <f>VLOOKUP(M790,Table1[#All],4,FALSE)</f>
        <v>Q1</v>
      </c>
      <c r="P790" s="39"/>
      <c r="Q790" s="40" t="str">
        <f>VLOOKUP(M790,Table1[#All],5,FALSE)</f>
        <v>Q2</v>
      </c>
      <c r="R790" s="79"/>
      <c r="S790" s="40" t="str">
        <f>VLOOKUP(M790,Table1[#All],6,FALSE)</f>
        <v>Q3</v>
      </c>
      <c r="T790" s="79"/>
      <c r="U790" s="40" t="str">
        <f>VLOOKUP(M790,Table1[#All],7,FALSE)</f>
        <v>Q4</v>
      </c>
      <c r="V790" s="79"/>
      <c r="W790" s="40" t="str">
        <f>VLOOKUP(M790,Table1[#All],8,FALSE)</f>
        <v>Q5</v>
      </c>
      <c r="X790" s="79"/>
      <c r="Y790" s="44" t="str">
        <f>VLOOKUP(M790,Table1[#All],2,FALSE)</f>
        <v>Action</v>
      </c>
      <c r="Z790" s="59" t="str">
        <f>VLOOKUP(M790,Table1[#All],9,FALSE)</f>
        <v>Additional Notes:</v>
      </c>
      <c r="AA790" s="76"/>
      <c r="AB790" s="76"/>
      <c r="AC790" s="90" t="s">
        <v>91</v>
      </c>
      <c r="AD790" s="76" t="s">
        <v>91</v>
      </c>
      <c r="AE790" s="77"/>
      <c r="AF790" s="77"/>
      <c r="AG790" s="41" t="s">
        <v>91</v>
      </c>
    </row>
    <row r="791" spans="1:33" ht="21" hidden="1" customHeight="1" x14ac:dyDescent="0.55000000000000004">
      <c r="A791" s="44" t="str">
        <f>Data!K790</f>
        <v>Forward Health</v>
      </c>
      <c r="B791" s="44" t="str">
        <f>Data!L790</f>
        <v>8009479627</v>
      </c>
      <c r="C791" s="44" t="str">
        <f>Data!D790</f>
        <v>Campbell, Shawnah</v>
      </c>
      <c r="D791" s="82" t="str">
        <f>Data!F790</f>
        <v>9415393092</v>
      </c>
      <c r="E791" s="82" t="str">
        <f>Data!B790</f>
        <v>8866</v>
      </c>
      <c r="F791" s="44" t="str">
        <f>Data!A790</f>
        <v>Campbell, Shawnah</v>
      </c>
      <c r="G791" s="55" t="str">
        <f>Data!C790</f>
        <v>8/4/1987</v>
      </c>
      <c r="H791" s="56">
        <f>Data!H790</f>
        <v>44575</v>
      </c>
      <c r="I791" s="56" t="str">
        <f>Data!I790</f>
        <v>1/17/2022</v>
      </c>
      <c r="J791" s="57">
        <f>Data!J790</f>
        <v>1516.8</v>
      </c>
      <c r="K791" s="58">
        <f t="shared" ca="1" si="13"/>
        <v>122</v>
      </c>
      <c r="L791" s="58">
        <f>Data!M790</f>
        <v>0</v>
      </c>
      <c r="M791" s="37" t="s">
        <v>30</v>
      </c>
      <c r="N791" s="43" t="str">
        <f>VLOOKUP(M791,Table1[#All],3,FALSE)</f>
        <v>Claim not on file. Patient is active ;</v>
      </c>
      <c r="O791" s="40" t="str">
        <f>VLOOKUP(M791,Table1[#All],4,FALSE)</f>
        <v>Payor ID &amp; Address:</v>
      </c>
      <c r="P791" s="39" t="s">
        <v>3921</v>
      </c>
      <c r="Q791" s="40" t="str">
        <f>VLOOKUP(M791,Table1[#All],5,FALSE)</f>
        <v>Fax # (If Fax Yes):</v>
      </c>
      <c r="R791" s="79" t="s">
        <v>4137</v>
      </c>
      <c r="S791" s="40" t="str">
        <f>VLOOKUP(M791,Table1[#All],6,FALSE)</f>
        <v>TFL in Mnths:</v>
      </c>
      <c r="T791" s="79" t="s">
        <v>4130</v>
      </c>
      <c r="U791" s="40" t="str">
        <f>VLOOKUP(M791,Table1[#All],7,FALSE)</f>
        <v>Call Ref#:</v>
      </c>
      <c r="V791" s="79">
        <v>19275897</v>
      </c>
      <c r="W791" s="40" t="str">
        <f>VLOOKUP(M791,Table1[#All],8,FALSE)</f>
        <v>Cust Rep:</v>
      </c>
      <c r="X791" s="79" t="s">
        <v>4136</v>
      </c>
      <c r="Y791" s="44" t="str">
        <f>VLOOKUP(M791,Table1[#All],2,FALSE)</f>
        <v>Task Sub Pending Claims Queue</v>
      </c>
      <c r="Z791" s="59" t="str">
        <f>VLOOKUP(M791,Table1[#All],9,FALSE)</f>
        <v>Additional Notes:</v>
      </c>
      <c r="AA791" s="76" t="s">
        <v>4135</v>
      </c>
      <c r="AB791" s="76" t="s">
        <v>3697</v>
      </c>
      <c r="AC791" s="90" t="s">
        <v>185</v>
      </c>
      <c r="AD791" s="76" t="s">
        <v>177</v>
      </c>
      <c r="AE791" s="77" t="s">
        <v>4127</v>
      </c>
      <c r="AF791" s="110">
        <v>44673</v>
      </c>
      <c r="AG791" s="41" t="s">
        <v>101</v>
      </c>
    </row>
    <row r="792" spans="1:33" ht="42" hidden="1" x14ac:dyDescent="0.55000000000000004">
      <c r="A792" s="44" t="str">
        <f>Data!K791</f>
        <v>Forward Health</v>
      </c>
      <c r="B792" s="44" t="str">
        <f>Data!L791</f>
        <v>8009479627</v>
      </c>
      <c r="C792" s="44" t="str">
        <f>Data!D791</f>
        <v>Argueta, Santos</v>
      </c>
      <c r="D792" s="82" t="str">
        <f>Data!F791</f>
        <v>2413302123</v>
      </c>
      <c r="E792" s="82" t="str">
        <f>Data!B791</f>
        <v>4822</v>
      </c>
      <c r="F792" s="44" t="str">
        <f>Data!A791</f>
        <v>Argueta, Santos</v>
      </c>
      <c r="G792" s="55" t="str">
        <f>Data!C791</f>
        <v>10/20/1931</v>
      </c>
      <c r="H792" s="56">
        <f>Data!H791</f>
        <v>44574</v>
      </c>
      <c r="I792" s="56" t="str">
        <f>Data!I791</f>
        <v>1/14/2022</v>
      </c>
      <c r="J792" s="57">
        <f>Data!J791</f>
        <v>2794.8</v>
      </c>
      <c r="K792" s="58">
        <f t="shared" ca="1" si="13"/>
        <v>125</v>
      </c>
      <c r="L792" s="58">
        <f>Data!M791</f>
        <v>0</v>
      </c>
      <c r="M792" s="37" t="s">
        <v>18</v>
      </c>
      <c r="N792" s="43" t="str">
        <f>VLOOKUP(M792,Table1[#All],3,FALSE)</f>
        <v>Attachments missing, need to submit;</v>
      </c>
      <c r="O792" s="40" t="str">
        <f>VLOOKUP(M792,Table1[#All],4,FALSE)</f>
        <v>Attachments/Info needed?</v>
      </c>
      <c r="P792" s="39" t="s">
        <v>4218</v>
      </c>
      <c r="Q792" s="40" t="str">
        <f>VLOOKUP(M792,Table1[#All],5,FALSE)</f>
        <v>Fax # (If Fax Yes):</v>
      </c>
      <c r="R792" s="79"/>
      <c r="S792" s="40" t="str">
        <f>VLOOKUP(M792,Table1[#All],6,FALSE)</f>
        <v>Call Ref#:</v>
      </c>
      <c r="T792" s="79">
        <v>19275174</v>
      </c>
      <c r="U792" s="40" t="str">
        <f>VLOOKUP(M792,Table1[#All],7,FALSE)</f>
        <v>Cust Rep:</v>
      </c>
      <c r="V792" s="79" t="s">
        <v>4131</v>
      </c>
      <c r="W792" s="40">
        <f>VLOOKUP(M792,Table1[#All],8,FALSE)</f>
        <v>0</v>
      </c>
      <c r="X792" s="79"/>
      <c r="Y792" s="44" t="str">
        <f>VLOOKUP(M792,Table1[#All],2,FALSE)</f>
        <v xml:space="preserve">Task Sub Pending Claims Queue </v>
      </c>
      <c r="Z792" s="59" t="str">
        <f>VLOOKUP(M792,Table1[#All],9,FALSE)</f>
        <v>Additional Notes:</v>
      </c>
      <c r="AA792" s="76" t="s">
        <v>4220</v>
      </c>
      <c r="AB792" s="76" t="s">
        <v>3697</v>
      </c>
      <c r="AC792" s="90" t="s">
        <v>185</v>
      </c>
      <c r="AD792" s="76" t="s">
        <v>177</v>
      </c>
      <c r="AE792" s="77" t="s">
        <v>4127</v>
      </c>
      <c r="AF792" s="110">
        <v>44693</v>
      </c>
      <c r="AG792" s="41" t="s">
        <v>101</v>
      </c>
    </row>
    <row r="793" spans="1:33" ht="42" hidden="1" x14ac:dyDescent="0.55000000000000004">
      <c r="A793" s="44" t="str">
        <f>Data!K792</f>
        <v>Forward Health</v>
      </c>
      <c r="B793" s="44" t="str">
        <f>Data!L792</f>
        <v>8009479627</v>
      </c>
      <c r="C793" s="44" t="str">
        <f>Data!D792</f>
        <v>Belongia , Shelly</v>
      </c>
      <c r="D793" s="82" t="str">
        <f>Data!F792</f>
        <v>0400701502</v>
      </c>
      <c r="E793" s="82" t="str">
        <f>Data!B792</f>
        <v>8585</v>
      </c>
      <c r="F793" s="44" t="str">
        <f>Data!A792</f>
        <v>Belongia , Shelly</v>
      </c>
      <c r="G793" s="55" t="str">
        <f>Data!C792</f>
        <v>9/10/1977</v>
      </c>
      <c r="H793" s="56">
        <f>Data!H792</f>
        <v>44540</v>
      </c>
      <c r="I793" s="56" t="str">
        <f>Data!I792</f>
        <v>12/12/2021</v>
      </c>
      <c r="J793" s="57">
        <f>Data!J792</f>
        <v>414</v>
      </c>
      <c r="K793" s="58">
        <f t="shared" ca="1" si="13"/>
        <v>158</v>
      </c>
      <c r="L793" s="58">
        <f>Data!M792</f>
        <v>0</v>
      </c>
      <c r="M793" s="37" t="s">
        <v>30</v>
      </c>
      <c r="N793" s="43" t="str">
        <f>VLOOKUP(M793,Table1[#All],3,FALSE)</f>
        <v>Claim not on file. Patient is active ;</v>
      </c>
      <c r="O793" s="40" t="str">
        <f>VLOOKUP(M793,Table1[#All],4,FALSE)</f>
        <v>Payor ID &amp; Address:</v>
      </c>
      <c r="P793" s="39" t="s">
        <v>3921</v>
      </c>
      <c r="Q793" s="40" t="str">
        <f>VLOOKUP(M793,Table1[#All],5,FALSE)</f>
        <v>Fax # (If Fax Yes):</v>
      </c>
      <c r="R793" s="79"/>
      <c r="S793" s="40" t="str">
        <f>VLOOKUP(M793,Table1[#All],6,FALSE)</f>
        <v>TFL in Mnths:</v>
      </c>
      <c r="T793" s="79" t="s">
        <v>3923</v>
      </c>
      <c r="U793" s="40" t="str">
        <f>VLOOKUP(M793,Table1[#All],7,FALSE)</f>
        <v>Call Ref#:</v>
      </c>
      <c r="V793" s="79">
        <v>19123065</v>
      </c>
      <c r="W793" s="40" t="str">
        <f>VLOOKUP(M793,Table1[#All],8,FALSE)</f>
        <v>Cust Rep:</v>
      </c>
      <c r="X793" s="79" t="s">
        <v>3950</v>
      </c>
      <c r="Y793" s="44" t="str">
        <f>VLOOKUP(M793,Table1[#All],2,FALSE)</f>
        <v>Task Sub Pending Claims Queue</v>
      </c>
      <c r="Z793" s="59" t="str">
        <f>VLOOKUP(M793,Table1[#All],9,FALSE)</f>
        <v>Additional Notes:</v>
      </c>
      <c r="AA793" s="76" t="s">
        <v>3951</v>
      </c>
      <c r="AB793" s="76" t="s">
        <v>3697</v>
      </c>
      <c r="AC793" s="90" t="s">
        <v>185</v>
      </c>
      <c r="AD793" s="76" t="s">
        <v>177</v>
      </c>
      <c r="AE793" s="77" t="s">
        <v>3776</v>
      </c>
      <c r="AF793" s="110">
        <v>44638</v>
      </c>
      <c r="AG793" s="41" t="s">
        <v>101</v>
      </c>
    </row>
    <row r="794" spans="1:33" ht="42" x14ac:dyDescent="0.55000000000000004">
      <c r="A794" s="44" t="str">
        <f>Data!K793</f>
        <v>Forward Health</v>
      </c>
      <c r="B794" s="44" t="str">
        <f>Data!L793</f>
        <v>8009479627</v>
      </c>
      <c r="C794" s="44" t="str">
        <f>Data!D793</f>
        <v>Saldana, Ricardo</v>
      </c>
      <c r="D794" s="82" t="str">
        <f>Data!F793</f>
        <v>4404678541</v>
      </c>
      <c r="E794" s="82" t="str">
        <f>Data!B793</f>
        <v>7143</v>
      </c>
      <c r="F794" s="44" t="str">
        <f>Data!A793</f>
        <v>Saldana, Ricardo</v>
      </c>
      <c r="G794" s="55" t="str">
        <f>Data!C793</f>
        <v>8/15/1990</v>
      </c>
      <c r="H794" s="56">
        <f>Data!H793</f>
        <v>44518</v>
      </c>
      <c r="I794" s="56" t="str">
        <f>Data!I793</f>
        <v>12/11/2021</v>
      </c>
      <c r="J794" s="57">
        <f>Data!J793</f>
        <v>84</v>
      </c>
      <c r="K794" s="58">
        <f t="shared" ca="1" si="13"/>
        <v>159</v>
      </c>
      <c r="L794" s="58">
        <f>Data!M793</f>
        <v>0</v>
      </c>
      <c r="M794" s="37" t="s">
        <v>30</v>
      </c>
      <c r="N794" s="43" t="str">
        <f>VLOOKUP(M794,Table1[#All],3,FALSE)</f>
        <v>Claim not on file. Patient is active ;</v>
      </c>
      <c r="O794" s="40" t="str">
        <f>VLOOKUP(M794,Table1[#All],4,FALSE)</f>
        <v>Payor ID &amp; Address:</v>
      </c>
      <c r="P794" s="39" t="s">
        <v>3921</v>
      </c>
      <c r="Q794" s="40" t="str">
        <f>VLOOKUP(M794,Table1[#All],5,FALSE)</f>
        <v>Fax # (If Fax Yes):</v>
      </c>
      <c r="R794" s="79"/>
      <c r="S794" s="40" t="str">
        <f>VLOOKUP(M794,Table1[#All],6,FALSE)</f>
        <v>TFL in Mnths:</v>
      </c>
      <c r="T794" s="79" t="s">
        <v>3923</v>
      </c>
      <c r="U794" s="40" t="str">
        <f>VLOOKUP(M794,Table1[#All],7,FALSE)</f>
        <v>Call Ref#:</v>
      </c>
      <c r="V794" s="79">
        <v>19123065</v>
      </c>
      <c r="W794" s="40" t="str">
        <f>VLOOKUP(M794,Table1[#All],8,FALSE)</f>
        <v>Cust Rep:</v>
      </c>
      <c r="X794" s="79" t="s">
        <v>3950</v>
      </c>
      <c r="Y794" s="44" t="str">
        <f>VLOOKUP(M794,Table1[#All],2,FALSE)</f>
        <v>Task Sub Pending Claims Queue</v>
      </c>
      <c r="Z794" s="59" t="str">
        <f>VLOOKUP(M794,Table1[#All],9,FALSE)</f>
        <v>Additional Notes:</v>
      </c>
      <c r="AA794" s="76" t="s">
        <v>3951</v>
      </c>
      <c r="AB794" s="76" t="s">
        <v>3697</v>
      </c>
      <c r="AC794" s="90" t="s">
        <v>185</v>
      </c>
      <c r="AD794" s="76" t="s">
        <v>177</v>
      </c>
      <c r="AE794" s="77" t="s">
        <v>3776</v>
      </c>
      <c r="AF794" s="110">
        <v>44638</v>
      </c>
      <c r="AG794" s="41" t="s">
        <v>100</v>
      </c>
    </row>
    <row r="795" spans="1:33" ht="33" hidden="1" x14ac:dyDescent="0.55000000000000004">
      <c r="A795" s="44" t="str">
        <f>Data!K794</f>
        <v>Forward Health</v>
      </c>
      <c r="B795" s="44" t="str">
        <f>Data!L794</f>
        <v>8009479627</v>
      </c>
      <c r="C795" s="44" t="str">
        <f>Data!D794</f>
        <v>Saldana, Ricardo</v>
      </c>
      <c r="D795" s="82" t="str">
        <f>Data!F794</f>
        <v>4404678541</v>
      </c>
      <c r="E795" s="82" t="str">
        <f>Data!B794</f>
        <v>7143</v>
      </c>
      <c r="F795" s="44" t="str">
        <f>Data!A794</f>
        <v>Saldana, Ricardo</v>
      </c>
      <c r="G795" s="55" t="str">
        <f>Data!C794</f>
        <v>8/15/1990</v>
      </c>
      <c r="H795" s="56">
        <f>Data!H794</f>
        <v>44512</v>
      </c>
      <c r="I795" s="56" t="str">
        <f>Data!I794</f>
        <v>12/11/2021</v>
      </c>
      <c r="J795" s="57">
        <f>Data!J794</f>
        <v>244.8</v>
      </c>
      <c r="K795" s="58">
        <f t="shared" ca="1" si="13"/>
        <v>159</v>
      </c>
      <c r="L795" s="58">
        <f>Data!M794</f>
        <v>0</v>
      </c>
      <c r="M795" s="37" t="s">
        <v>95</v>
      </c>
      <c r="N795" s="43" t="str">
        <f>VLOOKUP(M795,Table1[#All],3,FALSE)</f>
        <v>Write information in Addl Notes</v>
      </c>
      <c r="O795" s="40" t="str">
        <f>VLOOKUP(M795,Table1[#All],4,FALSE)</f>
        <v>Call Ref#:</v>
      </c>
      <c r="P795" s="79" t="s">
        <v>3949</v>
      </c>
      <c r="Q795" s="40" t="str">
        <f>VLOOKUP(M795,Table1[#All],5,FALSE)</f>
        <v>Cust Rep:</v>
      </c>
      <c r="R795" s="79" t="s">
        <v>4221</v>
      </c>
      <c r="S795" s="40">
        <f>VLOOKUP(M795,Table1[#All],6,FALSE)</f>
        <v>0</v>
      </c>
      <c r="T795" s="79"/>
      <c r="U795" s="40" t="str">
        <f>VLOOKUP(M795,Table1[#All],7,FALSE)</f>
        <v xml:space="preserve"> </v>
      </c>
      <c r="V795" s="79"/>
      <c r="W795" s="40" t="str">
        <f>VLOOKUP(M795,Table1[#All],8,FALSE)</f>
        <v xml:space="preserve"> </v>
      </c>
      <c r="X795" s="79"/>
      <c r="Y795" s="44" t="str">
        <f>VLOOKUP(M795,Table1[#All],2,FALSE)</f>
        <v xml:space="preserve"> Team Lead to review &amp; Follow-Up</v>
      </c>
      <c r="Z795" s="59" t="str">
        <f>VLOOKUP(M795,Table1[#All],9,FALSE)</f>
        <v>Additional Notes:</v>
      </c>
      <c r="AA795" s="76" t="s">
        <v>4222</v>
      </c>
      <c r="AB795" s="76" t="s">
        <v>3697</v>
      </c>
      <c r="AC795" s="90" t="s">
        <v>115</v>
      </c>
      <c r="AD795" s="76" t="s">
        <v>177</v>
      </c>
      <c r="AE795" s="77" t="s">
        <v>3770</v>
      </c>
      <c r="AF795" s="110">
        <v>44665</v>
      </c>
      <c r="AG795" s="41" t="s">
        <v>101</v>
      </c>
    </row>
    <row r="796" spans="1:33" ht="21" hidden="1" customHeight="1" x14ac:dyDescent="0.55000000000000004">
      <c r="A796" s="44" t="str">
        <f>Data!K795</f>
        <v>Forward Health</v>
      </c>
      <c r="B796" s="44" t="str">
        <f>Data!L795</f>
        <v>8009479627</v>
      </c>
      <c r="C796" s="44" t="str">
        <f>Data!D795</f>
        <v xml:space="preserve">Zamora , Jill </v>
      </c>
      <c r="D796" s="82" t="str">
        <f>Data!F795</f>
        <v>4419123940</v>
      </c>
      <c r="E796" s="82" t="str">
        <f>Data!B795</f>
        <v>8198</v>
      </c>
      <c r="F796" s="44" t="str">
        <f>Data!A795</f>
        <v xml:space="preserve">Zamora , Jill </v>
      </c>
      <c r="G796" s="55" t="str">
        <f>Data!C795</f>
        <v>5/20/1963</v>
      </c>
      <c r="H796" s="56">
        <f>Data!H795</f>
        <v>44529</v>
      </c>
      <c r="I796" s="56" t="str">
        <f>Data!I795</f>
        <v>12/1/2021</v>
      </c>
      <c r="J796" s="57">
        <f>Data!J795</f>
        <v>690</v>
      </c>
      <c r="K796" s="58">
        <f t="shared" ca="1" si="13"/>
        <v>169</v>
      </c>
      <c r="L796" s="58">
        <f>Data!M795</f>
        <v>0</v>
      </c>
      <c r="M796" s="37" t="s">
        <v>5</v>
      </c>
      <c r="N796" s="43" t="str">
        <f>VLOOKUP(M796,Table1[#All],3,FALSE)</f>
        <v>Claim Paid by EFT;</v>
      </c>
      <c r="O796" s="40" t="str">
        <f>VLOOKUP(M796,Table1[#All],4,FALSE)</f>
        <v>Issue Date:</v>
      </c>
      <c r="P796" s="38">
        <v>44533</v>
      </c>
      <c r="Q796" s="40" t="str">
        <f>VLOOKUP(M796,Table1[#All],5,FALSE)</f>
        <v>EFT#</v>
      </c>
      <c r="R796" s="79">
        <v>2021336004590</v>
      </c>
      <c r="S796" s="40" t="str">
        <f>VLOOKUP(M796,Table1[#All],6,FALSE)</f>
        <v>Bulk/Sep:</v>
      </c>
      <c r="T796" s="79"/>
      <c r="U796" s="40" t="str">
        <f>VLOOKUP(M796,Table1[#All],7,FALSE)</f>
        <v>Call Ref#:</v>
      </c>
      <c r="V796" s="79" t="s">
        <v>3797</v>
      </c>
      <c r="W796" s="40" t="str">
        <f>VLOOKUP(M796,Table1[#All],8,FALSE)</f>
        <v>Cust Rep:</v>
      </c>
      <c r="X796" s="79"/>
      <c r="Y796" s="44" t="str">
        <f>VLOOKUP(M796,Table1[#All],2,FALSE)</f>
        <v xml:space="preserve">Task Post Pmt Queue </v>
      </c>
      <c r="Z796" s="59" t="str">
        <f>VLOOKUP(M796,Table1[#All],9,FALSE)</f>
        <v>Additional Notes:</v>
      </c>
      <c r="AA796" s="76" t="s">
        <v>3948</v>
      </c>
      <c r="AB796" s="76" t="s">
        <v>3697</v>
      </c>
      <c r="AC796" s="90" t="s">
        <v>115</v>
      </c>
      <c r="AD796" s="76" t="s">
        <v>177</v>
      </c>
      <c r="AE796" s="77" t="s">
        <v>3776</v>
      </c>
      <c r="AF796" s="123">
        <v>44627</v>
      </c>
      <c r="AG796" s="41" t="s">
        <v>101</v>
      </c>
    </row>
    <row r="797" spans="1:33" ht="21" hidden="1" x14ac:dyDescent="0.55000000000000004">
      <c r="A797" s="44" t="str">
        <f>Data!K796</f>
        <v>Forward Health</v>
      </c>
      <c r="B797" s="44" t="str">
        <f>Data!L796</f>
        <v>8009479627</v>
      </c>
      <c r="C797" s="44" t="str">
        <f>Data!D796</f>
        <v xml:space="preserve">Mueller , Anthony </v>
      </c>
      <c r="D797" s="82" t="str">
        <f>Data!F796</f>
        <v>9427738294</v>
      </c>
      <c r="E797" s="82" t="str">
        <f>Data!B796</f>
        <v>7041</v>
      </c>
      <c r="F797" s="44" t="str">
        <f>Data!A796</f>
        <v xml:space="preserve">Mueller , Anthony </v>
      </c>
      <c r="G797" s="55" t="str">
        <f>Data!C796</f>
        <v>7/28/1970</v>
      </c>
      <c r="H797" s="56">
        <f>Data!H796</f>
        <v>44515</v>
      </c>
      <c r="I797" s="56" t="str">
        <f>Data!I796</f>
        <v>11/18/2021</v>
      </c>
      <c r="J797" s="57">
        <f>Data!J796</f>
        <v>702</v>
      </c>
      <c r="K797" s="58">
        <f t="shared" ca="1" si="13"/>
        <v>182</v>
      </c>
      <c r="L797" s="58">
        <f>Data!M796</f>
        <v>0</v>
      </c>
      <c r="M797" s="37" t="s">
        <v>5</v>
      </c>
      <c r="N797" s="43" t="str">
        <f>VLOOKUP(M797,Table1[#All],3,FALSE)</f>
        <v>Claim Paid by EFT;</v>
      </c>
      <c r="O797" s="40" t="str">
        <f>VLOOKUP(M797,Table1[#All],4,FALSE)</f>
        <v>Issue Date:</v>
      </c>
      <c r="P797" s="39"/>
      <c r="Q797" s="40" t="str">
        <f>VLOOKUP(M797,Table1[#All],5,FALSE)</f>
        <v>EFT#</v>
      </c>
      <c r="R797" s="79"/>
      <c r="S797" s="40" t="str">
        <f>VLOOKUP(M797,Table1[#All],6,FALSE)</f>
        <v>Bulk/Sep:</v>
      </c>
      <c r="T797" s="79"/>
      <c r="U797" s="40" t="str">
        <f>VLOOKUP(M797,Table1[#All],7,FALSE)</f>
        <v>Call Ref#:</v>
      </c>
      <c r="V797" s="79"/>
      <c r="W797" s="40" t="str">
        <f>VLOOKUP(M797,Table1[#All],8,FALSE)</f>
        <v>Cust Rep:</v>
      </c>
      <c r="X797" s="79"/>
      <c r="Y797" s="44" t="str">
        <f>VLOOKUP(M797,Table1[#All],2,FALSE)</f>
        <v xml:space="preserve">Task Post Pmt Queue </v>
      </c>
      <c r="Z797" s="59" t="str">
        <f>VLOOKUP(M797,Table1[#All],9,FALSE)</f>
        <v>Additional Notes:</v>
      </c>
      <c r="AA797" s="76" t="s">
        <v>3947</v>
      </c>
      <c r="AB797" s="76" t="s">
        <v>3697</v>
      </c>
      <c r="AC797" s="90" t="s">
        <v>115</v>
      </c>
      <c r="AD797" s="76" t="s">
        <v>177</v>
      </c>
      <c r="AE797" s="77" t="s">
        <v>3698</v>
      </c>
      <c r="AF797" s="110">
        <v>44620</v>
      </c>
      <c r="AG797" s="41" t="s">
        <v>101</v>
      </c>
    </row>
    <row r="798" spans="1:33" ht="21" hidden="1" x14ac:dyDescent="0.55000000000000004">
      <c r="A798" s="44" t="str">
        <f>Data!K797</f>
        <v>Forward Health</v>
      </c>
      <c r="B798" s="44" t="str">
        <f>Data!L797</f>
        <v>8009479627</v>
      </c>
      <c r="C798" s="44" t="str">
        <f>Data!D797</f>
        <v>Whiting , Meikala</v>
      </c>
      <c r="D798" s="82" t="str">
        <f>Data!F797</f>
        <v>4453877242</v>
      </c>
      <c r="E798" s="82" t="str">
        <f>Data!B797</f>
        <v>2589</v>
      </c>
      <c r="F798" s="44" t="str">
        <f>Data!A797</f>
        <v>Whiting , Meikala</v>
      </c>
      <c r="G798" s="55" t="str">
        <f>Data!C797</f>
        <v>10/31/2018</v>
      </c>
      <c r="H798" s="56">
        <f>Data!H797</f>
        <v>44511</v>
      </c>
      <c r="I798" s="56" t="str">
        <f>Data!I797</f>
        <v>11/12/2021</v>
      </c>
      <c r="J798" s="57">
        <f>Data!J797</f>
        <v>138</v>
      </c>
      <c r="K798" s="58">
        <f t="shared" ca="1" si="13"/>
        <v>188</v>
      </c>
      <c r="L798" s="58">
        <f>Data!M797</f>
        <v>0</v>
      </c>
      <c r="M798" s="37" t="s">
        <v>5</v>
      </c>
      <c r="N798" s="43" t="str">
        <f>VLOOKUP(M798,Table1[#All],3,FALSE)</f>
        <v>Claim Paid by EFT;</v>
      </c>
      <c r="O798" s="40" t="str">
        <f>VLOOKUP(M798,Table1[#All],4,FALSE)</f>
        <v>Issue Date:</v>
      </c>
      <c r="P798" s="38">
        <v>44519</v>
      </c>
      <c r="Q798" s="40" t="str">
        <f>VLOOKUP(M798,Table1[#All],5,FALSE)</f>
        <v>EFT#</v>
      </c>
      <c r="R798" s="79">
        <v>2021320019257</v>
      </c>
      <c r="S798" s="40" t="str">
        <f>VLOOKUP(M798,Table1[#All],6,FALSE)</f>
        <v>Bulk/Sep:</v>
      </c>
      <c r="T798" s="79"/>
      <c r="U798" s="40" t="str">
        <f>VLOOKUP(M798,Table1[#All],7,FALSE)</f>
        <v>Call Ref#:</v>
      </c>
      <c r="V798" s="79" t="s">
        <v>3797</v>
      </c>
      <c r="W798" s="40" t="str">
        <f>VLOOKUP(M798,Table1[#All],8,FALSE)</f>
        <v>Cust Rep:</v>
      </c>
      <c r="X798" s="79"/>
      <c r="Y798" s="44" t="str">
        <f>VLOOKUP(M798,Table1[#All],2,FALSE)</f>
        <v xml:space="preserve">Task Post Pmt Queue </v>
      </c>
      <c r="Z798" s="59" t="str">
        <f>VLOOKUP(M798,Table1[#All],9,FALSE)</f>
        <v>Additional Notes:</v>
      </c>
      <c r="AA798" s="76" t="s">
        <v>3946</v>
      </c>
      <c r="AB798" s="76" t="s">
        <v>3697</v>
      </c>
      <c r="AC798" s="90" t="s">
        <v>115</v>
      </c>
      <c r="AD798" s="76" t="s">
        <v>177</v>
      </c>
      <c r="AE798" s="77" t="s">
        <v>3776</v>
      </c>
      <c r="AF798" s="123">
        <v>44627</v>
      </c>
      <c r="AG798" s="41" t="s">
        <v>101</v>
      </c>
    </row>
    <row r="799" spans="1:33" ht="21" hidden="1" x14ac:dyDescent="0.55000000000000004">
      <c r="A799" s="44" t="str">
        <f>Data!K798</f>
        <v>Forward Health</v>
      </c>
      <c r="B799" s="44" t="str">
        <f>Data!L798</f>
        <v>8009479627</v>
      </c>
      <c r="C799" s="44" t="str">
        <f>Data!D798</f>
        <v>Whiting, Karmen</v>
      </c>
      <c r="D799" s="82" t="str">
        <f>Data!F798</f>
        <v>7448283171</v>
      </c>
      <c r="E799" s="82" t="str">
        <f>Data!B798</f>
        <v>2582</v>
      </c>
      <c r="F799" s="44" t="str">
        <f>Data!A798</f>
        <v>Whiting, Karmen</v>
      </c>
      <c r="G799" s="55" t="str">
        <f>Data!C798</f>
        <v>1/7/2015</v>
      </c>
      <c r="H799" s="56">
        <f>Data!H798</f>
        <v>44511</v>
      </c>
      <c r="I799" s="56" t="str">
        <f>Data!I798</f>
        <v>11/12/2021</v>
      </c>
      <c r="J799" s="57">
        <f>Data!J798</f>
        <v>227.6</v>
      </c>
      <c r="K799" s="58">
        <f t="shared" ca="1" si="13"/>
        <v>188</v>
      </c>
      <c r="L799" s="58">
        <f>Data!M798</f>
        <v>0</v>
      </c>
      <c r="M799" s="37" t="s">
        <v>5</v>
      </c>
      <c r="N799" s="43" t="str">
        <f>VLOOKUP(M799,Table1[#All],3,FALSE)</f>
        <v>Claim Paid by EFT;</v>
      </c>
      <c r="O799" s="40" t="str">
        <f>VLOOKUP(M799,Table1[#All],4,FALSE)</f>
        <v>Issue Date:</v>
      </c>
      <c r="P799" s="38">
        <v>44519</v>
      </c>
      <c r="Q799" s="40" t="str">
        <f>VLOOKUP(M799,Table1[#All],5,FALSE)</f>
        <v>EFT#</v>
      </c>
      <c r="R799" s="79">
        <v>2021320019298</v>
      </c>
      <c r="S799" s="40" t="str">
        <f>VLOOKUP(M799,Table1[#All],6,FALSE)</f>
        <v>Bulk/Sep:</v>
      </c>
      <c r="T799" s="79"/>
      <c r="U799" s="40" t="str">
        <f>VLOOKUP(M799,Table1[#All],7,FALSE)</f>
        <v>Call Ref#:</v>
      </c>
      <c r="V799" s="79" t="s">
        <v>3797</v>
      </c>
      <c r="W799" s="40" t="str">
        <f>VLOOKUP(M799,Table1[#All],8,FALSE)</f>
        <v>Cust Rep:</v>
      </c>
      <c r="X799" s="79"/>
      <c r="Y799" s="44" t="str">
        <f>VLOOKUP(M799,Table1[#All],2,FALSE)</f>
        <v xml:space="preserve">Task Post Pmt Queue </v>
      </c>
      <c r="Z799" s="59" t="str">
        <f>VLOOKUP(M799,Table1[#All],9,FALSE)</f>
        <v>Additional Notes:</v>
      </c>
      <c r="AA799" s="76" t="s">
        <v>3945</v>
      </c>
      <c r="AB799" s="76" t="s">
        <v>3697</v>
      </c>
      <c r="AC799" s="90" t="s">
        <v>115</v>
      </c>
      <c r="AD799" s="76" t="s">
        <v>177</v>
      </c>
      <c r="AE799" s="77" t="s">
        <v>3776</v>
      </c>
      <c r="AF799" s="123">
        <v>44627</v>
      </c>
      <c r="AG799" s="41" t="s">
        <v>101</v>
      </c>
    </row>
    <row r="800" spans="1:33" ht="21" hidden="1" x14ac:dyDescent="0.55000000000000004">
      <c r="A800" s="44" t="str">
        <f>Data!K799</f>
        <v>Forward Health</v>
      </c>
      <c r="B800" s="44" t="str">
        <f>Data!L799</f>
        <v>8009479627</v>
      </c>
      <c r="C800" s="44" t="str">
        <f>Data!D799</f>
        <v>Verdejo, Amelia</v>
      </c>
      <c r="D800" s="82" t="str">
        <f>Data!F799</f>
        <v>5402897956</v>
      </c>
      <c r="E800" s="82" t="str">
        <f>Data!B799</f>
        <v>7370</v>
      </c>
      <c r="F800" s="44" t="str">
        <f>Data!A799</f>
        <v>Verdejo, Amelia</v>
      </c>
      <c r="G800" s="55" t="str">
        <f>Data!C799</f>
        <v>3/31/1941</v>
      </c>
      <c r="H800" s="56">
        <f>Data!H799</f>
        <v>44510</v>
      </c>
      <c r="I800" s="56" t="str">
        <f>Data!I799</f>
        <v>11/12/2021</v>
      </c>
      <c r="J800" s="57">
        <f>Data!J799</f>
        <v>82.8</v>
      </c>
      <c r="K800" s="58">
        <f t="shared" ca="1" si="13"/>
        <v>188</v>
      </c>
      <c r="L800" s="58">
        <f>Data!M799</f>
        <v>0</v>
      </c>
      <c r="M800" s="37" t="s">
        <v>5</v>
      </c>
      <c r="N800" s="43" t="str">
        <f>VLOOKUP(M800,Table1[#All],3,FALSE)</f>
        <v>Claim Paid by EFT;</v>
      </c>
      <c r="O800" s="40" t="str">
        <f>VLOOKUP(M800,Table1[#All],4,FALSE)</f>
        <v>Issue Date:</v>
      </c>
      <c r="P800" s="38">
        <v>44519</v>
      </c>
      <c r="Q800" s="40" t="str">
        <f>VLOOKUP(M800,Table1[#All],5,FALSE)</f>
        <v>EFT#</v>
      </c>
      <c r="R800" s="79">
        <v>2021320019317</v>
      </c>
      <c r="S800" s="40" t="str">
        <f>VLOOKUP(M800,Table1[#All],6,FALSE)</f>
        <v>Bulk/Sep:</v>
      </c>
      <c r="T800" s="79"/>
      <c r="U800" s="40" t="str">
        <f>VLOOKUP(M800,Table1[#All],7,FALSE)</f>
        <v>Call Ref#:</v>
      </c>
      <c r="V800" s="79" t="s">
        <v>3797</v>
      </c>
      <c r="W800" s="40" t="str">
        <f>VLOOKUP(M800,Table1[#All],8,FALSE)</f>
        <v>Cust Rep:</v>
      </c>
      <c r="X800" s="79"/>
      <c r="Y800" s="44" t="str">
        <f>VLOOKUP(M800,Table1[#All],2,FALSE)</f>
        <v xml:space="preserve">Task Post Pmt Queue </v>
      </c>
      <c r="Z800" s="59" t="str">
        <f>VLOOKUP(M800,Table1[#All],9,FALSE)</f>
        <v>Additional Notes:</v>
      </c>
      <c r="AA800" s="76" t="s">
        <v>3944</v>
      </c>
      <c r="AB800" s="76" t="s">
        <v>3697</v>
      </c>
      <c r="AC800" s="90" t="s">
        <v>115</v>
      </c>
      <c r="AD800" s="76" t="s">
        <v>177</v>
      </c>
      <c r="AE800" s="77" t="s">
        <v>3776</v>
      </c>
      <c r="AF800" s="123">
        <v>44627</v>
      </c>
      <c r="AG800" s="41" t="s">
        <v>101</v>
      </c>
    </row>
    <row r="801" spans="1:33" ht="21" hidden="1" x14ac:dyDescent="0.55000000000000004">
      <c r="A801" s="44" t="str">
        <f>Data!K800</f>
        <v>Forward Health</v>
      </c>
      <c r="B801" s="44" t="str">
        <f>Data!L800</f>
        <v>8009479627</v>
      </c>
      <c r="C801" s="44" t="str">
        <f>Data!D800</f>
        <v>MIAN, OMAR</v>
      </c>
      <c r="D801" s="82" t="str">
        <f>Data!F800</f>
        <v>0408608706</v>
      </c>
      <c r="E801" s="82" t="str">
        <f>Data!B800</f>
        <v>3732</v>
      </c>
      <c r="F801" s="44" t="str">
        <f>Data!A800</f>
        <v>MIAN, OMAR</v>
      </c>
      <c r="G801" s="55" t="str">
        <f>Data!C800</f>
        <v>2/17/2001</v>
      </c>
      <c r="H801" s="56">
        <f>Data!H800</f>
        <v>44510</v>
      </c>
      <c r="I801" s="56" t="str">
        <f>Data!I800</f>
        <v>11/12/2021</v>
      </c>
      <c r="J801" s="57">
        <f>Data!J800</f>
        <v>1046</v>
      </c>
      <c r="K801" s="58">
        <f t="shared" ca="1" si="13"/>
        <v>188</v>
      </c>
      <c r="L801" s="58">
        <f>Data!M800</f>
        <v>0</v>
      </c>
      <c r="M801" s="37" t="s">
        <v>5</v>
      </c>
      <c r="N801" s="43" t="str">
        <f>VLOOKUP(M801,Table1[#All],3,FALSE)</f>
        <v>Claim Paid by EFT;</v>
      </c>
      <c r="O801" s="40" t="str">
        <f>VLOOKUP(M801,Table1[#All],4,FALSE)</f>
        <v>Issue Date:</v>
      </c>
      <c r="P801" s="38">
        <v>44519</v>
      </c>
      <c r="Q801" s="40" t="str">
        <f>VLOOKUP(M801,Table1[#All],5,FALSE)</f>
        <v>EFT#</v>
      </c>
      <c r="R801" s="79">
        <v>2021320019308</v>
      </c>
      <c r="S801" s="40" t="str">
        <f>VLOOKUP(M801,Table1[#All],6,FALSE)</f>
        <v>Bulk/Sep:</v>
      </c>
      <c r="T801" s="79"/>
      <c r="U801" s="40" t="str">
        <f>VLOOKUP(M801,Table1[#All],7,FALSE)</f>
        <v>Call Ref#:</v>
      </c>
      <c r="V801" s="79" t="s">
        <v>3797</v>
      </c>
      <c r="W801" s="40" t="str">
        <f>VLOOKUP(M801,Table1[#All],8,FALSE)</f>
        <v>Cust Rep:</v>
      </c>
      <c r="X801" s="79"/>
      <c r="Y801" s="44" t="str">
        <f>VLOOKUP(M801,Table1[#All],2,FALSE)</f>
        <v xml:space="preserve">Task Post Pmt Queue </v>
      </c>
      <c r="Z801" s="59" t="str">
        <f>VLOOKUP(M801,Table1[#All],9,FALSE)</f>
        <v>Additional Notes:</v>
      </c>
      <c r="AA801" s="76" t="s">
        <v>3943</v>
      </c>
      <c r="AB801" s="76" t="s">
        <v>3697</v>
      </c>
      <c r="AC801" s="90" t="s">
        <v>115</v>
      </c>
      <c r="AD801" s="76" t="s">
        <v>177</v>
      </c>
      <c r="AE801" s="77" t="s">
        <v>3776</v>
      </c>
      <c r="AF801" s="123">
        <v>44627</v>
      </c>
      <c r="AG801" s="41" t="s">
        <v>101</v>
      </c>
    </row>
    <row r="802" spans="1:33" ht="21" hidden="1" x14ac:dyDescent="0.55000000000000004">
      <c r="A802" s="44" t="str">
        <f>Data!K801</f>
        <v>Forward Health</v>
      </c>
      <c r="B802" s="44" t="str">
        <f>Data!L801</f>
        <v>8009479627</v>
      </c>
      <c r="C802" s="44" t="str">
        <f>Data!D801</f>
        <v xml:space="preserve">Rogers , Talva </v>
      </c>
      <c r="D802" s="82" t="str">
        <f>Data!F801</f>
        <v>4447186543</v>
      </c>
      <c r="E802" s="82" t="str">
        <f>Data!B801</f>
        <v>8409</v>
      </c>
      <c r="F802" s="44" t="str">
        <f>Data!A801</f>
        <v xml:space="preserve">Rogers , Talva </v>
      </c>
      <c r="G802" s="55" t="str">
        <f>Data!C801</f>
        <v>11/15/2014</v>
      </c>
      <c r="H802" s="56">
        <f>Data!H801</f>
        <v>44510</v>
      </c>
      <c r="I802" s="56" t="str">
        <f>Data!I801</f>
        <v>11/12/2021</v>
      </c>
      <c r="J802" s="57">
        <f>Data!J801</f>
        <v>797.6</v>
      </c>
      <c r="K802" s="58">
        <f t="shared" ca="1" si="13"/>
        <v>188</v>
      </c>
      <c r="L802" s="58">
        <f>Data!M801</f>
        <v>0</v>
      </c>
      <c r="M802" s="37" t="s">
        <v>5</v>
      </c>
      <c r="N802" s="43" t="str">
        <f>VLOOKUP(M802,Table1[#All],3,FALSE)</f>
        <v>Claim Paid by EFT;</v>
      </c>
      <c r="O802" s="40" t="str">
        <f>VLOOKUP(M802,Table1[#All],4,FALSE)</f>
        <v>Issue Date:</v>
      </c>
      <c r="P802" s="38">
        <v>44519</v>
      </c>
      <c r="Q802" s="40" t="str">
        <f>VLOOKUP(M802,Table1[#All],5,FALSE)</f>
        <v>EFT#</v>
      </c>
      <c r="R802" s="79">
        <v>2021320019260</v>
      </c>
      <c r="S802" s="40" t="str">
        <f>VLOOKUP(M802,Table1[#All],6,FALSE)</f>
        <v>Bulk/Sep:</v>
      </c>
      <c r="T802" s="79"/>
      <c r="U802" s="40" t="str">
        <f>VLOOKUP(M802,Table1[#All],7,FALSE)</f>
        <v>Call Ref#:</v>
      </c>
      <c r="V802" s="79" t="s">
        <v>3797</v>
      </c>
      <c r="W802" s="40" t="str">
        <f>VLOOKUP(M802,Table1[#All],8,FALSE)</f>
        <v>Cust Rep:</v>
      </c>
      <c r="X802" s="79"/>
      <c r="Y802" s="44" t="str">
        <f>VLOOKUP(M802,Table1[#All],2,FALSE)</f>
        <v xml:space="preserve">Task Post Pmt Queue </v>
      </c>
      <c r="Z802" s="59" t="str">
        <f>VLOOKUP(M802,Table1[#All],9,FALSE)</f>
        <v>Additional Notes:</v>
      </c>
      <c r="AA802" s="76" t="s">
        <v>3942</v>
      </c>
      <c r="AB802" s="76" t="s">
        <v>3697</v>
      </c>
      <c r="AC802" s="90" t="s">
        <v>115</v>
      </c>
      <c r="AD802" s="76" t="s">
        <v>177</v>
      </c>
      <c r="AE802" s="77" t="s">
        <v>3776</v>
      </c>
      <c r="AF802" s="123">
        <v>44627</v>
      </c>
      <c r="AG802" s="41" t="s">
        <v>101</v>
      </c>
    </row>
    <row r="803" spans="1:33" ht="21" hidden="1" x14ac:dyDescent="0.55000000000000004">
      <c r="A803" s="44" t="str">
        <f>Data!K802</f>
        <v>Forward Health</v>
      </c>
      <c r="B803" s="44" t="str">
        <f>Data!L802</f>
        <v>8009479627</v>
      </c>
      <c r="C803" s="44" t="str">
        <f>Data!D802</f>
        <v xml:space="preserve">Bass Hunter , Kaden </v>
      </c>
      <c r="D803" s="82" t="str">
        <f>Data!F802</f>
        <v>2458043828</v>
      </c>
      <c r="E803" s="82" t="str">
        <f>Data!B802</f>
        <v>8383</v>
      </c>
      <c r="F803" s="44" t="str">
        <f>Data!A802</f>
        <v xml:space="preserve">Bass Hunter , Kaden </v>
      </c>
      <c r="G803" s="55" t="str">
        <f>Data!C802</f>
        <v>8/13/2003</v>
      </c>
      <c r="H803" s="56">
        <f>Data!H802</f>
        <v>44510</v>
      </c>
      <c r="I803" s="56" t="str">
        <f>Data!I802</f>
        <v>11/12/2021</v>
      </c>
      <c r="J803" s="57">
        <f>Data!J802</f>
        <v>654.79999999999995</v>
      </c>
      <c r="K803" s="58">
        <f t="shared" ca="1" si="13"/>
        <v>188</v>
      </c>
      <c r="L803" s="58">
        <f>Data!M802</f>
        <v>0</v>
      </c>
      <c r="M803" s="37" t="s">
        <v>5</v>
      </c>
      <c r="N803" s="43" t="str">
        <f>VLOOKUP(M803,Table1[#All],3,FALSE)</f>
        <v>Claim Paid by EFT;</v>
      </c>
      <c r="O803" s="40" t="str">
        <f>VLOOKUP(M803,Table1[#All],4,FALSE)</f>
        <v>Issue Date:</v>
      </c>
      <c r="P803" s="38">
        <v>44519</v>
      </c>
      <c r="Q803" s="40" t="str">
        <f>VLOOKUP(M803,Table1[#All],5,FALSE)</f>
        <v>EFT#</v>
      </c>
      <c r="R803" s="79">
        <v>2021320019231</v>
      </c>
      <c r="S803" s="40" t="str">
        <f>VLOOKUP(M803,Table1[#All],6,FALSE)</f>
        <v>Bulk/Sep:</v>
      </c>
      <c r="T803" s="79"/>
      <c r="U803" s="40" t="str">
        <f>VLOOKUP(M803,Table1[#All],7,FALSE)</f>
        <v>Call Ref#:</v>
      </c>
      <c r="V803" s="79" t="s">
        <v>3797</v>
      </c>
      <c r="W803" s="40" t="str">
        <f>VLOOKUP(M803,Table1[#All],8,FALSE)</f>
        <v>Cust Rep:</v>
      </c>
      <c r="X803" s="79"/>
      <c r="Y803" s="44" t="str">
        <f>VLOOKUP(M803,Table1[#All],2,FALSE)</f>
        <v xml:space="preserve">Task Post Pmt Queue </v>
      </c>
      <c r="Z803" s="59" t="str">
        <f>VLOOKUP(M803,Table1[#All],9,FALSE)</f>
        <v>Additional Notes:</v>
      </c>
      <c r="AA803" s="76" t="s">
        <v>3941</v>
      </c>
      <c r="AB803" s="76" t="s">
        <v>3697</v>
      </c>
      <c r="AC803" s="90" t="s">
        <v>115</v>
      </c>
      <c r="AD803" s="76" t="s">
        <v>177</v>
      </c>
      <c r="AE803" s="77" t="s">
        <v>3776</v>
      </c>
      <c r="AF803" s="123">
        <v>44627</v>
      </c>
      <c r="AG803" s="41" t="s">
        <v>101</v>
      </c>
    </row>
    <row r="804" spans="1:33" ht="21" hidden="1" x14ac:dyDescent="0.55000000000000004">
      <c r="A804" s="44" t="str">
        <f>Data!K803</f>
        <v>Forward Health</v>
      </c>
      <c r="B804" s="44" t="str">
        <f>Data!L803</f>
        <v>8009479627</v>
      </c>
      <c r="C804" s="44" t="str">
        <f>Data!D803</f>
        <v>Pacheco Fonseca , Nilsa</v>
      </c>
      <c r="D804" s="82" t="str">
        <f>Data!F803</f>
        <v>3455192335</v>
      </c>
      <c r="E804" s="82" t="str">
        <f>Data!B803</f>
        <v>7238</v>
      </c>
      <c r="F804" s="44" t="str">
        <f>Data!A803</f>
        <v>Pacheco Fonseca , Nilsa</v>
      </c>
      <c r="G804" s="55" t="str">
        <f>Data!C803</f>
        <v>10/25/1974</v>
      </c>
      <c r="H804" s="56">
        <f>Data!H803</f>
        <v>44509</v>
      </c>
      <c r="I804" s="56" t="str">
        <f>Data!I803</f>
        <v>11/12/2021</v>
      </c>
      <c r="J804" s="57">
        <f>Data!J803</f>
        <v>480</v>
      </c>
      <c r="K804" s="58">
        <f t="shared" ca="1" si="13"/>
        <v>188</v>
      </c>
      <c r="L804" s="58">
        <f>Data!M803</f>
        <v>0</v>
      </c>
      <c r="M804" s="37" t="s">
        <v>5</v>
      </c>
      <c r="N804" s="43" t="str">
        <f>VLOOKUP(M804,Table1[#All],3,FALSE)</f>
        <v>Claim Paid by EFT;</v>
      </c>
      <c r="O804" s="40" t="str">
        <f>VLOOKUP(M804,Table1[#All],4,FALSE)</f>
        <v>Issue Date:</v>
      </c>
      <c r="P804" s="38">
        <v>44519</v>
      </c>
      <c r="Q804" s="40" t="str">
        <f>VLOOKUP(M804,Table1[#All],5,FALSE)</f>
        <v>EFT#</v>
      </c>
      <c r="R804" s="79">
        <v>2021320019295</v>
      </c>
      <c r="S804" s="40" t="str">
        <f>VLOOKUP(M804,Table1[#All],6,FALSE)</f>
        <v>Bulk/Sep:</v>
      </c>
      <c r="T804" s="79"/>
      <c r="U804" s="40" t="str">
        <f>VLOOKUP(M804,Table1[#All],7,FALSE)</f>
        <v>Call Ref#:</v>
      </c>
      <c r="V804" s="79" t="s">
        <v>3797</v>
      </c>
      <c r="W804" s="40" t="str">
        <f>VLOOKUP(M804,Table1[#All],8,FALSE)</f>
        <v>Cust Rep:</v>
      </c>
      <c r="X804" s="79"/>
      <c r="Y804" s="44" t="str">
        <f>VLOOKUP(M804,Table1[#All],2,FALSE)</f>
        <v xml:space="preserve">Task Post Pmt Queue </v>
      </c>
      <c r="Z804" s="59" t="str">
        <f>VLOOKUP(M804,Table1[#All],9,FALSE)</f>
        <v>Additional Notes:</v>
      </c>
      <c r="AA804" s="76" t="s">
        <v>3940</v>
      </c>
      <c r="AB804" s="76" t="s">
        <v>3697</v>
      </c>
      <c r="AC804" s="90" t="s">
        <v>115</v>
      </c>
      <c r="AD804" s="76" t="s">
        <v>177</v>
      </c>
      <c r="AE804" s="77" t="s">
        <v>3776</v>
      </c>
      <c r="AF804" s="123">
        <v>44627</v>
      </c>
      <c r="AG804" s="41" t="s">
        <v>101</v>
      </c>
    </row>
    <row r="805" spans="1:33" ht="21" hidden="1" x14ac:dyDescent="0.55000000000000004">
      <c r="A805" s="44" t="str">
        <f>Data!K804</f>
        <v>Forward Health</v>
      </c>
      <c r="B805" s="44" t="str">
        <f>Data!L804</f>
        <v>8009479627</v>
      </c>
      <c r="C805" s="44" t="str">
        <f>Data!D804</f>
        <v xml:space="preserve">Dejesus , Adina </v>
      </c>
      <c r="D805" s="82" t="str">
        <f>Data!F804</f>
        <v>4409814842</v>
      </c>
      <c r="E805" s="82" t="str">
        <f>Data!B804</f>
        <v>8356</v>
      </c>
      <c r="F805" s="44" t="str">
        <f>Data!A804</f>
        <v xml:space="preserve">Dejesus , Adina </v>
      </c>
      <c r="G805" s="55" t="str">
        <f>Data!C804</f>
        <v>12/18/1980</v>
      </c>
      <c r="H805" s="56">
        <f>Data!H804</f>
        <v>44509</v>
      </c>
      <c r="I805" s="56" t="str">
        <f>Data!I804</f>
        <v>11/12/2021</v>
      </c>
      <c r="J805" s="57">
        <f>Data!J804</f>
        <v>332.4</v>
      </c>
      <c r="K805" s="58">
        <f t="shared" ca="1" si="13"/>
        <v>188</v>
      </c>
      <c r="L805" s="58">
        <f>Data!M804</f>
        <v>0</v>
      </c>
      <c r="M805" s="37" t="s">
        <v>5</v>
      </c>
      <c r="N805" s="43" t="str">
        <f>VLOOKUP(M805,Table1[#All],3,FALSE)</f>
        <v>Claim Paid by EFT;</v>
      </c>
      <c r="O805" s="40" t="str">
        <f>VLOOKUP(M805,Table1[#All],4,FALSE)</f>
        <v>Issue Date:</v>
      </c>
      <c r="P805" s="38">
        <v>44519</v>
      </c>
      <c r="Q805" s="40" t="str">
        <f>VLOOKUP(M805,Table1[#All],5,FALSE)</f>
        <v>EFT#</v>
      </c>
      <c r="R805" s="79">
        <v>2021320019296</v>
      </c>
      <c r="S805" s="40" t="str">
        <f>VLOOKUP(M805,Table1[#All],6,FALSE)</f>
        <v>Bulk/Sep:</v>
      </c>
      <c r="T805" s="79"/>
      <c r="U805" s="40" t="str">
        <f>VLOOKUP(M805,Table1[#All],7,FALSE)</f>
        <v>Call Ref#:</v>
      </c>
      <c r="V805" s="79" t="s">
        <v>3797</v>
      </c>
      <c r="W805" s="40" t="str">
        <f>VLOOKUP(M805,Table1[#All],8,FALSE)</f>
        <v>Cust Rep:</v>
      </c>
      <c r="X805" s="79"/>
      <c r="Y805" s="44" t="str">
        <f>VLOOKUP(M805,Table1[#All],2,FALSE)</f>
        <v xml:space="preserve">Task Post Pmt Queue </v>
      </c>
      <c r="Z805" s="59" t="str">
        <f>VLOOKUP(M805,Table1[#All],9,FALSE)</f>
        <v>Additional Notes:</v>
      </c>
      <c r="AA805" s="76" t="s">
        <v>3939</v>
      </c>
      <c r="AB805" s="76" t="s">
        <v>3697</v>
      </c>
      <c r="AC805" s="90" t="s">
        <v>115</v>
      </c>
      <c r="AD805" s="76" t="s">
        <v>177</v>
      </c>
      <c r="AE805" s="77" t="s">
        <v>3776</v>
      </c>
      <c r="AF805" s="110">
        <v>44627</v>
      </c>
      <c r="AG805" s="41" t="s">
        <v>101</v>
      </c>
    </row>
    <row r="806" spans="1:33" ht="21" hidden="1" x14ac:dyDescent="0.55000000000000004">
      <c r="A806" s="44" t="str">
        <f>Data!K805</f>
        <v>Forward Health</v>
      </c>
      <c r="B806" s="44" t="str">
        <f>Data!L805</f>
        <v>8009479627</v>
      </c>
      <c r="C806" s="44" t="str">
        <f>Data!D805</f>
        <v>Britts , Trevoy</v>
      </c>
      <c r="D806" s="82" t="str">
        <f>Data!F805</f>
        <v>7444082871</v>
      </c>
      <c r="E806" s="82" t="str">
        <f>Data!B805</f>
        <v>8149</v>
      </c>
      <c r="F806" s="44" t="str">
        <f>Data!A805</f>
        <v>Britts , Trevoy</v>
      </c>
      <c r="G806" s="55" t="str">
        <f>Data!C805</f>
        <v>3/18/1968</v>
      </c>
      <c r="H806" s="56">
        <f>Data!H805</f>
        <v>44509</v>
      </c>
      <c r="I806" s="56" t="str">
        <f>Data!I805</f>
        <v>11/12/2021</v>
      </c>
      <c r="J806" s="57">
        <f>Data!J805</f>
        <v>378</v>
      </c>
      <c r="K806" s="58">
        <f t="shared" ca="1" si="13"/>
        <v>188</v>
      </c>
      <c r="L806" s="58">
        <f>Data!M805</f>
        <v>0</v>
      </c>
      <c r="M806" s="37" t="s">
        <v>5</v>
      </c>
      <c r="N806" s="43" t="str">
        <f>VLOOKUP(M806,Table1[#All],3,FALSE)</f>
        <v>Claim Paid by EFT;</v>
      </c>
      <c r="O806" s="40" t="str">
        <f>VLOOKUP(M806,Table1[#All],4,FALSE)</f>
        <v>Issue Date:</v>
      </c>
      <c r="P806" s="38">
        <v>44519</v>
      </c>
      <c r="Q806" s="40" t="str">
        <f>VLOOKUP(M806,Table1[#All],5,FALSE)</f>
        <v>EFT#</v>
      </c>
      <c r="R806" s="79">
        <v>2021320019329</v>
      </c>
      <c r="S806" s="40" t="str">
        <f>VLOOKUP(M806,Table1[#All],6,FALSE)</f>
        <v>Bulk/Sep:</v>
      </c>
      <c r="T806" s="79"/>
      <c r="U806" s="40" t="str">
        <f>VLOOKUP(M806,Table1[#All],7,FALSE)</f>
        <v>Call Ref#:</v>
      </c>
      <c r="V806" s="79" t="s">
        <v>3797</v>
      </c>
      <c r="W806" s="40" t="str">
        <f>VLOOKUP(M806,Table1[#All],8,FALSE)</f>
        <v>Cust Rep:</v>
      </c>
      <c r="X806" s="79"/>
      <c r="Y806" s="44" t="str">
        <f>VLOOKUP(M806,Table1[#All],2,FALSE)</f>
        <v xml:space="preserve">Task Post Pmt Queue </v>
      </c>
      <c r="Z806" s="59" t="str">
        <f>VLOOKUP(M806,Table1[#All],9,FALSE)</f>
        <v>Additional Notes:</v>
      </c>
      <c r="AA806" s="76" t="s">
        <v>3938</v>
      </c>
      <c r="AB806" s="76" t="s">
        <v>3697</v>
      </c>
      <c r="AC806" s="90" t="s">
        <v>115</v>
      </c>
      <c r="AD806" s="76" t="s">
        <v>177</v>
      </c>
      <c r="AE806" s="77" t="s">
        <v>3776</v>
      </c>
      <c r="AF806" s="110">
        <v>44627</v>
      </c>
      <c r="AG806" s="41" t="s">
        <v>101</v>
      </c>
    </row>
    <row r="807" spans="1:33" ht="21" hidden="1" x14ac:dyDescent="0.55000000000000004">
      <c r="A807" s="44" t="str">
        <f>Data!K806</f>
        <v>Forward Health</v>
      </c>
      <c r="B807" s="44" t="str">
        <f>Data!L806</f>
        <v>8009479627</v>
      </c>
      <c r="C807" s="44" t="str">
        <f>Data!D806</f>
        <v>Hilgers, Jason</v>
      </c>
      <c r="D807" s="82" t="str">
        <f>Data!F806</f>
        <v>5412617956</v>
      </c>
      <c r="E807" s="82" t="str">
        <f>Data!B806</f>
        <v>119</v>
      </c>
      <c r="F807" s="44" t="str">
        <f>Data!A806</f>
        <v>Hilgers, Jason</v>
      </c>
      <c r="G807" s="55" t="str">
        <f>Data!C806</f>
        <v>2/26/1992</v>
      </c>
      <c r="H807" s="56">
        <f>Data!H806</f>
        <v>44509</v>
      </c>
      <c r="I807" s="56" t="str">
        <f>Data!I806</f>
        <v>11/12/2021</v>
      </c>
      <c r="J807" s="57">
        <f>Data!J806</f>
        <v>266</v>
      </c>
      <c r="K807" s="58">
        <f t="shared" ca="1" si="13"/>
        <v>188</v>
      </c>
      <c r="L807" s="58">
        <f>Data!M806</f>
        <v>0</v>
      </c>
      <c r="M807" s="37" t="s">
        <v>5</v>
      </c>
      <c r="N807" s="43" t="str">
        <f>VLOOKUP(M807,Table1[#All],3,FALSE)</f>
        <v>Claim Paid by EFT;</v>
      </c>
      <c r="O807" s="40" t="str">
        <f>VLOOKUP(M807,Table1[#All],4,FALSE)</f>
        <v>Issue Date:</v>
      </c>
      <c r="P807" s="38">
        <v>44519</v>
      </c>
      <c r="Q807" s="40" t="str">
        <f>VLOOKUP(M807,Table1[#All],5,FALSE)</f>
        <v>EFT#</v>
      </c>
      <c r="R807" s="79">
        <v>2021320019245</v>
      </c>
      <c r="S807" s="40" t="str">
        <f>VLOOKUP(M807,Table1[#All],6,FALSE)</f>
        <v>Bulk/Sep:</v>
      </c>
      <c r="T807" s="79"/>
      <c r="U807" s="40" t="str">
        <f>VLOOKUP(M807,Table1[#All],7,FALSE)</f>
        <v>Call Ref#:</v>
      </c>
      <c r="V807" s="79" t="s">
        <v>3797</v>
      </c>
      <c r="W807" s="40" t="str">
        <f>VLOOKUP(M807,Table1[#All],8,FALSE)</f>
        <v>Cust Rep:</v>
      </c>
      <c r="X807" s="79"/>
      <c r="Y807" s="44" t="str">
        <f>VLOOKUP(M807,Table1[#All],2,FALSE)</f>
        <v xml:space="preserve">Task Post Pmt Queue </v>
      </c>
      <c r="Z807" s="59" t="str">
        <f>VLOOKUP(M807,Table1[#All],9,FALSE)</f>
        <v>Additional Notes:</v>
      </c>
      <c r="AA807" s="76" t="s">
        <v>3937</v>
      </c>
      <c r="AB807" s="76" t="s">
        <v>3697</v>
      </c>
      <c r="AC807" s="90" t="s">
        <v>115</v>
      </c>
      <c r="AD807" s="76" t="s">
        <v>177</v>
      </c>
      <c r="AE807" s="77" t="s">
        <v>3776</v>
      </c>
      <c r="AF807" s="110">
        <v>44627</v>
      </c>
      <c r="AG807" s="41" t="s">
        <v>101</v>
      </c>
    </row>
    <row r="808" spans="1:33" ht="21" hidden="1" x14ac:dyDescent="0.55000000000000004">
      <c r="A808" s="44" t="str">
        <f>Data!K807</f>
        <v>Forward Health</v>
      </c>
      <c r="B808" s="44" t="str">
        <f>Data!L807</f>
        <v>8009479627</v>
      </c>
      <c r="C808" s="44" t="str">
        <f>Data!D807</f>
        <v>Zaman, Kamruz</v>
      </c>
      <c r="D808" s="82" t="str">
        <f>Data!F807</f>
        <v>3443145132</v>
      </c>
      <c r="E808" s="82" t="str">
        <f>Data!B807</f>
        <v>5982</v>
      </c>
      <c r="F808" s="44" t="str">
        <f>Data!A807</f>
        <v>Zaman, Kamruz</v>
      </c>
      <c r="G808" s="55" t="str">
        <f>Data!C807</f>
        <v>5/25/1954</v>
      </c>
      <c r="H808" s="56">
        <f>Data!H807</f>
        <v>44371</v>
      </c>
      <c r="I808" s="56" t="str">
        <f>Data!I807</f>
        <v>11/12/2021</v>
      </c>
      <c r="J808" s="57">
        <f>Data!J807</f>
        <v>61.2</v>
      </c>
      <c r="K808" s="58">
        <f t="shared" ref="K808:K871" ca="1" si="14">TODAY()-I808</f>
        <v>188</v>
      </c>
      <c r="L808" s="58">
        <f>Data!M807</f>
        <v>0</v>
      </c>
      <c r="M808" s="37" t="s">
        <v>5</v>
      </c>
      <c r="N808" s="43" t="str">
        <f>VLOOKUP(M808,Table1[#All],3,FALSE)</f>
        <v>Claim Paid by EFT;</v>
      </c>
      <c r="O808" s="40" t="str">
        <f>VLOOKUP(M808,Table1[#All],4,FALSE)</f>
        <v>Issue Date:</v>
      </c>
      <c r="P808" s="38">
        <v>44519</v>
      </c>
      <c r="Q808" s="40" t="str">
        <f>VLOOKUP(M808,Table1[#All],5,FALSE)</f>
        <v>EFT#</v>
      </c>
      <c r="R808" s="79">
        <v>2021320019293</v>
      </c>
      <c r="S808" s="40" t="str">
        <f>VLOOKUP(M808,Table1[#All],6,FALSE)</f>
        <v>Bulk/Sep:</v>
      </c>
      <c r="T808" s="79"/>
      <c r="U808" s="40" t="str">
        <f>VLOOKUP(M808,Table1[#All],7,FALSE)</f>
        <v>Call Ref#:</v>
      </c>
      <c r="V808" s="79" t="s">
        <v>3797</v>
      </c>
      <c r="W808" s="40" t="str">
        <f>VLOOKUP(M808,Table1[#All],8,FALSE)</f>
        <v>Cust Rep:</v>
      </c>
      <c r="X808" s="79"/>
      <c r="Y808" s="44" t="str">
        <f>VLOOKUP(M808,Table1[#All],2,FALSE)</f>
        <v xml:space="preserve">Task Post Pmt Queue </v>
      </c>
      <c r="Z808" s="59" t="str">
        <f>VLOOKUP(M808,Table1[#All],9,FALSE)</f>
        <v>Additional Notes:</v>
      </c>
      <c r="AA808" s="76" t="s">
        <v>3936</v>
      </c>
      <c r="AB808" s="76" t="s">
        <v>3697</v>
      </c>
      <c r="AC808" s="90" t="s">
        <v>115</v>
      </c>
      <c r="AD808" s="76" t="s">
        <v>177</v>
      </c>
      <c r="AE808" s="77" t="s">
        <v>3776</v>
      </c>
      <c r="AF808" s="110">
        <v>44627</v>
      </c>
      <c r="AG808" s="41" t="s">
        <v>101</v>
      </c>
    </row>
    <row r="809" spans="1:33" ht="84" hidden="1" x14ac:dyDescent="0.55000000000000004">
      <c r="A809" s="44" t="str">
        <f>Data!K808</f>
        <v>Forward Health</v>
      </c>
      <c r="B809" s="44" t="str">
        <f>Data!L808</f>
        <v>8009479627</v>
      </c>
      <c r="C809" s="44" t="str">
        <f>Data!D808</f>
        <v>Zaman, Kamruz</v>
      </c>
      <c r="D809" s="82" t="str">
        <f>Data!F808</f>
        <v>3443145132</v>
      </c>
      <c r="E809" s="82" t="str">
        <f>Data!B808</f>
        <v>5982</v>
      </c>
      <c r="F809" s="44" t="str">
        <f>Data!A808</f>
        <v>Zaman, Kamruz</v>
      </c>
      <c r="G809" s="55" t="str">
        <f>Data!C808</f>
        <v>5/25/1954</v>
      </c>
      <c r="H809" s="56">
        <f>Data!H808</f>
        <v>44392</v>
      </c>
      <c r="I809" s="56" t="str">
        <f>Data!I808</f>
        <v>11/12/2021</v>
      </c>
      <c r="J809" s="57">
        <f>Data!J808</f>
        <v>268.8</v>
      </c>
      <c r="K809" s="58">
        <f t="shared" ca="1" si="14"/>
        <v>188</v>
      </c>
      <c r="L809" s="58">
        <f>Data!M808</f>
        <v>0</v>
      </c>
      <c r="M809" s="37" t="s">
        <v>20</v>
      </c>
      <c r="N809" s="43" t="str">
        <f>VLOOKUP(M809,Table1[#All],3,FALSE)</f>
        <v>Ins needs more info, need to submit;</v>
      </c>
      <c r="O809" s="40" t="str">
        <f>VLOOKUP(M809,Table1[#All],4,FALSE)</f>
        <v>Attachments/Info needed?</v>
      </c>
      <c r="P809" s="39" t="s">
        <v>3934</v>
      </c>
      <c r="Q809" s="40" t="str">
        <f>VLOOKUP(M809,Table1[#All],5,FALSE)</f>
        <v>Fax # (If Fax Yes):</v>
      </c>
      <c r="R809" s="79"/>
      <c r="S809" s="40" t="str">
        <f>VLOOKUP(M809,Table1[#All],6,FALSE)</f>
        <v>Call Ref#:</v>
      </c>
      <c r="T809" s="79" t="s">
        <v>3797</v>
      </c>
      <c r="U809" s="40" t="str">
        <f>VLOOKUP(M809,Table1[#All],7,FALSE)</f>
        <v>Cust Rep:</v>
      </c>
      <c r="V809" s="79"/>
      <c r="W809" s="40">
        <f>VLOOKUP(M809,Table1[#All],8,FALSE)</f>
        <v>0</v>
      </c>
      <c r="X809" s="79"/>
      <c r="Y809" s="44" t="str">
        <f>VLOOKUP(M809,Table1[#All],2,FALSE)</f>
        <v xml:space="preserve">Task Sub Pending Claims Queue </v>
      </c>
      <c r="Z809" s="59" t="str">
        <f>VLOOKUP(M809,Table1[#All],9,FALSE)</f>
        <v>Additional Notes:</v>
      </c>
      <c r="AA809" s="76" t="s">
        <v>3935</v>
      </c>
      <c r="AB809" s="76" t="s">
        <v>3697</v>
      </c>
      <c r="AC809" s="90" t="s">
        <v>115</v>
      </c>
      <c r="AD809" s="76" t="s">
        <v>177</v>
      </c>
      <c r="AE809" s="77" t="s">
        <v>3776</v>
      </c>
      <c r="AF809" s="110">
        <v>44627</v>
      </c>
      <c r="AG809" s="41" t="s">
        <v>101</v>
      </c>
    </row>
    <row r="810" spans="1:33" ht="42" hidden="1" x14ac:dyDescent="0.55000000000000004">
      <c r="A810" s="44" t="str">
        <f>Data!K809</f>
        <v>Forward Health</v>
      </c>
      <c r="B810" s="44" t="str">
        <f>Data!L809</f>
        <v>8009479627</v>
      </c>
      <c r="C810" s="44" t="str">
        <f>Data!D809</f>
        <v>Rhinehouse, Suzette</v>
      </c>
      <c r="D810" s="82" t="str">
        <f>Data!F809</f>
        <v>5418696157</v>
      </c>
      <c r="E810" s="82" t="str">
        <f>Data!B809</f>
        <v>912</v>
      </c>
      <c r="F810" s="44" t="str">
        <f>Data!A809</f>
        <v>Rhinehouse, Suzette</v>
      </c>
      <c r="G810" s="55" t="str">
        <f>Data!C809</f>
        <v>12/5/1950</v>
      </c>
      <c r="H810" s="56">
        <f>Data!H809</f>
        <v>44411</v>
      </c>
      <c r="I810" s="56" t="str">
        <f>Data!I809</f>
        <v>11/11/2021</v>
      </c>
      <c r="J810" s="57">
        <f>Data!J809</f>
        <v>148.80000000000001</v>
      </c>
      <c r="K810" s="58">
        <f t="shared" ca="1" si="14"/>
        <v>189</v>
      </c>
      <c r="L810" s="58">
        <f>Data!M809</f>
        <v>0</v>
      </c>
      <c r="M810" s="37" t="s">
        <v>30</v>
      </c>
      <c r="N810" s="43" t="str">
        <f>VLOOKUP(M810,Table1[#All],3,FALSE)</f>
        <v>Claim not on file. Patient is active ;</v>
      </c>
      <c r="O810" s="40" t="str">
        <f>VLOOKUP(M810,Table1[#All],4,FALSE)</f>
        <v>Payor ID &amp; Address:</v>
      </c>
      <c r="P810" s="39" t="s">
        <v>3931</v>
      </c>
      <c r="Q810" s="40" t="str">
        <f>VLOOKUP(M810,Table1[#All],5,FALSE)</f>
        <v>Fax # (If Fax Yes):</v>
      </c>
      <c r="R810" s="79"/>
      <c r="S810" s="40" t="str">
        <f>VLOOKUP(M810,Table1[#All],6,FALSE)</f>
        <v>TFL in Mnths:</v>
      </c>
      <c r="T810" s="79" t="s">
        <v>3923</v>
      </c>
      <c r="U810" s="40" t="str">
        <f>VLOOKUP(M810,Table1[#All],7,FALSE)</f>
        <v>Call Ref#:</v>
      </c>
      <c r="V810" s="79">
        <v>18069232</v>
      </c>
      <c r="W810" s="40" t="str">
        <f>VLOOKUP(M810,Table1[#All],8,FALSE)</f>
        <v>Cust Rep:</v>
      </c>
      <c r="X810" s="79" t="s">
        <v>3932</v>
      </c>
      <c r="Y810" s="44" t="str">
        <f>VLOOKUP(M810,Table1[#All],2,FALSE)</f>
        <v>Task Sub Pending Claims Queue</v>
      </c>
      <c r="Z810" s="59" t="str">
        <f>VLOOKUP(M810,Table1[#All],9,FALSE)</f>
        <v>Additional Notes:</v>
      </c>
      <c r="AA810" s="76" t="s">
        <v>3933</v>
      </c>
      <c r="AB810" s="76" t="s">
        <v>3697</v>
      </c>
      <c r="AC810" s="90" t="s">
        <v>185</v>
      </c>
      <c r="AD810" s="76" t="s">
        <v>177</v>
      </c>
      <c r="AE810" s="77" t="s">
        <v>3776</v>
      </c>
      <c r="AF810" s="123">
        <v>44627</v>
      </c>
      <c r="AG810" s="41" t="s">
        <v>101</v>
      </c>
    </row>
    <row r="811" spans="1:33" ht="21" hidden="1" x14ac:dyDescent="0.55000000000000004">
      <c r="A811" s="44" t="str">
        <f>Data!K810</f>
        <v>Forward Health</v>
      </c>
      <c r="B811" s="44" t="str">
        <f>Data!L810</f>
        <v>8009479627</v>
      </c>
      <c r="C811" s="44" t="str">
        <f>Data!D810</f>
        <v xml:space="preserve">Ivy, Charity </v>
      </c>
      <c r="D811" s="82" t="str">
        <f>Data!F810</f>
        <v>8415687788</v>
      </c>
      <c r="E811" s="82" t="str">
        <f>Data!B810</f>
        <v>2638</v>
      </c>
      <c r="F811" s="44" t="str">
        <f>Data!A810</f>
        <v xml:space="preserve">Ivy, Charity </v>
      </c>
      <c r="G811" s="55" t="str">
        <f>Data!C810</f>
        <v>3/20/1978</v>
      </c>
      <c r="H811" s="56">
        <f>Data!H810</f>
        <v>44461</v>
      </c>
      <c r="I811" s="56" t="str">
        <f>Data!I810</f>
        <v>11/11/2021</v>
      </c>
      <c r="J811" s="57">
        <f>Data!J810</f>
        <v>266</v>
      </c>
      <c r="K811" s="58">
        <f t="shared" ca="1" si="14"/>
        <v>189</v>
      </c>
      <c r="L811" s="58">
        <f>Data!M810</f>
        <v>0</v>
      </c>
      <c r="M811" s="37" t="s">
        <v>5</v>
      </c>
      <c r="N811" s="43" t="str">
        <f>VLOOKUP(M811,Table1[#All],3,FALSE)</f>
        <v>Claim Paid by EFT;</v>
      </c>
      <c r="O811" s="40" t="str">
        <f>VLOOKUP(M811,Table1[#All],4,FALSE)</f>
        <v>Issue Date:</v>
      </c>
      <c r="P811" s="38">
        <v>44519</v>
      </c>
      <c r="Q811" s="40" t="str">
        <f>VLOOKUP(M811,Table1[#All],5,FALSE)</f>
        <v>EFT#</v>
      </c>
      <c r="R811" s="79">
        <v>2021320019319</v>
      </c>
      <c r="S811" s="40" t="str">
        <f>VLOOKUP(M811,Table1[#All],6,FALSE)</f>
        <v>Bulk/Sep:</v>
      </c>
      <c r="T811" s="79"/>
      <c r="U811" s="40" t="str">
        <f>VLOOKUP(M811,Table1[#All],7,FALSE)</f>
        <v>Call Ref#:</v>
      </c>
      <c r="V811" s="79" t="s">
        <v>3797</v>
      </c>
      <c r="W811" s="40" t="str">
        <f>VLOOKUP(M811,Table1[#All],8,FALSE)</f>
        <v>Cust Rep:</v>
      </c>
      <c r="X811" s="79"/>
      <c r="Y811" s="44" t="str">
        <f>VLOOKUP(M811,Table1[#All],2,FALSE)</f>
        <v xml:space="preserve">Task Post Pmt Queue </v>
      </c>
      <c r="Z811" s="59" t="str">
        <f>VLOOKUP(M811,Table1[#All],9,FALSE)</f>
        <v>Additional Notes:</v>
      </c>
      <c r="AA811" s="76" t="s">
        <v>3930</v>
      </c>
      <c r="AB811" s="76" t="s">
        <v>3697</v>
      </c>
      <c r="AC811" s="90" t="s">
        <v>115</v>
      </c>
      <c r="AD811" s="76" t="s">
        <v>177</v>
      </c>
      <c r="AE811" s="77" t="s">
        <v>3770</v>
      </c>
      <c r="AF811" s="110">
        <v>44627</v>
      </c>
      <c r="AG811" s="41" t="s">
        <v>101</v>
      </c>
    </row>
    <row r="812" spans="1:33" ht="82.5" hidden="1" x14ac:dyDescent="0.55000000000000004">
      <c r="A812" s="44" t="str">
        <f>Data!K811</f>
        <v>Forward Health</v>
      </c>
      <c r="B812" s="44" t="str">
        <f>Data!L811</f>
        <v>8009479627</v>
      </c>
      <c r="C812" s="44" t="str">
        <f>Data!D811</f>
        <v xml:space="preserve">Scott , Marshinique </v>
      </c>
      <c r="D812" s="82" t="str">
        <f>Data!F811</f>
        <v>7425603578</v>
      </c>
      <c r="E812" s="82" t="str">
        <f>Data!B811</f>
        <v>6948</v>
      </c>
      <c r="F812" s="44" t="str">
        <f>Data!A811</f>
        <v xml:space="preserve">Scott , Marshinique </v>
      </c>
      <c r="G812" s="55" t="str">
        <f>Data!C811</f>
        <v>1/25/1990</v>
      </c>
      <c r="H812" s="56">
        <f>Data!H811</f>
        <v>44497</v>
      </c>
      <c r="I812" s="56" t="str">
        <f>Data!I811</f>
        <v>11/1/2021</v>
      </c>
      <c r="J812" s="57">
        <f>Data!J811</f>
        <v>27.6</v>
      </c>
      <c r="K812" s="58">
        <f t="shared" ca="1" si="14"/>
        <v>199</v>
      </c>
      <c r="L812" s="58">
        <f>Data!M811</f>
        <v>0</v>
      </c>
      <c r="M812" s="37" t="s">
        <v>20</v>
      </c>
      <c r="N812" s="43" t="str">
        <f>VLOOKUP(M812,Table1[#All],3,FALSE)</f>
        <v>Ins needs more info, need to submit;</v>
      </c>
      <c r="O812" s="40" t="str">
        <f>VLOOKUP(M812,Table1[#All],4,FALSE)</f>
        <v>Attachments/Info needed?</v>
      </c>
      <c r="P812" s="39" t="s">
        <v>3926</v>
      </c>
      <c r="Q812" s="40" t="str">
        <f>VLOOKUP(M812,Table1[#All],5,FALSE)</f>
        <v>Fax # (If Fax Yes):</v>
      </c>
      <c r="R812" s="79" t="s">
        <v>3927</v>
      </c>
      <c r="S812" s="40" t="str">
        <f>VLOOKUP(M812,Table1[#All],6,FALSE)</f>
        <v>Call Ref#:</v>
      </c>
      <c r="T812" s="79" t="s">
        <v>3928</v>
      </c>
      <c r="U812" s="40" t="str">
        <f>VLOOKUP(M812,Table1[#All],7,FALSE)</f>
        <v>Cust Rep:</v>
      </c>
      <c r="V812" s="79">
        <v>19239486</v>
      </c>
      <c r="W812" s="40">
        <f>VLOOKUP(M812,Table1[#All],8,FALSE)</f>
        <v>0</v>
      </c>
      <c r="X812" s="79"/>
      <c r="Y812" s="44" t="str">
        <f>VLOOKUP(M812,Table1[#All],2,FALSE)</f>
        <v xml:space="preserve">Task Sub Pending Claims Queue </v>
      </c>
      <c r="Z812" s="59" t="str">
        <f>VLOOKUP(M812,Table1[#All],9,FALSE)</f>
        <v>Additional Notes:</v>
      </c>
      <c r="AA812" s="76" t="s">
        <v>3929</v>
      </c>
      <c r="AB812" s="76" t="s">
        <v>3697</v>
      </c>
      <c r="AC812" s="90" t="s">
        <v>115</v>
      </c>
      <c r="AD812" s="76" t="s">
        <v>177</v>
      </c>
      <c r="AE812" s="77" t="s">
        <v>3770</v>
      </c>
      <c r="AF812" s="110">
        <v>44665</v>
      </c>
      <c r="AG812" s="41" t="s">
        <v>101</v>
      </c>
    </row>
    <row r="813" spans="1:33" ht="99" hidden="1" x14ac:dyDescent="0.55000000000000004">
      <c r="A813" s="44" t="str">
        <f>Data!K812</f>
        <v>Forward Health</v>
      </c>
      <c r="B813" s="44" t="str">
        <f>Data!L812</f>
        <v>8009479627</v>
      </c>
      <c r="C813" s="44" t="str">
        <f>Data!D812</f>
        <v xml:space="preserve">Roldan, Matthew </v>
      </c>
      <c r="D813" s="82" t="str">
        <f>Data!F812</f>
        <v>2448808203</v>
      </c>
      <c r="E813" s="82" t="str">
        <f>Data!B812</f>
        <v>8243</v>
      </c>
      <c r="F813" s="44" t="str">
        <f>Data!A812</f>
        <v xml:space="preserve">Roldan, Matthew </v>
      </c>
      <c r="G813" s="55" t="str">
        <f>Data!C812</f>
        <v>10/16/2015</v>
      </c>
      <c r="H813" s="56">
        <f>Data!H812</f>
        <v>44490</v>
      </c>
      <c r="I813" s="56" t="str">
        <f>Data!I812</f>
        <v>10/22/2021</v>
      </c>
      <c r="J813" s="57">
        <f>Data!J812</f>
        <v>61.2</v>
      </c>
      <c r="K813" s="58">
        <f t="shared" ca="1" si="14"/>
        <v>209</v>
      </c>
      <c r="L813" s="58">
        <f>Data!M812</f>
        <v>0</v>
      </c>
      <c r="M813" s="37" t="s">
        <v>30</v>
      </c>
      <c r="N813" s="43" t="str">
        <f>VLOOKUP(M813,Table1[#All],3,FALSE)</f>
        <v>Claim not on file. Patient is active ;</v>
      </c>
      <c r="O813" s="40" t="str">
        <f>VLOOKUP(M813,Table1[#All],4,FALSE)</f>
        <v>Payor ID &amp; Address:</v>
      </c>
      <c r="P813" s="39" t="s">
        <v>3921</v>
      </c>
      <c r="Q813" s="40" t="str">
        <f>VLOOKUP(M813,Table1[#All],5,FALSE)</f>
        <v>Fax # (If Fax Yes):</v>
      </c>
      <c r="R813" s="79" t="s">
        <v>3922</v>
      </c>
      <c r="S813" s="40" t="str">
        <f>VLOOKUP(M813,Table1[#All],6,FALSE)</f>
        <v>TFL in Mnths:</v>
      </c>
      <c r="T813" s="79" t="s">
        <v>3923</v>
      </c>
      <c r="U813" s="40" t="str">
        <f>VLOOKUP(M813,Table1[#All],7,FALSE)</f>
        <v>Call Ref#:</v>
      </c>
      <c r="V813" s="79">
        <v>1884959</v>
      </c>
      <c r="W813" s="40" t="str">
        <f>VLOOKUP(M813,Table1[#All],8,FALSE)</f>
        <v>Cust Rep:</v>
      </c>
      <c r="X813" s="79" t="s">
        <v>3924</v>
      </c>
      <c r="Y813" s="44" t="str">
        <f>VLOOKUP(M813,Table1[#All],2,FALSE)</f>
        <v>Task Sub Pending Claims Queue</v>
      </c>
      <c r="Z813" s="59" t="str">
        <f>VLOOKUP(M813,Table1[#All],9,FALSE)</f>
        <v>Additional Notes:</v>
      </c>
      <c r="AA813" s="76" t="s">
        <v>3925</v>
      </c>
      <c r="AB813" s="76" t="s">
        <v>3697</v>
      </c>
      <c r="AC813" s="90" t="s">
        <v>185</v>
      </c>
      <c r="AD813" s="76" t="s">
        <v>177</v>
      </c>
      <c r="AE813" s="77" t="s">
        <v>3770</v>
      </c>
      <c r="AF813" s="110">
        <v>44581</v>
      </c>
      <c r="AG813" s="41" t="s">
        <v>101</v>
      </c>
    </row>
    <row r="814" spans="1:33" ht="21" hidden="1" x14ac:dyDescent="0.55000000000000004">
      <c r="A814" s="44" t="str">
        <f>Data!K813</f>
        <v>Forward Health</v>
      </c>
      <c r="B814" s="44" t="str">
        <f>Data!L813</f>
        <v>8009479627</v>
      </c>
      <c r="C814" s="44" t="str">
        <f>Data!D813</f>
        <v>Faster, Lionedra</v>
      </c>
      <c r="D814" s="82" t="str">
        <f>Data!F813</f>
        <v>6419165466</v>
      </c>
      <c r="E814" s="82" t="str">
        <f>Data!B813</f>
        <v>8157</v>
      </c>
      <c r="F814" s="44" t="str">
        <f>Data!A813</f>
        <v>Faster, Lionedra</v>
      </c>
      <c r="G814" s="55" t="str">
        <f>Data!C813</f>
        <v>11/15/1976</v>
      </c>
      <c r="H814" s="56">
        <f>Data!H813</f>
        <v>44477</v>
      </c>
      <c r="I814" s="56" t="str">
        <f>Data!I813</f>
        <v>10/11/2021</v>
      </c>
      <c r="J814" s="57">
        <f>Data!J813</f>
        <v>294.8</v>
      </c>
      <c r="K814" s="58">
        <f t="shared" ca="1" si="14"/>
        <v>220</v>
      </c>
      <c r="L814" s="58">
        <f>Data!M813</f>
        <v>0</v>
      </c>
      <c r="M814" s="37" t="s">
        <v>95</v>
      </c>
      <c r="N814" s="43" t="str">
        <f>VLOOKUP(M814,Table1[#All],3,FALSE)</f>
        <v>Write information in Addl Notes</v>
      </c>
      <c r="O814" s="40" t="str">
        <f>VLOOKUP(M814,Table1[#All],4,FALSE)</f>
        <v>Call Ref#:</v>
      </c>
      <c r="P814" s="39"/>
      <c r="Q814" s="40" t="str">
        <f>VLOOKUP(M814,Table1[#All],5,FALSE)</f>
        <v>Cust Rep:</v>
      </c>
      <c r="R814" s="79"/>
      <c r="S814" s="40">
        <f>VLOOKUP(M814,Table1[#All],6,FALSE)</f>
        <v>0</v>
      </c>
      <c r="T814" s="79"/>
      <c r="U814" s="40" t="str">
        <f>VLOOKUP(M814,Table1[#All],7,FALSE)</f>
        <v xml:space="preserve"> </v>
      </c>
      <c r="V814" s="79"/>
      <c r="W814" s="40" t="str">
        <f>VLOOKUP(M814,Table1[#All],8,FALSE)</f>
        <v xml:space="preserve"> </v>
      </c>
      <c r="X814" s="79"/>
      <c r="Y814" s="44" t="str">
        <f>VLOOKUP(M814,Table1[#All],2,FALSE)</f>
        <v xml:space="preserve"> Team Lead to review &amp; Follow-Up</v>
      </c>
      <c r="Z814" s="59" t="str">
        <f>VLOOKUP(M814,Table1[#All],9,FALSE)</f>
        <v>Additional Notes:</v>
      </c>
      <c r="AA814" s="76" t="s">
        <v>3920</v>
      </c>
      <c r="AB814" s="76" t="s">
        <v>3697</v>
      </c>
      <c r="AC814" s="90" t="s">
        <v>115</v>
      </c>
      <c r="AD814" s="76" t="s">
        <v>177</v>
      </c>
      <c r="AE814" s="77" t="s">
        <v>3770</v>
      </c>
      <c r="AF814" s="110">
        <v>44581</v>
      </c>
      <c r="AG814" s="41" t="s">
        <v>101</v>
      </c>
    </row>
    <row r="815" spans="1:33" ht="42" hidden="1" x14ac:dyDescent="0.55000000000000004">
      <c r="A815" s="44" t="str">
        <f>Data!K814</f>
        <v>Forward Health</v>
      </c>
      <c r="B815" s="44" t="str">
        <f>Data!L814</f>
        <v>8009479627</v>
      </c>
      <c r="C815" s="44" t="str">
        <f>Data!D814</f>
        <v>Romo, Diana</v>
      </c>
      <c r="D815" s="82" t="str">
        <f>Data!F814</f>
        <v>7454218474</v>
      </c>
      <c r="E815" s="82" t="str">
        <f>Data!B814</f>
        <v>6793</v>
      </c>
      <c r="F815" s="44" t="str">
        <f>Data!A814</f>
        <v>Romo, Diana</v>
      </c>
      <c r="G815" s="55" t="str">
        <f>Data!C814</f>
        <v>1/10/2019</v>
      </c>
      <c r="H815" s="56">
        <f>Data!H814</f>
        <v>44476</v>
      </c>
      <c r="I815" s="56" t="str">
        <f>Data!I814</f>
        <v>10/11/2021</v>
      </c>
      <c r="J815" s="57">
        <f>Data!J814</f>
        <v>102</v>
      </c>
      <c r="K815" s="58">
        <f t="shared" ca="1" si="14"/>
        <v>220</v>
      </c>
      <c r="L815" s="58">
        <f>Data!M814</f>
        <v>0</v>
      </c>
      <c r="M815" s="37" t="s">
        <v>30</v>
      </c>
      <c r="N815" s="43" t="str">
        <f>VLOOKUP(M815,Table1[#All],3,FALSE)</f>
        <v>Claim not on file. Patient is active ;</v>
      </c>
      <c r="O815" s="40" t="str">
        <f>VLOOKUP(M815,Table1[#All],4,FALSE)</f>
        <v>Payor ID &amp; Address:</v>
      </c>
      <c r="P815" s="39" t="s">
        <v>3916</v>
      </c>
      <c r="Q815" s="40" t="str">
        <f>VLOOKUP(M815,Table1[#All],5,FALSE)</f>
        <v>Fax # (If Fax Yes):</v>
      </c>
      <c r="R815" s="79"/>
      <c r="S815" s="40" t="str">
        <f>VLOOKUP(M815,Table1[#All],6,FALSE)</f>
        <v>TFL in Mnths:</v>
      </c>
      <c r="T815" s="79" t="s">
        <v>3917</v>
      </c>
      <c r="U815" s="40" t="str">
        <f>VLOOKUP(M815,Table1[#All],7,FALSE)</f>
        <v>Call Ref#:</v>
      </c>
      <c r="V815" s="79">
        <v>202201771105</v>
      </c>
      <c r="W815" s="40" t="str">
        <f>VLOOKUP(M815,Table1[#All],8,FALSE)</f>
        <v>Cust Rep:</v>
      </c>
      <c r="X815" s="79" t="s">
        <v>3918</v>
      </c>
      <c r="Y815" s="44" t="str">
        <f>VLOOKUP(M815,Table1[#All],2,FALSE)</f>
        <v>Task Sub Pending Claims Queue</v>
      </c>
      <c r="Z815" s="59" t="str">
        <f>VLOOKUP(M815,Table1[#All],9,FALSE)</f>
        <v>Additional Notes:</v>
      </c>
      <c r="AA815" s="76" t="s">
        <v>3919</v>
      </c>
      <c r="AB815" s="76" t="s">
        <v>3697</v>
      </c>
      <c r="AC815" s="90" t="s">
        <v>185</v>
      </c>
      <c r="AD815" s="76" t="s">
        <v>177</v>
      </c>
      <c r="AE815" s="77" t="s">
        <v>3776</v>
      </c>
      <c r="AF815" s="110">
        <v>44658</v>
      </c>
      <c r="AG815" s="41" t="s">
        <v>101</v>
      </c>
    </row>
    <row r="816" spans="1:33" ht="21" hidden="1" x14ac:dyDescent="0.55000000000000004">
      <c r="A816" s="44" t="str">
        <f>Data!K815</f>
        <v>Forward Health</v>
      </c>
      <c r="B816" s="44" t="str">
        <f>Data!L815</f>
        <v>8009479627</v>
      </c>
      <c r="C816" s="44" t="str">
        <f>Data!D815</f>
        <v>Saldana, Ricardo</v>
      </c>
      <c r="D816" s="82" t="str">
        <f>Data!F815</f>
        <v>4404678541</v>
      </c>
      <c r="E816" s="82" t="str">
        <f>Data!B815</f>
        <v>7143</v>
      </c>
      <c r="F816" s="44" t="str">
        <f>Data!A815</f>
        <v>Saldana, Ricardo</v>
      </c>
      <c r="G816" s="55" t="str">
        <f>Data!C815</f>
        <v>8/15/1990</v>
      </c>
      <c r="H816" s="56">
        <f>Data!H815</f>
        <v>44348</v>
      </c>
      <c r="I816" s="56" t="str">
        <f>Data!I815</f>
        <v>8/23/2021</v>
      </c>
      <c r="J816" s="57">
        <f>Data!J815</f>
        <v>391.2</v>
      </c>
      <c r="K816" s="58">
        <f t="shared" ca="1" si="14"/>
        <v>269</v>
      </c>
      <c r="L816" s="58">
        <f>Data!M815</f>
        <v>0</v>
      </c>
      <c r="M816" s="37" t="s">
        <v>5</v>
      </c>
      <c r="N816" s="43" t="str">
        <f>VLOOKUP(M816,Table1[#All],3,FALSE)</f>
        <v>Claim Paid by EFT;</v>
      </c>
      <c r="O816" s="40" t="str">
        <f>VLOOKUP(M816,Table1[#All],4,FALSE)</f>
        <v>Issue Date:</v>
      </c>
      <c r="P816" s="38">
        <v>44435</v>
      </c>
      <c r="Q816" s="40" t="str">
        <f>VLOOKUP(M816,Table1[#All],5,FALSE)</f>
        <v>EFT#</v>
      </c>
      <c r="R816" s="79"/>
      <c r="S816" s="40" t="str">
        <f>VLOOKUP(M816,Table1[#All],6,FALSE)</f>
        <v>Bulk/Sep:</v>
      </c>
      <c r="T816" s="79" t="s">
        <v>3883</v>
      </c>
      <c r="U816" s="40" t="str">
        <f>VLOOKUP(M816,Table1[#All],7,FALSE)</f>
        <v>Call Ref#:</v>
      </c>
      <c r="V816" s="79"/>
      <c r="W816" s="40" t="str">
        <f>VLOOKUP(M816,Table1[#All],8,FALSE)</f>
        <v>Cust Rep:</v>
      </c>
      <c r="X816" s="79"/>
      <c r="Y816" s="44" t="str">
        <f>VLOOKUP(M816,Table1[#All],2,FALSE)</f>
        <v xml:space="preserve">Task Post Pmt Queue </v>
      </c>
      <c r="Z816" s="59" t="str">
        <f>VLOOKUP(M816,Table1[#All],9,FALSE)</f>
        <v>Additional Notes:</v>
      </c>
      <c r="AA816" s="76" t="s">
        <v>3915</v>
      </c>
      <c r="AB816" s="76" t="s">
        <v>3697</v>
      </c>
      <c r="AC816" s="90" t="s">
        <v>115</v>
      </c>
      <c r="AD816" s="76" t="s">
        <v>177</v>
      </c>
      <c r="AE816" s="77" t="s">
        <v>3770</v>
      </c>
      <c r="AF816" s="110">
        <v>44586</v>
      </c>
      <c r="AG816" s="41" t="s">
        <v>101</v>
      </c>
    </row>
    <row r="817" spans="1:33" ht="21" hidden="1" x14ac:dyDescent="0.55000000000000004">
      <c r="A817" s="44" t="str">
        <f>Data!K816</f>
        <v>Forward Health</v>
      </c>
      <c r="B817" s="44" t="str">
        <f>Data!L816</f>
        <v>8009479627</v>
      </c>
      <c r="C817" s="44" t="str">
        <f>Data!D816</f>
        <v>Kazikowski, Christian</v>
      </c>
      <c r="D817" s="82" t="str">
        <f>Data!F816</f>
        <v>6441989361</v>
      </c>
      <c r="E817" s="82" t="str">
        <f>Data!B816</f>
        <v>1478</v>
      </c>
      <c r="F817" s="44" t="str">
        <f>Data!A816</f>
        <v>Kazikowski, Christian</v>
      </c>
      <c r="G817" s="55" t="str">
        <f>Data!C816</f>
        <v>3/26/2012</v>
      </c>
      <c r="H817" s="56">
        <f>Data!H816</f>
        <v>44361</v>
      </c>
      <c r="I817" s="56" t="str">
        <f>Data!I816</f>
        <v>7/26/2021</v>
      </c>
      <c r="J817" s="57">
        <f>Data!J816</f>
        <v>244.4</v>
      </c>
      <c r="K817" s="58">
        <f t="shared" ca="1" si="14"/>
        <v>297</v>
      </c>
      <c r="L817" s="58">
        <f>Data!M816</f>
        <v>0</v>
      </c>
      <c r="M817" s="37" t="s">
        <v>5</v>
      </c>
      <c r="N817" s="43" t="str">
        <f>VLOOKUP(M817,Table1[#All],3,FALSE)</f>
        <v>Claim Paid by EFT;</v>
      </c>
      <c r="O817" s="40" t="str">
        <f>VLOOKUP(M817,Table1[#All],4,FALSE)</f>
        <v>Issue Date:</v>
      </c>
      <c r="P817" s="38">
        <v>44407</v>
      </c>
      <c r="Q817" s="40" t="str">
        <f>VLOOKUP(M817,Table1[#All],5,FALSE)</f>
        <v>EFT#</v>
      </c>
      <c r="R817" s="79"/>
      <c r="S817" s="40" t="str">
        <f>VLOOKUP(M817,Table1[#All],6,FALSE)</f>
        <v>Bulk/Sep:</v>
      </c>
      <c r="T817" s="79" t="s">
        <v>3883</v>
      </c>
      <c r="U817" s="40" t="str">
        <f>VLOOKUP(M817,Table1[#All],7,FALSE)</f>
        <v>Call Ref#:</v>
      </c>
      <c r="V817" s="79"/>
      <c r="W817" s="40" t="str">
        <f>VLOOKUP(M817,Table1[#All],8,FALSE)</f>
        <v>Cust Rep:</v>
      </c>
      <c r="X817" s="79"/>
      <c r="Y817" s="44" t="str">
        <f>VLOOKUP(M817,Table1[#All],2,FALSE)</f>
        <v xml:space="preserve">Task Post Pmt Queue </v>
      </c>
      <c r="Z817" s="59" t="str">
        <f>VLOOKUP(M817,Table1[#All],9,FALSE)</f>
        <v>Additional Notes:</v>
      </c>
      <c r="AA817" s="76" t="s">
        <v>3913</v>
      </c>
      <c r="AB817" s="76" t="s">
        <v>3697</v>
      </c>
      <c r="AC817" s="90" t="s">
        <v>115</v>
      </c>
      <c r="AD817" s="76" t="s">
        <v>177</v>
      </c>
      <c r="AE817" s="77" t="s">
        <v>3770</v>
      </c>
      <c r="AF817" s="110">
        <v>44586</v>
      </c>
      <c r="AG817" s="41" t="s">
        <v>101</v>
      </c>
    </row>
    <row r="818" spans="1:33" ht="21" hidden="1" x14ac:dyDescent="0.55000000000000004">
      <c r="A818" s="44" t="str">
        <f>Data!K817</f>
        <v>Forward Health</v>
      </c>
      <c r="B818" s="44" t="str">
        <f>Data!L817</f>
        <v>8009479627</v>
      </c>
      <c r="C818" s="44" t="str">
        <f>Data!D817</f>
        <v>Kazikowski, Christian</v>
      </c>
      <c r="D818" s="82" t="str">
        <f>Data!F817</f>
        <v>6441989361</v>
      </c>
      <c r="E818" s="82" t="str">
        <f>Data!B817</f>
        <v>1478</v>
      </c>
      <c r="F818" s="44" t="str">
        <f>Data!A817</f>
        <v>Kazikowski, Christian</v>
      </c>
      <c r="G818" s="55" t="str">
        <f>Data!C817</f>
        <v>3/26/2012</v>
      </c>
      <c r="H818" s="56">
        <f>Data!H817</f>
        <v>44393</v>
      </c>
      <c r="I818" s="56" t="str">
        <f>Data!I817</f>
        <v>7/26/2021</v>
      </c>
      <c r="J818" s="57">
        <f>Data!J817</f>
        <v>216</v>
      </c>
      <c r="K818" s="58">
        <f t="shared" ca="1" si="14"/>
        <v>297</v>
      </c>
      <c r="L818" s="58">
        <f>Data!M817</f>
        <v>0</v>
      </c>
      <c r="M818" s="37" t="s">
        <v>5</v>
      </c>
      <c r="N818" s="43" t="str">
        <f>VLOOKUP(M818,Table1[#All],3,FALSE)</f>
        <v>Claim Paid by EFT;</v>
      </c>
      <c r="O818" s="40" t="str">
        <f>VLOOKUP(M818,Table1[#All],4,FALSE)</f>
        <v>Issue Date:</v>
      </c>
      <c r="P818" s="38">
        <v>44407</v>
      </c>
      <c r="Q818" s="40" t="str">
        <f>VLOOKUP(M818,Table1[#All],5,FALSE)</f>
        <v>EFT#</v>
      </c>
      <c r="R818" s="79"/>
      <c r="S818" s="40" t="str">
        <f>VLOOKUP(M818,Table1[#All],6,FALSE)</f>
        <v>Bulk/Sep:</v>
      </c>
      <c r="T818" s="79" t="s">
        <v>3883</v>
      </c>
      <c r="U818" s="40" t="str">
        <f>VLOOKUP(M818,Table1[#All],7,FALSE)</f>
        <v>Call Ref#:</v>
      </c>
      <c r="V818" s="79"/>
      <c r="W818" s="40" t="str">
        <f>VLOOKUP(M818,Table1[#All],8,FALSE)</f>
        <v>Cust Rep:</v>
      </c>
      <c r="X818" s="79"/>
      <c r="Y818" s="44" t="str">
        <f>VLOOKUP(M818,Table1[#All],2,FALSE)</f>
        <v xml:space="preserve">Task Post Pmt Queue </v>
      </c>
      <c r="Z818" s="59" t="str">
        <f>VLOOKUP(M818,Table1[#All],9,FALSE)</f>
        <v>Additional Notes:</v>
      </c>
      <c r="AA818" s="76" t="s">
        <v>3914</v>
      </c>
      <c r="AB818" s="76" t="s">
        <v>3697</v>
      </c>
      <c r="AC818" s="90" t="s">
        <v>115</v>
      </c>
      <c r="AD818" s="76" t="s">
        <v>177</v>
      </c>
      <c r="AE818" s="77" t="s">
        <v>3770</v>
      </c>
      <c r="AF818" s="110">
        <v>44586</v>
      </c>
      <c r="AG818" s="41" t="s">
        <v>101</v>
      </c>
    </row>
    <row r="819" spans="1:33" ht="21" hidden="1" x14ac:dyDescent="0.55000000000000004">
      <c r="A819" s="44" t="str">
        <f>Data!K818</f>
        <v>Forward Health</v>
      </c>
      <c r="B819" s="44" t="str">
        <f>Data!L818</f>
        <v>8009479627</v>
      </c>
      <c r="C819" s="44" t="str">
        <f>Data!D818</f>
        <v xml:space="preserve">Rowe , A`alyssia </v>
      </c>
      <c r="D819" s="82" t="str">
        <f>Data!F818</f>
        <v>0449080803</v>
      </c>
      <c r="E819" s="82" t="str">
        <f>Data!B818</f>
        <v>7362</v>
      </c>
      <c r="F819" s="44" t="str">
        <f>Data!A818</f>
        <v xml:space="preserve">Rowe , A`alyssia </v>
      </c>
      <c r="G819" s="55" t="str">
        <f>Data!C818</f>
        <v>12/6/2015</v>
      </c>
      <c r="H819" s="56">
        <f>Data!H818</f>
        <v>44369</v>
      </c>
      <c r="I819" s="56" t="str">
        <f>Data!I818</f>
        <v>6/24/2021</v>
      </c>
      <c r="J819" s="57">
        <f>Data!J818</f>
        <v>673.6</v>
      </c>
      <c r="K819" s="58">
        <f t="shared" ca="1" si="14"/>
        <v>329</v>
      </c>
      <c r="L819" s="58">
        <f>Data!M818</f>
        <v>0</v>
      </c>
      <c r="M819" s="37" t="s">
        <v>5</v>
      </c>
      <c r="N819" s="43" t="str">
        <f>VLOOKUP(M819,Table1[#All],3,FALSE)</f>
        <v>Claim Paid by EFT;</v>
      </c>
      <c r="O819" s="40" t="str">
        <f>VLOOKUP(M819,Table1[#All],4,FALSE)</f>
        <v>Issue Date:</v>
      </c>
      <c r="P819" s="38">
        <v>44400</v>
      </c>
      <c r="Q819" s="40" t="str">
        <f>VLOOKUP(M819,Table1[#All],5,FALSE)</f>
        <v>EFT#</v>
      </c>
      <c r="R819" s="79"/>
      <c r="S819" s="40" t="str">
        <f>VLOOKUP(M819,Table1[#All],6,FALSE)</f>
        <v>Bulk/Sep:</v>
      </c>
      <c r="T819" s="79" t="s">
        <v>3883</v>
      </c>
      <c r="U819" s="40" t="str">
        <f>VLOOKUP(M819,Table1[#All],7,FALSE)</f>
        <v>Call Ref#:</v>
      </c>
      <c r="V819" s="79"/>
      <c r="W819" s="40" t="str">
        <f>VLOOKUP(M819,Table1[#All],8,FALSE)</f>
        <v>Cust Rep:</v>
      </c>
      <c r="X819" s="79"/>
      <c r="Y819" s="44" t="str">
        <f>VLOOKUP(M819,Table1[#All],2,FALSE)</f>
        <v xml:space="preserve">Task Post Pmt Queue </v>
      </c>
      <c r="Z819" s="59" t="str">
        <f>VLOOKUP(M819,Table1[#All],9,FALSE)</f>
        <v>Additional Notes:</v>
      </c>
      <c r="AA819" s="76" t="s">
        <v>3912</v>
      </c>
      <c r="AB819" s="76" t="s">
        <v>3697</v>
      </c>
      <c r="AC819" s="90" t="s">
        <v>115</v>
      </c>
      <c r="AD819" s="76" t="s">
        <v>177</v>
      </c>
      <c r="AE819" s="77" t="s">
        <v>3770</v>
      </c>
      <c r="AF819" s="110">
        <v>44586</v>
      </c>
      <c r="AG819" s="41" t="s">
        <v>101</v>
      </c>
    </row>
    <row r="820" spans="1:33" ht="21" hidden="1" x14ac:dyDescent="0.55000000000000004">
      <c r="A820" s="44" t="str">
        <f>Data!K819</f>
        <v>Forward Health</v>
      </c>
      <c r="B820" s="44" t="str">
        <f>Data!L819</f>
        <v>8009479627</v>
      </c>
      <c r="C820" s="44" t="str">
        <f>Data!D819</f>
        <v>JACKSON, RAELYN</v>
      </c>
      <c r="D820" s="82" t="str">
        <f>Data!F819</f>
        <v>4449121244</v>
      </c>
      <c r="E820" s="82" t="str">
        <f>Data!B819</f>
        <v>4293</v>
      </c>
      <c r="F820" s="44" t="str">
        <f>Data!A819</f>
        <v>JACKSON, RAELYN</v>
      </c>
      <c r="G820" s="55" t="str">
        <f>Data!C819</f>
        <v>12/6/2015</v>
      </c>
      <c r="H820" s="56">
        <f>Data!H819</f>
        <v>44363</v>
      </c>
      <c r="I820" s="56" t="str">
        <f>Data!I819</f>
        <v>6/17/2021</v>
      </c>
      <c r="J820" s="57">
        <f>Data!J819</f>
        <v>404.8</v>
      </c>
      <c r="K820" s="58">
        <f t="shared" ca="1" si="14"/>
        <v>336</v>
      </c>
      <c r="L820" s="58">
        <f>Data!M819</f>
        <v>0</v>
      </c>
      <c r="M820" s="37" t="s">
        <v>5</v>
      </c>
      <c r="N820" s="43" t="str">
        <f>VLOOKUP(M820,Table1[#All],3,FALSE)</f>
        <v>Claim Paid by EFT;</v>
      </c>
      <c r="O820" s="40" t="str">
        <f>VLOOKUP(M820,Table1[#All],4,FALSE)</f>
        <v>Issue Date:</v>
      </c>
      <c r="P820" s="38">
        <v>44393</v>
      </c>
      <c r="Q820" s="40" t="str">
        <f>VLOOKUP(M820,Table1[#All],5,FALSE)</f>
        <v>EFT#</v>
      </c>
      <c r="R820" s="79"/>
      <c r="S820" s="40" t="str">
        <f>VLOOKUP(M820,Table1[#All],6,FALSE)</f>
        <v>Bulk/Sep:</v>
      </c>
      <c r="T820" s="79"/>
      <c r="U820" s="40" t="str">
        <f>VLOOKUP(M820,Table1[#All],7,FALSE)</f>
        <v>Call Ref#:</v>
      </c>
      <c r="V820" s="79"/>
      <c r="W820" s="40" t="str">
        <f>VLOOKUP(M820,Table1[#All],8,FALSE)</f>
        <v>Cust Rep:</v>
      </c>
      <c r="X820" s="79"/>
      <c r="Y820" s="44" t="str">
        <f>VLOOKUP(M820,Table1[#All],2,FALSE)</f>
        <v xml:space="preserve">Task Post Pmt Queue </v>
      </c>
      <c r="Z820" s="59" t="str">
        <f>VLOOKUP(M820,Table1[#All],9,FALSE)</f>
        <v>Additional Notes:</v>
      </c>
      <c r="AA820" s="76" t="s">
        <v>3911</v>
      </c>
      <c r="AB820" s="76" t="s">
        <v>3697</v>
      </c>
      <c r="AC820" s="90" t="s">
        <v>115</v>
      </c>
      <c r="AD820" s="76" t="s">
        <v>177</v>
      </c>
      <c r="AE820" s="77" t="s">
        <v>3770</v>
      </c>
      <c r="AF820" s="110">
        <v>44586</v>
      </c>
      <c r="AG820" s="41" t="s">
        <v>101</v>
      </c>
    </row>
    <row r="821" spans="1:33" ht="21" hidden="1" x14ac:dyDescent="0.55000000000000004">
      <c r="A821" s="44" t="str">
        <f>Data!K820</f>
        <v>Forward Health</v>
      </c>
      <c r="B821" s="44" t="str">
        <f>Data!L820</f>
        <v>8009479627</v>
      </c>
      <c r="C821" s="44" t="str">
        <f>Data!D820</f>
        <v>Watts, Laderrius</v>
      </c>
      <c r="D821" s="82" t="str">
        <f>Data!F820</f>
        <v>1448604419</v>
      </c>
      <c r="E821" s="82" t="str">
        <f>Data!B820</f>
        <v>6825</v>
      </c>
      <c r="F821" s="44" t="str">
        <f>Data!A820</f>
        <v>Watts, Laderrius</v>
      </c>
      <c r="G821" s="55" t="str">
        <f>Data!C820</f>
        <v>9/4/2015</v>
      </c>
      <c r="H821" s="56">
        <f>Data!H820</f>
        <v>44361</v>
      </c>
      <c r="I821" s="56" t="str">
        <f>Data!I820</f>
        <v>6/17/2021</v>
      </c>
      <c r="J821" s="57">
        <f>Data!J820</f>
        <v>532</v>
      </c>
      <c r="K821" s="58">
        <f t="shared" ca="1" si="14"/>
        <v>336</v>
      </c>
      <c r="L821" s="58">
        <f>Data!M820</f>
        <v>0</v>
      </c>
      <c r="M821" s="37" t="s">
        <v>5</v>
      </c>
      <c r="N821" s="43" t="str">
        <f>VLOOKUP(M821,Table1[#All],3,FALSE)</f>
        <v>Claim Paid by EFT;</v>
      </c>
      <c r="O821" s="40" t="str">
        <f>VLOOKUP(M821,Table1[#All],4,FALSE)</f>
        <v>Issue Date:</v>
      </c>
      <c r="P821" s="38">
        <v>44393</v>
      </c>
      <c r="Q821" s="40" t="str">
        <f>VLOOKUP(M821,Table1[#All],5,FALSE)</f>
        <v>EFT#</v>
      </c>
      <c r="R821" s="79"/>
      <c r="S821" s="40" t="str">
        <f>VLOOKUP(M821,Table1[#All],6,FALSE)</f>
        <v>Bulk/Sep:</v>
      </c>
      <c r="T821" s="79" t="s">
        <v>3883</v>
      </c>
      <c r="U821" s="40" t="str">
        <f>VLOOKUP(M821,Table1[#All],7,FALSE)</f>
        <v>Call Ref#:</v>
      </c>
      <c r="V821" s="79"/>
      <c r="W821" s="40" t="str">
        <f>VLOOKUP(M821,Table1[#All],8,FALSE)</f>
        <v>Cust Rep:</v>
      </c>
      <c r="X821" s="79"/>
      <c r="Y821" s="44" t="str">
        <f>VLOOKUP(M821,Table1[#All],2,FALSE)</f>
        <v xml:space="preserve">Task Post Pmt Queue </v>
      </c>
      <c r="Z821" s="59" t="str">
        <f>VLOOKUP(M821,Table1[#All],9,FALSE)</f>
        <v>Additional Notes:</v>
      </c>
      <c r="AA821" s="76" t="s">
        <v>3910</v>
      </c>
      <c r="AB821" s="76" t="s">
        <v>3697</v>
      </c>
      <c r="AC821" s="90" t="s">
        <v>115</v>
      </c>
      <c r="AD821" s="76" t="s">
        <v>177</v>
      </c>
      <c r="AE821" s="77" t="s">
        <v>3770</v>
      </c>
      <c r="AF821" s="110">
        <v>44586</v>
      </c>
      <c r="AG821" s="41" t="s">
        <v>101</v>
      </c>
    </row>
    <row r="822" spans="1:33" ht="21" hidden="1" x14ac:dyDescent="0.55000000000000004">
      <c r="A822" s="44" t="str">
        <f>Data!K821</f>
        <v>Forward Health</v>
      </c>
      <c r="B822" s="44" t="str">
        <f>Data!L821</f>
        <v>8009479627</v>
      </c>
      <c r="C822" s="44" t="str">
        <f>Data!D821</f>
        <v>Bain , Scarlett</v>
      </c>
      <c r="D822" s="82" t="str">
        <f>Data!F821</f>
        <v>1452103011</v>
      </c>
      <c r="E822" s="82" t="str">
        <f>Data!B821</f>
        <v>5373</v>
      </c>
      <c r="F822" s="44" t="str">
        <f>Data!A821</f>
        <v>Bain , Scarlett</v>
      </c>
      <c r="G822" s="55" t="str">
        <f>Data!C821</f>
        <v>9/18/2017</v>
      </c>
      <c r="H822" s="56">
        <f>Data!H821</f>
        <v>44350</v>
      </c>
      <c r="I822" s="56" t="str">
        <f>Data!I821</f>
        <v>6/7/2021</v>
      </c>
      <c r="J822" s="57">
        <f>Data!J821</f>
        <v>450.4</v>
      </c>
      <c r="K822" s="58">
        <f t="shared" ca="1" si="14"/>
        <v>346</v>
      </c>
      <c r="L822" s="58">
        <f>Data!M821</f>
        <v>0</v>
      </c>
      <c r="M822" s="37" t="s">
        <v>5</v>
      </c>
      <c r="N822" s="43" t="str">
        <f>VLOOKUP(M822,Table1[#All],3,FALSE)</f>
        <v>Claim Paid by EFT;</v>
      </c>
      <c r="O822" s="40" t="str">
        <f>VLOOKUP(M822,Table1[#All],4,FALSE)</f>
        <v>Issue Date:</v>
      </c>
      <c r="P822" s="38">
        <v>44386</v>
      </c>
      <c r="Q822" s="40" t="str">
        <f>VLOOKUP(M822,Table1[#All],5,FALSE)</f>
        <v>EFT#</v>
      </c>
      <c r="R822" s="79"/>
      <c r="S822" s="40" t="str">
        <f>VLOOKUP(M822,Table1[#All],6,FALSE)</f>
        <v>Bulk/Sep:</v>
      </c>
      <c r="T822" s="79"/>
      <c r="U822" s="40" t="str">
        <f>VLOOKUP(M822,Table1[#All],7,FALSE)</f>
        <v>Call Ref#:</v>
      </c>
      <c r="V822" s="79"/>
      <c r="W822" s="40" t="str">
        <f>VLOOKUP(M822,Table1[#All],8,FALSE)</f>
        <v>Cust Rep:</v>
      </c>
      <c r="X822" s="79"/>
      <c r="Y822" s="44" t="str">
        <f>VLOOKUP(M822,Table1[#All],2,FALSE)</f>
        <v xml:space="preserve">Task Post Pmt Queue </v>
      </c>
      <c r="Z822" s="59" t="str">
        <f>VLOOKUP(M822,Table1[#All],9,FALSE)</f>
        <v>Additional Notes:</v>
      </c>
      <c r="AA822" s="76" t="s">
        <v>3909</v>
      </c>
      <c r="AB822" s="76" t="s">
        <v>3697</v>
      </c>
      <c r="AC822" s="90" t="s">
        <v>115</v>
      </c>
      <c r="AD822" s="76" t="s">
        <v>177</v>
      </c>
      <c r="AE822" s="77" t="s">
        <v>3770</v>
      </c>
      <c r="AF822" s="110">
        <v>44579</v>
      </c>
      <c r="AG822" s="41" t="s">
        <v>101</v>
      </c>
    </row>
    <row r="823" spans="1:33" ht="42" hidden="1" x14ac:dyDescent="0.55000000000000004">
      <c r="A823" s="44" t="str">
        <f>Data!K822</f>
        <v>Forward Health</v>
      </c>
      <c r="B823" s="44" t="str">
        <f>Data!L822</f>
        <v>8009479627</v>
      </c>
      <c r="C823" s="44" t="str">
        <f>Data!D822</f>
        <v>Jiron, Jovan</v>
      </c>
      <c r="D823" s="82" t="str">
        <f>Data!F822</f>
        <v>1441049118</v>
      </c>
      <c r="E823" s="82" t="str">
        <f>Data!B822</f>
        <v>7200</v>
      </c>
      <c r="F823" s="44" t="str">
        <f>Data!A822</f>
        <v>Jiron, Jovan</v>
      </c>
      <c r="G823" s="55" t="str">
        <f>Data!C822</f>
        <v>5/15/2008</v>
      </c>
      <c r="H823" s="56">
        <f>Data!H822</f>
        <v>44349</v>
      </c>
      <c r="I823" s="56" t="str">
        <f>Data!I822</f>
        <v>6/7/2021</v>
      </c>
      <c r="J823" s="57">
        <f>Data!J822</f>
        <v>161.19999999999999</v>
      </c>
      <c r="K823" s="58">
        <f t="shared" ca="1" si="14"/>
        <v>346</v>
      </c>
      <c r="L823" s="58">
        <f>Data!M822</f>
        <v>0</v>
      </c>
      <c r="M823" s="37" t="s">
        <v>5</v>
      </c>
      <c r="N823" s="43" t="str">
        <f>VLOOKUP(M823,Table1[#All],3,FALSE)</f>
        <v>Claim Paid by EFT;</v>
      </c>
      <c r="O823" s="40" t="str">
        <f>VLOOKUP(M823,Table1[#All],4,FALSE)</f>
        <v>Issue Date:</v>
      </c>
      <c r="P823" s="39" t="s">
        <v>3907</v>
      </c>
      <c r="Q823" s="40" t="str">
        <f>VLOOKUP(M823,Table1[#All],5,FALSE)</f>
        <v>EFT#</v>
      </c>
      <c r="R823" s="79"/>
      <c r="S823" s="40" t="str">
        <f>VLOOKUP(M823,Table1[#All],6,FALSE)</f>
        <v>Bulk/Sep:</v>
      </c>
      <c r="T823" s="79"/>
      <c r="U823" s="40" t="str">
        <f>VLOOKUP(M823,Table1[#All],7,FALSE)</f>
        <v>Call Ref#:</v>
      </c>
      <c r="V823" s="79"/>
      <c r="W823" s="40" t="str">
        <f>VLOOKUP(M823,Table1[#All],8,FALSE)</f>
        <v>Cust Rep:</v>
      </c>
      <c r="X823" s="79"/>
      <c r="Y823" s="44" t="str">
        <f>VLOOKUP(M823,Table1[#All],2,FALSE)</f>
        <v xml:space="preserve">Task Post Pmt Queue </v>
      </c>
      <c r="Z823" s="59" t="str">
        <f>VLOOKUP(M823,Table1[#All],9,FALSE)</f>
        <v>Additional Notes:</v>
      </c>
      <c r="AA823" s="76" t="s">
        <v>3908</v>
      </c>
      <c r="AB823" s="76" t="s">
        <v>3697</v>
      </c>
      <c r="AC823" s="90" t="s">
        <v>115</v>
      </c>
      <c r="AD823" s="76" t="s">
        <v>177</v>
      </c>
      <c r="AE823" s="77" t="s">
        <v>3770</v>
      </c>
      <c r="AF823" s="110">
        <v>44586</v>
      </c>
      <c r="AG823" s="41" t="s">
        <v>101</v>
      </c>
    </row>
    <row r="824" spans="1:33" ht="21" hidden="1" x14ac:dyDescent="0.55000000000000004">
      <c r="A824" s="44" t="str">
        <f>Data!K823</f>
        <v>Forward Health</v>
      </c>
      <c r="B824" s="44" t="str">
        <f>Data!L823</f>
        <v>8009479627</v>
      </c>
      <c r="C824" s="44" t="str">
        <f>Data!D823</f>
        <v>Bain , Scarlett</v>
      </c>
      <c r="D824" s="82" t="str">
        <f>Data!F823</f>
        <v>1452103011</v>
      </c>
      <c r="E824" s="82" t="str">
        <f>Data!B823</f>
        <v>5373</v>
      </c>
      <c r="F824" s="44" t="str">
        <f>Data!A823</f>
        <v>Bain , Scarlett</v>
      </c>
      <c r="G824" s="55" t="str">
        <f>Data!C823</f>
        <v>9/18/2017</v>
      </c>
      <c r="H824" s="56">
        <f>Data!H823</f>
        <v>44326</v>
      </c>
      <c r="I824" s="56" t="str">
        <f>Data!I823</f>
        <v>5/18/2021</v>
      </c>
      <c r="J824" s="57">
        <f>Data!J823</f>
        <v>496</v>
      </c>
      <c r="K824" s="58">
        <f t="shared" ca="1" si="14"/>
        <v>366</v>
      </c>
      <c r="L824" s="58">
        <f>Data!M823</f>
        <v>0</v>
      </c>
      <c r="M824" s="37" t="s">
        <v>5</v>
      </c>
      <c r="N824" s="43" t="str">
        <f>VLOOKUP(M824,Table1[#All],3,FALSE)</f>
        <v>Claim Paid by EFT;</v>
      </c>
      <c r="O824" s="40" t="str">
        <f>VLOOKUP(M824,Table1[#All],4,FALSE)</f>
        <v>Issue Date:</v>
      </c>
      <c r="P824" s="38">
        <v>44365</v>
      </c>
      <c r="Q824" s="40" t="str">
        <f>VLOOKUP(M824,Table1[#All],5,FALSE)</f>
        <v>EFT#</v>
      </c>
      <c r="R824" s="79"/>
      <c r="S824" s="40" t="str">
        <f>VLOOKUP(M824,Table1[#All],6,FALSE)</f>
        <v>Bulk/Sep:</v>
      </c>
      <c r="T824" s="79" t="s">
        <v>3883</v>
      </c>
      <c r="U824" s="40" t="str">
        <f>VLOOKUP(M824,Table1[#All],7,FALSE)</f>
        <v>Call Ref#:</v>
      </c>
      <c r="V824" s="79"/>
      <c r="W824" s="40" t="str">
        <f>VLOOKUP(M824,Table1[#All],8,FALSE)</f>
        <v>Cust Rep:</v>
      </c>
      <c r="X824" s="79"/>
      <c r="Y824" s="44" t="str">
        <f>VLOOKUP(M824,Table1[#All],2,FALSE)</f>
        <v xml:space="preserve">Task Post Pmt Queue </v>
      </c>
      <c r="Z824" s="59" t="str">
        <f>VLOOKUP(M824,Table1[#All],9,FALSE)</f>
        <v>Additional Notes:</v>
      </c>
      <c r="AA824" s="76" t="s">
        <v>3906</v>
      </c>
      <c r="AB824" s="76" t="s">
        <v>3697</v>
      </c>
      <c r="AC824" s="90" t="s">
        <v>115</v>
      </c>
      <c r="AD824" s="76" t="s">
        <v>177</v>
      </c>
      <c r="AE824" s="77" t="s">
        <v>3770</v>
      </c>
      <c r="AF824" s="110">
        <v>44586</v>
      </c>
      <c r="AG824" s="41" t="s">
        <v>101</v>
      </c>
    </row>
    <row r="825" spans="1:33" ht="33" hidden="1" x14ac:dyDescent="0.55000000000000004">
      <c r="A825" s="44" t="str">
        <f>Data!K824</f>
        <v>Guardian Dental Group</v>
      </c>
      <c r="B825" s="44" t="str">
        <f>Data!L824</f>
        <v>8002363712</v>
      </c>
      <c r="C825" s="44" t="str">
        <f>Data!D824</f>
        <v>Dougherty, Daniel</v>
      </c>
      <c r="D825" s="82" t="str">
        <f>Data!F824</f>
        <v>391780831</v>
      </c>
      <c r="E825" s="82" t="str">
        <f>Data!B824</f>
        <v>6135</v>
      </c>
      <c r="F825" s="44" t="str">
        <f>Data!A824</f>
        <v>Dougherty, Daniel</v>
      </c>
      <c r="G825" s="55" t="str">
        <f>Data!C824</f>
        <v>1/2/1961</v>
      </c>
      <c r="H825" s="56">
        <f>Data!H824</f>
        <v>44335</v>
      </c>
      <c r="I825" s="56" t="str">
        <f>Data!I824</f>
        <v>5/22/2021</v>
      </c>
      <c r="J825" s="57">
        <f>Data!J824</f>
        <v>61.2</v>
      </c>
      <c r="K825" s="58">
        <f t="shared" ca="1" si="14"/>
        <v>362</v>
      </c>
      <c r="L825" s="58">
        <f>Data!M824</f>
        <v>0</v>
      </c>
      <c r="M825" s="37" t="s">
        <v>12</v>
      </c>
      <c r="N825" s="43" t="str">
        <f>VLOOKUP(M825,Table1[#All],3,FALSE)</f>
        <v>Patient maxed out;</v>
      </c>
      <c r="O825" s="40" t="str">
        <f>VLOOKUP(M825,Table1[#All],4,FALSE)</f>
        <v xml:space="preserve">Yearly Max: </v>
      </c>
      <c r="P825" s="39">
        <v>1200</v>
      </c>
      <c r="Q825" s="40" t="str">
        <f>VLOOKUP(M825,Table1[#All],5,FALSE)</f>
        <v>Call Ref#:</v>
      </c>
      <c r="R825" s="79" t="s">
        <v>3903</v>
      </c>
      <c r="S825" s="40" t="str">
        <f>VLOOKUP(M825,Table1[#All],6,FALSE)</f>
        <v>Cust Rep:</v>
      </c>
      <c r="T825" s="79" t="s">
        <v>3904</v>
      </c>
      <c r="U825" s="40">
        <f>VLOOKUP(M825,Table1[#All],7,FALSE)</f>
        <v>0</v>
      </c>
      <c r="V825" s="79"/>
      <c r="W825" s="40">
        <f>VLOOKUP(M825,Table1[#All],8,FALSE)</f>
        <v>0</v>
      </c>
      <c r="X825" s="79"/>
      <c r="Y825" s="44" t="str">
        <f>VLOOKUP(M825,Table1[#All],2,FALSE)</f>
        <v xml:space="preserve">Task Post Pmt Queue </v>
      </c>
      <c r="Z825" s="59" t="str">
        <f>VLOOKUP(M825,Table1[#All],9,FALSE)</f>
        <v>Additional Notes:</v>
      </c>
      <c r="AA825" s="76" t="s">
        <v>3905</v>
      </c>
      <c r="AB825" s="76" t="s">
        <v>3697</v>
      </c>
      <c r="AC825" s="90" t="s">
        <v>115</v>
      </c>
      <c r="AD825" s="76" t="s">
        <v>177</v>
      </c>
      <c r="AE825" s="77" t="s">
        <v>3770</v>
      </c>
      <c r="AF825" s="110">
        <v>44588</v>
      </c>
      <c r="AG825" s="41" t="s">
        <v>101</v>
      </c>
    </row>
    <row r="826" spans="1:33" ht="63" x14ac:dyDescent="0.55000000000000004">
      <c r="A826" s="44" t="str">
        <f>Data!K825</f>
        <v>Guardian Dental Group</v>
      </c>
      <c r="B826" s="44" t="str">
        <f>Data!L825</f>
        <v>8002363712</v>
      </c>
      <c r="C826" s="44" t="str">
        <f>Data!D825</f>
        <v xml:space="preserve">Ruiz , Angel </v>
      </c>
      <c r="D826" s="82" t="str">
        <f>Data!F825</f>
        <v>322828812</v>
      </c>
      <c r="E826" s="82" t="str">
        <f>Data!B825</f>
        <v>6774</v>
      </c>
      <c r="F826" s="44" t="str">
        <f>Data!A825</f>
        <v xml:space="preserve">Ruiz , Angel </v>
      </c>
      <c r="G826" s="55" t="str">
        <f>Data!C825</f>
        <v>3/29/1981</v>
      </c>
      <c r="H826" s="56">
        <f>Data!H825</f>
        <v>44327</v>
      </c>
      <c r="I826" s="56" t="str">
        <f>Data!I825</f>
        <v>5/18/2021</v>
      </c>
      <c r="J826" s="57">
        <f>Data!J825</f>
        <v>61.2</v>
      </c>
      <c r="K826" s="58">
        <f t="shared" ca="1" si="14"/>
        <v>366</v>
      </c>
      <c r="L826" s="58">
        <f>Data!M825</f>
        <v>0</v>
      </c>
      <c r="M826" s="37" t="s">
        <v>11</v>
      </c>
      <c r="N826" s="43" t="str">
        <f>VLOOKUP(M826,Table1[#All],3,FALSE)</f>
        <v>Claim denied due to Frequency;</v>
      </c>
      <c r="O826" s="40" t="str">
        <f>VLOOKUP(M826,Table1[#All],4,FALSE)</f>
        <v>Freq for Proc:</v>
      </c>
      <c r="P826" s="39" t="s">
        <v>3901</v>
      </c>
      <c r="Q826" s="40" t="str">
        <f>VLOOKUP(M826,Table1[#All],5,FALSE)</f>
        <v>Hist dts:</v>
      </c>
      <c r="R826" s="79"/>
      <c r="S826" s="40" t="str">
        <f>VLOOKUP(M826,Table1[#All],6,FALSE)</f>
        <v>Call Ref#:</v>
      </c>
      <c r="T826" s="79"/>
      <c r="U826" s="40" t="str">
        <f>VLOOKUP(M826,Table1[#All],7,FALSE)</f>
        <v>Cust Rep:</v>
      </c>
      <c r="V826" s="79"/>
      <c r="W826" s="40">
        <f>VLOOKUP(M826,Table1[#All],8,FALSE)</f>
        <v>0</v>
      </c>
      <c r="X826" s="79"/>
      <c r="Y826" s="44" t="str">
        <f>VLOOKUP(M826,Table1[#All],2,FALSE)</f>
        <v xml:space="preserve">Task Post Pmt Queue </v>
      </c>
      <c r="Z826" s="59" t="str">
        <f>VLOOKUP(M826,Table1[#All],9,FALSE)</f>
        <v>Additional Notes:</v>
      </c>
      <c r="AA826" s="76" t="s">
        <v>3902</v>
      </c>
      <c r="AB826" s="117">
        <v>44698</v>
      </c>
      <c r="AC826" s="90" t="s">
        <v>115</v>
      </c>
      <c r="AD826" s="76" t="s">
        <v>177</v>
      </c>
      <c r="AE826" s="77" t="s">
        <v>3776</v>
      </c>
      <c r="AF826" s="110">
        <v>44628</v>
      </c>
      <c r="AG826" s="41" t="s">
        <v>100</v>
      </c>
    </row>
    <row r="827" spans="1:33" ht="33" x14ac:dyDescent="0.55000000000000004">
      <c r="A827" s="44" t="str">
        <f>Data!K826</f>
        <v>Humana Dental Claims Office</v>
      </c>
      <c r="B827" s="44" t="str">
        <f>Data!L826</f>
        <v>8664277478</v>
      </c>
      <c r="C827" s="44" t="str">
        <f>Data!D826</f>
        <v>Asala, Lillian</v>
      </c>
      <c r="D827" s="82" t="str">
        <f>Data!F826</f>
        <v>105607652</v>
      </c>
      <c r="E827" s="82" t="str">
        <f>Data!B826</f>
        <v>6366</v>
      </c>
      <c r="F827" s="44" t="str">
        <f>Data!A826</f>
        <v>Asala, Lillian</v>
      </c>
      <c r="G827" s="55" t="str">
        <f>Data!C826</f>
        <v>9/4/1990</v>
      </c>
      <c r="H827" s="56">
        <f>Data!H826</f>
        <v>44428</v>
      </c>
      <c r="I827" s="56" t="str">
        <f>Data!I826</f>
        <v>8/23/2021</v>
      </c>
      <c r="J827" s="57">
        <f>Data!J826</f>
        <v>227.6</v>
      </c>
      <c r="K827" s="58">
        <f t="shared" ca="1" si="14"/>
        <v>269</v>
      </c>
      <c r="L827" s="58">
        <f>Data!M826</f>
        <v>0</v>
      </c>
      <c r="M827" s="37" t="s">
        <v>12</v>
      </c>
      <c r="N827" s="43" t="str">
        <f>VLOOKUP(M827,Table1[#All],3,FALSE)</f>
        <v>Patient maxed out;</v>
      </c>
      <c r="O827" s="40" t="str">
        <f>VLOOKUP(M827,Table1[#All],4,FALSE)</f>
        <v xml:space="preserve">Yearly Max: </v>
      </c>
      <c r="P827" s="113">
        <v>2000</v>
      </c>
      <c r="Q827" s="40" t="str">
        <f>VLOOKUP(M827,Table1[#All],5,FALSE)</f>
        <v>Call Ref#:</v>
      </c>
      <c r="R827" s="121" t="s">
        <v>3899</v>
      </c>
      <c r="S827" s="40" t="str">
        <f>VLOOKUP(M827,Table1[#All],6,FALSE)</f>
        <v>Cust Rep:</v>
      </c>
      <c r="T827" s="79" t="s">
        <v>3900</v>
      </c>
      <c r="U827" s="40">
        <f>VLOOKUP(M827,Table1[#All],7,FALSE)</f>
        <v>0</v>
      </c>
      <c r="V827" s="79"/>
      <c r="W827" s="40">
        <f>VLOOKUP(M827,Table1[#All],8,FALSE)</f>
        <v>0</v>
      </c>
      <c r="X827" s="79"/>
      <c r="Y827" s="44" t="str">
        <f>VLOOKUP(M827,Table1[#All],2,FALSE)</f>
        <v xml:space="preserve">Task Post Pmt Queue </v>
      </c>
      <c r="Z827" s="59" t="str">
        <f>VLOOKUP(M827,Table1[#All],9,FALSE)</f>
        <v>Additional Notes:</v>
      </c>
      <c r="AA827" s="76" t="s">
        <v>4223</v>
      </c>
      <c r="AB827" s="117">
        <v>44698</v>
      </c>
      <c r="AC827" s="90" t="s">
        <v>186</v>
      </c>
      <c r="AD827" s="76" t="s">
        <v>177</v>
      </c>
      <c r="AE827" s="77" t="s">
        <v>3770</v>
      </c>
      <c r="AF827" s="110">
        <v>44663</v>
      </c>
      <c r="AG827" s="41" t="s">
        <v>100</v>
      </c>
    </row>
    <row r="828" spans="1:33" ht="21" hidden="1" x14ac:dyDescent="0.55000000000000004">
      <c r="A828" s="44" t="str">
        <f>Data!K827</f>
        <v>ICARE-MEDICARE</v>
      </c>
      <c r="B828" s="44" t="str">
        <f>Data!L827</f>
        <v>8554535287</v>
      </c>
      <c r="C828" s="44" t="str">
        <f>Data!D827</f>
        <v>Hilgers, Jason</v>
      </c>
      <c r="D828" s="82" t="str">
        <f>Data!F827</f>
        <v>C2220007603</v>
      </c>
      <c r="E828" s="82" t="str">
        <f>Data!B827</f>
        <v>119</v>
      </c>
      <c r="F828" s="44" t="str">
        <f>Data!A827</f>
        <v>Hilgers, Jason</v>
      </c>
      <c r="G828" s="55" t="str">
        <f>Data!C827</f>
        <v>2/26/1992</v>
      </c>
      <c r="H828" s="56">
        <f>Data!H827</f>
        <v>44608</v>
      </c>
      <c r="I828" s="56" t="str">
        <f>Data!I827</f>
        <v>2/23/2022</v>
      </c>
      <c r="J828" s="57">
        <f>Data!J827</f>
        <v>82.8</v>
      </c>
      <c r="K828" s="58">
        <f t="shared" ca="1" si="14"/>
        <v>85</v>
      </c>
      <c r="L828" s="58">
        <f>Data!M827</f>
        <v>0</v>
      </c>
      <c r="M828" s="37" t="s">
        <v>26</v>
      </c>
      <c r="N828" s="43" t="str">
        <f>VLOOKUP(M828,Table1[#All],3,FALSE)</f>
        <v>Note</v>
      </c>
      <c r="O828" s="40" t="str">
        <f>VLOOKUP(M828,Table1[#All],4,FALSE)</f>
        <v>Q1</v>
      </c>
      <c r="P828" s="39"/>
      <c r="Q828" s="40" t="str">
        <f>VLOOKUP(M828,Table1[#All],5,FALSE)</f>
        <v>Q2</v>
      </c>
      <c r="R828" s="79"/>
      <c r="S828" s="40" t="str">
        <f>VLOOKUP(M828,Table1[#All],6,FALSE)</f>
        <v>Q3</v>
      </c>
      <c r="T828" s="79"/>
      <c r="U828" s="40" t="str">
        <f>VLOOKUP(M828,Table1[#All],7,FALSE)</f>
        <v>Q4</v>
      </c>
      <c r="V828" s="79"/>
      <c r="W828" s="40" t="str">
        <f>VLOOKUP(M828,Table1[#All],8,FALSE)</f>
        <v>Q5</v>
      </c>
      <c r="X828" s="79"/>
      <c r="Y828" s="44" t="str">
        <f>VLOOKUP(M828,Table1[#All],2,FALSE)</f>
        <v>Action</v>
      </c>
      <c r="Z828" s="59" t="str">
        <f>VLOOKUP(M828,Table1[#All],9,FALSE)</f>
        <v>Additional Notes:</v>
      </c>
      <c r="AA828" s="76"/>
      <c r="AB828" s="76"/>
      <c r="AC828" s="90" t="s">
        <v>91</v>
      </c>
      <c r="AD828" s="76" t="s">
        <v>91</v>
      </c>
      <c r="AE828" s="77"/>
      <c r="AF828" s="77"/>
      <c r="AG828" s="41" t="s">
        <v>91</v>
      </c>
    </row>
    <row r="829" spans="1:33" ht="21" hidden="1" x14ac:dyDescent="0.55000000000000004">
      <c r="A829" s="44" t="str">
        <f>Data!K828</f>
        <v>Metlife Dental Claims</v>
      </c>
      <c r="B829" s="44" t="str">
        <f>Data!L828</f>
        <v>8776383379</v>
      </c>
      <c r="C829" s="44" t="str">
        <f>Data!D828</f>
        <v xml:space="preserve">Butler , Kenny </v>
      </c>
      <c r="D829" s="82" t="str">
        <f>Data!F828</f>
        <v>426133768</v>
      </c>
      <c r="E829" s="82" t="str">
        <f>Data!B828</f>
        <v>9101</v>
      </c>
      <c r="F829" s="44" t="str">
        <f>Data!A828</f>
        <v xml:space="preserve">Butler , Kenny </v>
      </c>
      <c r="G829" s="55" t="str">
        <f>Data!C828</f>
        <v>2/8/1977</v>
      </c>
      <c r="H829" s="56">
        <f>Data!H828</f>
        <v>44632</v>
      </c>
      <c r="I829" s="56" t="str">
        <f>Data!I828</f>
        <v>3/14/2022</v>
      </c>
      <c r="J829" s="57">
        <f>Data!J828</f>
        <v>871.2</v>
      </c>
      <c r="K829" s="58">
        <f t="shared" ca="1" si="14"/>
        <v>66</v>
      </c>
      <c r="L829" s="58">
        <f>Data!M828</f>
        <v>0</v>
      </c>
      <c r="M829" s="37" t="s">
        <v>26</v>
      </c>
      <c r="N829" s="43" t="str">
        <f>VLOOKUP(M829,Table1[#All],3,FALSE)</f>
        <v>Note</v>
      </c>
      <c r="O829" s="40" t="str">
        <f>VLOOKUP(M829,Table1[#All],4,FALSE)</f>
        <v>Q1</v>
      </c>
      <c r="P829" s="39"/>
      <c r="Q829" s="40" t="str">
        <f>VLOOKUP(M829,Table1[#All],5,FALSE)</f>
        <v>Q2</v>
      </c>
      <c r="R829" s="79"/>
      <c r="S829" s="40" t="str">
        <f>VLOOKUP(M829,Table1[#All],6,FALSE)</f>
        <v>Q3</v>
      </c>
      <c r="T829" s="79"/>
      <c r="U829" s="40" t="str">
        <f>VLOOKUP(M829,Table1[#All],7,FALSE)</f>
        <v>Q4</v>
      </c>
      <c r="V829" s="79"/>
      <c r="W829" s="40" t="str">
        <f>VLOOKUP(M829,Table1[#All],8,FALSE)</f>
        <v>Q5</v>
      </c>
      <c r="X829" s="79"/>
      <c r="Y829" s="44" t="str">
        <f>VLOOKUP(M829,Table1[#All],2,FALSE)</f>
        <v>Action</v>
      </c>
      <c r="Z829" s="59" t="str">
        <f>VLOOKUP(M829,Table1[#All],9,FALSE)</f>
        <v>Additional Notes:</v>
      </c>
      <c r="AA829" s="76"/>
      <c r="AB829" s="76"/>
      <c r="AC829" s="90" t="s">
        <v>91</v>
      </c>
      <c r="AD829" s="76" t="s">
        <v>91</v>
      </c>
      <c r="AE829" s="77"/>
      <c r="AF829" s="77"/>
      <c r="AG829" s="41" t="s">
        <v>91</v>
      </c>
    </row>
    <row r="830" spans="1:33" ht="21" hidden="1" x14ac:dyDescent="0.55000000000000004">
      <c r="A830" s="44" t="str">
        <f>Data!K829</f>
        <v>Metlife Dental Claims</v>
      </c>
      <c r="B830" s="44" t="str">
        <f>Data!L829</f>
        <v>8776383379</v>
      </c>
      <c r="C830" s="44" t="str">
        <f>Data!D829</f>
        <v>Lopez Diaz , Abigail</v>
      </c>
      <c r="D830" s="82" t="str">
        <f>Data!F829</f>
        <v>397-33-0534</v>
      </c>
      <c r="E830" s="82" t="str">
        <f>Data!B829</f>
        <v>8524</v>
      </c>
      <c r="F830" s="44" t="str">
        <f>Data!A829</f>
        <v>Lopez Diaz , Abigail</v>
      </c>
      <c r="G830" s="55" t="str">
        <f>Data!C829</f>
        <v>11/21/1981</v>
      </c>
      <c r="H830" s="56">
        <f>Data!H829</f>
        <v>44551</v>
      </c>
      <c r="I830" s="56" t="str">
        <f>Data!I829</f>
        <v>12/22/2021</v>
      </c>
      <c r="J830" s="57">
        <f>Data!J829</f>
        <v>1168</v>
      </c>
      <c r="K830" s="58">
        <f t="shared" ca="1" si="14"/>
        <v>148</v>
      </c>
      <c r="L830" s="58">
        <f>Data!M829</f>
        <v>0</v>
      </c>
      <c r="M830" s="37" t="s">
        <v>7</v>
      </c>
      <c r="N830" s="43" t="str">
        <f>VLOOKUP(M830,Table1[#All],3,FALSE)</f>
        <v>Claim Paid by Check;</v>
      </c>
      <c r="O830" s="40" t="str">
        <f>VLOOKUP(M830,Table1[#All],4,FALSE)</f>
        <v>Issue Date:</v>
      </c>
      <c r="P830" s="38">
        <v>44666</v>
      </c>
      <c r="Q830" s="40" t="str">
        <f>VLOOKUP(M830,Table1[#All],5,FALSE)</f>
        <v>CHK#</v>
      </c>
      <c r="R830" s="79">
        <v>549903284</v>
      </c>
      <c r="S830" s="40" t="str">
        <f>VLOOKUP(M830,Table1[#All],6,FALSE)</f>
        <v>Bulk/Sep:</v>
      </c>
      <c r="T830" s="79" t="s">
        <v>3883</v>
      </c>
      <c r="U830" s="40" t="str">
        <f>VLOOKUP(M830,Table1[#All],7,FALSE)</f>
        <v>Call Ref#:</v>
      </c>
      <c r="V830" s="79"/>
      <c r="W830" s="40" t="str">
        <f>VLOOKUP(M830,Table1[#All],8,FALSE)</f>
        <v>Cust Rep:</v>
      </c>
      <c r="X830" s="79"/>
      <c r="Y830" s="44" t="str">
        <f>VLOOKUP(M830,Table1[#All],2,FALSE)</f>
        <v xml:space="preserve">Task Cashed Chk Queue </v>
      </c>
      <c r="Z830" s="59" t="str">
        <f>VLOOKUP(M830,Table1[#All],9,FALSE)</f>
        <v>Additional Notes:</v>
      </c>
      <c r="AA830" s="76" t="s">
        <v>3898</v>
      </c>
      <c r="AB830" s="76" t="s">
        <v>3697</v>
      </c>
      <c r="AC830" s="90" t="s">
        <v>115</v>
      </c>
      <c r="AD830" s="76" t="s">
        <v>177</v>
      </c>
      <c r="AE830" s="77" t="s">
        <v>3776</v>
      </c>
      <c r="AF830" s="110">
        <v>44659</v>
      </c>
      <c r="AG830" s="41" t="s">
        <v>101</v>
      </c>
    </row>
    <row r="831" spans="1:33" ht="21" hidden="1" x14ac:dyDescent="0.55000000000000004">
      <c r="A831" s="44" t="str">
        <f>Data!K830</f>
        <v>Metlife Dental Claims</v>
      </c>
      <c r="B831" s="44" t="str">
        <f>Data!L830</f>
        <v>8776383379</v>
      </c>
      <c r="C831" s="44" t="str">
        <f>Data!D830</f>
        <v xml:space="preserve">Alvarado Ortiz, Jean </v>
      </c>
      <c r="D831" s="82" t="str">
        <f>Data!F830</f>
        <v>930674432</v>
      </c>
      <c r="E831" s="82" t="str">
        <f>Data!B830</f>
        <v>8655</v>
      </c>
      <c r="F831" s="44" t="str">
        <f>Data!A830</f>
        <v xml:space="preserve">Alvarado Ortiz, Jean </v>
      </c>
      <c r="G831" s="55" t="str">
        <f>Data!C830</f>
        <v>9/9/1997</v>
      </c>
      <c r="H831" s="56">
        <f>Data!H830</f>
        <v>44544</v>
      </c>
      <c r="I831" s="56" t="str">
        <f>Data!I830</f>
        <v>12/22/2021</v>
      </c>
      <c r="J831" s="57">
        <f>Data!J830</f>
        <v>1012.8</v>
      </c>
      <c r="K831" s="58">
        <f t="shared" ca="1" si="14"/>
        <v>148</v>
      </c>
      <c r="L831" s="58">
        <f>Data!M830</f>
        <v>0</v>
      </c>
      <c r="M831" s="37" t="s">
        <v>95</v>
      </c>
      <c r="N831" s="43" t="str">
        <f>VLOOKUP(M831,Table1[#All],3,FALSE)</f>
        <v>Write information in Addl Notes</v>
      </c>
      <c r="O831" s="40" t="str">
        <f>VLOOKUP(M831,Table1[#All],4,FALSE)</f>
        <v>Call Ref#:</v>
      </c>
      <c r="P831" s="39"/>
      <c r="Q831" s="40" t="str">
        <f>VLOOKUP(M831,Table1[#All],5,FALSE)</f>
        <v>Cust Rep:</v>
      </c>
      <c r="R831" s="79"/>
      <c r="S831" s="40">
        <f>VLOOKUP(M831,Table1[#All],6,FALSE)</f>
        <v>0</v>
      </c>
      <c r="T831" s="79"/>
      <c r="U831" s="40" t="str">
        <f>VLOOKUP(M831,Table1[#All],7,FALSE)</f>
        <v xml:space="preserve"> </v>
      </c>
      <c r="V831" s="79"/>
      <c r="W831" s="40" t="str">
        <f>VLOOKUP(M831,Table1[#All],8,FALSE)</f>
        <v xml:space="preserve"> </v>
      </c>
      <c r="X831" s="79"/>
      <c r="Y831" s="44" t="str">
        <f>VLOOKUP(M831,Table1[#All],2,FALSE)</f>
        <v xml:space="preserve"> Team Lead to review &amp; Follow-Up</v>
      </c>
      <c r="Z831" s="59" t="str">
        <f>VLOOKUP(M831,Table1[#All],9,FALSE)</f>
        <v>Additional Notes:</v>
      </c>
      <c r="AA831" s="76" t="s">
        <v>3897</v>
      </c>
      <c r="AB831" s="76" t="s">
        <v>3697</v>
      </c>
      <c r="AC831" s="90" t="s">
        <v>185</v>
      </c>
      <c r="AD831" s="76" t="s">
        <v>177</v>
      </c>
      <c r="AE831" s="77" t="s">
        <v>3698</v>
      </c>
      <c r="AF831" s="123">
        <v>44651</v>
      </c>
      <c r="AG831" s="41" t="s">
        <v>101</v>
      </c>
    </row>
    <row r="832" spans="1:33" ht="21" hidden="1" x14ac:dyDescent="0.55000000000000004">
      <c r="A832" s="44" t="str">
        <f>Data!K831</f>
        <v>Metlife Dental Claims</v>
      </c>
      <c r="B832" s="44" t="str">
        <f>Data!L831</f>
        <v>8776383379</v>
      </c>
      <c r="C832" s="44" t="str">
        <f>Data!D831</f>
        <v xml:space="preserve">Alvarado Ortiz, Jean </v>
      </c>
      <c r="D832" s="82" t="str">
        <f>Data!F831</f>
        <v>930674432</v>
      </c>
      <c r="E832" s="82" t="str">
        <f>Data!B831</f>
        <v>8655</v>
      </c>
      <c r="F832" s="44" t="str">
        <f>Data!A831</f>
        <v xml:space="preserve">Alvarado Ortiz, Jean </v>
      </c>
      <c r="G832" s="55" t="str">
        <f>Data!C831</f>
        <v>9/9/1997</v>
      </c>
      <c r="H832" s="56">
        <f>Data!H831</f>
        <v>44540</v>
      </c>
      <c r="I832" s="56" t="str">
        <f>Data!I831</f>
        <v>12/22/2021</v>
      </c>
      <c r="J832" s="57">
        <f>Data!J831</f>
        <v>372.8</v>
      </c>
      <c r="K832" s="58">
        <f t="shared" ca="1" si="14"/>
        <v>148</v>
      </c>
      <c r="L832" s="58">
        <f>Data!M831</f>
        <v>0</v>
      </c>
      <c r="M832" s="37" t="s">
        <v>95</v>
      </c>
      <c r="N832" s="43" t="str">
        <f>VLOOKUP(M832,Table1[#All],3,FALSE)</f>
        <v>Write information in Addl Notes</v>
      </c>
      <c r="O832" s="40" t="str">
        <f>VLOOKUP(M832,Table1[#All],4,FALSE)</f>
        <v>Call Ref#:</v>
      </c>
      <c r="P832" s="39"/>
      <c r="Q832" s="40" t="str">
        <f>VLOOKUP(M832,Table1[#All],5,FALSE)</f>
        <v>Cust Rep:</v>
      </c>
      <c r="R832" s="79"/>
      <c r="S832" s="40">
        <f>VLOOKUP(M832,Table1[#All],6,FALSE)</f>
        <v>0</v>
      </c>
      <c r="T832" s="79"/>
      <c r="U832" s="40" t="str">
        <f>VLOOKUP(M832,Table1[#All],7,FALSE)</f>
        <v xml:space="preserve"> </v>
      </c>
      <c r="V832" s="79"/>
      <c r="W832" s="40" t="str">
        <f>VLOOKUP(M832,Table1[#All],8,FALSE)</f>
        <v xml:space="preserve"> </v>
      </c>
      <c r="X832" s="79"/>
      <c r="Y832" s="44" t="str">
        <f>VLOOKUP(M832,Table1[#All],2,FALSE)</f>
        <v xml:space="preserve"> Team Lead to review &amp; Follow-Up</v>
      </c>
      <c r="Z832" s="59" t="str">
        <f>VLOOKUP(M832,Table1[#All],9,FALSE)</f>
        <v>Additional Notes:</v>
      </c>
      <c r="AA832" s="76" t="s">
        <v>3897</v>
      </c>
      <c r="AB832" s="76" t="s">
        <v>3697</v>
      </c>
      <c r="AC832" s="90" t="s">
        <v>185</v>
      </c>
      <c r="AD832" s="76" t="s">
        <v>177</v>
      </c>
      <c r="AE832" s="77" t="s">
        <v>3698</v>
      </c>
      <c r="AF832" s="123">
        <v>44651</v>
      </c>
      <c r="AG832" s="41" t="s">
        <v>101</v>
      </c>
    </row>
    <row r="833" spans="1:33" ht="21" hidden="1" x14ac:dyDescent="0.55000000000000004">
      <c r="A833" s="44" t="str">
        <f>Data!K832</f>
        <v>Metlife Dental Claims</v>
      </c>
      <c r="B833" s="44" t="str">
        <f>Data!L832</f>
        <v>8776383379</v>
      </c>
      <c r="C833" s="44" t="str">
        <f>Data!D832</f>
        <v>Lopez Diaz , Abigail</v>
      </c>
      <c r="D833" s="82" t="str">
        <f>Data!F832</f>
        <v>397-33-0534</v>
      </c>
      <c r="E833" s="82" t="str">
        <f>Data!B832</f>
        <v>8524</v>
      </c>
      <c r="F833" s="44" t="str">
        <f>Data!A832</f>
        <v>Lopez Diaz , Abigail</v>
      </c>
      <c r="G833" s="55" t="str">
        <f>Data!C832</f>
        <v>11/21/1981</v>
      </c>
      <c r="H833" s="56">
        <f>Data!H832</f>
        <v>44538</v>
      </c>
      <c r="I833" s="56" t="str">
        <f>Data!I832</f>
        <v>12/22/2021</v>
      </c>
      <c r="J833" s="57">
        <f>Data!J832</f>
        <v>61.2</v>
      </c>
      <c r="K833" s="58">
        <f t="shared" ca="1" si="14"/>
        <v>148</v>
      </c>
      <c r="L833" s="58">
        <f>Data!M832</f>
        <v>0</v>
      </c>
      <c r="M833" s="37" t="s">
        <v>7</v>
      </c>
      <c r="N833" s="43" t="str">
        <f>VLOOKUP(M833,Table1[#All],3,FALSE)</f>
        <v>Claim Paid by Check;</v>
      </c>
      <c r="O833" s="40" t="str">
        <f>VLOOKUP(M833,Table1[#All],4,FALSE)</f>
        <v>Issue Date:</v>
      </c>
      <c r="P833" s="38">
        <v>44666</v>
      </c>
      <c r="Q833" s="40" t="str">
        <f>VLOOKUP(M833,Table1[#All],5,FALSE)</f>
        <v>CHK#</v>
      </c>
      <c r="R833" s="79">
        <v>549903284</v>
      </c>
      <c r="S833" s="40" t="str">
        <f>VLOOKUP(M833,Table1[#All],6,FALSE)</f>
        <v>Bulk/Sep:</v>
      </c>
      <c r="T833" s="79" t="s">
        <v>3883</v>
      </c>
      <c r="U833" s="40" t="str">
        <f>VLOOKUP(M833,Table1[#All],7,FALSE)</f>
        <v>Call Ref#:</v>
      </c>
      <c r="V833" s="79"/>
      <c r="W833" s="40" t="str">
        <f>VLOOKUP(M833,Table1[#All],8,FALSE)</f>
        <v>Cust Rep:</v>
      </c>
      <c r="X833" s="79"/>
      <c r="Y833" s="44" t="str">
        <f>VLOOKUP(M833,Table1[#All],2,FALSE)</f>
        <v xml:space="preserve">Task Cashed Chk Queue </v>
      </c>
      <c r="Z833" s="59" t="str">
        <f>VLOOKUP(M833,Table1[#All],9,FALSE)</f>
        <v>Additional Notes:</v>
      </c>
      <c r="AA833" s="76" t="s">
        <v>3896</v>
      </c>
      <c r="AB833" s="76" t="s">
        <v>3697</v>
      </c>
      <c r="AC833" s="90" t="s">
        <v>115</v>
      </c>
      <c r="AD833" s="76" t="s">
        <v>177</v>
      </c>
      <c r="AE833" s="77" t="s">
        <v>3776</v>
      </c>
      <c r="AF833" s="123">
        <v>44659</v>
      </c>
      <c r="AG833" s="41" t="s">
        <v>101</v>
      </c>
    </row>
    <row r="834" spans="1:33" ht="21" hidden="1" x14ac:dyDescent="0.55000000000000004">
      <c r="A834" s="44" t="str">
        <f>Data!K833</f>
        <v>Metlife Dental Claims</v>
      </c>
      <c r="B834" s="44" t="str">
        <f>Data!L833</f>
        <v>8776383379</v>
      </c>
      <c r="C834" s="44" t="str">
        <f>Data!D833</f>
        <v xml:space="preserve">Statema, Elanna </v>
      </c>
      <c r="D834" s="82" t="str">
        <f>Data!F833</f>
        <v>391906210</v>
      </c>
      <c r="E834" s="82" t="str">
        <f>Data!B833</f>
        <v>2747</v>
      </c>
      <c r="F834" s="44" t="str">
        <f>Data!A833</f>
        <v xml:space="preserve">Statema, Elanna </v>
      </c>
      <c r="G834" s="55" t="str">
        <f>Data!C833</f>
        <v>7/24/1982</v>
      </c>
      <c r="H834" s="56">
        <f>Data!H833</f>
        <v>44537</v>
      </c>
      <c r="I834" s="56" t="str">
        <f>Data!I833</f>
        <v>12/22/2021</v>
      </c>
      <c r="J834" s="57">
        <f>Data!J833</f>
        <v>108.8</v>
      </c>
      <c r="K834" s="58">
        <f t="shared" ca="1" si="14"/>
        <v>148</v>
      </c>
      <c r="L834" s="58">
        <f>Data!M833</f>
        <v>0</v>
      </c>
      <c r="M834" s="37" t="s">
        <v>7</v>
      </c>
      <c r="N834" s="43" t="str">
        <f>VLOOKUP(M834,Table1[#All],3,FALSE)</f>
        <v>Claim Paid by Check;</v>
      </c>
      <c r="O834" s="40" t="str">
        <f>VLOOKUP(M834,Table1[#All],4,FALSE)</f>
        <v>Issue Date:</v>
      </c>
      <c r="P834" s="38">
        <v>44666</v>
      </c>
      <c r="Q834" s="40" t="str">
        <f>VLOOKUP(M834,Table1[#All],5,FALSE)</f>
        <v>CHK#</v>
      </c>
      <c r="R834" s="79">
        <v>567767037</v>
      </c>
      <c r="S834" s="40" t="str">
        <f>VLOOKUP(M834,Table1[#All],6,FALSE)</f>
        <v>Bulk/Sep:</v>
      </c>
      <c r="T834" s="79" t="s">
        <v>3883</v>
      </c>
      <c r="U834" s="40" t="str">
        <f>VLOOKUP(M834,Table1[#All],7,FALSE)</f>
        <v>Call Ref#:</v>
      </c>
      <c r="V834" s="79"/>
      <c r="W834" s="40" t="str">
        <f>VLOOKUP(M834,Table1[#All],8,FALSE)</f>
        <v>Cust Rep:</v>
      </c>
      <c r="X834" s="79"/>
      <c r="Y834" s="44" t="str">
        <f>VLOOKUP(M834,Table1[#All],2,FALSE)</f>
        <v xml:space="preserve">Task Cashed Chk Queue </v>
      </c>
      <c r="Z834" s="59" t="str">
        <f>VLOOKUP(M834,Table1[#All],9,FALSE)</f>
        <v>Additional Notes:</v>
      </c>
      <c r="AA834" s="76" t="s">
        <v>3895</v>
      </c>
      <c r="AB834" s="76" t="s">
        <v>3697</v>
      </c>
      <c r="AC834" s="90" t="s">
        <v>115</v>
      </c>
      <c r="AD834" s="76" t="s">
        <v>177</v>
      </c>
      <c r="AE834" s="77" t="s">
        <v>3776</v>
      </c>
      <c r="AF834" s="123">
        <v>44659</v>
      </c>
      <c r="AG834" s="41" t="s">
        <v>101</v>
      </c>
    </row>
    <row r="835" spans="1:33" ht="21" hidden="1" x14ac:dyDescent="0.55000000000000004">
      <c r="A835" s="44" t="str">
        <f>Data!K834</f>
        <v>Metlife Dental Claims</v>
      </c>
      <c r="B835" s="44" t="str">
        <f>Data!L834</f>
        <v>8776383379</v>
      </c>
      <c r="C835" s="44" t="str">
        <f>Data!D834</f>
        <v xml:space="preserve">Govea , Guisselle </v>
      </c>
      <c r="D835" s="82" t="str">
        <f>Data!F834</f>
        <v>326960787</v>
      </c>
      <c r="E835" s="82" t="str">
        <f>Data!B834</f>
        <v>8446</v>
      </c>
      <c r="F835" s="44" t="str">
        <f>Data!A834</f>
        <v xml:space="preserve">Govea , Guisselle </v>
      </c>
      <c r="G835" s="55" t="str">
        <f>Data!C834</f>
        <v>3/13/1999</v>
      </c>
      <c r="H835" s="56">
        <f>Data!H834</f>
        <v>44513</v>
      </c>
      <c r="I835" s="56" t="str">
        <f>Data!I834</f>
        <v>12/9/2021</v>
      </c>
      <c r="J835" s="57">
        <f>Data!J834</f>
        <v>915.2</v>
      </c>
      <c r="K835" s="58">
        <f t="shared" ca="1" si="14"/>
        <v>161</v>
      </c>
      <c r="L835" s="58">
        <f>Data!M834</f>
        <v>0</v>
      </c>
      <c r="M835" s="37" t="s">
        <v>7</v>
      </c>
      <c r="N835" s="43" t="str">
        <f>VLOOKUP(M835,Table1[#All],3,FALSE)</f>
        <v>Claim Paid by Check;</v>
      </c>
      <c r="O835" s="40" t="str">
        <f>VLOOKUP(M835,Table1[#All],4,FALSE)</f>
        <v>Issue Date:</v>
      </c>
      <c r="P835" s="38">
        <v>44561</v>
      </c>
      <c r="Q835" s="40" t="str">
        <f>VLOOKUP(M835,Table1[#All],5,FALSE)</f>
        <v>CHK#</v>
      </c>
      <c r="R835" s="79">
        <v>549903284</v>
      </c>
      <c r="S835" s="40" t="str">
        <f>VLOOKUP(M835,Table1[#All],6,FALSE)</f>
        <v>Bulk/Sep:</v>
      </c>
      <c r="T835" s="79" t="s">
        <v>3699</v>
      </c>
      <c r="U835" s="40" t="str">
        <f>VLOOKUP(M835,Table1[#All],7,FALSE)</f>
        <v>Call Ref#:</v>
      </c>
      <c r="V835" s="79">
        <v>119568567</v>
      </c>
      <c r="W835" s="40" t="str">
        <f>VLOOKUP(M835,Table1[#All],8,FALSE)</f>
        <v>Cust Rep:</v>
      </c>
      <c r="X835" s="79" t="s">
        <v>3893</v>
      </c>
      <c r="Y835" s="44" t="str">
        <f>VLOOKUP(M835,Table1[#All],2,FALSE)</f>
        <v xml:space="preserve">Task Cashed Chk Queue </v>
      </c>
      <c r="Z835" s="59" t="str">
        <f>VLOOKUP(M835,Table1[#All],9,FALSE)</f>
        <v>Additional Notes:</v>
      </c>
      <c r="AA835" s="76" t="s">
        <v>3894</v>
      </c>
      <c r="AB835" s="76" t="s">
        <v>3762</v>
      </c>
      <c r="AC835" s="90" t="s">
        <v>115</v>
      </c>
      <c r="AD835" s="76" t="s">
        <v>177</v>
      </c>
      <c r="AE835" s="77" t="s">
        <v>3776</v>
      </c>
      <c r="AF835" s="110">
        <v>44638</v>
      </c>
      <c r="AG835" s="41" t="s">
        <v>101</v>
      </c>
    </row>
    <row r="836" spans="1:33" ht="42" hidden="1" x14ac:dyDescent="0.55000000000000004">
      <c r="A836" s="44" t="str">
        <f>Data!K835</f>
        <v>Metlife Dental Claims</v>
      </c>
      <c r="B836" s="44" t="str">
        <f>Data!L835</f>
        <v>8776383379</v>
      </c>
      <c r="C836" s="44" t="str">
        <f>Data!D835</f>
        <v xml:space="preserve">Torres, Kimberly </v>
      </c>
      <c r="D836" s="82" t="str">
        <f>Data!F835</f>
        <v>NO ID FOUND</v>
      </c>
      <c r="E836" s="82" t="str">
        <f>Data!B835</f>
        <v>5412</v>
      </c>
      <c r="F836" s="44" t="str">
        <f>Data!A835</f>
        <v xml:space="preserve">Torres, Kimberly </v>
      </c>
      <c r="G836" s="55" t="str">
        <f>Data!C835</f>
        <v>3/2/1978</v>
      </c>
      <c r="H836" s="56">
        <f>Data!H835</f>
        <v>44467</v>
      </c>
      <c r="I836" s="56" t="str">
        <f>Data!I835</f>
        <v>12/1/2021</v>
      </c>
      <c r="J836" s="57">
        <f>Data!J835</f>
        <v>452.4</v>
      </c>
      <c r="K836" s="58">
        <f t="shared" ca="1" si="14"/>
        <v>169</v>
      </c>
      <c r="L836" s="58">
        <f>Data!M835</f>
        <v>0</v>
      </c>
      <c r="M836" s="37" t="s">
        <v>20</v>
      </c>
      <c r="N836" s="43" t="str">
        <f>VLOOKUP(M836,Table1[#All],3,FALSE)</f>
        <v>Ins needs more info, need to submit;</v>
      </c>
      <c r="O836" s="40" t="str">
        <f>VLOOKUP(M836,Table1[#All],4,FALSE)</f>
        <v>Attachments/Info needed?</v>
      </c>
      <c r="P836" s="39" t="s">
        <v>3891</v>
      </c>
      <c r="Q836" s="40" t="str">
        <f>VLOOKUP(M836,Table1[#All],5,FALSE)</f>
        <v>Fax # (If Fax Yes):</v>
      </c>
      <c r="R836" s="79">
        <v>18593896505</v>
      </c>
      <c r="S836" s="40" t="str">
        <f>VLOOKUP(M836,Table1[#All],6,FALSE)</f>
        <v>Call Ref#:</v>
      </c>
      <c r="T836" s="79">
        <v>118404450</v>
      </c>
      <c r="U836" s="40" t="str">
        <f>VLOOKUP(M836,Table1[#All],7,FALSE)</f>
        <v>Cust Rep:</v>
      </c>
      <c r="V836" s="79" t="s">
        <v>3884</v>
      </c>
      <c r="W836" s="40">
        <f>VLOOKUP(M836,Table1[#All],8,FALSE)</f>
        <v>0</v>
      </c>
      <c r="X836" s="79"/>
      <c r="Y836" s="44" t="str">
        <f>VLOOKUP(M836,Table1[#All],2,FALSE)</f>
        <v xml:space="preserve">Task Sub Pending Claims Queue </v>
      </c>
      <c r="Z836" s="59" t="str">
        <f>VLOOKUP(M836,Table1[#All],9,FALSE)</f>
        <v>Additional Notes:</v>
      </c>
      <c r="AA836" s="76" t="s">
        <v>3892</v>
      </c>
      <c r="AB836" s="76" t="s">
        <v>3697</v>
      </c>
      <c r="AC836" s="90" t="s">
        <v>115</v>
      </c>
      <c r="AD836" s="76" t="s">
        <v>177</v>
      </c>
      <c r="AE836" s="77" t="s">
        <v>3776</v>
      </c>
      <c r="AF836" s="110">
        <v>44628</v>
      </c>
      <c r="AG836" s="41" t="s">
        <v>101</v>
      </c>
    </row>
    <row r="837" spans="1:33" ht="21" hidden="1" x14ac:dyDescent="0.55000000000000004">
      <c r="A837" s="44" t="str">
        <f>Data!K836</f>
        <v>Metlife Dental Claims</v>
      </c>
      <c r="B837" s="44" t="str">
        <f>Data!L836</f>
        <v>8776383379</v>
      </c>
      <c r="C837" s="44" t="str">
        <f>Data!D836</f>
        <v>Contreras, Jacqueline</v>
      </c>
      <c r="D837" s="82" t="str">
        <f>Data!F836</f>
        <v>395060858</v>
      </c>
      <c r="E837" s="82" t="str">
        <f>Data!B836</f>
        <v>4173</v>
      </c>
      <c r="F837" s="44" t="str">
        <f>Data!A836</f>
        <v>Contreras, Jacqueline</v>
      </c>
      <c r="G837" s="55" t="str">
        <f>Data!C836</f>
        <v>6/7/1990</v>
      </c>
      <c r="H837" s="56">
        <f>Data!H836</f>
        <v>43979</v>
      </c>
      <c r="I837" s="56" t="str">
        <f>Data!I836</f>
        <v>10/20/2021</v>
      </c>
      <c r="J837" s="57">
        <f>Data!J836</f>
        <v>957.6</v>
      </c>
      <c r="K837" s="58">
        <f t="shared" ca="1" si="14"/>
        <v>211</v>
      </c>
      <c r="L837" s="58">
        <f>Data!M836</f>
        <v>0</v>
      </c>
      <c r="M837" s="37" t="s">
        <v>7</v>
      </c>
      <c r="N837" s="43" t="str">
        <f>VLOOKUP(M837,Table1[#All],3,FALSE)</f>
        <v>Claim Paid by Check;</v>
      </c>
      <c r="O837" s="40" t="str">
        <f>VLOOKUP(M837,Table1[#All],4,FALSE)</f>
        <v>Issue Date:</v>
      </c>
      <c r="P837" s="38">
        <v>44566</v>
      </c>
      <c r="Q837" s="40" t="str">
        <f>VLOOKUP(M837,Table1[#All],5,FALSE)</f>
        <v>CHK#</v>
      </c>
      <c r="R837" s="79">
        <v>567782340</v>
      </c>
      <c r="S837" s="40" t="str">
        <f>VLOOKUP(M837,Table1[#All],6,FALSE)</f>
        <v>Bulk/Sep:</v>
      </c>
      <c r="T837" s="79"/>
      <c r="U837" s="40" t="str">
        <f>VLOOKUP(M837,Table1[#All],7,FALSE)</f>
        <v>Call Ref#:</v>
      </c>
      <c r="V837" s="79">
        <v>121084878</v>
      </c>
      <c r="W837" s="40" t="str">
        <f>VLOOKUP(M837,Table1[#All],8,FALSE)</f>
        <v>Cust Rep:</v>
      </c>
      <c r="X837" s="79" t="s">
        <v>3889</v>
      </c>
      <c r="Y837" s="44" t="str">
        <f>VLOOKUP(M837,Table1[#All],2,FALSE)</f>
        <v xml:space="preserve">Task Cashed Chk Queue </v>
      </c>
      <c r="Z837" s="59" t="str">
        <f>VLOOKUP(M837,Table1[#All],9,FALSE)</f>
        <v>Additional Notes:</v>
      </c>
      <c r="AA837" s="76" t="s">
        <v>3890</v>
      </c>
      <c r="AB837" s="76" t="s">
        <v>3697</v>
      </c>
      <c r="AC837" s="90" t="s">
        <v>115</v>
      </c>
      <c r="AD837" s="76" t="s">
        <v>177</v>
      </c>
      <c r="AE837" s="77" t="s">
        <v>3776</v>
      </c>
      <c r="AF837" s="123">
        <v>44655</v>
      </c>
      <c r="AG837" s="41" t="s">
        <v>101</v>
      </c>
    </row>
    <row r="838" spans="1:33" ht="42" x14ac:dyDescent="0.55000000000000004">
      <c r="A838" s="44" t="str">
        <f>Data!K837</f>
        <v>Metlife Dental Claims</v>
      </c>
      <c r="B838" s="44" t="str">
        <f>Data!L837</f>
        <v>8776383379</v>
      </c>
      <c r="C838" s="44" t="str">
        <f>Data!D837</f>
        <v>Bostick Mcgee, Kiya</v>
      </c>
      <c r="D838" s="82" t="str">
        <f>Data!F837</f>
        <v>722862489</v>
      </c>
      <c r="E838" s="82" t="str">
        <f>Data!B837</f>
        <v>7801</v>
      </c>
      <c r="F838" s="44" t="str">
        <f>Data!A837</f>
        <v>Bostick Mcgee, Kiya</v>
      </c>
      <c r="G838" s="55" t="str">
        <f>Data!C837</f>
        <v>4/1/1993</v>
      </c>
      <c r="H838" s="56">
        <f>Data!H837</f>
        <v>44440</v>
      </c>
      <c r="I838" s="56" t="str">
        <f>Data!I837</f>
        <v>9/2/2021</v>
      </c>
      <c r="J838" s="57">
        <f>Data!J837</f>
        <v>208.8</v>
      </c>
      <c r="K838" s="58">
        <f t="shared" ca="1" si="14"/>
        <v>259</v>
      </c>
      <c r="L838" s="58">
        <f>Data!M837</f>
        <v>0</v>
      </c>
      <c r="M838" s="37" t="s">
        <v>30</v>
      </c>
      <c r="N838" s="43" t="str">
        <f>VLOOKUP(M838,Table1[#All],3,FALSE)</f>
        <v>Claim not on file. Patient is active ;</v>
      </c>
      <c r="O838" s="40" t="str">
        <f>VLOOKUP(M838,Table1[#All],4,FALSE)</f>
        <v>Payor ID &amp; Address:</v>
      </c>
      <c r="P838" s="39">
        <v>65978</v>
      </c>
      <c r="Q838" s="40" t="str">
        <f>VLOOKUP(M838,Table1[#All],5,FALSE)</f>
        <v>Fax # (If Fax Yes):</v>
      </c>
      <c r="R838" s="79">
        <v>18593896505</v>
      </c>
      <c r="S838" s="40" t="str">
        <f>VLOOKUP(M838,Table1[#All],6,FALSE)</f>
        <v>TFL in Mnths:</v>
      </c>
      <c r="T838" s="79" t="s">
        <v>3886</v>
      </c>
      <c r="U838" s="40" t="str">
        <f>VLOOKUP(M838,Table1[#All],7,FALSE)</f>
        <v>Call Ref#:</v>
      </c>
      <c r="V838" s="79">
        <v>119575097</v>
      </c>
      <c r="W838" s="40" t="str">
        <f>VLOOKUP(M838,Table1[#All],8,FALSE)</f>
        <v>Cust Rep:</v>
      </c>
      <c r="X838" s="79" t="s">
        <v>3887</v>
      </c>
      <c r="Y838" s="44" t="str">
        <f>VLOOKUP(M838,Table1[#All],2,FALSE)</f>
        <v>Task Sub Pending Claims Queue</v>
      </c>
      <c r="Z838" s="59" t="str">
        <f>VLOOKUP(M838,Table1[#All],9,FALSE)</f>
        <v>Additional Notes:</v>
      </c>
      <c r="AA838" s="76" t="s">
        <v>3888</v>
      </c>
      <c r="AB838" s="76" t="s">
        <v>3697</v>
      </c>
      <c r="AC838" s="90" t="s">
        <v>185</v>
      </c>
      <c r="AD838" s="76" t="s">
        <v>177</v>
      </c>
      <c r="AE838" s="77" t="s">
        <v>3776</v>
      </c>
      <c r="AF838" s="110">
        <v>44638</v>
      </c>
      <c r="AG838" s="41" t="s">
        <v>100</v>
      </c>
    </row>
    <row r="839" spans="1:33" ht="42" x14ac:dyDescent="0.55000000000000004">
      <c r="A839" s="44" t="str">
        <f>Data!K838</f>
        <v>Metlife Dental Claims</v>
      </c>
      <c r="B839" s="44" t="str">
        <f>Data!L838</f>
        <v>8776383379</v>
      </c>
      <c r="C839" s="44" t="str">
        <f>Data!D838</f>
        <v>Anderson, Kashmir</v>
      </c>
      <c r="D839" s="82" t="str">
        <f>Data!F838</f>
        <v>722862489</v>
      </c>
      <c r="E839" s="82" t="str">
        <f>Data!B838</f>
        <v>7800</v>
      </c>
      <c r="F839" s="44" t="str">
        <f>Data!A838</f>
        <v>Anderson, Kashmir</v>
      </c>
      <c r="G839" s="55" t="str">
        <f>Data!C838</f>
        <v>4/1/1993</v>
      </c>
      <c r="H839" s="56">
        <f>Data!H838</f>
        <v>44440</v>
      </c>
      <c r="I839" s="56" t="str">
        <f>Data!I838</f>
        <v>9/2/2021</v>
      </c>
      <c r="J839" s="57">
        <f>Data!J838</f>
        <v>650</v>
      </c>
      <c r="K839" s="58">
        <f t="shared" ca="1" si="14"/>
        <v>259</v>
      </c>
      <c r="L839" s="58">
        <f>Data!M838</f>
        <v>0</v>
      </c>
      <c r="M839" s="37" t="s">
        <v>30</v>
      </c>
      <c r="N839" s="43" t="str">
        <f>VLOOKUP(M839,Table1[#All],3,FALSE)</f>
        <v>Claim not on file. Patient is active ;</v>
      </c>
      <c r="O839" s="40" t="str">
        <f>VLOOKUP(M839,Table1[#All],4,FALSE)</f>
        <v>Payor ID &amp; Address:</v>
      </c>
      <c r="P839" s="39">
        <v>65978</v>
      </c>
      <c r="Q839" s="40" t="str">
        <f>VLOOKUP(M839,Table1[#All],5,FALSE)</f>
        <v>Fax # (If Fax Yes):</v>
      </c>
      <c r="R839" s="79">
        <v>18593896505</v>
      </c>
      <c r="S839" s="40" t="str">
        <f>VLOOKUP(M839,Table1[#All],6,FALSE)</f>
        <v>TFL in Mnths:</v>
      </c>
      <c r="T839" s="79" t="s">
        <v>3886</v>
      </c>
      <c r="U839" s="40" t="str">
        <f>VLOOKUP(M839,Table1[#All],7,FALSE)</f>
        <v>Call Ref#:</v>
      </c>
      <c r="V839" s="79">
        <v>119575097</v>
      </c>
      <c r="W839" s="40" t="str">
        <f>VLOOKUP(M839,Table1[#All],8,FALSE)</f>
        <v>Cust Rep:</v>
      </c>
      <c r="X839" s="79" t="s">
        <v>3887</v>
      </c>
      <c r="Y839" s="44" t="str">
        <f>VLOOKUP(M839,Table1[#All],2,FALSE)</f>
        <v>Task Sub Pending Claims Queue</v>
      </c>
      <c r="Z839" s="59" t="str">
        <f>VLOOKUP(M839,Table1[#All],9,FALSE)</f>
        <v>Additional Notes:</v>
      </c>
      <c r="AA839" s="76" t="s">
        <v>3888</v>
      </c>
      <c r="AB839" s="76" t="s">
        <v>3697</v>
      </c>
      <c r="AC839" s="90" t="s">
        <v>185</v>
      </c>
      <c r="AD839" s="76" t="s">
        <v>177</v>
      </c>
      <c r="AE839" s="77" t="s">
        <v>3776</v>
      </c>
      <c r="AF839" s="110">
        <v>44638</v>
      </c>
      <c r="AG839" s="41" t="s">
        <v>100</v>
      </c>
    </row>
    <row r="840" spans="1:33" ht="21" hidden="1" x14ac:dyDescent="0.55000000000000004">
      <c r="A840" s="44" t="str">
        <f>Data!K839</f>
        <v>Metlife Dental Claims</v>
      </c>
      <c r="B840" s="44" t="str">
        <f>Data!L839</f>
        <v>8776383379</v>
      </c>
      <c r="C840" s="44" t="str">
        <f>Data!D839</f>
        <v>Baker , Jennifer</v>
      </c>
      <c r="D840" s="82" t="str">
        <f>Data!F839</f>
        <v>NO ID FOUND</v>
      </c>
      <c r="E840" s="82" t="str">
        <f>Data!B839</f>
        <v>7389</v>
      </c>
      <c r="F840" s="44" t="str">
        <f>Data!A839</f>
        <v>Baker , Jennifer</v>
      </c>
      <c r="G840" s="55" t="str">
        <f>Data!C839</f>
        <v>12/27/1976</v>
      </c>
      <c r="H840" s="56">
        <f>Data!H839</f>
        <v>44369</v>
      </c>
      <c r="I840" s="56" t="str">
        <f>Data!I839</f>
        <v>7/12/2021</v>
      </c>
      <c r="J840" s="57">
        <f>Data!J839</f>
        <v>804.8</v>
      </c>
      <c r="K840" s="58">
        <f t="shared" ca="1" si="14"/>
        <v>311</v>
      </c>
      <c r="L840" s="58">
        <f>Data!M839</f>
        <v>0</v>
      </c>
      <c r="M840" s="37" t="s">
        <v>5</v>
      </c>
      <c r="N840" s="43" t="str">
        <f>VLOOKUP(M840,Table1[#All],3,FALSE)</f>
        <v>Claim Paid by EFT;</v>
      </c>
      <c r="O840" s="40" t="str">
        <f>VLOOKUP(M840,Table1[#All],4,FALSE)</f>
        <v>Issue Date:</v>
      </c>
      <c r="P840" s="38">
        <v>44411</v>
      </c>
      <c r="Q840" s="40" t="str">
        <f>VLOOKUP(M840,Table1[#All],5,FALSE)</f>
        <v>EFT#</v>
      </c>
      <c r="R840" s="79">
        <v>548827210</v>
      </c>
      <c r="S840" s="40" t="str">
        <f>VLOOKUP(M840,Table1[#All],6,FALSE)</f>
        <v>Bulk/Sep:</v>
      </c>
      <c r="T840" s="79" t="s">
        <v>3883</v>
      </c>
      <c r="U840" s="40" t="str">
        <f>VLOOKUP(M840,Table1[#All],7,FALSE)</f>
        <v>Call Ref#:</v>
      </c>
      <c r="V840" s="79">
        <v>118404450</v>
      </c>
      <c r="W840" s="40" t="str">
        <f>VLOOKUP(M840,Table1[#All],8,FALSE)</f>
        <v>Cust Rep:</v>
      </c>
      <c r="X840" s="79" t="s">
        <v>3884</v>
      </c>
      <c r="Y840" s="44" t="str">
        <f>VLOOKUP(M840,Table1[#All],2,FALSE)</f>
        <v xml:space="preserve">Task Post Pmt Queue </v>
      </c>
      <c r="Z840" s="59" t="str">
        <f>VLOOKUP(M840,Table1[#All],9,FALSE)</f>
        <v>Additional Notes:</v>
      </c>
      <c r="AA840" s="76" t="s">
        <v>3885</v>
      </c>
      <c r="AB840" s="76" t="s">
        <v>3697</v>
      </c>
      <c r="AC840" s="90" t="s">
        <v>115</v>
      </c>
      <c r="AD840" s="76" t="s">
        <v>177</v>
      </c>
      <c r="AE840" s="77" t="s">
        <v>3698</v>
      </c>
      <c r="AF840" s="110">
        <v>44649</v>
      </c>
      <c r="AG840" s="41" t="s">
        <v>101</v>
      </c>
    </row>
    <row r="841" spans="1:33" ht="21" hidden="1" x14ac:dyDescent="0.55000000000000004">
      <c r="A841" s="44" t="str">
        <f>Data!K840</f>
        <v>Metlife Dental Claims</v>
      </c>
      <c r="B841" s="44" t="str">
        <f>Data!L840</f>
        <v>8776383379</v>
      </c>
      <c r="C841" s="44" t="str">
        <f>Data!D840</f>
        <v>Monarres, Saul</v>
      </c>
      <c r="D841" s="82" t="str">
        <f>Data!F840</f>
        <v>396888205</v>
      </c>
      <c r="E841" s="82" t="str">
        <f>Data!B840</f>
        <v>6950</v>
      </c>
      <c r="F841" s="44" t="str">
        <f>Data!A840</f>
        <v>Monarres, Saul</v>
      </c>
      <c r="G841" s="55" t="str">
        <f>Data!C840</f>
        <v>9/18/1981</v>
      </c>
      <c r="H841" s="56">
        <f>Data!H840</f>
        <v>44326</v>
      </c>
      <c r="I841" s="56" t="str">
        <f>Data!I840</f>
        <v>5/18/2021</v>
      </c>
      <c r="J841" s="57">
        <f>Data!J840</f>
        <v>292.39999999999998</v>
      </c>
      <c r="K841" s="58">
        <f t="shared" ca="1" si="14"/>
        <v>366</v>
      </c>
      <c r="L841" s="58">
        <f>Data!M840</f>
        <v>0</v>
      </c>
      <c r="M841" s="37" t="s">
        <v>7</v>
      </c>
      <c r="N841" s="43" t="str">
        <f>VLOOKUP(M841,Table1[#All],3,FALSE)</f>
        <v>Claim Paid by Check;</v>
      </c>
      <c r="O841" s="40" t="str">
        <f>VLOOKUP(M841,Table1[#All],4,FALSE)</f>
        <v>Issue Date:</v>
      </c>
      <c r="P841" s="38">
        <v>44365</v>
      </c>
      <c r="Q841" s="40" t="str">
        <f>VLOOKUP(M841,Table1[#All],5,FALSE)</f>
        <v>CHK#</v>
      </c>
      <c r="R841" s="79">
        <v>548518747</v>
      </c>
      <c r="S841" s="40" t="str">
        <f>VLOOKUP(M841,Table1[#All],6,FALSE)</f>
        <v>Bulk/Sep:</v>
      </c>
      <c r="T841" s="125">
        <v>427.6</v>
      </c>
      <c r="U841" s="40" t="str">
        <f>VLOOKUP(M841,Table1[#All],7,FALSE)</f>
        <v>Call Ref#:</v>
      </c>
      <c r="V841" s="79">
        <v>112986811</v>
      </c>
      <c r="W841" s="40" t="str">
        <f>VLOOKUP(M841,Table1[#All],8,FALSE)</f>
        <v>Cust Rep:</v>
      </c>
      <c r="X841" s="79" t="s">
        <v>3880</v>
      </c>
      <c r="Y841" s="44" t="str">
        <f>VLOOKUP(M841,Table1[#All],2,FALSE)</f>
        <v xml:space="preserve">Task Cashed Chk Queue </v>
      </c>
      <c r="Z841" s="59" t="str">
        <f>VLOOKUP(M841,Table1[#All],9,FALSE)</f>
        <v>Additional Notes:</v>
      </c>
      <c r="AA841" s="76" t="s">
        <v>3882</v>
      </c>
      <c r="AB841" s="76" t="s">
        <v>3762</v>
      </c>
      <c r="AC841" s="90" t="s">
        <v>115</v>
      </c>
      <c r="AD841" s="76" t="s">
        <v>177</v>
      </c>
      <c r="AE841" s="77" t="s">
        <v>3708</v>
      </c>
      <c r="AF841" s="110">
        <v>44579</v>
      </c>
      <c r="AG841" s="41" t="s">
        <v>101</v>
      </c>
    </row>
    <row r="842" spans="1:33" ht="21" hidden="1" x14ac:dyDescent="0.55000000000000004">
      <c r="A842" s="44" t="str">
        <f>Data!K841</f>
        <v>Metlife Dental Claims</v>
      </c>
      <c r="B842" s="44" t="str">
        <f>Data!L841</f>
        <v>8776383379</v>
      </c>
      <c r="C842" s="44" t="str">
        <f>Data!D841</f>
        <v>Rainer , Adam</v>
      </c>
      <c r="D842" s="82" t="str">
        <f>Data!F841</f>
        <v>392136917</v>
      </c>
      <c r="E842" s="82" t="str">
        <f>Data!B841</f>
        <v>6180</v>
      </c>
      <c r="F842" s="44" t="str">
        <f>Data!A841</f>
        <v>Rainer , Adam</v>
      </c>
      <c r="G842" s="55" t="str">
        <f>Data!C841</f>
        <v>7/28/1994</v>
      </c>
      <c r="H842" s="56">
        <f>Data!H841</f>
        <v>44236</v>
      </c>
      <c r="I842" s="56" t="str">
        <f>Data!I841</f>
        <v>4/29/2021</v>
      </c>
      <c r="J842" s="57">
        <f>Data!J841</f>
        <v>258.8</v>
      </c>
      <c r="K842" s="58">
        <f t="shared" ca="1" si="14"/>
        <v>385</v>
      </c>
      <c r="L842" s="58">
        <f>Data!M841</f>
        <v>0</v>
      </c>
      <c r="M842" s="37" t="s">
        <v>7</v>
      </c>
      <c r="N842" s="43" t="str">
        <f>VLOOKUP(M842,Table1[#All],3,FALSE)</f>
        <v>Claim Paid by Check;</v>
      </c>
      <c r="O842" s="40" t="str">
        <f>VLOOKUP(M842,Table1[#All],4,FALSE)</f>
        <v>Issue Date:</v>
      </c>
      <c r="P842" s="38">
        <v>44249</v>
      </c>
      <c r="Q842" s="40" t="str">
        <f>VLOOKUP(M842,Table1[#All],5,FALSE)</f>
        <v>CHK#</v>
      </c>
      <c r="R842" s="79">
        <v>567325914</v>
      </c>
      <c r="S842" s="40" t="str">
        <f>VLOOKUP(M842,Table1[#All],6,FALSE)</f>
        <v>Bulk/Sep:</v>
      </c>
      <c r="T842" s="79" t="s">
        <v>3879</v>
      </c>
      <c r="U842" s="40" t="str">
        <f>VLOOKUP(M842,Table1[#All],7,FALSE)</f>
        <v>Call Ref#:</v>
      </c>
      <c r="V842" s="79">
        <v>112986811</v>
      </c>
      <c r="W842" s="40" t="str">
        <f>VLOOKUP(M842,Table1[#All],8,FALSE)</f>
        <v>Cust Rep:</v>
      </c>
      <c r="X842" s="79" t="s">
        <v>3880</v>
      </c>
      <c r="Y842" s="44" t="str">
        <f>VLOOKUP(M842,Table1[#All],2,FALSE)</f>
        <v xml:space="preserve">Task Cashed Chk Queue </v>
      </c>
      <c r="Z842" s="59" t="str">
        <f>VLOOKUP(M842,Table1[#All],9,FALSE)</f>
        <v>Additional Notes:</v>
      </c>
      <c r="AA842" s="76" t="s">
        <v>3881</v>
      </c>
      <c r="AB842" s="76" t="s">
        <v>3697</v>
      </c>
      <c r="AC842" s="90" t="s">
        <v>115</v>
      </c>
      <c r="AD842" s="76" t="s">
        <v>177</v>
      </c>
      <c r="AE842" s="77" t="s">
        <v>3776</v>
      </c>
      <c r="AF842" s="110">
        <v>44655</v>
      </c>
      <c r="AG842" s="41" t="s">
        <v>101</v>
      </c>
    </row>
    <row r="843" spans="1:33" ht="21" hidden="1" x14ac:dyDescent="0.55000000000000004">
      <c r="A843" s="44" t="str">
        <f>Data!K842</f>
        <v>Molina Healthcare of WI</v>
      </c>
      <c r="B843" s="44" t="str">
        <f>Data!L842</f>
        <v>8889992404</v>
      </c>
      <c r="C843" s="44" t="str">
        <f>Data!D842</f>
        <v xml:space="preserve">Christoforos , Wendy </v>
      </c>
      <c r="D843" s="82" t="str">
        <f>Data!F842</f>
        <v>9447037097</v>
      </c>
      <c r="E843" s="82" t="str">
        <f>Data!B842</f>
        <v>8320</v>
      </c>
      <c r="F843" s="44" t="str">
        <f>Data!A842</f>
        <v xml:space="preserve">Christoforos , Wendy </v>
      </c>
      <c r="G843" s="55" t="str">
        <f>Data!C842</f>
        <v>10/12/1955</v>
      </c>
      <c r="H843" s="56">
        <f>Data!H842</f>
        <v>44634</v>
      </c>
      <c r="I843" s="56" t="str">
        <f>Data!I842</f>
        <v>3/14/2022</v>
      </c>
      <c r="J843" s="57">
        <f>Data!J842</f>
        <v>0</v>
      </c>
      <c r="K843" s="58">
        <f t="shared" ca="1" si="14"/>
        <v>66</v>
      </c>
      <c r="L843" s="58">
        <f>Data!M842</f>
        <v>0</v>
      </c>
      <c r="M843" s="37" t="s">
        <v>26</v>
      </c>
      <c r="N843" s="43" t="str">
        <f>VLOOKUP(M843,Table1[#All],3,FALSE)</f>
        <v>Note</v>
      </c>
      <c r="O843" s="40" t="str">
        <f>VLOOKUP(M843,Table1[#All],4,FALSE)</f>
        <v>Q1</v>
      </c>
      <c r="P843" s="39"/>
      <c r="Q843" s="40" t="str">
        <f>VLOOKUP(M843,Table1[#All],5,FALSE)</f>
        <v>Q2</v>
      </c>
      <c r="R843" s="79"/>
      <c r="S843" s="40" t="str">
        <f>VLOOKUP(M843,Table1[#All],6,FALSE)</f>
        <v>Q3</v>
      </c>
      <c r="T843" s="79"/>
      <c r="U843" s="40" t="str">
        <f>VLOOKUP(M843,Table1[#All],7,FALSE)</f>
        <v>Q4</v>
      </c>
      <c r="V843" s="79"/>
      <c r="W843" s="40" t="str">
        <f>VLOOKUP(M843,Table1[#All],8,FALSE)</f>
        <v>Q5</v>
      </c>
      <c r="X843" s="79"/>
      <c r="Y843" s="44" t="str">
        <f>VLOOKUP(M843,Table1[#All],2,FALSE)</f>
        <v>Action</v>
      </c>
      <c r="Z843" s="59" t="str">
        <f>VLOOKUP(M843,Table1[#All],9,FALSE)</f>
        <v>Additional Notes:</v>
      </c>
      <c r="AA843" s="76"/>
      <c r="AB843" s="76"/>
      <c r="AC843" s="90" t="s">
        <v>91</v>
      </c>
      <c r="AD843" s="76" t="s">
        <v>91</v>
      </c>
      <c r="AE843" s="77"/>
      <c r="AF843" s="77"/>
      <c r="AG843" s="41" t="s">
        <v>91</v>
      </c>
    </row>
    <row r="844" spans="1:33" ht="21" hidden="1" x14ac:dyDescent="0.55000000000000004">
      <c r="A844" s="44" t="str">
        <f>Data!K843</f>
        <v>Molina Healthcare of WI</v>
      </c>
      <c r="B844" s="44" t="str">
        <f>Data!L843</f>
        <v>8889992404</v>
      </c>
      <c r="C844" s="44" t="str">
        <f>Data!D843</f>
        <v>Mcgregor, Jamell</v>
      </c>
      <c r="D844" s="82" t="str">
        <f>Data!F843</f>
        <v>4446260944</v>
      </c>
      <c r="E844" s="82" t="str">
        <f>Data!B843</f>
        <v>7897</v>
      </c>
      <c r="F844" s="44" t="str">
        <f>Data!A843</f>
        <v>Mcgregor, Jamell</v>
      </c>
      <c r="G844" s="55" t="str">
        <f>Data!C843</f>
        <v>5/11/2014</v>
      </c>
      <c r="H844" s="56">
        <f>Data!H843</f>
        <v>44491</v>
      </c>
      <c r="I844" s="56" t="str">
        <f>Data!I843</f>
        <v>3/16/2022</v>
      </c>
      <c r="J844" s="57">
        <f>Data!J843</f>
        <v>1174</v>
      </c>
      <c r="K844" s="58">
        <f t="shared" ca="1" si="14"/>
        <v>64</v>
      </c>
      <c r="L844" s="58">
        <f>Data!M843</f>
        <v>0</v>
      </c>
      <c r="M844" s="37" t="s">
        <v>26</v>
      </c>
      <c r="N844" s="43" t="str">
        <f>VLOOKUP(M844,Table1[#All],3,FALSE)</f>
        <v>Note</v>
      </c>
      <c r="O844" s="40" t="str">
        <f>VLOOKUP(M844,Table1[#All],4,FALSE)</f>
        <v>Q1</v>
      </c>
      <c r="P844" s="39"/>
      <c r="Q844" s="40" t="str">
        <f>VLOOKUP(M844,Table1[#All],5,FALSE)</f>
        <v>Q2</v>
      </c>
      <c r="R844" s="79"/>
      <c r="S844" s="40" t="str">
        <f>VLOOKUP(M844,Table1[#All],6,FALSE)</f>
        <v>Q3</v>
      </c>
      <c r="T844" s="79"/>
      <c r="U844" s="40" t="str">
        <f>VLOOKUP(M844,Table1[#All],7,FALSE)</f>
        <v>Q4</v>
      </c>
      <c r="V844" s="79"/>
      <c r="W844" s="40" t="str">
        <f>VLOOKUP(M844,Table1[#All],8,FALSE)</f>
        <v>Q5</v>
      </c>
      <c r="X844" s="79"/>
      <c r="Y844" s="44" t="str">
        <f>VLOOKUP(M844,Table1[#All],2,FALSE)</f>
        <v>Action</v>
      </c>
      <c r="Z844" s="59" t="str">
        <f>VLOOKUP(M844,Table1[#All],9,FALSE)</f>
        <v>Additional Notes:</v>
      </c>
      <c r="AA844" s="76"/>
      <c r="AB844" s="76"/>
      <c r="AC844" s="90" t="s">
        <v>91</v>
      </c>
      <c r="AD844" s="76" t="s">
        <v>91</v>
      </c>
      <c r="AE844" s="77"/>
      <c r="AF844" s="77"/>
      <c r="AG844" s="41" t="s">
        <v>91</v>
      </c>
    </row>
    <row r="845" spans="1:33" ht="21" hidden="1" x14ac:dyDescent="0.55000000000000004">
      <c r="A845" s="44" t="str">
        <f>Data!K844</f>
        <v>Molina Healthcare of WI</v>
      </c>
      <c r="B845" s="44" t="str">
        <f>Data!L844</f>
        <v>8889992404</v>
      </c>
      <c r="C845" s="44" t="str">
        <f>Data!D844</f>
        <v>Mcgregor, Jamell</v>
      </c>
      <c r="D845" s="82" t="str">
        <f>Data!F844</f>
        <v>4446260944</v>
      </c>
      <c r="E845" s="82" t="str">
        <f>Data!B844</f>
        <v>7897</v>
      </c>
      <c r="F845" s="44" t="str">
        <f>Data!A844</f>
        <v>Mcgregor, Jamell</v>
      </c>
      <c r="G845" s="55" t="str">
        <f>Data!C844</f>
        <v>5/11/2014</v>
      </c>
      <c r="H845" s="56">
        <f>Data!H844</f>
        <v>44459</v>
      </c>
      <c r="I845" s="56" t="str">
        <f>Data!I844</f>
        <v>3/14/2022</v>
      </c>
      <c r="J845" s="57">
        <f>Data!J844</f>
        <v>264</v>
      </c>
      <c r="K845" s="58">
        <f t="shared" ca="1" si="14"/>
        <v>66</v>
      </c>
      <c r="L845" s="58">
        <f>Data!M844</f>
        <v>0</v>
      </c>
      <c r="M845" s="37" t="s">
        <v>26</v>
      </c>
      <c r="N845" s="43" t="str">
        <f>VLOOKUP(M845,Table1[#All],3,FALSE)</f>
        <v>Note</v>
      </c>
      <c r="O845" s="40" t="str">
        <f>VLOOKUP(M845,Table1[#All],4,FALSE)</f>
        <v>Q1</v>
      </c>
      <c r="P845" s="39"/>
      <c r="Q845" s="40" t="str">
        <f>VLOOKUP(M845,Table1[#All],5,FALSE)</f>
        <v>Q2</v>
      </c>
      <c r="R845" s="79"/>
      <c r="S845" s="40" t="str">
        <f>VLOOKUP(M845,Table1[#All],6,FALSE)</f>
        <v>Q3</v>
      </c>
      <c r="T845" s="79"/>
      <c r="U845" s="40" t="str">
        <f>VLOOKUP(M845,Table1[#All],7,FALSE)</f>
        <v>Q4</v>
      </c>
      <c r="V845" s="79"/>
      <c r="W845" s="40" t="str">
        <f>VLOOKUP(M845,Table1[#All],8,FALSE)</f>
        <v>Q5</v>
      </c>
      <c r="X845" s="79"/>
      <c r="Y845" s="44" t="str">
        <f>VLOOKUP(M845,Table1[#All],2,FALSE)</f>
        <v>Action</v>
      </c>
      <c r="Z845" s="59" t="str">
        <f>VLOOKUP(M845,Table1[#All],9,FALSE)</f>
        <v>Additional Notes:</v>
      </c>
      <c r="AA845" s="76"/>
      <c r="AB845" s="76"/>
      <c r="AC845" s="90" t="s">
        <v>91</v>
      </c>
      <c r="AD845" s="76" t="s">
        <v>91</v>
      </c>
      <c r="AE845" s="77"/>
      <c r="AF845" s="77"/>
      <c r="AG845" s="41" t="s">
        <v>91</v>
      </c>
    </row>
    <row r="846" spans="1:33" ht="21" hidden="1" x14ac:dyDescent="0.55000000000000004">
      <c r="A846" s="44" t="str">
        <f>Data!K845</f>
        <v>Molina Healthcare of WI</v>
      </c>
      <c r="B846" s="44" t="str">
        <f>Data!L845</f>
        <v>8889992404</v>
      </c>
      <c r="C846" s="44" t="str">
        <f>Data!D845</f>
        <v>Mcgregor, Jamell</v>
      </c>
      <c r="D846" s="82" t="str">
        <f>Data!F845</f>
        <v>4446260944</v>
      </c>
      <c r="E846" s="82" t="str">
        <f>Data!B845</f>
        <v>7897</v>
      </c>
      <c r="F846" s="44" t="str">
        <f>Data!A845</f>
        <v>Mcgregor, Jamell</v>
      </c>
      <c r="G846" s="55" t="str">
        <f>Data!C845</f>
        <v>5/11/2014</v>
      </c>
      <c r="H846" s="56">
        <f>Data!H845</f>
        <v>44509</v>
      </c>
      <c r="I846" s="56" t="str">
        <f>Data!I845</f>
        <v>3/14/2022</v>
      </c>
      <c r="J846" s="57">
        <f>Data!J845</f>
        <v>1126</v>
      </c>
      <c r="K846" s="58">
        <f t="shared" ca="1" si="14"/>
        <v>66</v>
      </c>
      <c r="L846" s="58">
        <f>Data!M845</f>
        <v>0</v>
      </c>
      <c r="M846" s="37" t="s">
        <v>26</v>
      </c>
      <c r="N846" s="43" t="str">
        <f>VLOOKUP(M846,Table1[#All],3,FALSE)</f>
        <v>Note</v>
      </c>
      <c r="O846" s="40" t="str">
        <f>VLOOKUP(M846,Table1[#All],4,FALSE)</f>
        <v>Q1</v>
      </c>
      <c r="P846" s="39"/>
      <c r="Q846" s="40" t="str">
        <f>VLOOKUP(M846,Table1[#All],5,FALSE)</f>
        <v>Q2</v>
      </c>
      <c r="R846" s="79"/>
      <c r="S846" s="40" t="str">
        <f>VLOOKUP(M846,Table1[#All],6,FALSE)</f>
        <v>Q3</v>
      </c>
      <c r="T846" s="79"/>
      <c r="U846" s="40" t="str">
        <f>VLOOKUP(M846,Table1[#All],7,FALSE)</f>
        <v>Q4</v>
      </c>
      <c r="V846" s="79"/>
      <c r="W846" s="40" t="str">
        <f>VLOOKUP(M846,Table1[#All],8,FALSE)</f>
        <v>Q5</v>
      </c>
      <c r="X846" s="79"/>
      <c r="Y846" s="44" t="str">
        <f>VLOOKUP(M846,Table1[#All],2,FALSE)</f>
        <v>Action</v>
      </c>
      <c r="Z846" s="59" t="str">
        <f>VLOOKUP(M846,Table1[#All],9,FALSE)</f>
        <v>Additional Notes:</v>
      </c>
      <c r="AA846" s="76"/>
      <c r="AB846" s="76"/>
      <c r="AC846" s="90" t="s">
        <v>91</v>
      </c>
      <c r="AD846" s="76" t="s">
        <v>91</v>
      </c>
      <c r="AE846" s="77"/>
      <c r="AF846" s="77"/>
      <c r="AG846" s="41" t="s">
        <v>91</v>
      </c>
    </row>
    <row r="847" spans="1:33" ht="21" hidden="1" x14ac:dyDescent="0.55000000000000004">
      <c r="A847" s="44" t="str">
        <f>Data!K846</f>
        <v>Molina Healthcare of WI</v>
      </c>
      <c r="B847" s="44" t="str">
        <f>Data!L846</f>
        <v>8889992404</v>
      </c>
      <c r="C847" s="44" t="str">
        <f>Data!D846</f>
        <v>Robles, Yajaira</v>
      </c>
      <c r="D847" s="82" t="str">
        <f>Data!F846</f>
        <v>5437328257</v>
      </c>
      <c r="E847" s="82" t="str">
        <f>Data!B846</f>
        <v>8677</v>
      </c>
      <c r="F847" s="44" t="str">
        <f>Data!A846</f>
        <v>Robles, Yajaira</v>
      </c>
      <c r="G847" s="55" t="str">
        <f>Data!C846</f>
        <v>6/8/1986</v>
      </c>
      <c r="H847" s="56">
        <f>Data!H846</f>
        <v>44628</v>
      </c>
      <c r="I847" s="56" t="str">
        <f>Data!I846</f>
        <v>3/9/2022</v>
      </c>
      <c r="J847" s="57">
        <f>Data!J846</f>
        <v>253.2</v>
      </c>
      <c r="K847" s="58">
        <f t="shared" ca="1" si="14"/>
        <v>71</v>
      </c>
      <c r="L847" s="58">
        <f>Data!M846</f>
        <v>0</v>
      </c>
      <c r="M847" s="37" t="s">
        <v>26</v>
      </c>
      <c r="N847" s="43" t="str">
        <f>VLOOKUP(M847,Table1[#All],3,FALSE)</f>
        <v>Note</v>
      </c>
      <c r="O847" s="40" t="str">
        <f>VLOOKUP(M847,Table1[#All],4,FALSE)</f>
        <v>Q1</v>
      </c>
      <c r="P847" s="39"/>
      <c r="Q847" s="40" t="str">
        <f>VLOOKUP(M847,Table1[#All],5,FALSE)</f>
        <v>Q2</v>
      </c>
      <c r="R847" s="79"/>
      <c r="S847" s="40" t="str">
        <f>VLOOKUP(M847,Table1[#All],6,FALSE)</f>
        <v>Q3</v>
      </c>
      <c r="T847" s="79"/>
      <c r="U847" s="40" t="str">
        <f>VLOOKUP(M847,Table1[#All],7,FALSE)</f>
        <v>Q4</v>
      </c>
      <c r="V847" s="79"/>
      <c r="W847" s="40" t="str">
        <f>VLOOKUP(M847,Table1[#All],8,FALSE)</f>
        <v>Q5</v>
      </c>
      <c r="X847" s="79"/>
      <c r="Y847" s="44" t="str">
        <f>VLOOKUP(M847,Table1[#All],2,FALSE)</f>
        <v>Action</v>
      </c>
      <c r="Z847" s="59" t="str">
        <f>VLOOKUP(M847,Table1[#All],9,FALSE)</f>
        <v>Additional Notes:</v>
      </c>
      <c r="AA847" s="76"/>
      <c r="AB847" s="76"/>
      <c r="AC847" s="90" t="s">
        <v>91</v>
      </c>
      <c r="AD847" s="76" t="s">
        <v>91</v>
      </c>
      <c r="AE847" s="77"/>
      <c r="AF847" s="77"/>
      <c r="AG847" s="41" t="s">
        <v>91</v>
      </c>
    </row>
    <row r="848" spans="1:33" ht="21" hidden="1" x14ac:dyDescent="0.55000000000000004">
      <c r="A848" s="44" t="str">
        <f>Data!K847</f>
        <v>Molina Healthcare of WI</v>
      </c>
      <c r="B848" s="44" t="str">
        <f>Data!L847</f>
        <v>8889992404</v>
      </c>
      <c r="C848" s="44" t="str">
        <f>Data!D847</f>
        <v>Jensen , Samuel</v>
      </c>
      <c r="D848" s="82" t="str">
        <f>Data!F847</f>
        <v>5424658156</v>
      </c>
      <c r="E848" s="82" t="str">
        <f>Data!B847</f>
        <v>1247</v>
      </c>
      <c r="F848" s="44" t="str">
        <f>Data!A847</f>
        <v>Jensen , Samuel</v>
      </c>
      <c r="G848" s="55" t="str">
        <f>Data!C847</f>
        <v>10/5/2005</v>
      </c>
      <c r="H848" s="56">
        <f>Data!H847</f>
        <v>44599</v>
      </c>
      <c r="I848" s="56" t="str">
        <f>Data!I847</f>
        <v>2/8/2022</v>
      </c>
      <c r="J848" s="57">
        <f>Data!J847</f>
        <v>1068</v>
      </c>
      <c r="K848" s="58">
        <f t="shared" ca="1" si="14"/>
        <v>100</v>
      </c>
      <c r="L848" s="58">
        <f>Data!M847</f>
        <v>0</v>
      </c>
      <c r="M848" s="37" t="s">
        <v>26</v>
      </c>
      <c r="N848" s="43" t="str">
        <f>VLOOKUP(M848,Table1[#All],3,FALSE)</f>
        <v>Note</v>
      </c>
      <c r="O848" s="40" t="str">
        <f>VLOOKUP(M848,Table1[#All],4,FALSE)</f>
        <v>Q1</v>
      </c>
      <c r="P848" s="39"/>
      <c r="Q848" s="40" t="str">
        <f>VLOOKUP(M848,Table1[#All],5,FALSE)</f>
        <v>Q2</v>
      </c>
      <c r="R848" s="79"/>
      <c r="S848" s="40" t="str">
        <f>VLOOKUP(M848,Table1[#All],6,FALSE)</f>
        <v>Q3</v>
      </c>
      <c r="T848" s="79"/>
      <c r="U848" s="40" t="str">
        <f>VLOOKUP(M848,Table1[#All],7,FALSE)</f>
        <v>Q4</v>
      </c>
      <c r="V848" s="79"/>
      <c r="W848" s="40" t="str">
        <f>VLOOKUP(M848,Table1[#All],8,FALSE)</f>
        <v>Q5</v>
      </c>
      <c r="X848" s="79"/>
      <c r="Y848" s="44" t="str">
        <f>VLOOKUP(M848,Table1[#All],2,FALSE)</f>
        <v>Action</v>
      </c>
      <c r="Z848" s="59" t="str">
        <f>VLOOKUP(M848,Table1[#All],9,FALSE)</f>
        <v>Additional Notes:</v>
      </c>
      <c r="AA848" s="76"/>
      <c r="AB848" s="76"/>
      <c r="AC848" s="90" t="s">
        <v>91</v>
      </c>
      <c r="AD848" s="76" t="s">
        <v>91</v>
      </c>
      <c r="AE848" s="77"/>
      <c r="AF848" s="77"/>
      <c r="AG848" s="41" t="s">
        <v>91</v>
      </c>
    </row>
    <row r="849" spans="1:33" ht="42" hidden="1" x14ac:dyDescent="0.55000000000000004">
      <c r="A849" s="44" t="str">
        <f>Data!K848</f>
        <v>Molina Healthcare of WI</v>
      </c>
      <c r="B849" s="44" t="str">
        <f>Data!L848</f>
        <v>8889992404</v>
      </c>
      <c r="C849" s="44" t="str">
        <f>Data!D848</f>
        <v>Buckley, Shikeyla</v>
      </c>
      <c r="D849" s="82" t="str">
        <f>Data!F848</f>
        <v>2421396620</v>
      </c>
      <c r="E849" s="82" t="str">
        <f>Data!B848</f>
        <v>7853</v>
      </c>
      <c r="F849" s="44" t="str">
        <f>Data!A848</f>
        <v>Buckley, Shikeyla</v>
      </c>
      <c r="G849" s="55" t="str">
        <f>Data!C848</f>
        <v>2/19/1993</v>
      </c>
      <c r="H849" s="56">
        <f>Data!H848</f>
        <v>44558</v>
      </c>
      <c r="I849" s="56" t="str">
        <f>Data!I848</f>
        <v>1/1/2022</v>
      </c>
      <c r="J849" s="57">
        <f>Data!J848</f>
        <v>1062</v>
      </c>
      <c r="K849" s="58">
        <f t="shared" ca="1" si="14"/>
        <v>138</v>
      </c>
      <c r="L849" s="58">
        <f>Data!M848</f>
        <v>0</v>
      </c>
      <c r="M849" s="37" t="s">
        <v>45</v>
      </c>
      <c r="N849" s="43" t="str">
        <f>VLOOKUP(M849,Table1[#All],3,FALSE)</f>
        <v>Procedure is not a covered benefit;</v>
      </c>
      <c r="O849" s="40" t="str">
        <f>VLOOKUP(M849,Table1[#All],4,FALSE)</f>
        <v xml:space="preserve">Why? </v>
      </c>
      <c r="P849" s="39" t="s">
        <v>3877</v>
      </c>
      <c r="Q849" s="40" t="str">
        <f>VLOOKUP(M849,Table1[#All],5,FALSE)</f>
        <v>Call Ref#:</v>
      </c>
      <c r="R849" s="79" t="s">
        <v>3852</v>
      </c>
      <c r="S849" s="40" t="str">
        <f>VLOOKUP(M849,Table1[#All],6,FALSE)</f>
        <v>Cust Rep:</v>
      </c>
      <c r="T849" s="79"/>
      <c r="U849" s="40">
        <f>VLOOKUP(M849,Table1[#All],7,FALSE)</f>
        <v>0</v>
      </c>
      <c r="V849" s="79"/>
      <c r="W849" s="40">
        <f>VLOOKUP(M849,Table1[#All],8,FALSE)</f>
        <v>0</v>
      </c>
      <c r="X849" s="79"/>
      <c r="Y849" s="44" t="str">
        <f>VLOOKUP(M849,Table1[#All],2,FALSE)</f>
        <v xml:space="preserve">Task Client - Denied Claim Queue </v>
      </c>
      <c r="Z849" s="59" t="str">
        <f>VLOOKUP(M849,Table1[#All],9,FALSE)</f>
        <v>Additional Notes:</v>
      </c>
      <c r="AA849" s="76" t="s">
        <v>3878</v>
      </c>
      <c r="AB849" s="76" t="s">
        <v>3697</v>
      </c>
      <c r="AC849" s="90" t="s">
        <v>115</v>
      </c>
      <c r="AD849" s="76" t="s">
        <v>177</v>
      </c>
      <c r="AE849" s="77" t="s">
        <v>3776</v>
      </c>
      <c r="AF849" s="110">
        <v>44658</v>
      </c>
      <c r="AG849" s="41" t="s">
        <v>101</v>
      </c>
    </row>
    <row r="850" spans="1:33" ht="21" hidden="1" x14ac:dyDescent="0.55000000000000004">
      <c r="A850" s="44" t="str">
        <f>Data!K849</f>
        <v>Molina Healthcare of WI</v>
      </c>
      <c r="B850" s="44" t="str">
        <f>Data!L849</f>
        <v>8889992404</v>
      </c>
      <c r="C850" s="44" t="str">
        <f>Data!D849</f>
        <v>Turner, James</v>
      </c>
      <c r="D850" s="82" t="str">
        <f>Data!F849</f>
        <v>5404073055</v>
      </c>
      <c r="E850" s="82" t="str">
        <f>Data!B849</f>
        <v>977</v>
      </c>
      <c r="F850" s="44" t="str">
        <f>Data!A849</f>
        <v>Turner, James</v>
      </c>
      <c r="G850" s="55" t="str">
        <f>Data!C849</f>
        <v>12/19/1968</v>
      </c>
      <c r="H850" s="56">
        <f>Data!H849</f>
        <v>44545</v>
      </c>
      <c r="I850" s="56" t="str">
        <f>Data!I849</f>
        <v>12/22/2021</v>
      </c>
      <c r="J850" s="57">
        <f>Data!J849</f>
        <v>43.2</v>
      </c>
      <c r="K850" s="58">
        <f t="shared" ca="1" si="14"/>
        <v>148</v>
      </c>
      <c r="L850" s="58">
        <f>Data!M849</f>
        <v>0</v>
      </c>
      <c r="M850" s="37" t="s">
        <v>95</v>
      </c>
      <c r="N850" s="43" t="str">
        <f>VLOOKUP(M850,Table1[#All],3,FALSE)</f>
        <v>Write information in Addl Notes</v>
      </c>
      <c r="O850" s="40" t="str">
        <f>VLOOKUP(M850,Table1[#All],4,FALSE)</f>
        <v>Call Ref#:</v>
      </c>
      <c r="P850" s="39"/>
      <c r="Q850" s="40" t="str">
        <f>VLOOKUP(M850,Table1[#All],5,FALSE)</f>
        <v>Cust Rep:</v>
      </c>
      <c r="R850" s="79"/>
      <c r="S850" s="40">
        <f>VLOOKUP(M850,Table1[#All],6,FALSE)</f>
        <v>0</v>
      </c>
      <c r="T850" s="79"/>
      <c r="U850" s="40" t="str">
        <f>VLOOKUP(M850,Table1[#All],7,FALSE)</f>
        <v xml:space="preserve"> </v>
      </c>
      <c r="V850" s="79"/>
      <c r="W850" s="40" t="str">
        <f>VLOOKUP(M850,Table1[#All],8,FALSE)</f>
        <v xml:space="preserve"> </v>
      </c>
      <c r="X850" s="79"/>
      <c r="Y850" s="44" t="str">
        <f>VLOOKUP(M850,Table1[#All],2,FALSE)</f>
        <v xml:space="preserve"> Team Lead to review &amp; Follow-Up</v>
      </c>
      <c r="Z850" s="59" t="str">
        <f>VLOOKUP(M850,Table1[#All],9,FALSE)</f>
        <v>Additional Notes:</v>
      </c>
      <c r="AA850" s="76" t="s">
        <v>3876</v>
      </c>
      <c r="AB850" s="76" t="s">
        <v>3697</v>
      </c>
      <c r="AC850" s="90" t="s">
        <v>185</v>
      </c>
      <c r="AD850" s="76" t="s">
        <v>177</v>
      </c>
      <c r="AE850" s="77" t="s">
        <v>3698</v>
      </c>
      <c r="AF850" s="110">
        <v>44651</v>
      </c>
      <c r="AG850" s="41" t="s">
        <v>101</v>
      </c>
    </row>
    <row r="851" spans="1:33" ht="21" hidden="1" x14ac:dyDescent="0.55000000000000004">
      <c r="A851" s="44" t="str">
        <f>Data!K850</f>
        <v>Molina Healthcare of WI</v>
      </c>
      <c r="B851" s="44" t="str">
        <f>Data!L850</f>
        <v>8889992404</v>
      </c>
      <c r="C851" s="44" t="str">
        <f>Data!D850</f>
        <v>Turner, James</v>
      </c>
      <c r="D851" s="82" t="str">
        <f>Data!F850</f>
        <v>5404073055</v>
      </c>
      <c r="E851" s="82" t="str">
        <f>Data!B850</f>
        <v>977</v>
      </c>
      <c r="F851" s="44" t="str">
        <f>Data!A850</f>
        <v>Turner, James</v>
      </c>
      <c r="G851" s="55" t="str">
        <f>Data!C850</f>
        <v>12/19/1968</v>
      </c>
      <c r="H851" s="56">
        <f>Data!H850</f>
        <v>44545</v>
      </c>
      <c r="I851" s="56" t="str">
        <f>Data!I850</f>
        <v>12/22/2021</v>
      </c>
      <c r="J851" s="57">
        <f>Data!J850</f>
        <v>566.79999999999995</v>
      </c>
      <c r="K851" s="58">
        <f t="shared" ca="1" si="14"/>
        <v>148</v>
      </c>
      <c r="L851" s="58">
        <f>Data!M850</f>
        <v>0</v>
      </c>
      <c r="M851" s="37" t="s">
        <v>95</v>
      </c>
      <c r="N851" s="43" t="str">
        <f>VLOOKUP(M851,Table1[#All],3,FALSE)</f>
        <v>Write information in Addl Notes</v>
      </c>
      <c r="O851" s="40" t="str">
        <f>VLOOKUP(M851,Table1[#All],4,FALSE)</f>
        <v>Call Ref#:</v>
      </c>
      <c r="P851" s="39"/>
      <c r="Q851" s="40" t="str">
        <f>VLOOKUP(M851,Table1[#All],5,FALSE)</f>
        <v>Cust Rep:</v>
      </c>
      <c r="R851" s="79"/>
      <c r="S851" s="40">
        <f>VLOOKUP(M851,Table1[#All],6,FALSE)</f>
        <v>0</v>
      </c>
      <c r="T851" s="79"/>
      <c r="U851" s="40" t="str">
        <f>VLOOKUP(M851,Table1[#All],7,FALSE)</f>
        <v xml:space="preserve"> </v>
      </c>
      <c r="V851" s="79"/>
      <c r="W851" s="40" t="str">
        <f>VLOOKUP(M851,Table1[#All],8,FALSE)</f>
        <v xml:space="preserve"> </v>
      </c>
      <c r="X851" s="79"/>
      <c r="Y851" s="44" t="str">
        <f>VLOOKUP(M851,Table1[#All],2,FALSE)</f>
        <v xml:space="preserve"> Team Lead to review &amp; Follow-Up</v>
      </c>
      <c r="Z851" s="59" t="str">
        <f>VLOOKUP(M851,Table1[#All],9,FALSE)</f>
        <v>Additional Notes:</v>
      </c>
      <c r="AA851" s="76" t="s">
        <v>3876</v>
      </c>
      <c r="AB851" s="76" t="s">
        <v>3697</v>
      </c>
      <c r="AC851" s="90" t="s">
        <v>185</v>
      </c>
      <c r="AD851" s="76" t="s">
        <v>177</v>
      </c>
      <c r="AE851" s="77" t="s">
        <v>3698</v>
      </c>
      <c r="AF851" s="110">
        <v>44651</v>
      </c>
      <c r="AG851" s="41" t="s">
        <v>101</v>
      </c>
    </row>
    <row r="852" spans="1:33" ht="21" hidden="1" x14ac:dyDescent="0.55000000000000004">
      <c r="A852" s="44" t="str">
        <f>Data!K851</f>
        <v>Molina Healthcare of WI</v>
      </c>
      <c r="B852" s="44" t="str">
        <f>Data!L851</f>
        <v>8889992404</v>
      </c>
      <c r="C852" s="44" t="str">
        <f>Data!D851</f>
        <v>HIEU TRUNG, NGUYEN</v>
      </c>
      <c r="D852" s="82" t="str">
        <f>Data!F851</f>
        <v>8418628383</v>
      </c>
      <c r="E852" s="82" t="str">
        <f>Data!B851</f>
        <v>8371</v>
      </c>
      <c r="F852" s="44" t="str">
        <f>Data!A851</f>
        <v>HIEU TRUNG, NGUYEN</v>
      </c>
      <c r="G852" s="55" t="str">
        <f>Data!C851</f>
        <v>12/4/1972</v>
      </c>
      <c r="H852" s="56">
        <f>Data!H851</f>
        <v>44536</v>
      </c>
      <c r="I852" s="56" t="str">
        <f>Data!I851</f>
        <v>12/10/2021</v>
      </c>
      <c r="J852" s="57">
        <f>Data!J851</f>
        <v>480</v>
      </c>
      <c r="K852" s="58">
        <f t="shared" ca="1" si="14"/>
        <v>160</v>
      </c>
      <c r="L852" s="58">
        <f>Data!M851</f>
        <v>0</v>
      </c>
      <c r="M852" s="37" t="s">
        <v>5</v>
      </c>
      <c r="N852" s="43" t="str">
        <f>VLOOKUP(M852,Table1[#All],3,FALSE)</f>
        <v>Claim Paid by EFT;</v>
      </c>
      <c r="O852" s="40" t="str">
        <f>VLOOKUP(M852,Table1[#All],4,FALSE)</f>
        <v>Issue Date:</v>
      </c>
      <c r="P852" s="38">
        <v>44560</v>
      </c>
      <c r="Q852" s="40" t="str">
        <f>VLOOKUP(M852,Table1[#All],5,FALSE)</f>
        <v>EFT#</v>
      </c>
      <c r="R852" s="79">
        <v>9020515</v>
      </c>
      <c r="S852" s="40" t="str">
        <f>VLOOKUP(M852,Table1[#All],6,FALSE)</f>
        <v>Bulk/Sep:</v>
      </c>
      <c r="T852" s="76" t="s">
        <v>3699</v>
      </c>
      <c r="U852" s="40" t="str">
        <f>VLOOKUP(M852,Table1[#All],7,FALSE)</f>
        <v>Call Ref#:</v>
      </c>
      <c r="V852" s="79" t="s">
        <v>3852</v>
      </c>
      <c r="W852" s="40" t="str">
        <f>VLOOKUP(M852,Table1[#All],8,FALSE)</f>
        <v>Cust Rep:</v>
      </c>
      <c r="X852" s="79"/>
      <c r="Y852" s="44" t="str">
        <f>VLOOKUP(M852,Table1[#All],2,FALSE)</f>
        <v xml:space="preserve">Task Post Pmt Queue </v>
      </c>
      <c r="Z852" s="59" t="str">
        <f>VLOOKUP(M852,Table1[#All],9,FALSE)</f>
        <v>Additional Notes:</v>
      </c>
      <c r="AA852" s="76" t="s">
        <v>3875</v>
      </c>
      <c r="AB852" s="76" t="s">
        <v>3697</v>
      </c>
      <c r="AC852" s="90" t="s">
        <v>115</v>
      </c>
      <c r="AD852" s="76" t="s">
        <v>177</v>
      </c>
      <c r="AE852" s="77" t="s">
        <v>3799</v>
      </c>
      <c r="AF852" s="110">
        <v>44581</v>
      </c>
      <c r="AG852" s="41" t="s">
        <v>101</v>
      </c>
    </row>
    <row r="853" spans="1:33" ht="42" hidden="1" x14ac:dyDescent="0.55000000000000004">
      <c r="A853" s="44" t="str">
        <f>Data!K852</f>
        <v>Molina Healthcare of WI</v>
      </c>
      <c r="B853" s="44" t="str">
        <f>Data!L852</f>
        <v>8889992404</v>
      </c>
      <c r="C853" s="44" t="str">
        <f>Data!D852</f>
        <v>Hulbert, Gabrielle</v>
      </c>
      <c r="D853" s="82" t="str">
        <f>Data!F852</f>
        <v>6421206069</v>
      </c>
      <c r="E853" s="82" t="str">
        <f>Data!B852</f>
        <v>8253</v>
      </c>
      <c r="F853" s="44" t="str">
        <f>Data!A852</f>
        <v>Hulbert, Gabrielle</v>
      </c>
      <c r="G853" s="55" t="str">
        <f>Data!C852</f>
        <v>7/17/1993</v>
      </c>
      <c r="H853" s="56">
        <f>Data!H852</f>
        <v>44537</v>
      </c>
      <c r="I853" s="56" t="str">
        <f>Data!I852</f>
        <v>1/17/2022</v>
      </c>
      <c r="J853" s="57">
        <f>Data!J852</f>
        <v>504</v>
      </c>
      <c r="K853" s="58">
        <f t="shared" ca="1" si="14"/>
        <v>122</v>
      </c>
      <c r="L853" s="58">
        <f>Data!M852</f>
        <v>0</v>
      </c>
      <c r="M853" s="37" t="s">
        <v>30</v>
      </c>
      <c r="N853" s="43" t="str">
        <f>VLOOKUP(M853,Table1[#All],3,FALSE)</f>
        <v>Claim not on file. Patient is active ;</v>
      </c>
      <c r="O853" s="40" t="str">
        <f>VLOOKUP(M853,Table1[#All],4,FALSE)</f>
        <v>Payor ID &amp; Address:</v>
      </c>
      <c r="P853" s="39" t="s">
        <v>4138</v>
      </c>
      <c r="Q853" s="40" t="str">
        <f>VLOOKUP(M853,Table1[#All],5,FALSE)</f>
        <v>Fax # (If Fax Yes):</v>
      </c>
      <c r="R853" s="79" t="s">
        <v>4137</v>
      </c>
      <c r="S853" s="40" t="str">
        <f>VLOOKUP(M853,Table1[#All],6,FALSE)</f>
        <v>TFL in Mnths:</v>
      </c>
      <c r="T853" s="79" t="s">
        <v>3872</v>
      </c>
      <c r="U853" s="40" t="str">
        <f>VLOOKUP(M853,Table1[#All],7,FALSE)</f>
        <v>Call Ref#:</v>
      </c>
      <c r="V853" s="79">
        <v>41032</v>
      </c>
      <c r="W853" s="40" t="str">
        <f>VLOOKUP(M853,Table1[#All],8,FALSE)</f>
        <v>Cust Rep:</v>
      </c>
      <c r="X853" s="79" t="s">
        <v>4139</v>
      </c>
      <c r="Y853" s="44" t="str">
        <f>VLOOKUP(M853,Table1[#All],2,FALSE)</f>
        <v>Task Sub Pending Claims Queue</v>
      </c>
      <c r="Z853" s="59" t="str">
        <f>VLOOKUP(M853,Table1[#All],9,FALSE)</f>
        <v>Additional Notes:</v>
      </c>
      <c r="AA853" s="76" t="s">
        <v>4140</v>
      </c>
      <c r="AB853" s="76" t="s">
        <v>3697</v>
      </c>
      <c r="AC853" s="90" t="s">
        <v>185</v>
      </c>
      <c r="AD853" s="76" t="s">
        <v>177</v>
      </c>
      <c r="AE853" s="77" t="s">
        <v>4127</v>
      </c>
      <c r="AF853" s="110">
        <v>44693</v>
      </c>
      <c r="AG853" s="41" t="s">
        <v>101</v>
      </c>
    </row>
    <row r="854" spans="1:33" ht="21" hidden="1" x14ac:dyDescent="0.55000000000000004">
      <c r="A854" s="44" t="str">
        <f>Data!K853</f>
        <v>Molina Healthcare of WI</v>
      </c>
      <c r="B854" s="44" t="str">
        <f>Data!L853</f>
        <v>8889992404</v>
      </c>
      <c r="C854" s="44" t="str">
        <f>Data!D853</f>
        <v xml:space="preserve">Taleb, Ahmad </v>
      </c>
      <c r="D854" s="82" t="str">
        <f>Data!F853</f>
        <v>2452037222</v>
      </c>
      <c r="E854" s="82" t="str">
        <f>Data!B853</f>
        <v>8528</v>
      </c>
      <c r="F854" s="44" t="str">
        <f>Data!A853</f>
        <v xml:space="preserve">Taleb, Ahmad </v>
      </c>
      <c r="G854" s="55" t="str">
        <f>Data!C853</f>
        <v>8/30/2017</v>
      </c>
      <c r="H854" s="56">
        <f>Data!H853</f>
        <v>44529</v>
      </c>
      <c r="I854" s="56" t="str">
        <f>Data!I853</f>
        <v>12/1/2021</v>
      </c>
      <c r="J854" s="57">
        <f>Data!J853</f>
        <v>100</v>
      </c>
      <c r="K854" s="58">
        <f t="shared" ca="1" si="14"/>
        <v>169</v>
      </c>
      <c r="L854" s="58">
        <f>Data!M853</f>
        <v>0</v>
      </c>
      <c r="M854" s="37" t="s">
        <v>45</v>
      </c>
      <c r="N854" s="43" t="str">
        <f>VLOOKUP(M854,Table1[#All],3,FALSE)</f>
        <v>Procedure is not a covered benefit;</v>
      </c>
      <c r="O854" s="40" t="str">
        <f>VLOOKUP(M854,Table1[#All],4,FALSE)</f>
        <v xml:space="preserve">Why? </v>
      </c>
      <c r="P854" s="39">
        <v>39246</v>
      </c>
      <c r="Q854" s="40" t="str">
        <f>VLOOKUP(M854,Table1[#All],5,FALSE)</f>
        <v>Call Ref#:</v>
      </c>
      <c r="R854" s="79" t="s">
        <v>3848</v>
      </c>
      <c r="S854" s="40" t="str">
        <f>VLOOKUP(M854,Table1[#All],6,FALSE)</f>
        <v>Cust Rep:</v>
      </c>
      <c r="T854" s="79"/>
      <c r="U854" s="40">
        <f>VLOOKUP(M854,Table1[#All],7,FALSE)</f>
        <v>0</v>
      </c>
      <c r="V854" s="79"/>
      <c r="W854" s="40">
        <f>VLOOKUP(M854,Table1[#All],8,FALSE)</f>
        <v>0</v>
      </c>
      <c r="X854" s="79"/>
      <c r="Y854" s="44" t="str">
        <f>VLOOKUP(M854,Table1[#All],2,FALSE)</f>
        <v xml:space="preserve">Task Client - Denied Claim Queue </v>
      </c>
      <c r="Z854" s="59" t="str">
        <f>VLOOKUP(M854,Table1[#All],9,FALSE)</f>
        <v>Additional Notes:</v>
      </c>
      <c r="AA854" s="76" t="s">
        <v>4224</v>
      </c>
      <c r="AB854" s="76" t="s">
        <v>3697</v>
      </c>
      <c r="AC854" s="90" t="s">
        <v>115</v>
      </c>
      <c r="AD854" s="76" t="s">
        <v>177</v>
      </c>
      <c r="AE854" s="77" t="s">
        <v>3776</v>
      </c>
      <c r="AF854" s="110">
        <v>44665</v>
      </c>
      <c r="AG854" s="41" t="s">
        <v>101</v>
      </c>
    </row>
    <row r="855" spans="1:33" ht="21" hidden="1" x14ac:dyDescent="0.55000000000000004">
      <c r="A855" s="44" t="str">
        <f>Data!K854</f>
        <v>Molina Healthcare of WI</v>
      </c>
      <c r="B855" s="44" t="str">
        <f>Data!L854</f>
        <v>8889992404</v>
      </c>
      <c r="C855" s="44" t="str">
        <f>Data!D854</f>
        <v>Rumsey, Julie</v>
      </c>
      <c r="D855" s="82" t="str">
        <f>Data!F854</f>
        <v>3453067231</v>
      </c>
      <c r="E855" s="82" t="str">
        <f>Data!B854</f>
        <v>1207</v>
      </c>
      <c r="F855" s="44" t="str">
        <f>Data!A854</f>
        <v>Rumsey, Julie</v>
      </c>
      <c r="G855" s="55" t="str">
        <f>Data!C854</f>
        <v>5/17/1982</v>
      </c>
      <c r="H855" s="56">
        <f>Data!H854</f>
        <v>44524</v>
      </c>
      <c r="I855" s="56" t="str">
        <f>Data!I854</f>
        <v>12/1/2021</v>
      </c>
      <c r="J855" s="57">
        <f>Data!J854</f>
        <v>27.6</v>
      </c>
      <c r="K855" s="58">
        <f t="shared" ca="1" si="14"/>
        <v>169</v>
      </c>
      <c r="L855" s="58">
        <f>Data!M854</f>
        <v>0</v>
      </c>
      <c r="M855" s="37" t="s">
        <v>5</v>
      </c>
      <c r="N855" s="43" t="str">
        <f>VLOOKUP(M855,Table1[#All],3,FALSE)</f>
        <v>Claim Paid by EFT;</v>
      </c>
      <c r="O855" s="40" t="str">
        <f>VLOOKUP(M855,Table1[#All],4,FALSE)</f>
        <v>Issue Date:</v>
      </c>
      <c r="P855" s="38">
        <v>44532</v>
      </c>
      <c r="Q855" s="40" t="str">
        <f>VLOOKUP(M855,Table1[#All],5,FALSE)</f>
        <v>EFT#</v>
      </c>
      <c r="R855" s="79">
        <v>9020061</v>
      </c>
      <c r="S855" s="40" t="str">
        <f>VLOOKUP(M855,Table1[#All],6,FALSE)</f>
        <v>Bulk/Sep:</v>
      </c>
      <c r="T855" s="79" t="s">
        <v>3699</v>
      </c>
      <c r="U855" s="40" t="str">
        <f>VLOOKUP(M855,Table1[#All],7,FALSE)</f>
        <v>Call Ref#:</v>
      </c>
      <c r="V855" s="79" t="s">
        <v>3852</v>
      </c>
      <c r="W855" s="40" t="str">
        <f>VLOOKUP(M855,Table1[#All],8,FALSE)</f>
        <v>Cust Rep:</v>
      </c>
      <c r="X855" s="79"/>
      <c r="Y855" s="44" t="str">
        <f>VLOOKUP(M855,Table1[#All],2,FALSE)</f>
        <v xml:space="preserve">Task Post Pmt Queue </v>
      </c>
      <c r="Z855" s="59" t="str">
        <f>VLOOKUP(M855,Table1[#All],9,FALSE)</f>
        <v>Additional Notes:</v>
      </c>
      <c r="AA855" s="76" t="s">
        <v>3874</v>
      </c>
      <c r="AB855" s="76" t="s">
        <v>3697</v>
      </c>
      <c r="AC855" s="90" t="s">
        <v>115</v>
      </c>
      <c r="AD855" s="76" t="s">
        <v>177</v>
      </c>
      <c r="AE855" s="77" t="s">
        <v>3799</v>
      </c>
      <c r="AF855" s="110">
        <v>44586</v>
      </c>
      <c r="AG855" s="41" t="s">
        <v>101</v>
      </c>
    </row>
    <row r="856" spans="1:33" ht="42" x14ac:dyDescent="0.55000000000000004">
      <c r="A856" s="44" t="str">
        <f>Data!K855</f>
        <v>Molina Healthcare of WI</v>
      </c>
      <c r="B856" s="44" t="str">
        <f>Data!L855</f>
        <v>8889992404</v>
      </c>
      <c r="C856" s="44" t="str">
        <f>Data!D855</f>
        <v>Conner , Nevin</v>
      </c>
      <c r="D856" s="82" t="str">
        <f>Data!F855</f>
        <v>3435362031</v>
      </c>
      <c r="E856" s="82" t="str">
        <f>Data!B855</f>
        <v>8411</v>
      </c>
      <c r="F856" s="44" t="str">
        <f>Data!A855</f>
        <v>Conner , Nevin</v>
      </c>
      <c r="G856" s="55" t="str">
        <f>Data!C855</f>
        <v>1/13/2009</v>
      </c>
      <c r="H856" s="56">
        <f>Data!H855</f>
        <v>44508</v>
      </c>
      <c r="I856" s="56" t="str">
        <f>Data!I855</f>
        <v>12/30/2021</v>
      </c>
      <c r="J856" s="57">
        <f>Data!J855</f>
        <v>1011.2</v>
      </c>
      <c r="K856" s="58">
        <f t="shared" ca="1" si="14"/>
        <v>140</v>
      </c>
      <c r="L856" s="58">
        <f>Data!M855</f>
        <v>0</v>
      </c>
      <c r="M856" s="37" t="s">
        <v>30</v>
      </c>
      <c r="N856" s="43" t="str">
        <f>VLOOKUP(M856,Table1[#All],3,FALSE)</f>
        <v>Claim not on file. Patient is active ;</v>
      </c>
      <c r="O856" s="40" t="str">
        <f>VLOOKUP(M856,Table1[#All],4,FALSE)</f>
        <v>Payor ID &amp; Address:</v>
      </c>
      <c r="P856" s="39" t="s">
        <v>3846</v>
      </c>
      <c r="Q856" s="40" t="str">
        <f>VLOOKUP(M856,Table1[#All],5,FALSE)</f>
        <v>Fax # (If Fax Yes):</v>
      </c>
      <c r="R856" s="79" t="s">
        <v>3760</v>
      </c>
      <c r="S856" s="40" t="str">
        <f>VLOOKUP(M856,Table1[#All],6,FALSE)</f>
        <v>TFL in Mnths:</v>
      </c>
      <c r="T856" s="79" t="s">
        <v>3872</v>
      </c>
      <c r="U856" s="40" t="str">
        <f>VLOOKUP(M856,Table1[#All],7,FALSE)</f>
        <v>Call Ref#:</v>
      </c>
      <c r="V856" s="79">
        <v>39246</v>
      </c>
      <c r="W856" s="40" t="str">
        <f>VLOOKUP(M856,Table1[#All],8,FALSE)</f>
        <v>Cust Rep:</v>
      </c>
      <c r="X856" s="79" t="s">
        <v>3848</v>
      </c>
      <c r="Y856" s="44" t="str">
        <f>VLOOKUP(M856,Table1[#All],2,FALSE)</f>
        <v>Task Sub Pending Claims Queue</v>
      </c>
      <c r="Z856" s="59" t="str">
        <f>VLOOKUP(M856,Table1[#All],9,FALSE)</f>
        <v>Additional Notes:</v>
      </c>
      <c r="AA856" s="76" t="s">
        <v>3873</v>
      </c>
      <c r="AB856" s="76" t="s">
        <v>3697</v>
      </c>
      <c r="AC856" s="90" t="s">
        <v>185</v>
      </c>
      <c r="AD856" s="76" t="s">
        <v>177</v>
      </c>
      <c r="AE856" s="77" t="s">
        <v>3776</v>
      </c>
      <c r="AF856" s="110">
        <v>44655</v>
      </c>
      <c r="AG856" s="41" t="s">
        <v>100</v>
      </c>
    </row>
    <row r="857" spans="1:33" ht="21" hidden="1" x14ac:dyDescent="0.55000000000000004">
      <c r="A857" s="44" t="str">
        <f>Data!K856</f>
        <v>Molina Healthcare of WI</v>
      </c>
      <c r="B857" s="44" t="str">
        <f>Data!L856</f>
        <v>8889992404</v>
      </c>
      <c r="C857" s="44" t="str">
        <f>Data!D856</f>
        <v>Travers, Vanessa</v>
      </c>
      <c r="D857" s="82" t="str">
        <f>Data!F856</f>
        <v>6450213060</v>
      </c>
      <c r="E857" s="82" t="str">
        <f>Data!B856</f>
        <v>7744</v>
      </c>
      <c r="F857" s="44" t="str">
        <f>Data!A856</f>
        <v>Travers, Vanessa</v>
      </c>
      <c r="G857" s="55" t="str">
        <f>Data!C856</f>
        <v>7/31/2016</v>
      </c>
      <c r="H857" s="56">
        <f>Data!H856</f>
        <v>44502</v>
      </c>
      <c r="I857" s="56" t="str">
        <f>Data!I856</f>
        <v>11/8/2021</v>
      </c>
      <c r="J857" s="57">
        <f>Data!J856</f>
        <v>326.8</v>
      </c>
      <c r="K857" s="58">
        <f t="shared" ca="1" si="14"/>
        <v>192</v>
      </c>
      <c r="L857" s="58">
        <f>Data!M856</f>
        <v>0</v>
      </c>
      <c r="M857" s="37" t="s">
        <v>5</v>
      </c>
      <c r="N857" s="43" t="str">
        <f>VLOOKUP(M857,Table1[#All],3,FALSE)</f>
        <v>Claim Paid by EFT;</v>
      </c>
      <c r="O857" s="40" t="str">
        <f>VLOOKUP(M857,Table1[#All],4,FALSE)</f>
        <v>Issue Date:</v>
      </c>
      <c r="P857" s="38">
        <v>44509</v>
      </c>
      <c r="Q857" s="40" t="str">
        <f>VLOOKUP(M857,Table1[#All],5,FALSE)</f>
        <v>EFT#</v>
      </c>
      <c r="R857" s="79">
        <v>9019707</v>
      </c>
      <c r="S857" s="40" t="str">
        <f>VLOOKUP(M857,Table1[#All],6,FALSE)</f>
        <v>Bulk/Sep:</v>
      </c>
      <c r="T857" s="79" t="s">
        <v>3699</v>
      </c>
      <c r="U857" s="40" t="str">
        <f>VLOOKUP(M857,Table1[#All],7,FALSE)</f>
        <v>Call Ref#:</v>
      </c>
      <c r="V857" s="79" t="s">
        <v>3852</v>
      </c>
      <c r="W857" s="40" t="str">
        <f>VLOOKUP(M857,Table1[#All],8,FALSE)</f>
        <v>Cust Rep:</v>
      </c>
      <c r="X857" s="79"/>
      <c r="Y857" s="44" t="str">
        <f>VLOOKUP(M857,Table1[#All],2,FALSE)</f>
        <v xml:space="preserve">Task Post Pmt Queue </v>
      </c>
      <c r="Z857" s="59" t="str">
        <f>VLOOKUP(M857,Table1[#All],9,FALSE)</f>
        <v>Additional Notes:</v>
      </c>
      <c r="AA857" s="76" t="s">
        <v>3871</v>
      </c>
      <c r="AB857" s="76" t="s">
        <v>3697</v>
      </c>
      <c r="AC857" s="90" t="s">
        <v>115</v>
      </c>
      <c r="AD857" s="76" t="s">
        <v>177</v>
      </c>
      <c r="AE857" s="77" t="s">
        <v>3799</v>
      </c>
      <c r="AF857" s="110">
        <v>44581</v>
      </c>
      <c r="AG857" s="41" t="s">
        <v>101</v>
      </c>
    </row>
    <row r="858" spans="1:33" ht="21" hidden="1" x14ac:dyDescent="0.55000000000000004">
      <c r="A858" s="44" t="str">
        <f>Data!K857</f>
        <v>Molina Healthcare of WI</v>
      </c>
      <c r="B858" s="44" t="str">
        <f>Data!L857</f>
        <v>8889992404</v>
      </c>
      <c r="C858" s="44" t="str">
        <f>Data!D857</f>
        <v xml:space="preserve">Cartagena, Isaiah </v>
      </c>
      <c r="D858" s="82" t="str">
        <f>Data!F857</f>
        <v>3435575930</v>
      </c>
      <c r="E858" s="82" t="str">
        <f>Data!B857</f>
        <v>5139</v>
      </c>
      <c r="F858" s="44" t="str">
        <f>Data!A857</f>
        <v xml:space="preserve">Cartagena, Isaiah </v>
      </c>
      <c r="G858" s="55" t="str">
        <f>Data!C857</f>
        <v>1/7/2009</v>
      </c>
      <c r="H858" s="56">
        <f>Data!H857</f>
        <v>44504</v>
      </c>
      <c r="I858" s="56" t="str">
        <f>Data!I857</f>
        <v>11/5/2021</v>
      </c>
      <c r="J858" s="57">
        <f>Data!J857</f>
        <v>244.4</v>
      </c>
      <c r="K858" s="58">
        <f t="shared" ca="1" si="14"/>
        <v>195</v>
      </c>
      <c r="L858" s="58">
        <f>Data!M857</f>
        <v>0</v>
      </c>
      <c r="M858" s="37" t="s">
        <v>5</v>
      </c>
      <c r="N858" s="43" t="str">
        <f>VLOOKUP(M858,Table1[#All],3,FALSE)</f>
        <v>Claim Paid by EFT;</v>
      </c>
      <c r="O858" s="40" t="str">
        <f>VLOOKUP(M858,Table1[#All],4,FALSE)</f>
        <v>Issue Date:</v>
      </c>
      <c r="P858" s="38">
        <v>44509</v>
      </c>
      <c r="Q858" s="40" t="str">
        <f>VLOOKUP(M858,Table1[#All],5,FALSE)</f>
        <v>EFT#</v>
      </c>
      <c r="R858" s="79">
        <v>9019707</v>
      </c>
      <c r="S858" s="40" t="str">
        <f>VLOOKUP(M858,Table1[#All],6,FALSE)</f>
        <v>Bulk/Sep:</v>
      </c>
      <c r="T858" s="79" t="s">
        <v>3699</v>
      </c>
      <c r="U858" s="40" t="str">
        <f>VLOOKUP(M858,Table1[#All],7,FALSE)</f>
        <v>Call Ref#:</v>
      </c>
      <c r="V858" s="79" t="s">
        <v>3852</v>
      </c>
      <c r="W858" s="40" t="str">
        <f>VLOOKUP(M858,Table1[#All],8,FALSE)</f>
        <v>Cust Rep:</v>
      </c>
      <c r="X858" s="79"/>
      <c r="Y858" s="44" t="str">
        <f>VLOOKUP(M858,Table1[#All],2,FALSE)</f>
        <v xml:space="preserve">Task Post Pmt Queue </v>
      </c>
      <c r="Z858" s="59" t="str">
        <f>VLOOKUP(M858,Table1[#All],9,FALSE)</f>
        <v>Additional Notes:</v>
      </c>
      <c r="AA858" s="76" t="s">
        <v>3870</v>
      </c>
      <c r="AB858" s="76" t="s">
        <v>3697</v>
      </c>
      <c r="AC858" s="90" t="s">
        <v>115</v>
      </c>
      <c r="AD858" s="76" t="s">
        <v>177</v>
      </c>
      <c r="AE858" s="77" t="s">
        <v>3799</v>
      </c>
      <c r="AF858" s="110">
        <v>44575</v>
      </c>
      <c r="AG858" s="41" t="s">
        <v>101</v>
      </c>
    </row>
    <row r="859" spans="1:33" ht="21" hidden="1" x14ac:dyDescent="0.55000000000000004">
      <c r="A859" s="44" t="str">
        <f>Data!K858</f>
        <v>Molina Healthcare of WI</v>
      </c>
      <c r="B859" s="44" t="str">
        <f>Data!L858</f>
        <v>8889992404</v>
      </c>
      <c r="C859" s="44" t="str">
        <f>Data!D858</f>
        <v xml:space="preserve">MOSLEY , SHAIELA </v>
      </c>
      <c r="D859" s="82" t="str">
        <f>Data!F858</f>
        <v>2402763221</v>
      </c>
      <c r="E859" s="82" t="str">
        <f>Data!B858</f>
        <v>5641</v>
      </c>
      <c r="F859" s="44" t="str">
        <f>Data!A858</f>
        <v xml:space="preserve">MOSLEY , SHAIELA </v>
      </c>
      <c r="G859" s="55" t="str">
        <f>Data!C858</f>
        <v>6/18/1993</v>
      </c>
      <c r="H859" s="56">
        <f>Data!H858</f>
        <v>44483</v>
      </c>
      <c r="I859" s="56" t="str">
        <f>Data!I858</f>
        <v>10/18/2021</v>
      </c>
      <c r="J859" s="57">
        <f>Data!J858</f>
        <v>88.8</v>
      </c>
      <c r="K859" s="58">
        <f t="shared" ca="1" si="14"/>
        <v>213</v>
      </c>
      <c r="L859" s="58">
        <f>Data!M858</f>
        <v>0</v>
      </c>
      <c r="M859" s="37" t="s">
        <v>5</v>
      </c>
      <c r="N859" s="43" t="str">
        <f>VLOOKUP(M859,Table1[#All],3,FALSE)</f>
        <v>Claim Paid by EFT;</v>
      </c>
      <c r="O859" s="40" t="str">
        <f>VLOOKUP(M859,Table1[#All],4,FALSE)</f>
        <v>Issue Date:</v>
      </c>
      <c r="P859" s="38">
        <v>44488</v>
      </c>
      <c r="Q859" s="40" t="str">
        <f>VLOOKUP(M859,Table1[#All],5,FALSE)</f>
        <v>EFT#</v>
      </c>
      <c r="R859" s="79">
        <v>9019380</v>
      </c>
      <c r="S859" s="40" t="str">
        <f>VLOOKUP(M859,Table1[#All],6,FALSE)</f>
        <v>Bulk/Sep:</v>
      </c>
      <c r="T859" s="79" t="s">
        <v>3699</v>
      </c>
      <c r="U859" s="40" t="str">
        <f>VLOOKUP(M859,Table1[#All],7,FALSE)</f>
        <v>Call Ref#:</v>
      </c>
      <c r="V859" s="79" t="s">
        <v>3852</v>
      </c>
      <c r="W859" s="40" t="str">
        <f>VLOOKUP(M859,Table1[#All],8,FALSE)</f>
        <v>Cust Rep:</v>
      </c>
      <c r="X859" s="79"/>
      <c r="Y859" s="44" t="str">
        <f>VLOOKUP(M859,Table1[#All],2,FALSE)</f>
        <v xml:space="preserve">Task Post Pmt Queue </v>
      </c>
      <c r="Z859" s="59" t="str">
        <f>VLOOKUP(M859,Table1[#All],9,FALSE)</f>
        <v>Additional Notes:</v>
      </c>
      <c r="AA859" s="76" t="s">
        <v>3869</v>
      </c>
      <c r="AB859" s="76" t="s">
        <v>3697</v>
      </c>
      <c r="AC859" s="90" t="s">
        <v>115</v>
      </c>
      <c r="AD859" s="76" t="s">
        <v>177</v>
      </c>
      <c r="AE859" s="77" t="s">
        <v>3799</v>
      </c>
      <c r="AF859" s="110">
        <v>44575</v>
      </c>
      <c r="AG859" s="41" t="s">
        <v>101</v>
      </c>
    </row>
    <row r="860" spans="1:33" ht="21" hidden="1" x14ac:dyDescent="0.55000000000000004">
      <c r="A860" s="44" t="str">
        <f>Data!K859</f>
        <v>Molina Healthcare of WI</v>
      </c>
      <c r="B860" s="44" t="str">
        <f>Data!L859</f>
        <v>8889992404</v>
      </c>
      <c r="C860" s="44" t="str">
        <f>Data!D859</f>
        <v xml:space="preserve">Flowers, Dedrick </v>
      </c>
      <c r="D860" s="82" t="str">
        <f>Data!F859</f>
        <v>0452023408</v>
      </c>
      <c r="E860" s="82" t="str">
        <f>Data!B859</f>
        <v>8008</v>
      </c>
      <c r="F860" s="44" t="str">
        <f>Data!A859</f>
        <v xml:space="preserve">Flowers, Dedrick </v>
      </c>
      <c r="G860" s="55" t="str">
        <f>Data!C859</f>
        <v>8/31/2017</v>
      </c>
      <c r="H860" s="56">
        <f>Data!H859</f>
        <v>44482</v>
      </c>
      <c r="I860" s="56" t="str">
        <f>Data!I859</f>
        <v>10/16/2021</v>
      </c>
      <c r="J860" s="57">
        <f>Data!J859</f>
        <v>182.8</v>
      </c>
      <c r="K860" s="58">
        <f t="shared" ca="1" si="14"/>
        <v>215</v>
      </c>
      <c r="L860" s="58">
        <f>Data!M859</f>
        <v>0</v>
      </c>
      <c r="M860" s="37" t="s">
        <v>172</v>
      </c>
      <c r="N860" s="43" t="str">
        <f>VLOOKUP(M860,Table1[#All],3,FALSE)</f>
        <v>Claim Partially Paid by Check; Add notes</v>
      </c>
      <c r="O860" s="40" t="str">
        <f>VLOOKUP(M860,Table1[#All],4,FALSE)</f>
        <v>Issue Date:</v>
      </c>
      <c r="P860" s="38">
        <v>44509</v>
      </c>
      <c r="Q860" s="40" t="str">
        <f>VLOOKUP(M860,Table1[#All],5,FALSE)</f>
        <v>CHK#</v>
      </c>
      <c r="R860" s="79">
        <v>9019707</v>
      </c>
      <c r="S860" s="40" t="str">
        <f>VLOOKUP(M860,Table1[#All],6,FALSE)</f>
        <v>Bulk/Sep:</v>
      </c>
      <c r="T860" s="79" t="s">
        <v>3699</v>
      </c>
      <c r="U860" s="40" t="str">
        <f>VLOOKUP(M860,Table1[#All],7,FALSE)</f>
        <v>Call Ref#:</v>
      </c>
      <c r="V860" s="79" t="s">
        <v>3852</v>
      </c>
      <c r="W860" s="40" t="str">
        <f>VLOOKUP(M860,Table1[#All],8,FALSE)</f>
        <v>Cust Rep:</v>
      </c>
      <c r="X860" s="79"/>
      <c r="Y860" s="44" t="str">
        <f>VLOOKUP(M860,Table1[#All],2,FALSE)</f>
        <v xml:space="preserve">Task Cashed Chk Queue </v>
      </c>
      <c r="Z860" s="59" t="str">
        <f>VLOOKUP(M860,Table1[#All],9,FALSE)</f>
        <v>Additional Notes:</v>
      </c>
      <c r="AA860" s="76" t="s">
        <v>3868</v>
      </c>
      <c r="AB860" s="76" t="s">
        <v>3697</v>
      </c>
      <c r="AC860" s="90" t="s">
        <v>115</v>
      </c>
      <c r="AD860" s="76" t="s">
        <v>177</v>
      </c>
      <c r="AE860" s="77" t="s">
        <v>3698</v>
      </c>
      <c r="AF860" s="110">
        <v>44575</v>
      </c>
      <c r="AG860" s="41" t="s">
        <v>101</v>
      </c>
    </row>
    <row r="861" spans="1:33" ht="21" hidden="1" x14ac:dyDescent="0.55000000000000004">
      <c r="A861" s="44" t="str">
        <f>Data!K860</f>
        <v>Molina Healthcare of WI</v>
      </c>
      <c r="B861" s="44" t="str">
        <f>Data!L860</f>
        <v>8889992404</v>
      </c>
      <c r="C861" s="44" t="str">
        <f>Data!D860</f>
        <v>Mcfarland, Kamiah</v>
      </c>
      <c r="D861" s="82" t="str">
        <f>Data!F860</f>
        <v>5426716455</v>
      </c>
      <c r="E861" s="82" t="str">
        <f>Data!B860</f>
        <v>7699</v>
      </c>
      <c r="F861" s="44" t="str">
        <f>Data!A860</f>
        <v>Mcfarland, Kamiah</v>
      </c>
      <c r="G861" s="55" t="str">
        <f>Data!C860</f>
        <v>10/9/2006</v>
      </c>
      <c r="H861" s="56">
        <f>Data!H860</f>
        <v>44424</v>
      </c>
      <c r="I861" s="56" t="str">
        <f>Data!I860</f>
        <v>8/30/2021</v>
      </c>
      <c r="J861" s="57">
        <f>Data!J860</f>
        <v>58.8</v>
      </c>
      <c r="K861" s="58">
        <f t="shared" ca="1" si="14"/>
        <v>262</v>
      </c>
      <c r="L861" s="58">
        <f>Data!M860</f>
        <v>0</v>
      </c>
      <c r="M861" s="37" t="s">
        <v>5</v>
      </c>
      <c r="N861" s="43" t="str">
        <f>VLOOKUP(M861,Table1[#All],3,FALSE)</f>
        <v>Claim Paid by EFT;</v>
      </c>
      <c r="O861" s="40" t="str">
        <f>VLOOKUP(M861,Table1[#All],4,FALSE)</f>
        <v>Issue Date:</v>
      </c>
      <c r="P861" s="38">
        <v>44438</v>
      </c>
      <c r="Q861" s="40" t="str">
        <f>VLOOKUP(M861,Table1[#All],5,FALSE)</f>
        <v>EFT#</v>
      </c>
      <c r="R861" s="79">
        <v>9018588</v>
      </c>
      <c r="S861" s="40" t="str">
        <f>VLOOKUP(M861,Table1[#All],6,FALSE)</f>
        <v>Bulk/Sep:</v>
      </c>
      <c r="T861" s="79" t="s">
        <v>3826</v>
      </c>
      <c r="U861" s="40" t="str">
        <f>VLOOKUP(M861,Table1[#All],7,FALSE)</f>
        <v>Call Ref#:</v>
      </c>
      <c r="V861" s="79" t="s">
        <v>3852</v>
      </c>
      <c r="W861" s="40" t="str">
        <f>VLOOKUP(M861,Table1[#All],8,FALSE)</f>
        <v>Cust Rep:</v>
      </c>
      <c r="X861" s="79"/>
      <c r="Y861" s="44" t="str">
        <f>VLOOKUP(M861,Table1[#All],2,FALSE)</f>
        <v xml:space="preserve">Task Post Pmt Queue </v>
      </c>
      <c r="Z861" s="59" t="str">
        <f>VLOOKUP(M861,Table1[#All],9,FALSE)</f>
        <v>Additional Notes:</v>
      </c>
      <c r="AA861" s="76" t="s">
        <v>3867</v>
      </c>
      <c r="AB861" s="76" t="s">
        <v>3697</v>
      </c>
      <c r="AC861" s="90" t="s">
        <v>115</v>
      </c>
      <c r="AD861" s="76" t="s">
        <v>177</v>
      </c>
      <c r="AE861" s="77" t="s">
        <v>3776</v>
      </c>
      <c r="AF861" s="110">
        <v>44624</v>
      </c>
      <c r="AG861" s="41" t="s">
        <v>101</v>
      </c>
    </row>
    <row r="862" spans="1:33" ht="21" hidden="1" x14ac:dyDescent="0.55000000000000004">
      <c r="A862" s="44" t="str">
        <f>Data!K861</f>
        <v>Molina Healthcare of WI</v>
      </c>
      <c r="B862" s="44" t="str">
        <f>Data!L861</f>
        <v>8889992404</v>
      </c>
      <c r="C862" s="44" t="str">
        <f>Data!D861</f>
        <v xml:space="preserve">Jackson Jr, Jeremy </v>
      </c>
      <c r="D862" s="82" t="str">
        <f>Data!F861</f>
        <v>3450008536</v>
      </c>
      <c r="E862" s="82" t="str">
        <f>Data!B861</f>
        <v>7083</v>
      </c>
      <c r="F862" s="44" t="str">
        <f>Data!A861</f>
        <v xml:space="preserve">Jackson Jr, Jeremy </v>
      </c>
      <c r="G862" s="55" t="str">
        <f>Data!C861</f>
        <v>6/14/2016</v>
      </c>
      <c r="H862" s="56">
        <f>Data!H861</f>
        <v>44354</v>
      </c>
      <c r="I862" s="56" t="str">
        <f>Data!I861</f>
        <v>9/1/2021</v>
      </c>
      <c r="J862" s="57">
        <f>Data!J861</f>
        <v>432</v>
      </c>
      <c r="K862" s="58">
        <f t="shared" ca="1" si="14"/>
        <v>260</v>
      </c>
      <c r="L862" s="58">
        <f>Data!M861</f>
        <v>0</v>
      </c>
      <c r="M862" s="37" t="s">
        <v>5</v>
      </c>
      <c r="N862" s="43" t="str">
        <f>VLOOKUP(M862,Table1[#All],3,FALSE)</f>
        <v>Claim Paid by EFT;</v>
      </c>
      <c r="O862" s="40" t="str">
        <f>VLOOKUP(M862,Table1[#All],4,FALSE)</f>
        <v>Issue Date:</v>
      </c>
      <c r="P862" s="38">
        <v>44438</v>
      </c>
      <c r="Q862" s="40" t="str">
        <f>VLOOKUP(M862,Table1[#All],5,FALSE)</f>
        <v>EFT#</v>
      </c>
      <c r="R862" s="79">
        <v>9018588</v>
      </c>
      <c r="S862" s="40" t="str">
        <f>VLOOKUP(M862,Table1[#All],6,FALSE)</f>
        <v>Bulk/Sep:</v>
      </c>
      <c r="T862" s="79" t="s">
        <v>3826</v>
      </c>
      <c r="U862" s="40" t="str">
        <f>VLOOKUP(M862,Table1[#All],7,FALSE)</f>
        <v>Call Ref#:</v>
      </c>
      <c r="V862" s="79" t="s">
        <v>3852</v>
      </c>
      <c r="W862" s="40" t="str">
        <f>VLOOKUP(M862,Table1[#All],8,FALSE)</f>
        <v>Cust Rep:</v>
      </c>
      <c r="X862" s="79"/>
      <c r="Y862" s="44" t="str">
        <f>VLOOKUP(M862,Table1[#All],2,FALSE)</f>
        <v xml:space="preserve">Task Post Pmt Queue </v>
      </c>
      <c r="Z862" s="59" t="str">
        <f>VLOOKUP(M862,Table1[#All],9,FALSE)</f>
        <v>Additional Notes:</v>
      </c>
      <c r="AA862" s="76" t="s">
        <v>3866</v>
      </c>
      <c r="AB862" s="76" t="s">
        <v>3697</v>
      </c>
      <c r="AC862" s="90" t="s">
        <v>115</v>
      </c>
      <c r="AD862" s="76" t="s">
        <v>177</v>
      </c>
      <c r="AE862" s="77" t="s">
        <v>3776</v>
      </c>
      <c r="AF862" s="110">
        <v>44624</v>
      </c>
      <c r="AG862" s="41" t="s">
        <v>101</v>
      </c>
    </row>
    <row r="863" spans="1:33" ht="21" hidden="1" x14ac:dyDescent="0.55000000000000004">
      <c r="A863" s="44" t="str">
        <f>Data!K862</f>
        <v>Molina Healthcare of WI</v>
      </c>
      <c r="B863" s="44" t="str">
        <f>Data!L862</f>
        <v>8889992404</v>
      </c>
      <c r="C863" s="44" t="str">
        <f>Data!D862</f>
        <v>Travers, Vanessa</v>
      </c>
      <c r="D863" s="82" t="str">
        <f>Data!F862</f>
        <v>6450213060</v>
      </c>
      <c r="E863" s="82" t="str">
        <f>Data!B862</f>
        <v>7744</v>
      </c>
      <c r="F863" s="44" t="str">
        <f>Data!A862</f>
        <v>Travers, Vanessa</v>
      </c>
      <c r="G863" s="55" t="str">
        <f>Data!C862</f>
        <v>7/31/2016</v>
      </c>
      <c r="H863" s="56">
        <f>Data!H862</f>
        <v>44431</v>
      </c>
      <c r="I863" s="56" t="str">
        <f>Data!I862</f>
        <v>8/30/2021</v>
      </c>
      <c r="J863" s="57">
        <f>Data!J862</f>
        <v>72</v>
      </c>
      <c r="K863" s="58">
        <f t="shared" ca="1" si="14"/>
        <v>262</v>
      </c>
      <c r="L863" s="58">
        <f>Data!M862</f>
        <v>0</v>
      </c>
      <c r="M863" s="37" t="s">
        <v>171</v>
      </c>
      <c r="N863" s="43" t="str">
        <f>VLOOKUP(M863,Table1[#All],3,FALSE)</f>
        <v>Claim Partially Paid by EFT; Add notes</v>
      </c>
      <c r="O863" s="40" t="str">
        <f>VLOOKUP(M863,Table1[#All],4,FALSE)</f>
        <v>Issue Date:</v>
      </c>
      <c r="P863" s="38">
        <v>44433</v>
      </c>
      <c r="Q863" s="40" t="str">
        <f>VLOOKUP(M863,Table1[#All],5,FALSE)</f>
        <v>EFT#</v>
      </c>
      <c r="R863" s="79">
        <v>9018527</v>
      </c>
      <c r="S863" s="40" t="str">
        <f>VLOOKUP(M863,Table1[#All],6,FALSE)</f>
        <v>Bulk/Sep:</v>
      </c>
      <c r="T863" s="79" t="s">
        <v>3826</v>
      </c>
      <c r="U863" s="40" t="str">
        <f>VLOOKUP(M863,Table1[#All],7,FALSE)</f>
        <v>Call Ref#:</v>
      </c>
      <c r="V863" s="79">
        <v>39246</v>
      </c>
      <c r="W863" s="40" t="str">
        <f>VLOOKUP(M863,Table1[#All],8,FALSE)</f>
        <v>Cust Rep:</v>
      </c>
      <c r="X863" s="79" t="s">
        <v>3848</v>
      </c>
      <c r="Y863" s="44" t="str">
        <f>VLOOKUP(M863,Table1[#All],2,FALSE)</f>
        <v xml:space="preserve">Task Post Pmt Queue </v>
      </c>
      <c r="Z863" s="59" t="str">
        <f>VLOOKUP(M863,Table1[#All],9,FALSE)</f>
        <v>Additional Notes:</v>
      </c>
      <c r="AA863" s="76" t="s">
        <v>3865</v>
      </c>
      <c r="AB863" s="76" t="s">
        <v>3697</v>
      </c>
      <c r="AC863" s="90" t="s">
        <v>115</v>
      </c>
      <c r="AD863" s="76" t="s">
        <v>177</v>
      </c>
      <c r="AE863" s="77" t="s">
        <v>3776</v>
      </c>
      <c r="AF863" s="110">
        <v>44655</v>
      </c>
      <c r="AG863" s="41" t="s">
        <v>101</v>
      </c>
    </row>
    <row r="864" spans="1:33" ht="21" hidden="1" x14ac:dyDescent="0.55000000000000004">
      <c r="A864" s="44" t="str">
        <f>Data!K863</f>
        <v>Molina Healthcare of WI</v>
      </c>
      <c r="B864" s="44" t="str">
        <f>Data!L863</f>
        <v>8889992404</v>
      </c>
      <c r="C864" s="44" t="str">
        <f>Data!D863</f>
        <v>Mohamad Salim, Harun Bin</v>
      </c>
      <c r="D864" s="82" t="str">
        <f>Data!F863</f>
        <v>1448838614</v>
      </c>
      <c r="E864" s="82" t="str">
        <f>Data!B863</f>
        <v>7571</v>
      </c>
      <c r="F864" s="44" t="str">
        <f>Data!A863</f>
        <v>Mohamad Salim, Harun Bin</v>
      </c>
      <c r="G864" s="55" t="str">
        <f>Data!C863</f>
        <v>7/21/2014</v>
      </c>
      <c r="H864" s="56">
        <f>Data!H863</f>
        <v>44412</v>
      </c>
      <c r="I864" s="56" t="str">
        <f>Data!I863</f>
        <v>8/27/2021</v>
      </c>
      <c r="J864" s="57">
        <f>Data!J863</f>
        <v>684.4</v>
      </c>
      <c r="K864" s="58">
        <f t="shared" ca="1" si="14"/>
        <v>265</v>
      </c>
      <c r="L864" s="58">
        <f>Data!M863</f>
        <v>0</v>
      </c>
      <c r="M864" s="37" t="s">
        <v>5</v>
      </c>
      <c r="N864" s="43" t="str">
        <f>VLOOKUP(M864,Table1[#All],3,FALSE)</f>
        <v>Claim Paid by EFT;</v>
      </c>
      <c r="O864" s="40" t="str">
        <f>VLOOKUP(M864,Table1[#All],4,FALSE)</f>
        <v>Issue Date:</v>
      </c>
      <c r="P864" s="38">
        <v>44467</v>
      </c>
      <c r="Q864" s="40" t="str">
        <f>VLOOKUP(M864,Table1[#All],5,FALSE)</f>
        <v>EFT#</v>
      </c>
      <c r="R864" s="79">
        <v>9019029</v>
      </c>
      <c r="S864" s="40" t="str">
        <f>VLOOKUP(M864,Table1[#All],6,FALSE)</f>
        <v>Bulk/Sep:</v>
      </c>
      <c r="T864" s="79" t="s">
        <v>3699</v>
      </c>
      <c r="U864" s="40" t="str">
        <f>VLOOKUP(M864,Table1[#All],7,FALSE)</f>
        <v>Call Ref#:</v>
      </c>
      <c r="V864" s="79" t="s">
        <v>3852</v>
      </c>
      <c r="W864" s="40" t="str">
        <f>VLOOKUP(M864,Table1[#All],8,FALSE)</f>
        <v>Cust Rep:</v>
      </c>
      <c r="X864" s="79"/>
      <c r="Y864" s="44" t="str">
        <f>VLOOKUP(M864,Table1[#All],2,FALSE)</f>
        <v xml:space="preserve">Task Post Pmt Queue </v>
      </c>
      <c r="Z864" s="59" t="str">
        <f>VLOOKUP(M864,Table1[#All],9,FALSE)</f>
        <v>Additional Notes:</v>
      </c>
      <c r="AA864" s="76" t="s">
        <v>3864</v>
      </c>
      <c r="AB864" s="76" t="s">
        <v>3697</v>
      </c>
      <c r="AC864" s="90" t="s">
        <v>115</v>
      </c>
      <c r="AD864" s="76" t="s">
        <v>177</v>
      </c>
      <c r="AE864" s="77" t="s">
        <v>3776</v>
      </c>
      <c r="AF864" s="110">
        <v>44624</v>
      </c>
      <c r="AG864" s="41" t="s">
        <v>101</v>
      </c>
    </row>
    <row r="865" spans="1:33" ht="21" hidden="1" x14ac:dyDescent="0.55000000000000004">
      <c r="A865" s="44" t="str">
        <f>Data!K864</f>
        <v>Molina Healthcare of WI</v>
      </c>
      <c r="B865" s="44" t="str">
        <f>Data!L864</f>
        <v>8889992404</v>
      </c>
      <c r="C865" s="44" t="str">
        <f>Data!D864</f>
        <v>Mcwhorter, Julian</v>
      </c>
      <c r="D865" s="82" t="str">
        <f>Data!F864</f>
        <v>1419002112</v>
      </c>
      <c r="E865" s="82" t="str">
        <f>Data!B864</f>
        <v>7629</v>
      </c>
      <c r="F865" s="44" t="str">
        <f>Data!A864</f>
        <v>Mcwhorter, Julian</v>
      </c>
      <c r="G865" s="55" t="str">
        <f>Data!C864</f>
        <v>5/3/1990</v>
      </c>
      <c r="H865" s="56">
        <f>Data!H864</f>
        <v>44410</v>
      </c>
      <c r="I865" s="56" t="str">
        <f>Data!I864</f>
        <v>8/6/2021</v>
      </c>
      <c r="J865" s="57">
        <f>Data!J864</f>
        <v>175.2</v>
      </c>
      <c r="K865" s="58">
        <f t="shared" ca="1" si="14"/>
        <v>286</v>
      </c>
      <c r="L865" s="58">
        <f>Data!M864</f>
        <v>0</v>
      </c>
      <c r="M865" s="37" t="s">
        <v>5</v>
      </c>
      <c r="N865" s="43" t="str">
        <f>VLOOKUP(M865,Table1[#All],3,FALSE)</f>
        <v>Claim Paid by EFT;</v>
      </c>
      <c r="O865" s="40" t="str">
        <f>VLOOKUP(M865,Table1[#All],4,FALSE)</f>
        <v>Issue Date:</v>
      </c>
      <c r="P865" s="38">
        <v>44417</v>
      </c>
      <c r="Q865" s="40" t="str">
        <f>VLOOKUP(M865,Table1[#All],5,FALSE)</f>
        <v>EFT#</v>
      </c>
      <c r="R865" s="79">
        <v>9018263</v>
      </c>
      <c r="S865" s="40" t="str">
        <f>VLOOKUP(M865,Table1[#All],6,FALSE)</f>
        <v>Bulk/Sep:</v>
      </c>
      <c r="T865" s="79" t="s">
        <v>3699</v>
      </c>
      <c r="U865" s="40" t="str">
        <f>VLOOKUP(M865,Table1[#All],7,FALSE)</f>
        <v>Call Ref#:</v>
      </c>
      <c r="V865" s="79" t="s">
        <v>3852</v>
      </c>
      <c r="W865" s="40" t="str">
        <f>VLOOKUP(M865,Table1[#All],8,FALSE)</f>
        <v>Cust Rep:</v>
      </c>
      <c r="X865" s="79"/>
      <c r="Y865" s="44" t="str">
        <f>VLOOKUP(M865,Table1[#All],2,FALSE)</f>
        <v xml:space="preserve">Task Post Pmt Queue </v>
      </c>
      <c r="Z865" s="59" t="str">
        <f>VLOOKUP(M865,Table1[#All],9,FALSE)</f>
        <v>Additional Notes:</v>
      </c>
      <c r="AA865" s="76" t="s">
        <v>3863</v>
      </c>
      <c r="AB865" s="76" t="s">
        <v>3697</v>
      </c>
      <c r="AC865" s="90" t="s">
        <v>115</v>
      </c>
      <c r="AD865" s="76" t="s">
        <v>177</v>
      </c>
      <c r="AE865" s="77" t="s">
        <v>3776</v>
      </c>
      <c r="AF865" s="110">
        <v>44624</v>
      </c>
      <c r="AG865" s="41" t="s">
        <v>101</v>
      </c>
    </row>
    <row r="866" spans="1:33" ht="63" hidden="1" x14ac:dyDescent="0.55000000000000004">
      <c r="A866" s="44" t="str">
        <f>Data!K865</f>
        <v>Molina Healthcare of WI</v>
      </c>
      <c r="B866" s="44" t="str">
        <f>Data!L865</f>
        <v>8889992404</v>
      </c>
      <c r="C866" s="44" t="str">
        <f>Data!D865</f>
        <v xml:space="preserve">Martinez, Sabrina </v>
      </c>
      <c r="D866" s="82" t="str">
        <f>Data!F865</f>
        <v>1413176119</v>
      </c>
      <c r="E866" s="82" t="str">
        <f>Data!B865</f>
        <v>4190</v>
      </c>
      <c r="F866" s="44" t="str">
        <f>Data!A865</f>
        <v xml:space="preserve">Martinez, Sabrina </v>
      </c>
      <c r="G866" s="55" t="str">
        <f>Data!C865</f>
        <v>4/24/1984</v>
      </c>
      <c r="H866" s="56">
        <f>Data!H865</f>
        <v>44404</v>
      </c>
      <c r="I866" s="56" t="str">
        <f>Data!I865</f>
        <v>7/29/2021</v>
      </c>
      <c r="J866" s="57">
        <f>Data!J865</f>
        <v>253.2</v>
      </c>
      <c r="K866" s="58">
        <f t="shared" ca="1" si="14"/>
        <v>294</v>
      </c>
      <c r="L866" s="58">
        <f>Data!M865</f>
        <v>0</v>
      </c>
      <c r="M866" s="37" t="s">
        <v>45</v>
      </c>
      <c r="N866" s="43" t="str">
        <f>VLOOKUP(M866,Table1[#All],3,FALSE)</f>
        <v>Procedure is not a covered benefit;</v>
      </c>
      <c r="O866" s="40" t="str">
        <f>VLOOKUP(M866,Table1[#All],4,FALSE)</f>
        <v xml:space="preserve">Why? </v>
      </c>
      <c r="P866" s="39" t="s">
        <v>3861</v>
      </c>
      <c r="Q866" s="40" t="str">
        <f>VLOOKUP(M866,Table1[#All],5,FALSE)</f>
        <v>Call Ref#:</v>
      </c>
      <c r="R866" s="79">
        <v>39246</v>
      </c>
      <c r="S866" s="40" t="str">
        <f>VLOOKUP(M866,Table1[#All],6,FALSE)</f>
        <v>Cust Rep:</v>
      </c>
      <c r="T866" s="79" t="s">
        <v>3848</v>
      </c>
      <c r="U866" s="40">
        <f>VLOOKUP(M866,Table1[#All],7,FALSE)</f>
        <v>0</v>
      </c>
      <c r="V866" s="79"/>
      <c r="W866" s="40">
        <f>VLOOKUP(M866,Table1[#All],8,FALSE)</f>
        <v>0</v>
      </c>
      <c r="X866" s="79"/>
      <c r="Y866" s="44" t="str">
        <f>VLOOKUP(M866,Table1[#All],2,FALSE)</f>
        <v xml:space="preserve">Task Client - Denied Claim Queue </v>
      </c>
      <c r="Z866" s="59" t="str">
        <f>VLOOKUP(M866,Table1[#All],9,FALSE)</f>
        <v>Additional Notes:</v>
      </c>
      <c r="AA866" s="76" t="s">
        <v>3862</v>
      </c>
      <c r="AB866" s="76" t="s">
        <v>3697</v>
      </c>
      <c r="AC866" s="90" t="s">
        <v>115</v>
      </c>
      <c r="AD866" s="76" t="s">
        <v>177</v>
      </c>
      <c r="AE866" s="77" t="s">
        <v>3776</v>
      </c>
      <c r="AF866" s="110">
        <v>44655</v>
      </c>
      <c r="AG866" s="41" t="s">
        <v>101</v>
      </c>
    </row>
    <row r="867" spans="1:33" ht="21" hidden="1" x14ac:dyDescent="0.55000000000000004">
      <c r="A867" s="44" t="str">
        <f>Data!K866</f>
        <v>Molina Healthcare of WI</v>
      </c>
      <c r="B867" s="44" t="str">
        <f>Data!L866</f>
        <v>8889992404</v>
      </c>
      <c r="C867" s="44" t="str">
        <f>Data!D866</f>
        <v>MAYER , MELISSA</v>
      </c>
      <c r="D867" s="82" t="str">
        <f>Data!F866</f>
        <v>1411106016</v>
      </c>
      <c r="E867" s="82" t="str">
        <f>Data!B866</f>
        <v>3382</v>
      </c>
      <c r="F867" s="44" t="str">
        <f>Data!A866</f>
        <v>MAYER , MELISSA</v>
      </c>
      <c r="G867" s="55" t="str">
        <f>Data!C866</f>
        <v>2/18/1991</v>
      </c>
      <c r="H867" s="56">
        <f>Data!H866</f>
        <v>44396</v>
      </c>
      <c r="I867" s="56" t="str">
        <f>Data!I866</f>
        <v>7/28/2021</v>
      </c>
      <c r="J867" s="57">
        <f>Data!J866</f>
        <v>106.4</v>
      </c>
      <c r="K867" s="58">
        <f t="shared" ca="1" si="14"/>
        <v>295</v>
      </c>
      <c r="L867" s="58">
        <f>Data!M866</f>
        <v>0</v>
      </c>
      <c r="M867" s="37" t="s">
        <v>5</v>
      </c>
      <c r="N867" s="43" t="str">
        <f>VLOOKUP(M867,Table1[#All],3,FALSE)</f>
        <v>Claim Paid by EFT;</v>
      </c>
      <c r="O867" s="40" t="str">
        <f>VLOOKUP(M867,Table1[#All],4,FALSE)</f>
        <v>Issue Date:</v>
      </c>
      <c r="P867" s="38">
        <v>44405</v>
      </c>
      <c r="Q867" s="40" t="str">
        <f>VLOOKUP(M867,Table1[#All],5,FALSE)</f>
        <v>EFT#</v>
      </c>
      <c r="R867" s="79">
        <v>9018076</v>
      </c>
      <c r="S867" s="40" t="str">
        <f>VLOOKUP(M867,Table1[#All],6,FALSE)</f>
        <v>Bulk/Sep:</v>
      </c>
      <c r="T867" s="79" t="s">
        <v>3826</v>
      </c>
      <c r="U867" s="40" t="str">
        <f>VLOOKUP(M867,Table1[#All],7,FALSE)</f>
        <v>Call Ref#:</v>
      </c>
      <c r="V867" s="79" t="s">
        <v>3852</v>
      </c>
      <c r="W867" s="40" t="str">
        <f>VLOOKUP(M867,Table1[#All],8,FALSE)</f>
        <v>Cust Rep:</v>
      </c>
      <c r="X867" s="79"/>
      <c r="Y867" s="44" t="str">
        <f>VLOOKUP(M867,Table1[#All],2,FALSE)</f>
        <v xml:space="preserve">Task Post Pmt Queue </v>
      </c>
      <c r="Z867" s="59" t="str">
        <f>VLOOKUP(M867,Table1[#All],9,FALSE)</f>
        <v>Additional Notes:</v>
      </c>
      <c r="AA867" s="76" t="s">
        <v>3860</v>
      </c>
      <c r="AB867" s="76" t="s">
        <v>3697</v>
      </c>
      <c r="AC867" s="90" t="s">
        <v>115</v>
      </c>
      <c r="AD867" s="76" t="s">
        <v>177</v>
      </c>
      <c r="AE867" s="77" t="s">
        <v>3776</v>
      </c>
      <c r="AF867" s="110">
        <v>44624</v>
      </c>
      <c r="AG867" s="41" t="s">
        <v>101</v>
      </c>
    </row>
    <row r="868" spans="1:33" ht="21" hidden="1" x14ac:dyDescent="0.55000000000000004">
      <c r="A868" s="44" t="str">
        <f>Data!K867</f>
        <v>Molina Healthcare of WI</v>
      </c>
      <c r="B868" s="44" t="str">
        <f>Data!L867</f>
        <v>8889992404</v>
      </c>
      <c r="C868" s="44" t="str">
        <f>Data!D867</f>
        <v>Gloede, Michele</v>
      </c>
      <c r="D868" s="82" t="str">
        <f>Data!F867</f>
        <v>4422456041</v>
      </c>
      <c r="E868" s="82" t="str">
        <f>Data!B867</f>
        <v>1972</v>
      </c>
      <c r="F868" s="44" t="str">
        <f>Data!A867</f>
        <v>Gloede, Michele</v>
      </c>
      <c r="G868" s="55" t="str">
        <f>Data!C867</f>
        <v>7/28/1981</v>
      </c>
      <c r="H868" s="56">
        <f>Data!H867</f>
        <v>44399</v>
      </c>
      <c r="I868" s="56" t="str">
        <f>Data!I867</f>
        <v>7/28/2021</v>
      </c>
      <c r="J868" s="57">
        <f>Data!J867</f>
        <v>106.4</v>
      </c>
      <c r="K868" s="58">
        <f t="shared" ca="1" si="14"/>
        <v>295</v>
      </c>
      <c r="L868" s="58">
        <f>Data!M867</f>
        <v>0</v>
      </c>
      <c r="M868" s="37" t="s">
        <v>5</v>
      </c>
      <c r="N868" s="43" t="str">
        <f>VLOOKUP(M868,Table1[#All],3,FALSE)</f>
        <v>Claim Paid by EFT;</v>
      </c>
      <c r="O868" s="40" t="str">
        <f>VLOOKUP(M868,Table1[#All],4,FALSE)</f>
        <v>Issue Date:</v>
      </c>
      <c r="P868" s="38">
        <v>44405</v>
      </c>
      <c r="Q868" s="40" t="str">
        <f>VLOOKUP(M868,Table1[#All],5,FALSE)</f>
        <v>EFT#</v>
      </c>
      <c r="R868" s="79">
        <v>9018076</v>
      </c>
      <c r="S868" s="40" t="str">
        <f>VLOOKUP(M868,Table1[#All],6,FALSE)</f>
        <v>Bulk/Sep:</v>
      </c>
      <c r="T868" s="79" t="s">
        <v>3826</v>
      </c>
      <c r="U868" s="40" t="str">
        <f>VLOOKUP(M868,Table1[#All],7,FALSE)</f>
        <v>Call Ref#:</v>
      </c>
      <c r="V868" s="79" t="s">
        <v>3852</v>
      </c>
      <c r="W868" s="40" t="str">
        <f>VLOOKUP(M868,Table1[#All],8,FALSE)</f>
        <v>Cust Rep:</v>
      </c>
      <c r="X868" s="79"/>
      <c r="Y868" s="44" t="str">
        <f>VLOOKUP(M868,Table1[#All],2,FALSE)</f>
        <v xml:space="preserve">Task Post Pmt Queue </v>
      </c>
      <c r="Z868" s="59" t="str">
        <f>VLOOKUP(M868,Table1[#All],9,FALSE)</f>
        <v>Additional Notes:</v>
      </c>
      <c r="AA868" s="76" t="s">
        <v>3859</v>
      </c>
      <c r="AB868" s="76" t="s">
        <v>3697</v>
      </c>
      <c r="AC868" s="90" t="s">
        <v>115</v>
      </c>
      <c r="AD868" s="76" t="s">
        <v>177</v>
      </c>
      <c r="AE868" s="77" t="s">
        <v>3776</v>
      </c>
      <c r="AF868" s="110">
        <v>44624</v>
      </c>
      <c r="AG868" s="41" t="s">
        <v>101</v>
      </c>
    </row>
    <row r="869" spans="1:33" ht="21" hidden="1" x14ac:dyDescent="0.55000000000000004">
      <c r="A869" s="44" t="str">
        <f>Data!K868</f>
        <v>Molina Healthcare of WI</v>
      </c>
      <c r="B869" s="44" t="str">
        <f>Data!L868</f>
        <v>8889992404</v>
      </c>
      <c r="C869" s="44" t="str">
        <f>Data!D868</f>
        <v>Asboth, Patricia</v>
      </c>
      <c r="D869" s="82" t="str">
        <f>Data!F868</f>
        <v>0410821705</v>
      </c>
      <c r="E869" s="82" t="str">
        <f>Data!B868</f>
        <v>2274</v>
      </c>
      <c r="F869" s="44" t="str">
        <f>Data!A868</f>
        <v>Asboth, Patricia</v>
      </c>
      <c r="G869" s="55" t="str">
        <f>Data!C868</f>
        <v>1/8/1971</v>
      </c>
      <c r="H869" s="56">
        <f>Data!H868</f>
        <v>44397</v>
      </c>
      <c r="I869" s="56" t="str">
        <f>Data!I868</f>
        <v>7/26/2021</v>
      </c>
      <c r="J869" s="57">
        <f>Data!J868</f>
        <v>149.6</v>
      </c>
      <c r="K869" s="58">
        <f t="shared" ca="1" si="14"/>
        <v>297</v>
      </c>
      <c r="L869" s="58">
        <f>Data!M868</f>
        <v>0</v>
      </c>
      <c r="M869" s="37" t="s">
        <v>5</v>
      </c>
      <c r="N869" s="43" t="str">
        <f>VLOOKUP(M869,Table1[#All],3,FALSE)</f>
        <v>Claim Paid by EFT;</v>
      </c>
      <c r="O869" s="40" t="str">
        <f>VLOOKUP(M869,Table1[#All],4,FALSE)</f>
        <v>Issue Date:</v>
      </c>
      <c r="P869" s="38">
        <v>44405</v>
      </c>
      <c r="Q869" s="40" t="str">
        <f>VLOOKUP(M869,Table1[#All],5,FALSE)</f>
        <v>EFT#</v>
      </c>
      <c r="R869" s="79">
        <v>9018076</v>
      </c>
      <c r="S869" s="40" t="str">
        <f>VLOOKUP(M869,Table1[#All],6,FALSE)</f>
        <v>Bulk/Sep:</v>
      </c>
      <c r="T869" s="79" t="s">
        <v>3826</v>
      </c>
      <c r="U869" s="40" t="str">
        <f>VLOOKUP(M869,Table1[#All],7,FALSE)</f>
        <v>Call Ref#:</v>
      </c>
      <c r="V869" s="79" t="s">
        <v>3852</v>
      </c>
      <c r="W869" s="40" t="str">
        <f>VLOOKUP(M869,Table1[#All],8,FALSE)</f>
        <v>Cust Rep:</v>
      </c>
      <c r="X869" s="79"/>
      <c r="Y869" s="44" t="str">
        <f>VLOOKUP(M869,Table1[#All],2,FALSE)</f>
        <v xml:space="preserve">Task Post Pmt Queue </v>
      </c>
      <c r="Z869" s="59" t="str">
        <f>VLOOKUP(M869,Table1[#All],9,FALSE)</f>
        <v>Additional Notes:</v>
      </c>
      <c r="AA869" s="76" t="s">
        <v>3858</v>
      </c>
      <c r="AB869" s="76" t="s">
        <v>3697</v>
      </c>
      <c r="AC869" s="90" t="s">
        <v>115</v>
      </c>
      <c r="AD869" s="76" t="s">
        <v>177</v>
      </c>
      <c r="AE869" s="77" t="s">
        <v>3776</v>
      </c>
      <c r="AF869" s="110">
        <v>44624</v>
      </c>
      <c r="AG869" s="41" t="s">
        <v>101</v>
      </c>
    </row>
    <row r="870" spans="1:33" ht="21" hidden="1" x14ac:dyDescent="0.55000000000000004">
      <c r="A870" s="44" t="str">
        <f>Data!K869</f>
        <v>Molina Healthcare of WI</v>
      </c>
      <c r="B870" s="44" t="str">
        <f>Data!L869</f>
        <v>8889992404</v>
      </c>
      <c r="C870" s="44" t="str">
        <f>Data!D869</f>
        <v>Mullen, Natasha</v>
      </c>
      <c r="D870" s="82" t="str">
        <f>Data!F869</f>
        <v>119722806</v>
      </c>
      <c r="E870" s="82" t="str">
        <f>Data!B869</f>
        <v>2078</v>
      </c>
      <c r="F870" s="44" t="str">
        <f>Data!A869</f>
        <v>Mullen, Natasha</v>
      </c>
      <c r="G870" s="55" t="str">
        <f>Data!C869</f>
        <v>2/9/1983</v>
      </c>
      <c r="H870" s="56">
        <f>Data!H869</f>
        <v>44392</v>
      </c>
      <c r="I870" s="56" t="str">
        <f>Data!I869</f>
        <v>7/26/2021</v>
      </c>
      <c r="J870" s="57">
        <f>Data!J869</f>
        <v>333.6</v>
      </c>
      <c r="K870" s="58">
        <f t="shared" ca="1" si="14"/>
        <v>297</v>
      </c>
      <c r="L870" s="58">
        <f>Data!M869</f>
        <v>0</v>
      </c>
      <c r="M870" s="37" t="s">
        <v>95</v>
      </c>
      <c r="N870" s="43" t="str">
        <f>VLOOKUP(M870,Table1[#All],3,FALSE)</f>
        <v>Write information in Addl Notes</v>
      </c>
      <c r="O870" s="40" t="str">
        <f>VLOOKUP(M870,Table1[#All],4,FALSE)</f>
        <v>Call Ref#:</v>
      </c>
      <c r="P870" s="39"/>
      <c r="Q870" s="40" t="str">
        <f>VLOOKUP(M870,Table1[#All],5,FALSE)</f>
        <v>Cust Rep:</v>
      </c>
      <c r="R870" s="79"/>
      <c r="S870" s="40">
        <f>VLOOKUP(M870,Table1[#All],6,FALSE)</f>
        <v>0</v>
      </c>
      <c r="T870" s="79"/>
      <c r="U870" s="40" t="str">
        <f>VLOOKUP(M870,Table1[#All],7,FALSE)</f>
        <v xml:space="preserve"> </v>
      </c>
      <c r="V870" s="79"/>
      <c r="W870" s="40" t="str">
        <f>VLOOKUP(M870,Table1[#All],8,FALSE)</f>
        <v xml:space="preserve"> </v>
      </c>
      <c r="X870" s="79"/>
      <c r="Y870" s="44" t="str">
        <f>VLOOKUP(M870,Table1[#All],2,FALSE)</f>
        <v xml:space="preserve"> Team Lead to review &amp; Follow-Up</v>
      </c>
      <c r="Z870" s="59" t="str">
        <f>VLOOKUP(M870,Table1[#All],9,FALSE)</f>
        <v>Additional Notes:</v>
      </c>
      <c r="AA870" s="76"/>
      <c r="AB870" s="76" t="s">
        <v>3816</v>
      </c>
      <c r="AC870" s="90" t="s">
        <v>185</v>
      </c>
      <c r="AD870" s="76" t="s">
        <v>177</v>
      </c>
      <c r="AE870" s="77" t="s">
        <v>3776</v>
      </c>
      <c r="AF870" s="110">
        <v>44655</v>
      </c>
      <c r="AG870" s="41" t="s">
        <v>101</v>
      </c>
    </row>
    <row r="871" spans="1:33" ht="42" x14ac:dyDescent="0.55000000000000004">
      <c r="A871" s="44" t="str">
        <f>Data!K870</f>
        <v>Molina Healthcare of WI</v>
      </c>
      <c r="B871" s="44" t="str">
        <f>Data!L870</f>
        <v>8889992404</v>
      </c>
      <c r="C871" s="44" t="str">
        <f>Data!D870</f>
        <v>Lafever, Lora Lee</v>
      </c>
      <c r="D871" s="82" t="str">
        <f>Data!F870</f>
        <v>9404468797</v>
      </c>
      <c r="E871" s="82" t="str">
        <f>Data!B870</f>
        <v>1079</v>
      </c>
      <c r="F871" s="44" t="str">
        <f>Data!A870</f>
        <v>Lafever, Lora Lee</v>
      </c>
      <c r="G871" s="55" t="str">
        <f>Data!C870</f>
        <v>9/10/1986</v>
      </c>
      <c r="H871" s="56">
        <f>Data!H870</f>
        <v>44386</v>
      </c>
      <c r="I871" s="56" t="str">
        <f>Data!I870</f>
        <v>7/26/2021</v>
      </c>
      <c r="J871" s="57">
        <f>Data!J870</f>
        <v>230</v>
      </c>
      <c r="K871" s="58">
        <f t="shared" ca="1" si="14"/>
        <v>297</v>
      </c>
      <c r="L871" s="58">
        <f>Data!M870</f>
        <v>0</v>
      </c>
      <c r="M871" s="37" t="s">
        <v>30</v>
      </c>
      <c r="N871" s="43" t="str">
        <f>VLOOKUP(M871,Table1[#All],3,FALSE)</f>
        <v>Claim not on file. Patient is active ;</v>
      </c>
      <c r="O871" s="40" t="str">
        <f>VLOOKUP(M871,Table1[#All],4,FALSE)</f>
        <v>Payor ID &amp; Address:</v>
      </c>
      <c r="P871" s="39" t="s">
        <v>3846</v>
      </c>
      <c r="Q871" s="40" t="str">
        <f>VLOOKUP(M871,Table1[#All],5,FALSE)</f>
        <v>Fax # (If Fax Yes):</v>
      </c>
      <c r="R871" s="79"/>
      <c r="S871" s="40" t="str">
        <f>VLOOKUP(M871,Table1[#All],6,FALSE)</f>
        <v>TFL in Mnths:</v>
      </c>
      <c r="T871" s="79" t="s">
        <v>3856</v>
      </c>
      <c r="U871" s="40" t="str">
        <f>VLOOKUP(M871,Table1[#All],7,FALSE)</f>
        <v>Call Ref#:</v>
      </c>
      <c r="V871" s="79">
        <v>39246</v>
      </c>
      <c r="W871" s="40" t="str">
        <f>VLOOKUP(M871,Table1[#All],8,FALSE)</f>
        <v>Cust Rep:</v>
      </c>
      <c r="X871" s="79" t="s">
        <v>3848</v>
      </c>
      <c r="Y871" s="44" t="str">
        <f>VLOOKUP(M871,Table1[#All],2,FALSE)</f>
        <v>Task Sub Pending Claims Queue</v>
      </c>
      <c r="Z871" s="59" t="str">
        <f>VLOOKUP(M871,Table1[#All],9,FALSE)</f>
        <v>Additional Notes:</v>
      </c>
      <c r="AA871" s="76" t="s">
        <v>3857</v>
      </c>
      <c r="AB871" s="76" t="s">
        <v>3697</v>
      </c>
      <c r="AC871" s="90" t="s">
        <v>185</v>
      </c>
      <c r="AD871" s="76" t="s">
        <v>177</v>
      </c>
      <c r="AE871" s="77" t="s">
        <v>3776</v>
      </c>
      <c r="AF871" s="110">
        <v>44655</v>
      </c>
      <c r="AG871" s="41" t="s">
        <v>100</v>
      </c>
    </row>
    <row r="872" spans="1:33" ht="42" x14ac:dyDescent="0.55000000000000004">
      <c r="A872" s="44" t="str">
        <f>Data!K871</f>
        <v>Molina Healthcare of WI</v>
      </c>
      <c r="B872" s="44" t="str">
        <f>Data!L871</f>
        <v>8889992404</v>
      </c>
      <c r="C872" s="44" t="str">
        <f>Data!D871</f>
        <v>Lafever, Amberlee</v>
      </c>
      <c r="D872" s="82" t="str">
        <f>Data!F871</f>
        <v>2440530522</v>
      </c>
      <c r="E872" s="82" t="str">
        <f>Data!B871</f>
        <v>1078</v>
      </c>
      <c r="F872" s="44" t="str">
        <f>Data!A871</f>
        <v>Lafever, Amberlee</v>
      </c>
      <c r="G872" s="55" t="str">
        <f>Data!C871</f>
        <v>5/21/2011</v>
      </c>
      <c r="H872" s="56">
        <f>Data!H871</f>
        <v>44386</v>
      </c>
      <c r="I872" s="56" t="str">
        <f>Data!I871</f>
        <v>7/26/2021</v>
      </c>
      <c r="J872" s="57">
        <f>Data!J871</f>
        <v>244.4</v>
      </c>
      <c r="K872" s="58">
        <f t="shared" ref="K872:K935" ca="1" si="15">TODAY()-I872</f>
        <v>297</v>
      </c>
      <c r="L872" s="58">
        <f>Data!M871</f>
        <v>0</v>
      </c>
      <c r="M872" s="37" t="s">
        <v>30</v>
      </c>
      <c r="N872" s="43" t="str">
        <f>VLOOKUP(M872,Table1[#All],3,FALSE)</f>
        <v>Claim not on file. Patient is active ;</v>
      </c>
      <c r="O872" s="40" t="str">
        <f>VLOOKUP(M872,Table1[#All],4,FALSE)</f>
        <v>Payor ID &amp; Address:</v>
      </c>
      <c r="P872" s="39" t="s">
        <v>3846</v>
      </c>
      <c r="Q872" s="40" t="str">
        <f>VLOOKUP(M872,Table1[#All],5,FALSE)</f>
        <v>Fax # (If Fax Yes):</v>
      </c>
      <c r="R872" s="79" t="s">
        <v>3760</v>
      </c>
      <c r="S872" s="40" t="str">
        <f>VLOOKUP(M872,Table1[#All],6,FALSE)</f>
        <v>TFL in Mnths:</v>
      </c>
      <c r="T872" s="79" t="s">
        <v>3847</v>
      </c>
      <c r="U872" s="40" t="str">
        <f>VLOOKUP(M872,Table1[#All],7,FALSE)</f>
        <v>Call Ref#:</v>
      </c>
      <c r="V872" s="79">
        <v>39246</v>
      </c>
      <c r="W872" s="40" t="str">
        <f>VLOOKUP(M872,Table1[#All],8,FALSE)</f>
        <v>Cust Rep:</v>
      </c>
      <c r="X872" s="79" t="s">
        <v>3848</v>
      </c>
      <c r="Y872" s="44" t="str">
        <f>VLOOKUP(M872,Table1[#All],2,FALSE)</f>
        <v>Task Sub Pending Claims Queue</v>
      </c>
      <c r="Z872" s="59" t="str">
        <f>VLOOKUP(M872,Table1[#All],9,FALSE)</f>
        <v>Additional Notes:</v>
      </c>
      <c r="AA872" s="76" t="s">
        <v>3850</v>
      </c>
      <c r="AB872" s="76" t="s">
        <v>3697</v>
      </c>
      <c r="AC872" s="90" t="s">
        <v>185</v>
      </c>
      <c r="AD872" s="76" t="s">
        <v>177</v>
      </c>
      <c r="AE872" s="77" t="s">
        <v>3776</v>
      </c>
      <c r="AF872" s="110">
        <v>44655</v>
      </c>
      <c r="AG872" s="41" t="s">
        <v>100</v>
      </c>
    </row>
    <row r="873" spans="1:33" ht="21" hidden="1" x14ac:dyDescent="0.55000000000000004">
      <c r="A873" s="44" t="str">
        <f>Data!K872</f>
        <v>Molina Healthcare of WI</v>
      </c>
      <c r="B873" s="44" t="str">
        <f>Data!L872</f>
        <v>8889992404</v>
      </c>
      <c r="C873" s="44" t="str">
        <f>Data!D872</f>
        <v xml:space="preserve">HIBBLER ORTIZ, JAVION </v>
      </c>
      <c r="D873" s="82" t="str">
        <f>Data!F872</f>
        <v>6439738861</v>
      </c>
      <c r="E873" s="82" t="str">
        <f>Data!B872</f>
        <v>3962</v>
      </c>
      <c r="F873" s="44" t="str">
        <f>Data!A872</f>
        <v xml:space="preserve">HIBBLER ORTIZ, JAVION </v>
      </c>
      <c r="G873" s="55" t="str">
        <f>Data!C872</f>
        <v>12/26/2010</v>
      </c>
      <c r="H873" s="56">
        <f>Data!H872</f>
        <v>44371</v>
      </c>
      <c r="I873" s="56" t="str">
        <f>Data!I872</f>
        <v>7/7/2021</v>
      </c>
      <c r="J873" s="57">
        <f>Data!J872</f>
        <v>218</v>
      </c>
      <c r="K873" s="58">
        <f t="shared" ca="1" si="15"/>
        <v>316</v>
      </c>
      <c r="L873" s="58">
        <f>Data!M872</f>
        <v>0</v>
      </c>
      <c r="M873" s="37" t="s">
        <v>5</v>
      </c>
      <c r="N873" s="43" t="str">
        <f>VLOOKUP(M873,Table1[#All],3,FALSE)</f>
        <v>Claim Paid by EFT;</v>
      </c>
      <c r="O873" s="40" t="str">
        <f>VLOOKUP(M873,Table1[#All],4,FALSE)</f>
        <v>Issue Date:</v>
      </c>
      <c r="P873" s="38">
        <v>44377</v>
      </c>
      <c r="Q873" s="40" t="str">
        <f>VLOOKUP(M873,Table1[#All],5,FALSE)</f>
        <v>EFT#</v>
      </c>
      <c r="R873" s="79">
        <v>9017669</v>
      </c>
      <c r="S873" s="40" t="str">
        <f>VLOOKUP(M873,Table1[#All],6,FALSE)</f>
        <v>Bulk/Sep:</v>
      </c>
      <c r="T873" s="79" t="s">
        <v>3826</v>
      </c>
      <c r="U873" s="40" t="str">
        <f>VLOOKUP(M873,Table1[#All],7,FALSE)</f>
        <v>Call Ref#:</v>
      </c>
      <c r="V873" s="79" t="s">
        <v>3852</v>
      </c>
      <c r="W873" s="40" t="str">
        <f>VLOOKUP(M873,Table1[#All],8,FALSE)</f>
        <v>Cust Rep:</v>
      </c>
      <c r="X873" s="79"/>
      <c r="Y873" s="44" t="str">
        <f>VLOOKUP(M873,Table1[#All],2,FALSE)</f>
        <v xml:space="preserve">Task Post Pmt Queue </v>
      </c>
      <c r="Z873" s="59" t="str">
        <f>VLOOKUP(M873,Table1[#All],9,FALSE)</f>
        <v>Additional Notes:</v>
      </c>
      <c r="AA873" s="76" t="s">
        <v>3855</v>
      </c>
      <c r="AB873" s="76" t="s">
        <v>3697</v>
      </c>
      <c r="AC873" s="90" t="s">
        <v>115</v>
      </c>
      <c r="AD873" s="76" t="s">
        <v>177</v>
      </c>
      <c r="AE873" s="77" t="s">
        <v>3776</v>
      </c>
      <c r="AF873" s="110">
        <v>44627</v>
      </c>
      <c r="AG873" s="41" t="s">
        <v>101</v>
      </c>
    </row>
    <row r="874" spans="1:33" ht="21" hidden="1" x14ac:dyDescent="0.55000000000000004">
      <c r="A874" s="44" t="str">
        <f>Data!K873</f>
        <v>Molina Healthcare of WI</v>
      </c>
      <c r="B874" s="44" t="str">
        <f>Data!L873</f>
        <v>8889992404</v>
      </c>
      <c r="C874" s="44" t="str">
        <f>Data!D873</f>
        <v>Lichtenwalner, Katherine</v>
      </c>
      <c r="D874" s="82" t="str">
        <f>Data!F873</f>
        <v>3407342233</v>
      </c>
      <c r="E874" s="82" t="str">
        <f>Data!B873</f>
        <v>1499</v>
      </c>
      <c r="F874" s="44" t="str">
        <f>Data!A873</f>
        <v>Lichtenwalner, Katherine</v>
      </c>
      <c r="G874" s="55" t="str">
        <f>Data!C873</f>
        <v>4/14/1966</v>
      </c>
      <c r="H874" s="56">
        <f>Data!H873</f>
        <v>44363</v>
      </c>
      <c r="I874" s="56" t="str">
        <f>Data!I873</f>
        <v>6/17/2021</v>
      </c>
      <c r="J874" s="57">
        <f>Data!J873</f>
        <v>266</v>
      </c>
      <c r="K874" s="58">
        <f t="shared" ca="1" si="15"/>
        <v>336</v>
      </c>
      <c r="L874" s="58">
        <f>Data!M873</f>
        <v>0</v>
      </c>
      <c r="M874" s="37" t="s">
        <v>5</v>
      </c>
      <c r="N874" s="43" t="str">
        <f>VLOOKUP(M874,Table1[#All],3,FALSE)</f>
        <v>Claim Paid by EFT;</v>
      </c>
      <c r="O874" s="40" t="str">
        <f>VLOOKUP(M874,Table1[#All],4,FALSE)</f>
        <v>Issue Date:</v>
      </c>
      <c r="P874" s="38">
        <v>44365</v>
      </c>
      <c r="Q874" s="40" t="str">
        <f>VLOOKUP(M874,Table1[#All],5,FALSE)</f>
        <v>EFT#</v>
      </c>
      <c r="R874" s="79">
        <v>9017495</v>
      </c>
      <c r="S874" s="40" t="str">
        <f>VLOOKUP(M874,Table1[#All],6,FALSE)</f>
        <v>Bulk/Sep:</v>
      </c>
      <c r="T874" s="79" t="s">
        <v>3699</v>
      </c>
      <c r="U874" s="40" t="str">
        <f>VLOOKUP(M874,Table1[#All],7,FALSE)</f>
        <v>Call Ref#:</v>
      </c>
      <c r="V874" s="79" t="s">
        <v>3852</v>
      </c>
      <c r="W874" s="40" t="str">
        <f>VLOOKUP(M874,Table1[#All],8,FALSE)</f>
        <v>Cust Rep:</v>
      </c>
      <c r="X874" s="79"/>
      <c r="Y874" s="44" t="str">
        <f>VLOOKUP(M874,Table1[#All],2,FALSE)</f>
        <v xml:space="preserve">Task Post Pmt Queue </v>
      </c>
      <c r="Z874" s="59" t="str">
        <f>VLOOKUP(M874,Table1[#All],9,FALSE)</f>
        <v>Additional Notes:</v>
      </c>
      <c r="AA874" s="76" t="s">
        <v>3854</v>
      </c>
      <c r="AB874" s="76" t="s">
        <v>3697</v>
      </c>
      <c r="AC874" s="90" t="s">
        <v>115</v>
      </c>
      <c r="AD874" s="76" t="s">
        <v>177</v>
      </c>
      <c r="AE874" s="77" t="s">
        <v>3776</v>
      </c>
      <c r="AF874" s="110">
        <v>44624</v>
      </c>
      <c r="AG874" s="41" t="s">
        <v>101</v>
      </c>
    </row>
    <row r="875" spans="1:33" ht="21" hidden="1" x14ac:dyDescent="0.55000000000000004">
      <c r="A875" s="44" t="str">
        <f>Data!K874</f>
        <v>Molina Healthcare of WI</v>
      </c>
      <c r="B875" s="44" t="str">
        <f>Data!L874</f>
        <v>8889992404</v>
      </c>
      <c r="C875" s="44" t="str">
        <f>Data!D874</f>
        <v xml:space="preserve">Chudzik, Monika </v>
      </c>
      <c r="D875" s="82" t="str">
        <f>Data!F874</f>
        <v>9418200392</v>
      </c>
      <c r="E875" s="82" t="str">
        <f>Data!B874</f>
        <v>6980</v>
      </c>
      <c r="F875" s="44" t="str">
        <f>Data!A874</f>
        <v xml:space="preserve">Chudzik, Monika </v>
      </c>
      <c r="G875" s="55" t="str">
        <f>Data!C874</f>
        <v>11/20/1983</v>
      </c>
      <c r="H875" s="56">
        <f>Data!H874</f>
        <v>44326</v>
      </c>
      <c r="I875" s="56" t="str">
        <f>Data!I874</f>
        <v>5/14/2021</v>
      </c>
      <c r="J875" s="57">
        <f>Data!J874</f>
        <v>106.4</v>
      </c>
      <c r="K875" s="58">
        <f t="shared" ca="1" si="15"/>
        <v>370</v>
      </c>
      <c r="L875" s="58">
        <f>Data!M874</f>
        <v>0</v>
      </c>
      <c r="M875" s="37" t="s">
        <v>5</v>
      </c>
      <c r="N875" s="43" t="str">
        <f>VLOOKUP(M875,Table1[#All],3,FALSE)</f>
        <v>Claim Paid by EFT;</v>
      </c>
      <c r="O875" s="40" t="str">
        <f>VLOOKUP(M875,Table1[#All],4,FALSE)</f>
        <v>Issue Date:</v>
      </c>
      <c r="P875" s="38">
        <v>44328</v>
      </c>
      <c r="Q875" s="40" t="str">
        <f>VLOOKUP(M875,Table1[#All],5,FALSE)</f>
        <v>EFT#</v>
      </c>
      <c r="R875" s="79">
        <v>9016942</v>
      </c>
      <c r="S875" s="40" t="str">
        <f>VLOOKUP(M875,Table1[#All],6,FALSE)</f>
        <v>Bulk/Sep:</v>
      </c>
      <c r="T875" s="79" t="s">
        <v>3826</v>
      </c>
      <c r="U875" s="40" t="str">
        <f>VLOOKUP(M875,Table1[#All],7,FALSE)</f>
        <v>Call Ref#:</v>
      </c>
      <c r="V875" s="79" t="s">
        <v>3852</v>
      </c>
      <c r="W875" s="40" t="str">
        <f>VLOOKUP(M875,Table1[#All],8,FALSE)</f>
        <v>Cust Rep:</v>
      </c>
      <c r="X875" s="79"/>
      <c r="Y875" s="44" t="str">
        <f>VLOOKUP(M875,Table1[#All],2,FALSE)</f>
        <v xml:space="preserve">Task Post Pmt Queue </v>
      </c>
      <c r="Z875" s="59" t="str">
        <f>VLOOKUP(M875,Table1[#All],9,FALSE)</f>
        <v>Additional Notes:</v>
      </c>
      <c r="AA875" s="76" t="s">
        <v>3853</v>
      </c>
      <c r="AB875" s="76" t="s">
        <v>3697</v>
      </c>
      <c r="AC875" s="90" t="s">
        <v>115</v>
      </c>
      <c r="AD875" s="76" t="s">
        <v>177</v>
      </c>
      <c r="AE875" s="77" t="s">
        <v>3776</v>
      </c>
      <c r="AF875" s="110">
        <v>44624</v>
      </c>
      <c r="AG875" s="41" t="s">
        <v>101</v>
      </c>
    </row>
    <row r="876" spans="1:33" ht="21" hidden="1" x14ac:dyDescent="0.55000000000000004">
      <c r="A876" s="44" t="str">
        <f>Data!K875</f>
        <v>Molina Healthcare of WI</v>
      </c>
      <c r="B876" s="44" t="str">
        <f>Data!L875</f>
        <v>8889992404</v>
      </c>
      <c r="C876" s="44" t="str">
        <f>Data!D875</f>
        <v>Reyes Berryhill, Aniyah</v>
      </c>
      <c r="D876" s="82" t="str">
        <f>Data!F875</f>
        <v>5423767253</v>
      </c>
      <c r="E876" s="82" t="str">
        <f>Data!B875</f>
        <v>1496</v>
      </c>
      <c r="F876" s="44" t="str">
        <f>Data!A875</f>
        <v>Reyes Berryhill, Aniyah</v>
      </c>
      <c r="G876" s="55" t="str">
        <f>Data!C875</f>
        <v>4/13/2005</v>
      </c>
      <c r="H876" s="56">
        <f>Data!H875</f>
        <v>44329</v>
      </c>
      <c r="I876" s="56" t="str">
        <f>Data!I875</f>
        <v>5/18/2021</v>
      </c>
      <c r="J876" s="57">
        <f>Data!J875</f>
        <v>20</v>
      </c>
      <c r="K876" s="58">
        <f t="shared" ca="1" si="15"/>
        <v>366</v>
      </c>
      <c r="L876" s="58">
        <f>Data!M875</f>
        <v>0</v>
      </c>
      <c r="M876" s="37" t="s">
        <v>5</v>
      </c>
      <c r="N876" s="43" t="str">
        <f>VLOOKUP(M876,Table1[#All],3,FALSE)</f>
        <v>Claim Paid by EFT;</v>
      </c>
      <c r="O876" s="40" t="str">
        <f>VLOOKUP(M876,Table1[#All],4,FALSE)</f>
        <v>Issue Date:</v>
      </c>
      <c r="P876" s="38">
        <v>44336</v>
      </c>
      <c r="Q876" s="40" t="str">
        <f>VLOOKUP(M876,Table1[#All],5,FALSE)</f>
        <v>EFT#</v>
      </c>
      <c r="R876" s="79">
        <v>9017060</v>
      </c>
      <c r="S876" s="40" t="str">
        <f>VLOOKUP(M876,Table1[#All],6,FALSE)</f>
        <v>Bulk/Sep:</v>
      </c>
      <c r="T876" s="79" t="s">
        <v>3699</v>
      </c>
      <c r="U876" s="40" t="str">
        <f>VLOOKUP(M876,Table1[#All],7,FALSE)</f>
        <v>Call Ref#:</v>
      </c>
      <c r="V876" s="79" t="s">
        <v>3852</v>
      </c>
      <c r="W876" s="40" t="str">
        <f>VLOOKUP(M876,Table1[#All],8,FALSE)</f>
        <v>Cust Rep:</v>
      </c>
      <c r="X876" s="79"/>
      <c r="Y876" s="44" t="str">
        <f>VLOOKUP(M876,Table1[#All],2,FALSE)</f>
        <v xml:space="preserve">Task Post Pmt Queue </v>
      </c>
      <c r="Z876" s="59" t="str">
        <f>VLOOKUP(M876,Table1[#All],9,FALSE)</f>
        <v>Additional Notes:</v>
      </c>
      <c r="AA876" s="76" t="s">
        <v>3851</v>
      </c>
      <c r="AB876" s="76" t="s">
        <v>3697</v>
      </c>
      <c r="AC876" s="90" t="s">
        <v>115</v>
      </c>
      <c r="AD876" s="76" t="s">
        <v>177</v>
      </c>
      <c r="AE876" s="77" t="s">
        <v>3776</v>
      </c>
      <c r="AF876" s="110">
        <v>44624</v>
      </c>
      <c r="AG876" s="41" t="s">
        <v>101</v>
      </c>
    </row>
    <row r="877" spans="1:33" ht="42" hidden="1" x14ac:dyDescent="0.55000000000000004">
      <c r="A877" s="44" t="str">
        <f>Data!K876</f>
        <v>Molina Healthcare of WI</v>
      </c>
      <c r="B877" s="44" t="str">
        <f>Data!L876</f>
        <v>8889992404</v>
      </c>
      <c r="C877" s="44" t="str">
        <f>Data!D876</f>
        <v xml:space="preserve">Stockdale , Max </v>
      </c>
      <c r="D877" s="82" t="str">
        <f>Data!F876</f>
        <v>2426076828</v>
      </c>
      <c r="E877" s="82" t="str">
        <f>Data!B876</f>
        <v>6773</v>
      </c>
      <c r="F877" s="44" t="str">
        <f>Data!A876</f>
        <v xml:space="preserve">Stockdale , Max </v>
      </c>
      <c r="G877" s="55" t="str">
        <f>Data!C876</f>
        <v>6/16/2006</v>
      </c>
      <c r="H877" s="56">
        <f>Data!H876</f>
        <v>44328</v>
      </c>
      <c r="I877" s="56" t="str">
        <f>Data!I876</f>
        <v>5/18/2021</v>
      </c>
      <c r="J877" s="57">
        <f>Data!J876</f>
        <v>432</v>
      </c>
      <c r="K877" s="58">
        <f t="shared" ca="1" si="15"/>
        <v>366</v>
      </c>
      <c r="L877" s="58">
        <f>Data!M876</f>
        <v>0</v>
      </c>
      <c r="M877" s="37" t="s">
        <v>30</v>
      </c>
      <c r="N877" s="43" t="str">
        <f>VLOOKUP(M877,Table1[#All],3,FALSE)</f>
        <v>Claim not on file. Patient is active ;</v>
      </c>
      <c r="O877" s="40" t="str">
        <f>VLOOKUP(M877,Table1[#All],4,FALSE)</f>
        <v>Payor ID &amp; Address:</v>
      </c>
      <c r="P877" s="39" t="s">
        <v>3846</v>
      </c>
      <c r="Q877" s="40" t="str">
        <f>VLOOKUP(M877,Table1[#All],5,FALSE)</f>
        <v>Fax # (If Fax Yes):</v>
      </c>
      <c r="R877" s="79" t="s">
        <v>3760</v>
      </c>
      <c r="S877" s="40" t="str">
        <f>VLOOKUP(M877,Table1[#All],6,FALSE)</f>
        <v>TFL in Mnths:</v>
      </c>
      <c r="T877" s="79" t="s">
        <v>3847</v>
      </c>
      <c r="U877" s="40" t="str">
        <f>VLOOKUP(M877,Table1[#All],7,FALSE)</f>
        <v>Call Ref#:</v>
      </c>
      <c r="V877" s="79">
        <v>39246</v>
      </c>
      <c r="W877" s="40" t="str">
        <f>VLOOKUP(M877,Table1[#All],8,FALSE)</f>
        <v>Cust Rep:</v>
      </c>
      <c r="X877" s="79" t="s">
        <v>3848</v>
      </c>
      <c r="Y877" s="44" t="str">
        <f>VLOOKUP(M877,Table1[#All],2,FALSE)</f>
        <v>Task Sub Pending Claims Queue</v>
      </c>
      <c r="Z877" s="59" t="str">
        <f>VLOOKUP(M877,Table1[#All],9,FALSE)</f>
        <v>Additional Notes:</v>
      </c>
      <c r="AA877" s="76" t="s">
        <v>3850</v>
      </c>
      <c r="AB877" s="76" t="s">
        <v>3697</v>
      </c>
      <c r="AC877" s="90" t="s">
        <v>185</v>
      </c>
      <c r="AD877" s="76" t="s">
        <v>177</v>
      </c>
      <c r="AE877" s="77" t="s">
        <v>3776</v>
      </c>
      <c r="AF877" s="110">
        <v>44655</v>
      </c>
      <c r="AG877" s="41" t="s">
        <v>101</v>
      </c>
    </row>
    <row r="878" spans="1:33" ht="42" hidden="1" x14ac:dyDescent="0.55000000000000004">
      <c r="A878" s="44" t="str">
        <f>Data!K877</f>
        <v>Molina Healthcare of WI</v>
      </c>
      <c r="B878" s="44" t="str">
        <f>Data!L877</f>
        <v>8889992404</v>
      </c>
      <c r="C878" s="44" t="str">
        <f>Data!D877</f>
        <v xml:space="preserve">Mcinroy , Clarissa </v>
      </c>
      <c r="D878" s="82" t="str">
        <f>Data!F877</f>
        <v>5404656255</v>
      </c>
      <c r="E878" s="82" t="str">
        <f>Data!B877</f>
        <v>6505</v>
      </c>
      <c r="F878" s="44" t="str">
        <f>Data!A877</f>
        <v xml:space="preserve">Mcinroy , Clarissa </v>
      </c>
      <c r="G878" s="55" t="str">
        <f>Data!C877</f>
        <v>8/19/1993</v>
      </c>
      <c r="H878" s="56">
        <f>Data!H877</f>
        <v>44294</v>
      </c>
      <c r="I878" s="56" t="str">
        <f>Data!I877</f>
        <v>4/8/2021</v>
      </c>
      <c r="J878" s="57">
        <f>Data!J877</f>
        <v>1062</v>
      </c>
      <c r="K878" s="58">
        <f t="shared" ca="1" si="15"/>
        <v>406</v>
      </c>
      <c r="L878" s="58">
        <f>Data!M877</f>
        <v>0</v>
      </c>
      <c r="M878" s="37" t="s">
        <v>30</v>
      </c>
      <c r="N878" s="43" t="str">
        <f>VLOOKUP(M878,Table1[#All],3,FALSE)</f>
        <v>Claim not on file. Patient is active ;</v>
      </c>
      <c r="O878" s="40" t="str">
        <f>VLOOKUP(M878,Table1[#All],4,FALSE)</f>
        <v>Payor ID &amp; Address:</v>
      </c>
      <c r="P878" s="39" t="s">
        <v>3846</v>
      </c>
      <c r="Q878" s="40" t="str">
        <f>VLOOKUP(M878,Table1[#All],5,FALSE)</f>
        <v>Fax # (If Fax Yes):</v>
      </c>
      <c r="R878" s="79" t="s">
        <v>3760</v>
      </c>
      <c r="S878" s="40" t="str">
        <f>VLOOKUP(M878,Table1[#All],6,FALSE)</f>
        <v>TFL in Mnths:</v>
      </c>
      <c r="T878" s="79" t="s">
        <v>3847</v>
      </c>
      <c r="U878" s="40" t="str">
        <f>VLOOKUP(M878,Table1[#All],7,FALSE)</f>
        <v>Call Ref#:</v>
      </c>
      <c r="V878" s="79">
        <v>39246</v>
      </c>
      <c r="W878" s="40" t="str">
        <f>VLOOKUP(M878,Table1[#All],8,FALSE)</f>
        <v>Cust Rep:</v>
      </c>
      <c r="X878" s="79" t="s">
        <v>3848</v>
      </c>
      <c r="Y878" s="44" t="str">
        <f>VLOOKUP(M878,Table1[#All],2,FALSE)</f>
        <v>Task Sub Pending Claims Queue</v>
      </c>
      <c r="Z878" s="59" t="str">
        <f>VLOOKUP(M878,Table1[#All],9,FALSE)</f>
        <v>Additional Notes:</v>
      </c>
      <c r="AA878" s="76" t="s">
        <v>3849</v>
      </c>
      <c r="AB878" s="76" t="s">
        <v>3697</v>
      </c>
      <c r="AC878" s="90" t="s">
        <v>185</v>
      </c>
      <c r="AD878" s="76" t="s">
        <v>177</v>
      </c>
      <c r="AE878" s="77" t="s">
        <v>3698</v>
      </c>
      <c r="AF878" s="110">
        <v>44655</v>
      </c>
      <c r="AG878" s="41" t="s">
        <v>101</v>
      </c>
    </row>
    <row r="879" spans="1:33" ht="21" hidden="1" x14ac:dyDescent="0.55000000000000004">
      <c r="A879" s="44" t="str">
        <f>Data!K878</f>
        <v>No Insurance</v>
      </c>
      <c r="B879" s="44">
        <f>Data!L878</f>
        <v>0</v>
      </c>
      <c r="C879" s="44" t="str">
        <f>Data!D878</f>
        <v>Ghotra, Parminder</v>
      </c>
      <c r="D879" s="82" t="str">
        <f>Data!F878</f>
        <v/>
      </c>
      <c r="E879" s="82" t="str">
        <f>Data!B878</f>
        <v>9421</v>
      </c>
      <c r="F879" s="44" t="str">
        <f>Data!A878</f>
        <v>Ghotra, Parminder</v>
      </c>
      <c r="G879" s="55" t="str">
        <f>Data!C878</f>
        <v>10/15/1971</v>
      </c>
      <c r="H879" s="56">
        <f>Data!H878</f>
        <v>44655</v>
      </c>
      <c r="I879" s="56" t="str">
        <f>Data!I878</f>
        <v>4/4/2022</v>
      </c>
      <c r="J879" s="57">
        <f>Data!J878</f>
        <v>61.2</v>
      </c>
      <c r="K879" s="58">
        <f t="shared" ca="1" si="15"/>
        <v>45</v>
      </c>
      <c r="L879" s="58">
        <f>Data!M878</f>
        <v>0</v>
      </c>
      <c r="M879" s="37" t="s">
        <v>26</v>
      </c>
      <c r="N879" s="43" t="str">
        <f>VLOOKUP(M879,Table1[#All],3,FALSE)</f>
        <v>Note</v>
      </c>
      <c r="O879" s="40" t="str">
        <f>VLOOKUP(M879,Table1[#All],4,FALSE)</f>
        <v>Q1</v>
      </c>
      <c r="P879" s="39"/>
      <c r="Q879" s="40" t="str">
        <f>VLOOKUP(M879,Table1[#All],5,FALSE)</f>
        <v>Q2</v>
      </c>
      <c r="R879" s="79"/>
      <c r="S879" s="40" t="str">
        <f>VLOOKUP(M879,Table1[#All],6,FALSE)</f>
        <v>Q3</v>
      </c>
      <c r="T879" s="79"/>
      <c r="U879" s="40" t="str">
        <f>VLOOKUP(M879,Table1[#All],7,FALSE)</f>
        <v>Q4</v>
      </c>
      <c r="V879" s="79"/>
      <c r="W879" s="40" t="str">
        <f>VLOOKUP(M879,Table1[#All],8,FALSE)</f>
        <v>Q5</v>
      </c>
      <c r="X879" s="79"/>
      <c r="Y879" s="44" t="str">
        <f>VLOOKUP(M879,Table1[#All],2,FALSE)</f>
        <v>Action</v>
      </c>
      <c r="Z879" s="59" t="str">
        <f>VLOOKUP(M879,Table1[#All],9,FALSE)</f>
        <v>Additional Notes:</v>
      </c>
      <c r="AA879" s="76"/>
      <c r="AB879" s="76"/>
      <c r="AC879" s="90" t="s">
        <v>91</v>
      </c>
      <c r="AD879" s="76" t="s">
        <v>91</v>
      </c>
      <c r="AE879" s="77"/>
      <c r="AF879" s="77"/>
      <c r="AG879" s="41" t="s">
        <v>91</v>
      </c>
    </row>
    <row r="880" spans="1:33" ht="21" hidden="1" x14ac:dyDescent="0.55000000000000004">
      <c r="A880" s="44" t="str">
        <f>Data!K879</f>
        <v>No Insurance</v>
      </c>
      <c r="B880" s="44">
        <f>Data!L879</f>
        <v>0</v>
      </c>
      <c r="C880" s="44" t="str">
        <f>Data!D879</f>
        <v xml:space="preserve">Singh , Jatinder </v>
      </c>
      <c r="D880" s="82" t="str">
        <f>Data!F879</f>
        <v/>
      </c>
      <c r="E880" s="82" t="str">
        <f>Data!B879</f>
        <v>9297</v>
      </c>
      <c r="F880" s="44" t="str">
        <f>Data!A879</f>
        <v xml:space="preserve">Singh , Jatinder </v>
      </c>
      <c r="G880" s="55" t="str">
        <f>Data!C879</f>
        <v>3/20/1971</v>
      </c>
      <c r="H880" s="56">
        <f>Data!H879</f>
        <v>44639</v>
      </c>
      <c r="I880" s="56" t="str">
        <f>Data!I879</f>
        <v>3/19/2022</v>
      </c>
      <c r="J880" s="57">
        <f>Data!J879</f>
        <v>72</v>
      </c>
      <c r="K880" s="58">
        <f t="shared" ca="1" si="15"/>
        <v>61</v>
      </c>
      <c r="L880" s="58">
        <f>Data!M879</f>
        <v>0</v>
      </c>
      <c r="M880" s="37" t="s">
        <v>26</v>
      </c>
      <c r="N880" s="43" t="str">
        <f>VLOOKUP(M880,Table1[#All],3,FALSE)</f>
        <v>Note</v>
      </c>
      <c r="O880" s="40" t="str">
        <f>VLOOKUP(M880,Table1[#All],4,FALSE)</f>
        <v>Q1</v>
      </c>
      <c r="P880" s="39"/>
      <c r="Q880" s="40" t="str">
        <f>VLOOKUP(M880,Table1[#All],5,FALSE)</f>
        <v>Q2</v>
      </c>
      <c r="R880" s="79"/>
      <c r="S880" s="40" t="str">
        <f>VLOOKUP(M880,Table1[#All],6,FALSE)</f>
        <v>Q3</v>
      </c>
      <c r="T880" s="79"/>
      <c r="U880" s="40" t="str">
        <f>VLOOKUP(M880,Table1[#All],7,FALSE)</f>
        <v>Q4</v>
      </c>
      <c r="V880" s="79"/>
      <c r="W880" s="40" t="str">
        <f>VLOOKUP(M880,Table1[#All],8,FALSE)</f>
        <v>Q5</v>
      </c>
      <c r="X880" s="79"/>
      <c r="Y880" s="44" t="str">
        <f>VLOOKUP(M880,Table1[#All],2,FALSE)</f>
        <v>Action</v>
      </c>
      <c r="Z880" s="59" t="str">
        <f>VLOOKUP(M880,Table1[#All],9,FALSE)</f>
        <v>Additional Notes:</v>
      </c>
      <c r="AA880" s="76"/>
      <c r="AB880" s="76"/>
      <c r="AC880" s="90" t="s">
        <v>91</v>
      </c>
      <c r="AD880" s="76" t="s">
        <v>91</v>
      </c>
      <c r="AE880" s="77"/>
      <c r="AF880" s="77"/>
      <c r="AG880" s="41" t="s">
        <v>91</v>
      </c>
    </row>
    <row r="881" spans="1:33" ht="21" hidden="1" x14ac:dyDescent="0.55000000000000004">
      <c r="A881" s="44" t="str">
        <f>Data!K880</f>
        <v>No Insurance</v>
      </c>
      <c r="B881" s="44">
        <f>Data!L880</f>
        <v>0</v>
      </c>
      <c r="C881" s="44" t="str">
        <f>Data!D880</f>
        <v>Beardsley , John</v>
      </c>
      <c r="D881" s="82" t="str">
        <f>Data!F880</f>
        <v>00000000</v>
      </c>
      <c r="E881" s="82" t="str">
        <f>Data!B880</f>
        <v>9270</v>
      </c>
      <c r="F881" s="44" t="str">
        <f>Data!A880</f>
        <v>Beardsley , John</v>
      </c>
      <c r="G881" s="55" t="str">
        <f>Data!C880</f>
        <v>3/9/1982</v>
      </c>
      <c r="H881" s="56">
        <f>Data!H880</f>
        <v>44635</v>
      </c>
      <c r="I881" s="56" t="str">
        <f>Data!I880</f>
        <v>3/15/2022</v>
      </c>
      <c r="J881" s="57">
        <f>Data!J880</f>
        <v>314.39999999999998</v>
      </c>
      <c r="K881" s="58">
        <f t="shared" ca="1" si="15"/>
        <v>65</v>
      </c>
      <c r="L881" s="58">
        <f>Data!M880</f>
        <v>0</v>
      </c>
      <c r="M881" s="37" t="s">
        <v>26</v>
      </c>
      <c r="N881" s="43" t="str">
        <f>VLOOKUP(M881,Table1[#All],3,FALSE)</f>
        <v>Note</v>
      </c>
      <c r="O881" s="40" t="str">
        <f>VLOOKUP(M881,Table1[#All],4,FALSE)</f>
        <v>Q1</v>
      </c>
      <c r="P881" s="39"/>
      <c r="Q881" s="40" t="str">
        <f>VLOOKUP(M881,Table1[#All],5,FALSE)</f>
        <v>Q2</v>
      </c>
      <c r="R881" s="79"/>
      <c r="S881" s="40" t="str">
        <f>VLOOKUP(M881,Table1[#All],6,FALSE)</f>
        <v>Q3</v>
      </c>
      <c r="T881" s="79"/>
      <c r="U881" s="40" t="str">
        <f>VLOOKUP(M881,Table1[#All],7,FALSE)</f>
        <v>Q4</v>
      </c>
      <c r="V881" s="79"/>
      <c r="W881" s="40" t="str">
        <f>VLOOKUP(M881,Table1[#All],8,FALSE)</f>
        <v>Q5</v>
      </c>
      <c r="X881" s="79"/>
      <c r="Y881" s="44" t="str">
        <f>VLOOKUP(M881,Table1[#All],2,FALSE)</f>
        <v>Action</v>
      </c>
      <c r="Z881" s="59" t="str">
        <f>VLOOKUP(M881,Table1[#All],9,FALSE)</f>
        <v>Additional Notes:</v>
      </c>
      <c r="AA881" s="76"/>
      <c r="AB881" s="76"/>
      <c r="AC881" s="90" t="s">
        <v>91</v>
      </c>
      <c r="AD881" s="76" t="s">
        <v>91</v>
      </c>
      <c r="AE881" s="77"/>
      <c r="AF881" s="77"/>
      <c r="AG881" s="41" t="s">
        <v>91</v>
      </c>
    </row>
    <row r="882" spans="1:33" ht="21" hidden="1" x14ac:dyDescent="0.55000000000000004">
      <c r="A882" s="44" t="str">
        <f>Data!K881</f>
        <v>No Insurance</v>
      </c>
      <c r="B882" s="44">
        <f>Data!L881</f>
        <v>0</v>
      </c>
      <c r="C882" s="44" t="str">
        <f>Data!D881</f>
        <v>Singh, Rajbir</v>
      </c>
      <c r="D882" s="82" t="str">
        <f>Data!F881</f>
        <v>000000000</v>
      </c>
      <c r="E882" s="82" t="str">
        <f>Data!B881</f>
        <v>9227</v>
      </c>
      <c r="F882" s="44" t="str">
        <f>Data!A881</f>
        <v>Singh, Rajbir</v>
      </c>
      <c r="G882" s="55" t="str">
        <f>Data!C881</f>
        <v>9/7/1979</v>
      </c>
      <c r="H882" s="56">
        <f>Data!H881</f>
        <v>44632</v>
      </c>
      <c r="I882" s="56" t="str">
        <f>Data!I881</f>
        <v>3/12/2022</v>
      </c>
      <c r="J882" s="57">
        <f>Data!J881</f>
        <v>72</v>
      </c>
      <c r="K882" s="58">
        <f t="shared" ca="1" si="15"/>
        <v>68</v>
      </c>
      <c r="L882" s="58">
        <f>Data!M881</f>
        <v>0</v>
      </c>
      <c r="M882" s="37" t="s">
        <v>26</v>
      </c>
      <c r="N882" s="43" t="str">
        <f>VLOOKUP(M882,Table1[#All],3,FALSE)</f>
        <v>Note</v>
      </c>
      <c r="O882" s="40" t="str">
        <f>VLOOKUP(M882,Table1[#All],4,FALSE)</f>
        <v>Q1</v>
      </c>
      <c r="P882" s="39"/>
      <c r="Q882" s="40" t="str">
        <f>VLOOKUP(M882,Table1[#All],5,FALSE)</f>
        <v>Q2</v>
      </c>
      <c r="R882" s="79"/>
      <c r="S882" s="40" t="str">
        <f>VLOOKUP(M882,Table1[#All],6,FALSE)</f>
        <v>Q3</v>
      </c>
      <c r="T882" s="79"/>
      <c r="U882" s="40" t="str">
        <f>VLOOKUP(M882,Table1[#All],7,FALSE)</f>
        <v>Q4</v>
      </c>
      <c r="V882" s="79"/>
      <c r="W882" s="40" t="str">
        <f>VLOOKUP(M882,Table1[#All],8,FALSE)</f>
        <v>Q5</v>
      </c>
      <c r="X882" s="79"/>
      <c r="Y882" s="44" t="str">
        <f>VLOOKUP(M882,Table1[#All],2,FALSE)</f>
        <v>Action</v>
      </c>
      <c r="Z882" s="59" t="str">
        <f>VLOOKUP(M882,Table1[#All],9,FALSE)</f>
        <v>Additional Notes:</v>
      </c>
      <c r="AA882" s="76"/>
      <c r="AB882" s="76"/>
      <c r="AC882" s="90" t="s">
        <v>91</v>
      </c>
      <c r="AD882" s="76" t="s">
        <v>91</v>
      </c>
      <c r="AE882" s="77"/>
      <c r="AF882" s="77"/>
      <c r="AG882" s="41" t="s">
        <v>91</v>
      </c>
    </row>
    <row r="883" spans="1:33" ht="21" hidden="1" x14ac:dyDescent="0.55000000000000004">
      <c r="A883" s="44" t="str">
        <f>Data!K882</f>
        <v>No Insurance</v>
      </c>
      <c r="B883" s="44">
        <f>Data!L882</f>
        <v>0</v>
      </c>
      <c r="C883" s="44" t="str">
        <f>Data!D882</f>
        <v>Singh, Harpreet</v>
      </c>
      <c r="D883" s="82" t="str">
        <f>Data!F882</f>
        <v>000000000000</v>
      </c>
      <c r="E883" s="82" t="str">
        <f>Data!B882</f>
        <v>9255</v>
      </c>
      <c r="F883" s="44" t="str">
        <f>Data!A882</f>
        <v>Singh, Harpreet</v>
      </c>
      <c r="G883" s="55" t="str">
        <f>Data!C882</f>
        <v>2/24/1995</v>
      </c>
      <c r="H883" s="56">
        <f>Data!H882</f>
        <v>44632</v>
      </c>
      <c r="I883" s="56" t="str">
        <f>Data!I882</f>
        <v>3/12/2022</v>
      </c>
      <c r="J883" s="57">
        <f>Data!J882</f>
        <v>486</v>
      </c>
      <c r="K883" s="58">
        <f t="shared" ca="1" si="15"/>
        <v>68</v>
      </c>
      <c r="L883" s="58">
        <f>Data!M882</f>
        <v>0</v>
      </c>
      <c r="M883" s="37" t="s">
        <v>26</v>
      </c>
      <c r="N883" s="43" t="str">
        <f>VLOOKUP(M883,Table1[#All],3,FALSE)</f>
        <v>Note</v>
      </c>
      <c r="O883" s="40" t="str">
        <f>VLOOKUP(M883,Table1[#All],4,FALSE)</f>
        <v>Q1</v>
      </c>
      <c r="P883" s="39"/>
      <c r="Q883" s="40" t="str">
        <f>VLOOKUP(M883,Table1[#All],5,FALSE)</f>
        <v>Q2</v>
      </c>
      <c r="R883" s="79"/>
      <c r="S883" s="40" t="str">
        <f>VLOOKUP(M883,Table1[#All],6,FALSE)</f>
        <v>Q3</v>
      </c>
      <c r="T883" s="79"/>
      <c r="U883" s="40" t="str">
        <f>VLOOKUP(M883,Table1[#All],7,FALSE)</f>
        <v>Q4</v>
      </c>
      <c r="V883" s="79"/>
      <c r="W883" s="40" t="str">
        <f>VLOOKUP(M883,Table1[#All],8,FALSE)</f>
        <v>Q5</v>
      </c>
      <c r="X883" s="79"/>
      <c r="Y883" s="44" t="str">
        <f>VLOOKUP(M883,Table1[#All],2,FALSE)</f>
        <v>Action</v>
      </c>
      <c r="Z883" s="59" t="str">
        <f>VLOOKUP(M883,Table1[#All],9,FALSE)</f>
        <v>Additional Notes:</v>
      </c>
      <c r="AA883" s="76"/>
      <c r="AB883" s="76"/>
      <c r="AC883" s="90" t="s">
        <v>91</v>
      </c>
      <c r="AD883" s="76" t="s">
        <v>91</v>
      </c>
      <c r="AE883" s="77"/>
      <c r="AF883" s="77"/>
      <c r="AG883" s="41" t="s">
        <v>91</v>
      </c>
    </row>
    <row r="884" spans="1:33" ht="21" hidden="1" x14ac:dyDescent="0.55000000000000004">
      <c r="A884" s="44" t="str">
        <f>Data!K883</f>
        <v>No Insurance</v>
      </c>
      <c r="B884" s="44">
        <f>Data!L883</f>
        <v>0</v>
      </c>
      <c r="C884" s="44" t="str">
        <f>Data!D883</f>
        <v xml:space="preserve">Arreola Correa, Jose Manuel </v>
      </c>
      <c r="D884" s="82" t="str">
        <f>Data!F883</f>
        <v/>
      </c>
      <c r="E884" s="82" t="str">
        <f>Data!B883</f>
        <v>9173</v>
      </c>
      <c r="F884" s="44" t="str">
        <f>Data!A883</f>
        <v xml:space="preserve">Arreola Correa, Jose Manuel </v>
      </c>
      <c r="G884" s="55" t="str">
        <f>Data!C883</f>
        <v>3/2/1994</v>
      </c>
      <c r="H884" s="56">
        <f>Data!H883</f>
        <v>44622</v>
      </c>
      <c r="I884" s="56" t="str">
        <f>Data!I883</f>
        <v>3/2/2022</v>
      </c>
      <c r="J884" s="57">
        <f>Data!J883</f>
        <v>199.2</v>
      </c>
      <c r="K884" s="58">
        <f t="shared" ca="1" si="15"/>
        <v>78</v>
      </c>
      <c r="L884" s="58">
        <f>Data!M883</f>
        <v>0</v>
      </c>
      <c r="M884" s="37" t="s">
        <v>26</v>
      </c>
      <c r="N884" s="43" t="str">
        <f>VLOOKUP(M884,Table1[#All],3,FALSE)</f>
        <v>Note</v>
      </c>
      <c r="O884" s="40" t="str">
        <f>VLOOKUP(M884,Table1[#All],4,FALSE)</f>
        <v>Q1</v>
      </c>
      <c r="P884" s="39"/>
      <c r="Q884" s="40" t="str">
        <f>VLOOKUP(M884,Table1[#All],5,FALSE)</f>
        <v>Q2</v>
      </c>
      <c r="R884" s="79"/>
      <c r="S884" s="40" t="str">
        <f>VLOOKUP(M884,Table1[#All],6,FALSE)</f>
        <v>Q3</v>
      </c>
      <c r="T884" s="79"/>
      <c r="U884" s="40" t="str">
        <f>VLOOKUP(M884,Table1[#All],7,FALSE)</f>
        <v>Q4</v>
      </c>
      <c r="V884" s="79"/>
      <c r="W884" s="40" t="str">
        <f>VLOOKUP(M884,Table1[#All],8,FALSE)</f>
        <v>Q5</v>
      </c>
      <c r="X884" s="79"/>
      <c r="Y884" s="44" t="str">
        <f>VLOOKUP(M884,Table1[#All],2,FALSE)</f>
        <v>Action</v>
      </c>
      <c r="Z884" s="59" t="str">
        <f>VLOOKUP(M884,Table1[#All],9,FALSE)</f>
        <v>Additional Notes:</v>
      </c>
      <c r="AA884" s="76"/>
      <c r="AB884" s="76"/>
      <c r="AC884" s="90" t="s">
        <v>91</v>
      </c>
      <c r="AD884" s="76" t="s">
        <v>91</v>
      </c>
      <c r="AE884" s="77"/>
      <c r="AF884" s="77"/>
      <c r="AG884" s="41" t="s">
        <v>91</v>
      </c>
    </row>
    <row r="885" spans="1:33" ht="21" hidden="1" x14ac:dyDescent="0.55000000000000004">
      <c r="A885" s="44" t="str">
        <f>Data!K884</f>
        <v>No Insurance</v>
      </c>
      <c r="B885" s="44">
        <f>Data!L884</f>
        <v>0</v>
      </c>
      <c r="C885" s="44" t="str">
        <f>Data!D884</f>
        <v>Reh , Mi</v>
      </c>
      <c r="D885" s="82" t="str">
        <f>Data!F884</f>
        <v/>
      </c>
      <c r="E885" s="82" t="str">
        <f>Data!B884</f>
        <v>9151</v>
      </c>
      <c r="F885" s="44" t="str">
        <f>Data!A884</f>
        <v>Reh , Mi</v>
      </c>
      <c r="G885" s="55" t="str">
        <f>Data!C884</f>
        <v>4/1/1995</v>
      </c>
      <c r="H885" s="56">
        <f>Data!H884</f>
        <v>44617</v>
      </c>
      <c r="I885" s="56" t="str">
        <f>Data!I884</f>
        <v>2/25/2022</v>
      </c>
      <c r="J885" s="57">
        <f>Data!J884</f>
        <v>325.2</v>
      </c>
      <c r="K885" s="58">
        <f t="shared" ca="1" si="15"/>
        <v>83</v>
      </c>
      <c r="L885" s="58">
        <f>Data!M884</f>
        <v>0</v>
      </c>
      <c r="M885" s="37" t="s">
        <v>26</v>
      </c>
      <c r="N885" s="43" t="str">
        <f>VLOOKUP(M885,Table1[#All],3,FALSE)</f>
        <v>Note</v>
      </c>
      <c r="O885" s="40" t="str">
        <f>VLOOKUP(M885,Table1[#All],4,FALSE)</f>
        <v>Q1</v>
      </c>
      <c r="P885" s="39"/>
      <c r="Q885" s="40" t="str">
        <f>VLOOKUP(M885,Table1[#All],5,FALSE)</f>
        <v>Q2</v>
      </c>
      <c r="R885" s="79"/>
      <c r="S885" s="40" t="str">
        <f>VLOOKUP(M885,Table1[#All],6,FALSE)</f>
        <v>Q3</v>
      </c>
      <c r="T885" s="79"/>
      <c r="U885" s="40" t="str">
        <f>VLOOKUP(M885,Table1[#All],7,FALSE)</f>
        <v>Q4</v>
      </c>
      <c r="V885" s="79"/>
      <c r="W885" s="40" t="str">
        <f>VLOOKUP(M885,Table1[#All],8,FALSE)</f>
        <v>Q5</v>
      </c>
      <c r="X885" s="79"/>
      <c r="Y885" s="44" t="str">
        <f>VLOOKUP(M885,Table1[#All],2,FALSE)</f>
        <v>Action</v>
      </c>
      <c r="Z885" s="59" t="str">
        <f>VLOOKUP(M885,Table1[#All],9,FALSE)</f>
        <v>Additional Notes:</v>
      </c>
      <c r="AA885" s="76"/>
      <c r="AB885" s="76"/>
      <c r="AC885" s="90" t="s">
        <v>91</v>
      </c>
      <c r="AD885" s="76" t="s">
        <v>91</v>
      </c>
      <c r="AE885" s="77"/>
      <c r="AF885" s="77"/>
      <c r="AG885" s="41" t="s">
        <v>91</v>
      </c>
    </row>
    <row r="886" spans="1:33" ht="21" hidden="1" x14ac:dyDescent="0.55000000000000004">
      <c r="A886" s="44" t="str">
        <f>Data!K885</f>
        <v>No Insurance</v>
      </c>
      <c r="B886" s="44">
        <f>Data!L885</f>
        <v>0</v>
      </c>
      <c r="C886" s="44" t="str">
        <f>Data!D885</f>
        <v xml:space="preserve">Bachmann, Steven </v>
      </c>
      <c r="D886" s="82" t="str">
        <f>Data!F885</f>
        <v>000000000000</v>
      </c>
      <c r="E886" s="82" t="str">
        <f>Data!B885</f>
        <v>8892</v>
      </c>
      <c r="F886" s="44" t="str">
        <f>Data!A885</f>
        <v xml:space="preserve">Bachmann, Steven </v>
      </c>
      <c r="G886" s="55" t="str">
        <f>Data!C885</f>
        <v>9/2/1967</v>
      </c>
      <c r="H886" s="56">
        <f>Data!H885</f>
        <v>44608</v>
      </c>
      <c r="I886" s="56" t="str">
        <f>Data!I885</f>
        <v>2/16/2022</v>
      </c>
      <c r="J886" s="57">
        <f>Data!J885</f>
        <v>1023.6</v>
      </c>
      <c r="K886" s="58">
        <f t="shared" ca="1" si="15"/>
        <v>92</v>
      </c>
      <c r="L886" s="58">
        <f>Data!M885</f>
        <v>0</v>
      </c>
      <c r="M886" s="37" t="s">
        <v>26</v>
      </c>
      <c r="N886" s="43" t="str">
        <f>VLOOKUP(M886,Table1[#All],3,FALSE)</f>
        <v>Note</v>
      </c>
      <c r="O886" s="40" t="str">
        <f>VLOOKUP(M886,Table1[#All],4,FALSE)</f>
        <v>Q1</v>
      </c>
      <c r="P886" s="39"/>
      <c r="Q886" s="40" t="str">
        <f>VLOOKUP(M886,Table1[#All],5,FALSE)</f>
        <v>Q2</v>
      </c>
      <c r="R886" s="79"/>
      <c r="S886" s="40" t="str">
        <f>VLOOKUP(M886,Table1[#All],6,FALSE)</f>
        <v>Q3</v>
      </c>
      <c r="T886" s="79"/>
      <c r="U886" s="40" t="str">
        <f>VLOOKUP(M886,Table1[#All],7,FALSE)</f>
        <v>Q4</v>
      </c>
      <c r="V886" s="79"/>
      <c r="W886" s="40" t="str">
        <f>VLOOKUP(M886,Table1[#All],8,FALSE)</f>
        <v>Q5</v>
      </c>
      <c r="X886" s="79"/>
      <c r="Y886" s="44" t="str">
        <f>VLOOKUP(M886,Table1[#All],2,FALSE)</f>
        <v>Action</v>
      </c>
      <c r="Z886" s="59" t="str">
        <f>VLOOKUP(M886,Table1[#All],9,FALSE)</f>
        <v>Additional Notes:</v>
      </c>
      <c r="AA886" s="76"/>
      <c r="AB886" s="76"/>
      <c r="AC886" s="90" t="s">
        <v>91</v>
      </c>
      <c r="AD886" s="76" t="s">
        <v>91</v>
      </c>
      <c r="AE886" s="77"/>
      <c r="AF886" s="77"/>
      <c r="AG886" s="41" t="s">
        <v>91</v>
      </c>
    </row>
    <row r="887" spans="1:33" ht="21" hidden="1" x14ac:dyDescent="0.55000000000000004">
      <c r="A887" s="44" t="str">
        <f>Data!K886</f>
        <v>No Insurance</v>
      </c>
      <c r="B887" s="44">
        <f>Data!L886</f>
        <v>0</v>
      </c>
      <c r="C887" s="44" t="str">
        <f>Data!D886</f>
        <v>Smith, Garry</v>
      </c>
      <c r="D887" s="82" t="str">
        <f>Data!F886</f>
        <v/>
      </c>
      <c r="E887" s="82" t="str">
        <f>Data!B886</f>
        <v>9030</v>
      </c>
      <c r="F887" s="44" t="str">
        <f>Data!A886</f>
        <v>Smith, Garry</v>
      </c>
      <c r="G887" s="55" t="str">
        <f>Data!C886</f>
        <v>4/15/1938</v>
      </c>
      <c r="H887" s="56">
        <f>Data!H886</f>
        <v>44607</v>
      </c>
      <c r="I887" s="56" t="str">
        <f>Data!I886</f>
        <v>2/15/2022</v>
      </c>
      <c r="J887" s="57">
        <f>Data!J886</f>
        <v>135.6</v>
      </c>
      <c r="K887" s="58">
        <f t="shared" ca="1" si="15"/>
        <v>93</v>
      </c>
      <c r="L887" s="58">
        <f>Data!M886</f>
        <v>0</v>
      </c>
      <c r="M887" s="37" t="s">
        <v>26</v>
      </c>
      <c r="N887" s="43" t="str">
        <f>VLOOKUP(M887,Table1[#All],3,FALSE)</f>
        <v>Note</v>
      </c>
      <c r="O887" s="40" t="str">
        <f>VLOOKUP(M887,Table1[#All],4,FALSE)</f>
        <v>Q1</v>
      </c>
      <c r="P887" s="39"/>
      <c r="Q887" s="40" t="str">
        <f>VLOOKUP(M887,Table1[#All],5,FALSE)</f>
        <v>Q2</v>
      </c>
      <c r="R887" s="79"/>
      <c r="S887" s="40" t="str">
        <f>VLOOKUP(M887,Table1[#All],6,FALSE)</f>
        <v>Q3</v>
      </c>
      <c r="T887" s="79"/>
      <c r="U887" s="40" t="str">
        <f>VLOOKUP(M887,Table1[#All],7,FALSE)</f>
        <v>Q4</v>
      </c>
      <c r="V887" s="79"/>
      <c r="W887" s="40" t="str">
        <f>VLOOKUP(M887,Table1[#All],8,FALSE)</f>
        <v>Q5</v>
      </c>
      <c r="X887" s="79"/>
      <c r="Y887" s="44" t="str">
        <f>VLOOKUP(M887,Table1[#All],2,FALSE)</f>
        <v>Action</v>
      </c>
      <c r="Z887" s="59" t="str">
        <f>VLOOKUP(M887,Table1[#All],9,FALSE)</f>
        <v>Additional Notes:</v>
      </c>
      <c r="AA887" s="76"/>
      <c r="AB887" s="76"/>
      <c r="AC887" s="90" t="s">
        <v>91</v>
      </c>
      <c r="AD887" s="76" t="s">
        <v>91</v>
      </c>
      <c r="AE887" s="77"/>
      <c r="AF887" s="77"/>
      <c r="AG887" s="41" t="s">
        <v>91</v>
      </c>
    </row>
    <row r="888" spans="1:33" ht="21" hidden="1" x14ac:dyDescent="0.55000000000000004">
      <c r="A888" s="44" t="str">
        <f>Data!K887</f>
        <v>No Insurance</v>
      </c>
      <c r="B888" s="44">
        <f>Data!L887</f>
        <v>0</v>
      </c>
      <c r="C888" s="44" t="str">
        <f>Data!D887</f>
        <v xml:space="preserve">Rodriguez , Miguel </v>
      </c>
      <c r="D888" s="82" t="str">
        <f>Data!F887</f>
        <v/>
      </c>
      <c r="E888" s="82" t="str">
        <f>Data!B887</f>
        <v>9046</v>
      </c>
      <c r="F888" s="44" t="str">
        <f>Data!A887</f>
        <v xml:space="preserve">Rodriguez , Miguel </v>
      </c>
      <c r="G888" s="55" t="str">
        <f>Data!C887</f>
        <v>12/11/1985</v>
      </c>
      <c r="H888" s="56">
        <f>Data!H887</f>
        <v>44603</v>
      </c>
      <c r="I888" s="56" t="str">
        <f>Data!I887</f>
        <v>2/11/2022</v>
      </c>
      <c r="J888" s="57">
        <f>Data!J887</f>
        <v>360</v>
      </c>
      <c r="K888" s="58">
        <f t="shared" ca="1" si="15"/>
        <v>97</v>
      </c>
      <c r="L888" s="58">
        <f>Data!M887</f>
        <v>0</v>
      </c>
      <c r="M888" s="37" t="s">
        <v>26</v>
      </c>
      <c r="N888" s="43" t="str">
        <f>VLOOKUP(M888,Table1[#All],3,FALSE)</f>
        <v>Note</v>
      </c>
      <c r="O888" s="40" t="str">
        <f>VLOOKUP(M888,Table1[#All],4,FALSE)</f>
        <v>Q1</v>
      </c>
      <c r="P888" s="39"/>
      <c r="Q888" s="40" t="str">
        <f>VLOOKUP(M888,Table1[#All],5,FALSE)</f>
        <v>Q2</v>
      </c>
      <c r="R888" s="79"/>
      <c r="S888" s="40" t="str">
        <f>VLOOKUP(M888,Table1[#All],6,FALSE)</f>
        <v>Q3</v>
      </c>
      <c r="T888" s="79"/>
      <c r="U888" s="40" t="str">
        <f>VLOOKUP(M888,Table1[#All],7,FALSE)</f>
        <v>Q4</v>
      </c>
      <c r="V888" s="79"/>
      <c r="W888" s="40" t="str">
        <f>VLOOKUP(M888,Table1[#All],8,FALSE)</f>
        <v>Q5</v>
      </c>
      <c r="X888" s="79"/>
      <c r="Y888" s="44" t="str">
        <f>VLOOKUP(M888,Table1[#All],2,FALSE)</f>
        <v>Action</v>
      </c>
      <c r="Z888" s="59" t="str">
        <f>VLOOKUP(M888,Table1[#All],9,FALSE)</f>
        <v>Additional Notes:</v>
      </c>
      <c r="AA888" s="76"/>
      <c r="AB888" s="76"/>
      <c r="AC888" s="90" t="s">
        <v>91</v>
      </c>
      <c r="AD888" s="76" t="s">
        <v>91</v>
      </c>
      <c r="AE888" s="77"/>
      <c r="AF888" s="77"/>
      <c r="AG888" s="41" t="s">
        <v>91</v>
      </c>
    </row>
    <row r="889" spans="1:33" ht="21" hidden="1" x14ac:dyDescent="0.55000000000000004">
      <c r="A889" s="44" t="str">
        <f>Data!K888</f>
        <v>No Insurance</v>
      </c>
      <c r="B889" s="44">
        <f>Data!L888</f>
        <v>0</v>
      </c>
      <c r="C889" s="44" t="str">
        <f>Data!D888</f>
        <v xml:space="preserve">Fernandez Corrales , Reyna </v>
      </c>
      <c r="D889" s="82" t="str">
        <f>Data!F888</f>
        <v>0000000000</v>
      </c>
      <c r="E889" s="82" t="str">
        <f>Data!B888</f>
        <v>9047</v>
      </c>
      <c r="F889" s="44" t="str">
        <f>Data!A888</f>
        <v xml:space="preserve">Fernandez Corrales , Reyna </v>
      </c>
      <c r="G889" s="55" t="str">
        <f>Data!C888</f>
        <v>9/12/1989</v>
      </c>
      <c r="H889" s="56">
        <f>Data!H888</f>
        <v>44601</v>
      </c>
      <c r="I889" s="56" t="str">
        <f>Data!I888</f>
        <v>2/9/2022</v>
      </c>
      <c r="J889" s="57">
        <f>Data!J888</f>
        <v>152.4</v>
      </c>
      <c r="K889" s="58">
        <f t="shared" ca="1" si="15"/>
        <v>99</v>
      </c>
      <c r="L889" s="58">
        <f>Data!M888</f>
        <v>0</v>
      </c>
      <c r="M889" s="37" t="s">
        <v>26</v>
      </c>
      <c r="N889" s="43" t="str">
        <f>VLOOKUP(M889,Table1[#All],3,FALSE)</f>
        <v>Note</v>
      </c>
      <c r="O889" s="40" t="str">
        <f>VLOOKUP(M889,Table1[#All],4,FALSE)</f>
        <v>Q1</v>
      </c>
      <c r="P889" s="39"/>
      <c r="Q889" s="40" t="str">
        <f>VLOOKUP(M889,Table1[#All],5,FALSE)</f>
        <v>Q2</v>
      </c>
      <c r="R889" s="79"/>
      <c r="S889" s="40" t="str">
        <f>VLOOKUP(M889,Table1[#All],6,FALSE)</f>
        <v>Q3</v>
      </c>
      <c r="T889" s="79"/>
      <c r="U889" s="40" t="str">
        <f>VLOOKUP(M889,Table1[#All],7,FALSE)</f>
        <v>Q4</v>
      </c>
      <c r="V889" s="79"/>
      <c r="W889" s="40" t="str">
        <f>VLOOKUP(M889,Table1[#All],8,FALSE)</f>
        <v>Q5</v>
      </c>
      <c r="X889" s="79"/>
      <c r="Y889" s="44" t="str">
        <f>VLOOKUP(M889,Table1[#All],2,FALSE)</f>
        <v>Action</v>
      </c>
      <c r="Z889" s="59" t="str">
        <f>VLOOKUP(M889,Table1[#All],9,FALSE)</f>
        <v>Additional Notes:</v>
      </c>
      <c r="AA889" s="76"/>
      <c r="AB889" s="76"/>
      <c r="AC889" s="90" t="s">
        <v>91</v>
      </c>
      <c r="AD889" s="76" t="s">
        <v>91</v>
      </c>
      <c r="AE889" s="77"/>
      <c r="AF889" s="77"/>
      <c r="AG889" s="41" t="s">
        <v>91</v>
      </c>
    </row>
    <row r="890" spans="1:33" ht="21" hidden="1" x14ac:dyDescent="0.55000000000000004">
      <c r="A890" s="44" t="str">
        <f>Data!K889</f>
        <v>No Insurance</v>
      </c>
      <c r="B890" s="44">
        <f>Data!L889</f>
        <v>0</v>
      </c>
      <c r="C890" s="44" t="str">
        <f>Data!D889</f>
        <v xml:space="preserve">Rodriguez , Miguel </v>
      </c>
      <c r="D890" s="82" t="str">
        <f>Data!F889</f>
        <v/>
      </c>
      <c r="E890" s="82" t="str">
        <f>Data!B889</f>
        <v>9046</v>
      </c>
      <c r="F890" s="44" t="str">
        <f>Data!A889</f>
        <v xml:space="preserve">Rodriguez , Miguel </v>
      </c>
      <c r="G890" s="55" t="str">
        <f>Data!C889</f>
        <v>12/11/1985</v>
      </c>
      <c r="H890" s="56">
        <f>Data!H889</f>
        <v>44601</v>
      </c>
      <c r="I890" s="56" t="str">
        <f>Data!I889</f>
        <v>2/9/2022</v>
      </c>
      <c r="J890" s="57">
        <f>Data!J889</f>
        <v>152.4</v>
      </c>
      <c r="K890" s="58">
        <f t="shared" ca="1" si="15"/>
        <v>99</v>
      </c>
      <c r="L890" s="58">
        <f>Data!M889</f>
        <v>0</v>
      </c>
      <c r="M890" s="37" t="s">
        <v>26</v>
      </c>
      <c r="N890" s="43" t="str">
        <f>VLOOKUP(M890,Table1[#All],3,FALSE)</f>
        <v>Note</v>
      </c>
      <c r="O890" s="40" t="str">
        <f>VLOOKUP(M890,Table1[#All],4,FALSE)</f>
        <v>Q1</v>
      </c>
      <c r="P890" s="39"/>
      <c r="Q890" s="40" t="str">
        <f>VLOOKUP(M890,Table1[#All],5,FALSE)</f>
        <v>Q2</v>
      </c>
      <c r="R890" s="79"/>
      <c r="S890" s="40" t="str">
        <f>VLOOKUP(M890,Table1[#All],6,FALSE)</f>
        <v>Q3</v>
      </c>
      <c r="T890" s="79"/>
      <c r="U890" s="40" t="str">
        <f>VLOOKUP(M890,Table1[#All],7,FALSE)</f>
        <v>Q4</v>
      </c>
      <c r="V890" s="79"/>
      <c r="W890" s="40" t="str">
        <f>VLOOKUP(M890,Table1[#All],8,FALSE)</f>
        <v>Q5</v>
      </c>
      <c r="X890" s="79"/>
      <c r="Y890" s="44" t="str">
        <f>VLOOKUP(M890,Table1[#All],2,FALSE)</f>
        <v>Action</v>
      </c>
      <c r="Z890" s="59" t="str">
        <f>VLOOKUP(M890,Table1[#All],9,FALSE)</f>
        <v>Additional Notes:</v>
      </c>
      <c r="AA890" s="76"/>
      <c r="AB890" s="76"/>
      <c r="AC890" s="90" t="s">
        <v>91</v>
      </c>
      <c r="AD890" s="76" t="s">
        <v>91</v>
      </c>
      <c r="AE890" s="77"/>
      <c r="AF890" s="77"/>
      <c r="AG890" s="41" t="s">
        <v>91</v>
      </c>
    </row>
    <row r="891" spans="1:33" ht="21" hidden="1" x14ac:dyDescent="0.55000000000000004">
      <c r="A891" s="44" t="str">
        <f>Data!K890</f>
        <v>No Insurance</v>
      </c>
      <c r="B891" s="44">
        <f>Data!L890</f>
        <v>0</v>
      </c>
      <c r="C891" s="44" t="str">
        <f>Data!D890</f>
        <v xml:space="preserve">Roman, Suley </v>
      </c>
      <c r="D891" s="82" t="str">
        <f>Data!F890</f>
        <v/>
      </c>
      <c r="E891" s="82" t="str">
        <f>Data!B890</f>
        <v>8983</v>
      </c>
      <c r="F891" s="44" t="str">
        <f>Data!A890</f>
        <v xml:space="preserve">Roman, Suley </v>
      </c>
      <c r="G891" s="55" t="str">
        <f>Data!C890</f>
        <v>1/31/1999</v>
      </c>
      <c r="H891" s="56">
        <f>Data!H890</f>
        <v>44593</v>
      </c>
      <c r="I891" s="56" t="str">
        <f>Data!I890</f>
        <v>2/1/2022</v>
      </c>
      <c r="J891" s="57">
        <f>Data!J890</f>
        <v>61.2</v>
      </c>
      <c r="K891" s="58">
        <f t="shared" ca="1" si="15"/>
        <v>107</v>
      </c>
      <c r="L891" s="58">
        <f>Data!M890</f>
        <v>0</v>
      </c>
      <c r="M891" s="37" t="s">
        <v>26</v>
      </c>
      <c r="N891" s="43" t="str">
        <f>VLOOKUP(M891,Table1[#All],3,FALSE)</f>
        <v>Note</v>
      </c>
      <c r="O891" s="40" t="str">
        <f>VLOOKUP(M891,Table1[#All],4,FALSE)</f>
        <v>Q1</v>
      </c>
      <c r="P891" s="39"/>
      <c r="Q891" s="40" t="str">
        <f>VLOOKUP(M891,Table1[#All],5,FALSE)</f>
        <v>Q2</v>
      </c>
      <c r="R891" s="79"/>
      <c r="S891" s="40" t="str">
        <f>VLOOKUP(M891,Table1[#All],6,FALSE)</f>
        <v>Q3</v>
      </c>
      <c r="T891" s="79"/>
      <c r="U891" s="40" t="str">
        <f>VLOOKUP(M891,Table1[#All],7,FALSE)</f>
        <v>Q4</v>
      </c>
      <c r="V891" s="79"/>
      <c r="W891" s="40" t="str">
        <f>VLOOKUP(M891,Table1[#All],8,FALSE)</f>
        <v>Q5</v>
      </c>
      <c r="X891" s="79"/>
      <c r="Y891" s="44" t="str">
        <f>VLOOKUP(M891,Table1[#All],2,FALSE)</f>
        <v>Action</v>
      </c>
      <c r="Z891" s="59" t="str">
        <f>VLOOKUP(M891,Table1[#All],9,FALSE)</f>
        <v>Additional Notes:</v>
      </c>
      <c r="AA891" s="76"/>
      <c r="AB891" s="76"/>
      <c r="AC891" s="90" t="s">
        <v>91</v>
      </c>
      <c r="AD891" s="76" t="s">
        <v>91</v>
      </c>
      <c r="AE891" s="77"/>
      <c r="AF891" s="77"/>
      <c r="AG891" s="41" t="s">
        <v>91</v>
      </c>
    </row>
    <row r="892" spans="1:33" ht="21" hidden="1" x14ac:dyDescent="0.55000000000000004">
      <c r="A892" s="44" t="str">
        <f>Data!K891</f>
        <v>No Insurance</v>
      </c>
      <c r="B892" s="44">
        <f>Data!L891</f>
        <v>0</v>
      </c>
      <c r="C892" s="44" t="str">
        <f>Data!D891</f>
        <v>Rivas, Maria</v>
      </c>
      <c r="D892" s="82" t="str">
        <f>Data!F891</f>
        <v>000000</v>
      </c>
      <c r="E892" s="82" t="str">
        <f>Data!B891</f>
        <v>8894</v>
      </c>
      <c r="F892" s="44" t="str">
        <f>Data!A891</f>
        <v>Rivas, Maria</v>
      </c>
      <c r="G892" s="55" t="str">
        <f>Data!C891</f>
        <v>9/14/1969</v>
      </c>
      <c r="H892" s="56">
        <f>Data!H891</f>
        <v>44590</v>
      </c>
      <c r="I892" s="56" t="str">
        <f>Data!I891</f>
        <v>1/31/2022</v>
      </c>
      <c r="J892" s="57">
        <f>Data!J891</f>
        <v>529.20000000000005</v>
      </c>
      <c r="K892" s="58">
        <f t="shared" ca="1" si="15"/>
        <v>108</v>
      </c>
      <c r="L892" s="58">
        <f>Data!M891</f>
        <v>0</v>
      </c>
      <c r="M892" s="37" t="s">
        <v>26</v>
      </c>
      <c r="N892" s="43" t="str">
        <f>VLOOKUP(M892,Table1[#All],3,FALSE)</f>
        <v>Note</v>
      </c>
      <c r="O892" s="40" t="str">
        <f>VLOOKUP(M892,Table1[#All],4,FALSE)</f>
        <v>Q1</v>
      </c>
      <c r="P892" s="39"/>
      <c r="Q892" s="40" t="str">
        <f>VLOOKUP(M892,Table1[#All],5,FALSE)</f>
        <v>Q2</v>
      </c>
      <c r="R892" s="79"/>
      <c r="S892" s="40" t="str">
        <f>VLOOKUP(M892,Table1[#All],6,FALSE)</f>
        <v>Q3</v>
      </c>
      <c r="T892" s="79"/>
      <c r="U892" s="40" t="str">
        <f>VLOOKUP(M892,Table1[#All],7,FALSE)</f>
        <v>Q4</v>
      </c>
      <c r="V892" s="79"/>
      <c r="W892" s="40" t="str">
        <f>VLOOKUP(M892,Table1[#All],8,FALSE)</f>
        <v>Q5</v>
      </c>
      <c r="X892" s="79"/>
      <c r="Y892" s="44" t="str">
        <f>VLOOKUP(M892,Table1[#All],2,FALSE)</f>
        <v>Action</v>
      </c>
      <c r="Z892" s="59" t="str">
        <f>VLOOKUP(M892,Table1[#All],9,FALSE)</f>
        <v>Additional Notes:</v>
      </c>
      <c r="AA892" s="76"/>
      <c r="AB892" s="76"/>
      <c r="AC892" s="90" t="s">
        <v>91</v>
      </c>
      <c r="AD892" s="76" t="s">
        <v>91</v>
      </c>
      <c r="AE892" s="77"/>
      <c r="AF892" s="77"/>
      <c r="AG892" s="41" t="s">
        <v>91</v>
      </c>
    </row>
    <row r="893" spans="1:33" ht="21" hidden="1" x14ac:dyDescent="0.55000000000000004">
      <c r="A893" s="44" t="str">
        <f>Data!K892</f>
        <v>No Insurance</v>
      </c>
      <c r="B893" s="44">
        <f>Data!L892</f>
        <v>0</v>
      </c>
      <c r="C893" s="44" t="str">
        <f>Data!D892</f>
        <v>Pacheco  Lopez, Guillermo</v>
      </c>
      <c r="D893" s="82" t="str">
        <f>Data!F892</f>
        <v>000231</v>
      </c>
      <c r="E893" s="82" t="str">
        <f>Data!B892</f>
        <v>6629</v>
      </c>
      <c r="F893" s="44" t="str">
        <f>Data!A892</f>
        <v>Pacheco  Lopez, Guillermo</v>
      </c>
      <c r="G893" s="55" t="str">
        <f>Data!C892</f>
        <v>11/1/1974</v>
      </c>
      <c r="H893" s="56">
        <f>Data!H892</f>
        <v>44590</v>
      </c>
      <c r="I893" s="56" t="str">
        <f>Data!I892</f>
        <v>2/1/2022</v>
      </c>
      <c r="J893" s="57">
        <f>Data!J892</f>
        <v>3014</v>
      </c>
      <c r="K893" s="58">
        <f t="shared" ca="1" si="15"/>
        <v>107</v>
      </c>
      <c r="L893" s="58">
        <f>Data!M892</f>
        <v>0</v>
      </c>
      <c r="M893" s="37" t="s">
        <v>26</v>
      </c>
      <c r="N893" s="43" t="str">
        <f>VLOOKUP(M893,Table1[#All],3,FALSE)</f>
        <v>Note</v>
      </c>
      <c r="O893" s="40" t="str">
        <f>VLOOKUP(M893,Table1[#All],4,FALSE)</f>
        <v>Q1</v>
      </c>
      <c r="P893" s="39"/>
      <c r="Q893" s="40" t="str">
        <f>VLOOKUP(M893,Table1[#All],5,FALSE)</f>
        <v>Q2</v>
      </c>
      <c r="R893" s="79"/>
      <c r="S893" s="40" t="str">
        <f>VLOOKUP(M893,Table1[#All],6,FALSE)</f>
        <v>Q3</v>
      </c>
      <c r="T893" s="79"/>
      <c r="U893" s="40" t="str">
        <f>VLOOKUP(M893,Table1[#All],7,FALSE)</f>
        <v>Q4</v>
      </c>
      <c r="V893" s="79"/>
      <c r="W893" s="40" t="str">
        <f>VLOOKUP(M893,Table1[#All],8,FALSE)</f>
        <v>Q5</v>
      </c>
      <c r="X893" s="79"/>
      <c r="Y893" s="44" t="str">
        <f>VLOOKUP(M893,Table1[#All],2,FALSE)</f>
        <v>Action</v>
      </c>
      <c r="Z893" s="59" t="str">
        <f>VLOOKUP(M893,Table1[#All],9,FALSE)</f>
        <v>Additional Notes:</v>
      </c>
      <c r="AA893" s="76"/>
      <c r="AB893" s="76"/>
      <c r="AC893" s="90" t="s">
        <v>91</v>
      </c>
      <c r="AD893" s="76" t="s">
        <v>91</v>
      </c>
      <c r="AE893" s="77"/>
      <c r="AF893" s="77"/>
      <c r="AG893" s="41" t="s">
        <v>91</v>
      </c>
    </row>
    <row r="894" spans="1:33" ht="21" hidden="1" x14ac:dyDescent="0.55000000000000004">
      <c r="A894" s="44" t="str">
        <f>Data!K893</f>
        <v>No Insurance</v>
      </c>
      <c r="B894" s="44">
        <f>Data!L893</f>
        <v>0</v>
      </c>
      <c r="C894" s="44" t="str">
        <f>Data!D893</f>
        <v xml:space="preserve">Singh Khashre, Manjeet </v>
      </c>
      <c r="D894" s="82" t="str">
        <f>Data!F893</f>
        <v>000000000000</v>
      </c>
      <c r="E894" s="82" t="str">
        <f>Data!B893</f>
        <v>7678</v>
      </c>
      <c r="F894" s="44" t="str">
        <f>Data!A893</f>
        <v xml:space="preserve">Singh Khashre, Manjeet </v>
      </c>
      <c r="G894" s="55" t="str">
        <f>Data!C893</f>
        <v>3/26/1982</v>
      </c>
      <c r="H894" s="56">
        <f>Data!H893</f>
        <v>44589</v>
      </c>
      <c r="I894" s="56" t="str">
        <f>Data!I893</f>
        <v>1/28/2022</v>
      </c>
      <c r="J894" s="57">
        <f>Data!J893</f>
        <v>648</v>
      </c>
      <c r="K894" s="58">
        <f t="shared" ca="1" si="15"/>
        <v>111</v>
      </c>
      <c r="L894" s="58">
        <f>Data!M893</f>
        <v>0</v>
      </c>
      <c r="M894" s="37" t="s">
        <v>26</v>
      </c>
      <c r="N894" s="43" t="str">
        <f>VLOOKUP(M894,Table1[#All],3,FALSE)</f>
        <v>Note</v>
      </c>
      <c r="O894" s="40" t="str">
        <f>VLOOKUP(M894,Table1[#All],4,FALSE)</f>
        <v>Q1</v>
      </c>
      <c r="P894" s="39"/>
      <c r="Q894" s="40" t="str">
        <f>VLOOKUP(M894,Table1[#All],5,FALSE)</f>
        <v>Q2</v>
      </c>
      <c r="R894" s="79"/>
      <c r="S894" s="40" t="str">
        <f>VLOOKUP(M894,Table1[#All],6,FALSE)</f>
        <v>Q3</v>
      </c>
      <c r="T894" s="79"/>
      <c r="U894" s="40" t="str">
        <f>VLOOKUP(M894,Table1[#All],7,FALSE)</f>
        <v>Q4</v>
      </c>
      <c r="V894" s="79"/>
      <c r="W894" s="40" t="str">
        <f>VLOOKUP(M894,Table1[#All],8,FALSE)</f>
        <v>Q5</v>
      </c>
      <c r="X894" s="79"/>
      <c r="Y894" s="44" t="str">
        <f>VLOOKUP(M894,Table1[#All],2,FALSE)</f>
        <v>Action</v>
      </c>
      <c r="Z894" s="59" t="str">
        <f>VLOOKUP(M894,Table1[#All],9,FALSE)</f>
        <v>Additional Notes:</v>
      </c>
      <c r="AA894" s="76"/>
      <c r="AB894" s="76"/>
      <c r="AC894" s="90" t="s">
        <v>91</v>
      </c>
      <c r="AD894" s="76" t="s">
        <v>91</v>
      </c>
      <c r="AE894" s="77"/>
      <c r="AF894" s="77"/>
      <c r="AG894" s="41" t="s">
        <v>91</v>
      </c>
    </row>
    <row r="895" spans="1:33" ht="21" hidden="1" x14ac:dyDescent="0.55000000000000004">
      <c r="A895" s="44" t="str">
        <f>Data!K894</f>
        <v>No Insurance</v>
      </c>
      <c r="B895" s="44">
        <f>Data!L894</f>
        <v>0</v>
      </c>
      <c r="C895" s="44" t="str">
        <f>Data!D894</f>
        <v xml:space="preserve">Farley , D`Juan </v>
      </c>
      <c r="D895" s="82" t="str">
        <f>Data!F894</f>
        <v/>
      </c>
      <c r="E895" s="82" t="str">
        <f>Data!B894</f>
        <v>8919</v>
      </c>
      <c r="F895" s="44" t="str">
        <f>Data!A894</f>
        <v xml:space="preserve">Farley , D`Juan </v>
      </c>
      <c r="G895" s="55" t="str">
        <f>Data!C894</f>
        <v>3/26/1997</v>
      </c>
      <c r="H895" s="56">
        <f>Data!H894</f>
        <v>44586</v>
      </c>
      <c r="I895" s="56" t="str">
        <f>Data!I894</f>
        <v>1/25/2022</v>
      </c>
      <c r="J895" s="57">
        <f>Data!J894</f>
        <v>296.39999999999998</v>
      </c>
      <c r="K895" s="58">
        <f t="shared" ca="1" si="15"/>
        <v>114</v>
      </c>
      <c r="L895" s="58">
        <f>Data!M894</f>
        <v>0</v>
      </c>
      <c r="M895" s="37" t="s">
        <v>26</v>
      </c>
      <c r="N895" s="43" t="str">
        <f>VLOOKUP(M895,Table1[#All],3,FALSE)</f>
        <v>Note</v>
      </c>
      <c r="O895" s="40" t="str">
        <f>VLOOKUP(M895,Table1[#All],4,FALSE)</f>
        <v>Q1</v>
      </c>
      <c r="P895" s="39"/>
      <c r="Q895" s="40" t="str">
        <f>VLOOKUP(M895,Table1[#All],5,FALSE)</f>
        <v>Q2</v>
      </c>
      <c r="R895" s="79"/>
      <c r="S895" s="40" t="str">
        <f>VLOOKUP(M895,Table1[#All],6,FALSE)</f>
        <v>Q3</v>
      </c>
      <c r="T895" s="79"/>
      <c r="U895" s="40" t="str">
        <f>VLOOKUP(M895,Table1[#All],7,FALSE)</f>
        <v>Q4</v>
      </c>
      <c r="V895" s="79"/>
      <c r="W895" s="40" t="str">
        <f>VLOOKUP(M895,Table1[#All],8,FALSE)</f>
        <v>Q5</v>
      </c>
      <c r="X895" s="79"/>
      <c r="Y895" s="44" t="str">
        <f>VLOOKUP(M895,Table1[#All],2,FALSE)</f>
        <v>Action</v>
      </c>
      <c r="Z895" s="59" t="str">
        <f>VLOOKUP(M895,Table1[#All],9,FALSE)</f>
        <v>Additional Notes:</v>
      </c>
      <c r="AA895" s="76"/>
      <c r="AB895" s="76"/>
      <c r="AC895" s="90" t="s">
        <v>91</v>
      </c>
      <c r="AD895" s="76" t="s">
        <v>91</v>
      </c>
      <c r="AE895" s="77"/>
      <c r="AF895" s="77"/>
      <c r="AG895" s="41" t="s">
        <v>91</v>
      </c>
    </row>
    <row r="896" spans="1:33" ht="21" hidden="1" x14ac:dyDescent="0.55000000000000004">
      <c r="A896" s="44" t="str">
        <f>Data!K895</f>
        <v>No Insurance</v>
      </c>
      <c r="B896" s="44">
        <f>Data!L895</f>
        <v>0</v>
      </c>
      <c r="C896" s="44" t="str">
        <f>Data!D895</f>
        <v xml:space="preserve">Martino , Kimberly </v>
      </c>
      <c r="D896" s="82" t="str">
        <f>Data!F895</f>
        <v>0002393670</v>
      </c>
      <c r="E896" s="82" t="str">
        <f>Data!B895</f>
        <v>8885</v>
      </c>
      <c r="F896" s="44" t="str">
        <f>Data!A895</f>
        <v xml:space="preserve">Martino , Kimberly </v>
      </c>
      <c r="G896" s="55" t="str">
        <f>Data!C895</f>
        <v>10/5/1972</v>
      </c>
      <c r="H896" s="56">
        <f>Data!H895</f>
        <v>44583</v>
      </c>
      <c r="I896" s="56" t="str">
        <f>Data!I895</f>
        <v>1/25/2022</v>
      </c>
      <c r="J896" s="57">
        <f>Data!J895</f>
        <v>152.4</v>
      </c>
      <c r="K896" s="58">
        <f t="shared" ca="1" si="15"/>
        <v>114</v>
      </c>
      <c r="L896" s="58">
        <f>Data!M895</f>
        <v>0</v>
      </c>
      <c r="M896" s="37" t="s">
        <v>26</v>
      </c>
      <c r="N896" s="43" t="str">
        <f>VLOOKUP(M896,Table1[#All],3,FALSE)</f>
        <v>Note</v>
      </c>
      <c r="O896" s="40" t="str">
        <f>VLOOKUP(M896,Table1[#All],4,FALSE)</f>
        <v>Q1</v>
      </c>
      <c r="P896" s="39"/>
      <c r="Q896" s="40" t="str">
        <f>VLOOKUP(M896,Table1[#All],5,FALSE)</f>
        <v>Q2</v>
      </c>
      <c r="R896" s="79"/>
      <c r="S896" s="40" t="str">
        <f>VLOOKUP(M896,Table1[#All],6,FALSE)</f>
        <v>Q3</v>
      </c>
      <c r="T896" s="79"/>
      <c r="U896" s="40" t="str">
        <f>VLOOKUP(M896,Table1[#All],7,FALSE)</f>
        <v>Q4</v>
      </c>
      <c r="V896" s="79"/>
      <c r="W896" s="40" t="str">
        <f>VLOOKUP(M896,Table1[#All],8,FALSE)</f>
        <v>Q5</v>
      </c>
      <c r="X896" s="79"/>
      <c r="Y896" s="44" t="str">
        <f>VLOOKUP(M896,Table1[#All],2,FALSE)</f>
        <v>Action</v>
      </c>
      <c r="Z896" s="59" t="str">
        <f>VLOOKUP(M896,Table1[#All],9,FALSE)</f>
        <v>Additional Notes:</v>
      </c>
      <c r="AA896" s="76"/>
      <c r="AB896" s="76"/>
      <c r="AC896" s="90" t="s">
        <v>91</v>
      </c>
      <c r="AD896" s="76" t="s">
        <v>91</v>
      </c>
      <c r="AE896" s="77"/>
      <c r="AF896" s="77"/>
      <c r="AG896" s="41" t="s">
        <v>91</v>
      </c>
    </row>
    <row r="897" spans="1:33" ht="21" hidden="1" x14ac:dyDescent="0.55000000000000004">
      <c r="A897" s="44" t="str">
        <f>Data!K896</f>
        <v>No Insurance</v>
      </c>
      <c r="B897" s="44">
        <f>Data!L896</f>
        <v>0</v>
      </c>
      <c r="C897" s="44" t="str">
        <f>Data!D896</f>
        <v>Rivas, Maria</v>
      </c>
      <c r="D897" s="82" t="str">
        <f>Data!F896</f>
        <v>000000</v>
      </c>
      <c r="E897" s="82" t="str">
        <f>Data!B896</f>
        <v>8894</v>
      </c>
      <c r="F897" s="44" t="str">
        <f>Data!A896</f>
        <v>Rivas, Maria</v>
      </c>
      <c r="G897" s="55" t="str">
        <f>Data!C896</f>
        <v>9/14/1969</v>
      </c>
      <c r="H897" s="56">
        <f>Data!H896</f>
        <v>44586</v>
      </c>
      <c r="I897" s="56" t="str">
        <f>Data!I896</f>
        <v>1/25/2022</v>
      </c>
      <c r="J897" s="57">
        <f>Data!J896</f>
        <v>72</v>
      </c>
      <c r="K897" s="58">
        <f t="shared" ca="1" si="15"/>
        <v>114</v>
      </c>
      <c r="L897" s="58">
        <f>Data!M896</f>
        <v>0</v>
      </c>
      <c r="M897" s="37" t="s">
        <v>26</v>
      </c>
      <c r="N897" s="43" t="str">
        <f>VLOOKUP(M897,Table1[#All],3,FALSE)</f>
        <v>Note</v>
      </c>
      <c r="O897" s="40" t="str">
        <f>VLOOKUP(M897,Table1[#All],4,FALSE)</f>
        <v>Q1</v>
      </c>
      <c r="P897" s="39"/>
      <c r="Q897" s="40" t="str">
        <f>VLOOKUP(M897,Table1[#All],5,FALSE)</f>
        <v>Q2</v>
      </c>
      <c r="R897" s="79"/>
      <c r="S897" s="40" t="str">
        <f>VLOOKUP(M897,Table1[#All],6,FALSE)</f>
        <v>Q3</v>
      </c>
      <c r="T897" s="79"/>
      <c r="U897" s="40" t="str">
        <f>VLOOKUP(M897,Table1[#All],7,FALSE)</f>
        <v>Q4</v>
      </c>
      <c r="V897" s="79"/>
      <c r="W897" s="40" t="str">
        <f>VLOOKUP(M897,Table1[#All],8,FALSE)</f>
        <v>Q5</v>
      </c>
      <c r="X897" s="79"/>
      <c r="Y897" s="44" t="str">
        <f>VLOOKUP(M897,Table1[#All],2,FALSE)</f>
        <v>Action</v>
      </c>
      <c r="Z897" s="59" t="str">
        <f>VLOOKUP(M897,Table1[#All],9,FALSE)</f>
        <v>Additional Notes:</v>
      </c>
      <c r="AA897" s="76"/>
      <c r="AB897" s="76"/>
      <c r="AC897" s="90" t="s">
        <v>91</v>
      </c>
      <c r="AD897" s="76" t="s">
        <v>91</v>
      </c>
      <c r="AE897" s="77"/>
      <c r="AF897" s="77"/>
      <c r="AG897" s="41" t="s">
        <v>91</v>
      </c>
    </row>
    <row r="898" spans="1:33" ht="21" hidden="1" x14ac:dyDescent="0.55000000000000004">
      <c r="A898" s="44" t="str">
        <f>Data!K897</f>
        <v>No Insurance</v>
      </c>
      <c r="B898" s="44">
        <f>Data!L897</f>
        <v>0</v>
      </c>
      <c r="C898" s="44" t="str">
        <f>Data!D897</f>
        <v xml:space="preserve">Bachmann, Steven </v>
      </c>
      <c r="D898" s="82" t="str">
        <f>Data!F897</f>
        <v>000000000000</v>
      </c>
      <c r="E898" s="82" t="str">
        <f>Data!B897</f>
        <v>8892</v>
      </c>
      <c r="F898" s="44" t="str">
        <f>Data!A897</f>
        <v xml:space="preserve">Bachmann, Steven </v>
      </c>
      <c r="G898" s="55" t="str">
        <f>Data!C897</f>
        <v>9/2/1967</v>
      </c>
      <c r="H898" s="56">
        <f>Data!H897</f>
        <v>44586</v>
      </c>
      <c r="I898" s="56" t="str">
        <f>Data!I897</f>
        <v>1/25/2022</v>
      </c>
      <c r="J898" s="57">
        <f>Data!J897</f>
        <v>152.4</v>
      </c>
      <c r="K898" s="58">
        <f t="shared" ca="1" si="15"/>
        <v>114</v>
      </c>
      <c r="L898" s="58">
        <f>Data!M897</f>
        <v>0</v>
      </c>
      <c r="M898" s="37" t="s">
        <v>26</v>
      </c>
      <c r="N898" s="43" t="str">
        <f>VLOOKUP(M898,Table1[#All],3,FALSE)</f>
        <v>Note</v>
      </c>
      <c r="O898" s="40" t="str">
        <f>VLOOKUP(M898,Table1[#All],4,FALSE)</f>
        <v>Q1</v>
      </c>
      <c r="P898" s="39"/>
      <c r="Q898" s="40" t="str">
        <f>VLOOKUP(M898,Table1[#All],5,FALSE)</f>
        <v>Q2</v>
      </c>
      <c r="R898" s="79"/>
      <c r="S898" s="40" t="str">
        <f>VLOOKUP(M898,Table1[#All],6,FALSE)</f>
        <v>Q3</v>
      </c>
      <c r="T898" s="79"/>
      <c r="U898" s="40" t="str">
        <f>VLOOKUP(M898,Table1[#All],7,FALSE)</f>
        <v>Q4</v>
      </c>
      <c r="V898" s="79"/>
      <c r="W898" s="40" t="str">
        <f>VLOOKUP(M898,Table1[#All],8,FALSE)</f>
        <v>Q5</v>
      </c>
      <c r="X898" s="79"/>
      <c r="Y898" s="44" t="str">
        <f>VLOOKUP(M898,Table1[#All],2,FALSE)</f>
        <v>Action</v>
      </c>
      <c r="Z898" s="59" t="str">
        <f>VLOOKUP(M898,Table1[#All],9,FALSE)</f>
        <v>Additional Notes:</v>
      </c>
      <c r="AA898" s="76"/>
      <c r="AB898" s="76"/>
      <c r="AC898" s="90" t="s">
        <v>91</v>
      </c>
      <c r="AD898" s="76" t="s">
        <v>91</v>
      </c>
      <c r="AE898" s="77"/>
      <c r="AF898" s="77"/>
      <c r="AG898" s="41" t="s">
        <v>91</v>
      </c>
    </row>
    <row r="899" spans="1:33" ht="21" hidden="1" x14ac:dyDescent="0.55000000000000004">
      <c r="A899" s="44" t="str">
        <f>Data!K898</f>
        <v>No Insurance</v>
      </c>
      <c r="B899" s="44">
        <f>Data!L898</f>
        <v>0</v>
      </c>
      <c r="C899" s="44" t="str">
        <f>Data!D898</f>
        <v>ABDEL KHALEQ, AMMAR MOHD AHMAD</v>
      </c>
      <c r="D899" s="82" t="str">
        <f>Data!F898</f>
        <v>000000000</v>
      </c>
      <c r="E899" s="82" t="str">
        <f>Data!B898</f>
        <v>8853</v>
      </c>
      <c r="F899" s="44" t="str">
        <f>Data!A898</f>
        <v>ABDEL KHALEQ, AMMAR MOHD AHMAD</v>
      </c>
      <c r="G899" s="55" t="str">
        <f>Data!C898</f>
        <v>7/21/1992</v>
      </c>
      <c r="H899" s="56">
        <f>Data!H898</f>
        <v>44574</v>
      </c>
      <c r="I899" s="56" t="str">
        <f>Data!I898</f>
        <v>1/17/2022</v>
      </c>
      <c r="J899" s="57">
        <f>Data!J898</f>
        <v>787.2</v>
      </c>
      <c r="K899" s="58">
        <f t="shared" ca="1" si="15"/>
        <v>122</v>
      </c>
      <c r="L899" s="58">
        <f>Data!M898</f>
        <v>0</v>
      </c>
      <c r="M899" s="37" t="s">
        <v>26</v>
      </c>
      <c r="N899" s="43" t="str">
        <f>VLOOKUP(M899,Table1[#All],3,FALSE)</f>
        <v>Note</v>
      </c>
      <c r="O899" s="40" t="str">
        <f>VLOOKUP(M899,Table1[#All],4,FALSE)</f>
        <v>Q1</v>
      </c>
      <c r="P899" s="39"/>
      <c r="Q899" s="40" t="str">
        <f>VLOOKUP(M899,Table1[#All],5,FALSE)</f>
        <v>Q2</v>
      </c>
      <c r="R899" s="79"/>
      <c r="S899" s="40" t="str">
        <f>VLOOKUP(M899,Table1[#All],6,FALSE)</f>
        <v>Q3</v>
      </c>
      <c r="T899" s="79"/>
      <c r="U899" s="40" t="str">
        <f>VLOOKUP(M899,Table1[#All],7,FALSE)</f>
        <v>Q4</v>
      </c>
      <c r="V899" s="79"/>
      <c r="W899" s="40" t="str">
        <f>VLOOKUP(M899,Table1[#All],8,FALSE)</f>
        <v>Q5</v>
      </c>
      <c r="X899" s="79"/>
      <c r="Y899" s="44" t="str">
        <f>VLOOKUP(M899,Table1[#All],2,FALSE)</f>
        <v>Action</v>
      </c>
      <c r="Z899" s="59" t="str">
        <f>VLOOKUP(M899,Table1[#All],9,FALSE)</f>
        <v>Additional Notes:</v>
      </c>
      <c r="AA899" s="76"/>
      <c r="AB899" s="76"/>
      <c r="AC899" s="90" t="s">
        <v>91</v>
      </c>
      <c r="AD899" s="76" t="s">
        <v>91</v>
      </c>
      <c r="AE899" s="77"/>
      <c r="AF899" s="77"/>
      <c r="AG899" s="41" t="s">
        <v>91</v>
      </c>
    </row>
    <row r="900" spans="1:33" ht="21" hidden="1" x14ac:dyDescent="0.55000000000000004">
      <c r="A900" s="44" t="str">
        <f>Data!K899</f>
        <v>No Insurance</v>
      </c>
      <c r="B900" s="44">
        <f>Data!L899</f>
        <v>0</v>
      </c>
      <c r="C900" s="44" t="str">
        <f>Data!D899</f>
        <v>Bedard, Marcia</v>
      </c>
      <c r="D900" s="82" t="str">
        <f>Data!F899</f>
        <v>803558567</v>
      </c>
      <c r="E900" s="82" t="str">
        <f>Data!B899</f>
        <v>8683</v>
      </c>
      <c r="F900" s="44" t="str">
        <f>Data!A899</f>
        <v>Bedard, Marcia</v>
      </c>
      <c r="G900" s="55" t="str">
        <f>Data!C899</f>
        <v>3/24/1947</v>
      </c>
      <c r="H900" s="56">
        <f>Data!H899</f>
        <v>44573</v>
      </c>
      <c r="I900" s="56" t="str">
        <f>Data!I899</f>
        <v>1/12/2022</v>
      </c>
      <c r="J900" s="57">
        <f>Data!J899</f>
        <v>1062</v>
      </c>
      <c r="K900" s="58">
        <f t="shared" ca="1" si="15"/>
        <v>127</v>
      </c>
      <c r="L900" s="58">
        <f>Data!M899</f>
        <v>0</v>
      </c>
      <c r="M900" s="37" t="s">
        <v>26</v>
      </c>
      <c r="N900" s="43" t="str">
        <f>VLOOKUP(M900,Table1[#All],3,FALSE)</f>
        <v>Note</v>
      </c>
      <c r="O900" s="40" t="str">
        <f>VLOOKUP(M900,Table1[#All],4,FALSE)</f>
        <v>Q1</v>
      </c>
      <c r="P900" s="39"/>
      <c r="Q900" s="40" t="str">
        <f>VLOOKUP(M900,Table1[#All],5,FALSE)</f>
        <v>Q2</v>
      </c>
      <c r="R900" s="79"/>
      <c r="S900" s="40" t="str">
        <f>VLOOKUP(M900,Table1[#All],6,FALSE)</f>
        <v>Q3</v>
      </c>
      <c r="T900" s="79"/>
      <c r="U900" s="40" t="str">
        <f>VLOOKUP(M900,Table1[#All],7,FALSE)</f>
        <v>Q4</v>
      </c>
      <c r="V900" s="79"/>
      <c r="W900" s="40" t="str">
        <f>VLOOKUP(M900,Table1[#All],8,FALSE)</f>
        <v>Q5</v>
      </c>
      <c r="X900" s="79"/>
      <c r="Y900" s="44" t="str">
        <f>VLOOKUP(M900,Table1[#All],2,FALSE)</f>
        <v>Action</v>
      </c>
      <c r="Z900" s="59" t="str">
        <f>VLOOKUP(M900,Table1[#All],9,FALSE)</f>
        <v>Additional Notes:</v>
      </c>
      <c r="AA900" s="76"/>
      <c r="AB900" s="76"/>
      <c r="AC900" s="90" t="s">
        <v>91</v>
      </c>
      <c r="AD900" s="76" t="s">
        <v>91</v>
      </c>
      <c r="AE900" s="77"/>
      <c r="AF900" s="77"/>
      <c r="AG900" s="41" t="s">
        <v>91</v>
      </c>
    </row>
    <row r="901" spans="1:33" ht="21" hidden="1" x14ac:dyDescent="0.55000000000000004">
      <c r="A901" s="44" t="str">
        <f>Data!K900</f>
        <v>No Insurance</v>
      </c>
      <c r="B901" s="44">
        <f>Data!L900</f>
        <v>0</v>
      </c>
      <c r="C901" s="44" t="str">
        <f>Data!D900</f>
        <v xml:space="preserve">Cox , Ryan </v>
      </c>
      <c r="D901" s="82" t="str">
        <f>Data!F900</f>
        <v/>
      </c>
      <c r="E901" s="82" t="str">
        <f>Data!B900</f>
        <v>8837</v>
      </c>
      <c r="F901" s="44" t="str">
        <f>Data!A900</f>
        <v xml:space="preserve">Cox , Ryan </v>
      </c>
      <c r="G901" s="55" t="str">
        <f>Data!C900</f>
        <v>12/22/1992</v>
      </c>
      <c r="H901" s="56">
        <f>Data!H900</f>
        <v>44573</v>
      </c>
      <c r="I901" s="56" t="str">
        <f>Data!I900</f>
        <v>1/12/2022</v>
      </c>
      <c r="J901" s="57">
        <f>Data!J900</f>
        <v>210</v>
      </c>
      <c r="K901" s="58">
        <f t="shared" ca="1" si="15"/>
        <v>127</v>
      </c>
      <c r="L901" s="58">
        <f>Data!M900</f>
        <v>0</v>
      </c>
      <c r="M901" s="37" t="s">
        <v>26</v>
      </c>
      <c r="N901" s="43" t="str">
        <f>VLOOKUP(M901,Table1[#All],3,FALSE)</f>
        <v>Note</v>
      </c>
      <c r="O901" s="40" t="str">
        <f>VLOOKUP(M901,Table1[#All],4,FALSE)</f>
        <v>Q1</v>
      </c>
      <c r="P901" s="39"/>
      <c r="Q901" s="40" t="str">
        <f>VLOOKUP(M901,Table1[#All],5,FALSE)</f>
        <v>Q2</v>
      </c>
      <c r="R901" s="79"/>
      <c r="S901" s="40" t="str">
        <f>VLOOKUP(M901,Table1[#All],6,FALSE)</f>
        <v>Q3</v>
      </c>
      <c r="T901" s="79"/>
      <c r="U901" s="40" t="str">
        <f>VLOOKUP(M901,Table1[#All],7,FALSE)</f>
        <v>Q4</v>
      </c>
      <c r="V901" s="79"/>
      <c r="W901" s="40" t="str">
        <f>VLOOKUP(M901,Table1[#All],8,FALSE)</f>
        <v>Q5</v>
      </c>
      <c r="X901" s="79"/>
      <c r="Y901" s="44" t="str">
        <f>VLOOKUP(M901,Table1[#All],2,FALSE)</f>
        <v>Action</v>
      </c>
      <c r="Z901" s="59" t="str">
        <f>VLOOKUP(M901,Table1[#All],9,FALSE)</f>
        <v>Additional Notes:</v>
      </c>
      <c r="AA901" s="76"/>
      <c r="AB901" s="76"/>
      <c r="AC901" s="90" t="s">
        <v>91</v>
      </c>
      <c r="AD901" s="76" t="s">
        <v>91</v>
      </c>
      <c r="AE901" s="77"/>
      <c r="AF901" s="77"/>
      <c r="AG901" s="41" t="s">
        <v>91</v>
      </c>
    </row>
    <row r="902" spans="1:33" ht="21" hidden="1" x14ac:dyDescent="0.55000000000000004">
      <c r="A902" s="44" t="str">
        <f>Data!K901</f>
        <v>No Insurance</v>
      </c>
      <c r="B902" s="44">
        <f>Data!L901</f>
        <v>0</v>
      </c>
      <c r="C902" s="44" t="str">
        <f>Data!D901</f>
        <v xml:space="preserve">Cruz Montes, Luis </v>
      </c>
      <c r="D902" s="82" t="str">
        <f>Data!F901</f>
        <v/>
      </c>
      <c r="E902" s="82" t="str">
        <f>Data!B901</f>
        <v>8718</v>
      </c>
      <c r="F902" s="44" t="str">
        <f>Data!A901</f>
        <v xml:space="preserve">Cruz Montes, Luis </v>
      </c>
      <c r="G902" s="55" t="str">
        <f>Data!C901</f>
        <v>8/5/1986</v>
      </c>
      <c r="H902" s="56">
        <f>Data!H901</f>
        <v>44553</v>
      </c>
      <c r="I902" s="56" t="str">
        <f>Data!I901</f>
        <v>12/23/2021</v>
      </c>
      <c r="J902" s="57">
        <f>Data!J901</f>
        <v>314.39999999999998</v>
      </c>
      <c r="K902" s="58">
        <f t="shared" ca="1" si="15"/>
        <v>147</v>
      </c>
      <c r="L902" s="58">
        <f>Data!M901</f>
        <v>0</v>
      </c>
      <c r="M902" s="37" t="s">
        <v>26</v>
      </c>
      <c r="N902" s="43" t="str">
        <f>VLOOKUP(M902,Table1[#All],3,FALSE)</f>
        <v>Note</v>
      </c>
      <c r="O902" s="40" t="str">
        <f>VLOOKUP(M902,Table1[#All],4,FALSE)</f>
        <v>Q1</v>
      </c>
      <c r="P902" s="39"/>
      <c r="Q902" s="40" t="str">
        <f>VLOOKUP(M902,Table1[#All],5,FALSE)</f>
        <v>Q2</v>
      </c>
      <c r="R902" s="79"/>
      <c r="S902" s="40" t="str">
        <f>VLOOKUP(M902,Table1[#All],6,FALSE)</f>
        <v>Q3</v>
      </c>
      <c r="T902" s="79"/>
      <c r="U902" s="40" t="str">
        <f>VLOOKUP(M902,Table1[#All],7,FALSE)</f>
        <v>Q4</v>
      </c>
      <c r="V902" s="79"/>
      <c r="W902" s="40" t="str">
        <f>VLOOKUP(M902,Table1[#All],8,FALSE)</f>
        <v>Q5</v>
      </c>
      <c r="X902" s="79"/>
      <c r="Y902" s="44" t="str">
        <f>VLOOKUP(M902,Table1[#All],2,FALSE)</f>
        <v>Action</v>
      </c>
      <c r="Z902" s="59" t="str">
        <f>VLOOKUP(M902,Table1[#All],9,FALSE)</f>
        <v>Additional Notes:</v>
      </c>
      <c r="AA902" s="76"/>
      <c r="AB902" s="76"/>
      <c r="AC902" s="90" t="s">
        <v>91</v>
      </c>
      <c r="AD902" s="76" t="s">
        <v>91</v>
      </c>
      <c r="AE902" s="77"/>
      <c r="AF902" s="77"/>
      <c r="AG902" s="41" t="s">
        <v>91</v>
      </c>
    </row>
    <row r="903" spans="1:33" ht="21" hidden="1" x14ac:dyDescent="0.55000000000000004">
      <c r="A903" s="44" t="str">
        <f>Data!K902</f>
        <v>No Insurance</v>
      </c>
      <c r="B903" s="44">
        <f>Data!L902</f>
        <v>0</v>
      </c>
      <c r="C903" s="44" t="str">
        <f>Data!D902</f>
        <v>Bedard, Marcia</v>
      </c>
      <c r="D903" s="82" t="str">
        <f>Data!F902</f>
        <v>803558567</v>
      </c>
      <c r="E903" s="82" t="str">
        <f>Data!B902</f>
        <v>8683</v>
      </c>
      <c r="F903" s="44" t="str">
        <f>Data!A902</f>
        <v>Bedard, Marcia</v>
      </c>
      <c r="G903" s="55" t="str">
        <f>Data!C902</f>
        <v>3/24/1947</v>
      </c>
      <c r="H903" s="56">
        <f>Data!H902</f>
        <v>44552</v>
      </c>
      <c r="I903" s="56" t="str">
        <f>Data!I902</f>
        <v>12/22/2021</v>
      </c>
      <c r="J903" s="57">
        <f>Data!J902</f>
        <v>253.2</v>
      </c>
      <c r="K903" s="58">
        <f t="shared" ca="1" si="15"/>
        <v>148</v>
      </c>
      <c r="L903" s="58">
        <f>Data!M902</f>
        <v>0</v>
      </c>
      <c r="M903" s="37" t="s">
        <v>26</v>
      </c>
      <c r="N903" s="43" t="str">
        <f>VLOOKUP(M903,Table1[#All],3,FALSE)</f>
        <v>Note</v>
      </c>
      <c r="O903" s="40" t="str">
        <f>VLOOKUP(M903,Table1[#All],4,FALSE)</f>
        <v>Q1</v>
      </c>
      <c r="P903" s="39"/>
      <c r="Q903" s="40" t="str">
        <f>VLOOKUP(M903,Table1[#All],5,FALSE)</f>
        <v>Q2</v>
      </c>
      <c r="R903" s="79"/>
      <c r="S903" s="40" t="str">
        <f>VLOOKUP(M903,Table1[#All],6,FALSE)</f>
        <v>Q3</v>
      </c>
      <c r="T903" s="79"/>
      <c r="U903" s="40" t="str">
        <f>VLOOKUP(M903,Table1[#All],7,FALSE)</f>
        <v>Q4</v>
      </c>
      <c r="V903" s="79"/>
      <c r="W903" s="40" t="str">
        <f>VLOOKUP(M903,Table1[#All],8,FALSE)</f>
        <v>Q5</v>
      </c>
      <c r="X903" s="79"/>
      <c r="Y903" s="44" t="str">
        <f>VLOOKUP(M903,Table1[#All],2,FALSE)</f>
        <v>Action</v>
      </c>
      <c r="Z903" s="59" t="str">
        <f>VLOOKUP(M903,Table1[#All],9,FALSE)</f>
        <v>Additional Notes:</v>
      </c>
      <c r="AA903" s="76"/>
      <c r="AB903" s="76"/>
      <c r="AC903" s="90" t="s">
        <v>91</v>
      </c>
      <c r="AD903" s="76" t="s">
        <v>91</v>
      </c>
      <c r="AE903" s="77"/>
      <c r="AF903" s="77"/>
      <c r="AG903" s="41" t="s">
        <v>91</v>
      </c>
    </row>
    <row r="904" spans="1:33" ht="21" hidden="1" x14ac:dyDescent="0.55000000000000004">
      <c r="A904" s="44" t="str">
        <f>Data!K903</f>
        <v>No Insurance</v>
      </c>
      <c r="B904" s="44">
        <f>Data!L903</f>
        <v>0</v>
      </c>
      <c r="C904" s="44" t="str">
        <f>Data!D903</f>
        <v>Silva, Maria</v>
      </c>
      <c r="D904" s="82" t="str">
        <f>Data!F903</f>
        <v>000000000000000</v>
      </c>
      <c r="E904" s="82" t="str">
        <f>Data!B903</f>
        <v>8001</v>
      </c>
      <c r="F904" s="44" t="str">
        <f>Data!A903</f>
        <v>Silva, Maria</v>
      </c>
      <c r="G904" s="55" t="str">
        <f>Data!C903</f>
        <v>5/17/1981</v>
      </c>
      <c r="H904" s="56">
        <f>Data!H903</f>
        <v>44551</v>
      </c>
      <c r="I904" s="56" t="str">
        <f>Data!I903</f>
        <v>12/21/2021</v>
      </c>
      <c r="J904" s="57">
        <f>Data!J903</f>
        <v>61.2</v>
      </c>
      <c r="K904" s="58">
        <f t="shared" ca="1" si="15"/>
        <v>149</v>
      </c>
      <c r="L904" s="58">
        <f>Data!M903</f>
        <v>0</v>
      </c>
      <c r="M904" s="37" t="s">
        <v>26</v>
      </c>
      <c r="N904" s="43" t="str">
        <f>VLOOKUP(M904,Table1[#All],3,FALSE)</f>
        <v>Note</v>
      </c>
      <c r="O904" s="40" t="str">
        <f>VLOOKUP(M904,Table1[#All],4,FALSE)</f>
        <v>Q1</v>
      </c>
      <c r="P904" s="39"/>
      <c r="Q904" s="40" t="str">
        <f>VLOOKUP(M904,Table1[#All],5,FALSE)</f>
        <v>Q2</v>
      </c>
      <c r="R904" s="79"/>
      <c r="S904" s="40" t="str">
        <f>VLOOKUP(M904,Table1[#All],6,FALSE)</f>
        <v>Q3</v>
      </c>
      <c r="T904" s="79"/>
      <c r="U904" s="40" t="str">
        <f>VLOOKUP(M904,Table1[#All],7,FALSE)</f>
        <v>Q4</v>
      </c>
      <c r="V904" s="79"/>
      <c r="W904" s="40" t="str">
        <f>VLOOKUP(M904,Table1[#All],8,FALSE)</f>
        <v>Q5</v>
      </c>
      <c r="X904" s="79"/>
      <c r="Y904" s="44" t="str">
        <f>VLOOKUP(M904,Table1[#All],2,FALSE)</f>
        <v>Action</v>
      </c>
      <c r="Z904" s="59" t="str">
        <f>VLOOKUP(M904,Table1[#All],9,FALSE)</f>
        <v>Additional Notes:</v>
      </c>
      <c r="AA904" s="76"/>
      <c r="AB904" s="76"/>
      <c r="AC904" s="90" t="s">
        <v>91</v>
      </c>
      <c r="AD904" s="76" t="s">
        <v>91</v>
      </c>
      <c r="AE904" s="77"/>
      <c r="AF904" s="77"/>
      <c r="AG904" s="41" t="s">
        <v>91</v>
      </c>
    </row>
    <row r="905" spans="1:33" ht="21" hidden="1" x14ac:dyDescent="0.55000000000000004">
      <c r="A905" s="44" t="str">
        <f>Data!K904</f>
        <v>No Insurance</v>
      </c>
      <c r="B905" s="44">
        <f>Data!L904</f>
        <v>0</v>
      </c>
      <c r="C905" s="44" t="str">
        <f>Data!D904</f>
        <v xml:space="preserve">Singh Khashre, Manjeet </v>
      </c>
      <c r="D905" s="82" t="str">
        <f>Data!F904</f>
        <v>000000000000</v>
      </c>
      <c r="E905" s="82" t="str">
        <f>Data!B904</f>
        <v>7678</v>
      </c>
      <c r="F905" s="44" t="str">
        <f>Data!A904</f>
        <v xml:space="preserve">Singh Khashre, Manjeet </v>
      </c>
      <c r="G905" s="55" t="str">
        <f>Data!C904</f>
        <v>3/26/1982</v>
      </c>
      <c r="H905" s="56">
        <f>Data!H904</f>
        <v>44548</v>
      </c>
      <c r="I905" s="56" t="str">
        <f>Data!I904</f>
        <v>12/18/2021</v>
      </c>
      <c r="J905" s="57">
        <f>Data!J904</f>
        <v>72</v>
      </c>
      <c r="K905" s="58">
        <f t="shared" ca="1" si="15"/>
        <v>152</v>
      </c>
      <c r="L905" s="58">
        <f>Data!M904</f>
        <v>0</v>
      </c>
      <c r="M905" s="37" t="s">
        <v>26</v>
      </c>
      <c r="N905" s="43" t="str">
        <f>VLOOKUP(M905,Table1[#All],3,FALSE)</f>
        <v>Note</v>
      </c>
      <c r="O905" s="40" t="str">
        <f>VLOOKUP(M905,Table1[#All],4,FALSE)</f>
        <v>Q1</v>
      </c>
      <c r="P905" s="39"/>
      <c r="Q905" s="40" t="str">
        <f>VLOOKUP(M905,Table1[#All],5,FALSE)</f>
        <v>Q2</v>
      </c>
      <c r="R905" s="79"/>
      <c r="S905" s="40" t="str">
        <f>VLOOKUP(M905,Table1[#All],6,FALSE)</f>
        <v>Q3</v>
      </c>
      <c r="T905" s="79"/>
      <c r="U905" s="40" t="str">
        <f>VLOOKUP(M905,Table1[#All],7,FALSE)</f>
        <v>Q4</v>
      </c>
      <c r="V905" s="79"/>
      <c r="W905" s="40" t="str">
        <f>VLOOKUP(M905,Table1[#All],8,FALSE)</f>
        <v>Q5</v>
      </c>
      <c r="X905" s="79"/>
      <c r="Y905" s="44" t="str">
        <f>VLOOKUP(M905,Table1[#All],2,FALSE)</f>
        <v>Action</v>
      </c>
      <c r="Z905" s="59" t="str">
        <f>VLOOKUP(M905,Table1[#All],9,FALSE)</f>
        <v>Additional Notes:</v>
      </c>
      <c r="AA905" s="76"/>
      <c r="AB905" s="76"/>
      <c r="AC905" s="90" t="s">
        <v>91</v>
      </c>
      <c r="AD905" s="76" t="s">
        <v>91</v>
      </c>
      <c r="AE905" s="77"/>
      <c r="AF905" s="77"/>
      <c r="AG905" s="41" t="s">
        <v>91</v>
      </c>
    </row>
    <row r="906" spans="1:33" ht="21" hidden="1" x14ac:dyDescent="0.55000000000000004">
      <c r="A906" s="44" t="str">
        <f>Data!K905</f>
        <v>No Insurance</v>
      </c>
      <c r="B906" s="44">
        <f>Data!L905</f>
        <v>0</v>
      </c>
      <c r="C906" s="44" t="str">
        <f>Data!D905</f>
        <v>Ricchio, Adam</v>
      </c>
      <c r="D906" s="82" t="str">
        <f>Data!F905</f>
        <v/>
      </c>
      <c r="E906" s="82" t="str">
        <f>Data!B905</f>
        <v>8688</v>
      </c>
      <c r="F906" s="44" t="str">
        <f>Data!A905</f>
        <v>Ricchio, Adam</v>
      </c>
      <c r="G906" s="55" t="str">
        <f>Data!C905</f>
        <v>2/2/1994</v>
      </c>
      <c r="H906" s="56">
        <f>Data!H905</f>
        <v>44548</v>
      </c>
      <c r="I906" s="56" t="str">
        <f>Data!I905</f>
        <v>12/18/2021</v>
      </c>
      <c r="J906" s="57">
        <f>Data!J905</f>
        <v>405.6</v>
      </c>
      <c r="K906" s="58">
        <f t="shared" ca="1" si="15"/>
        <v>152</v>
      </c>
      <c r="L906" s="58">
        <f>Data!M905</f>
        <v>0</v>
      </c>
      <c r="M906" s="37" t="s">
        <v>26</v>
      </c>
      <c r="N906" s="43" t="str">
        <f>VLOOKUP(M906,Table1[#All],3,FALSE)</f>
        <v>Note</v>
      </c>
      <c r="O906" s="40" t="str">
        <f>VLOOKUP(M906,Table1[#All],4,FALSE)</f>
        <v>Q1</v>
      </c>
      <c r="P906" s="39"/>
      <c r="Q906" s="40" t="str">
        <f>VLOOKUP(M906,Table1[#All],5,FALSE)</f>
        <v>Q2</v>
      </c>
      <c r="R906" s="79"/>
      <c r="S906" s="40" t="str">
        <f>VLOOKUP(M906,Table1[#All],6,FALSE)</f>
        <v>Q3</v>
      </c>
      <c r="T906" s="79"/>
      <c r="U906" s="40" t="str">
        <f>VLOOKUP(M906,Table1[#All],7,FALSE)</f>
        <v>Q4</v>
      </c>
      <c r="V906" s="79"/>
      <c r="W906" s="40" t="str">
        <f>VLOOKUP(M906,Table1[#All],8,FALSE)</f>
        <v>Q5</v>
      </c>
      <c r="X906" s="79"/>
      <c r="Y906" s="44" t="str">
        <f>VLOOKUP(M906,Table1[#All],2,FALSE)</f>
        <v>Action</v>
      </c>
      <c r="Z906" s="59" t="str">
        <f>VLOOKUP(M906,Table1[#All],9,FALSE)</f>
        <v>Additional Notes:</v>
      </c>
      <c r="AA906" s="76"/>
      <c r="AB906" s="76"/>
      <c r="AC906" s="90" t="s">
        <v>91</v>
      </c>
      <c r="AD906" s="76" t="s">
        <v>91</v>
      </c>
      <c r="AE906" s="77"/>
      <c r="AF906" s="77"/>
      <c r="AG906" s="41" t="s">
        <v>91</v>
      </c>
    </row>
    <row r="907" spans="1:33" ht="21" hidden="1" x14ac:dyDescent="0.55000000000000004">
      <c r="A907" s="44" t="str">
        <f>Data!K906</f>
        <v>No Insurance</v>
      </c>
      <c r="B907" s="44">
        <f>Data!L906</f>
        <v>0</v>
      </c>
      <c r="C907" s="44" t="str">
        <f>Data!D906</f>
        <v xml:space="preserve">Howell Stewart , Cynthia </v>
      </c>
      <c r="D907" s="82" t="str">
        <f>Data!F906</f>
        <v>00000000</v>
      </c>
      <c r="E907" s="82" t="str">
        <f>Data!B906</f>
        <v>8663</v>
      </c>
      <c r="F907" s="44" t="str">
        <f>Data!A906</f>
        <v xml:space="preserve">Howell Stewart , Cynthia </v>
      </c>
      <c r="G907" s="55" t="str">
        <f>Data!C906</f>
        <v>7/27/1960</v>
      </c>
      <c r="H907" s="56">
        <f>Data!H906</f>
        <v>44540</v>
      </c>
      <c r="I907" s="56" t="str">
        <f>Data!I906</f>
        <v>12/20/2021</v>
      </c>
      <c r="J907" s="57">
        <f>Data!J906</f>
        <v>61.2</v>
      </c>
      <c r="K907" s="58">
        <f t="shared" ca="1" si="15"/>
        <v>150</v>
      </c>
      <c r="L907" s="58">
        <f>Data!M906</f>
        <v>0</v>
      </c>
      <c r="M907" s="37" t="s">
        <v>26</v>
      </c>
      <c r="N907" s="43" t="str">
        <f>VLOOKUP(M907,Table1[#All],3,FALSE)</f>
        <v>Note</v>
      </c>
      <c r="O907" s="40" t="str">
        <f>VLOOKUP(M907,Table1[#All],4,FALSE)</f>
        <v>Q1</v>
      </c>
      <c r="P907" s="39"/>
      <c r="Q907" s="40" t="str">
        <f>VLOOKUP(M907,Table1[#All],5,FALSE)</f>
        <v>Q2</v>
      </c>
      <c r="R907" s="79"/>
      <c r="S907" s="40" t="str">
        <f>VLOOKUP(M907,Table1[#All],6,FALSE)</f>
        <v>Q3</v>
      </c>
      <c r="T907" s="79"/>
      <c r="U907" s="40" t="str">
        <f>VLOOKUP(M907,Table1[#All],7,FALSE)</f>
        <v>Q4</v>
      </c>
      <c r="V907" s="79"/>
      <c r="W907" s="40" t="str">
        <f>VLOOKUP(M907,Table1[#All],8,FALSE)</f>
        <v>Q5</v>
      </c>
      <c r="X907" s="79"/>
      <c r="Y907" s="44" t="str">
        <f>VLOOKUP(M907,Table1[#All],2,FALSE)</f>
        <v>Action</v>
      </c>
      <c r="Z907" s="59" t="str">
        <f>VLOOKUP(M907,Table1[#All],9,FALSE)</f>
        <v>Additional Notes:</v>
      </c>
      <c r="AA907" s="76"/>
      <c r="AB907" s="76"/>
      <c r="AC907" s="90" t="s">
        <v>91</v>
      </c>
      <c r="AD907" s="76" t="s">
        <v>91</v>
      </c>
      <c r="AE907" s="77"/>
      <c r="AF907" s="77"/>
      <c r="AG907" s="41" t="s">
        <v>91</v>
      </c>
    </row>
    <row r="908" spans="1:33" ht="21" hidden="1" x14ac:dyDescent="0.55000000000000004">
      <c r="A908" s="44" t="str">
        <f>Data!K907</f>
        <v>No Insurance</v>
      </c>
      <c r="B908" s="44">
        <f>Data!L907</f>
        <v>0</v>
      </c>
      <c r="C908" s="44" t="str">
        <f>Data!D907</f>
        <v>Herredia, Valeria</v>
      </c>
      <c r="D908" s="82" t="str">
        <f>Data!F907</f>
        <v/>
      </c>
      <c r="E908" s="82" t="str">
        <f>Data!B907</f>
        <v>8455</v>
      </c>
      <c r="F908" s="44" t="str">
        <f>Data!A907</f>
        <v>Herredia, Valeria</v>
      </c>
      <c r="G908" s="55" t="str">
        <f>Data!C907</f>
        <v>6/20/2013</v>
      </c>
      <c r="H908" s="56">
        <f>Data!H907</f>
        <v>44547</v>
      </c>
      <c r="I908" s="56" t="str">
        <f>Data!I907</f>
        <v>12/17/2021</v>
      </c>
      <c r="J908" s="57">
        <f>Data!J907</f>
        <v>1636</v>
      </c>
      <c r="K908" s="58">
        <f t="shared" ca="1" si="15"/>
        <v>153</v>
      </c>
      <c r="L908" s="58">
        <f>Data!M907</f>
        <v>0</v>
      </c>
      <c r="M908" s="37" t="s">
        <v>26</v>
      </c>
      <c r="N908" s="43" t="str">
        <f>VLOOKUP(M908,Table1[#All],3,FALSE)</f>
        <v>Note</v>
      </c>
      <c r="O908" s="40" t="str">
        <f>VLOOKUP(M908,Table1[#All],4,FALSE)</f>
        <v>Q1</v>
      </c>
      <c r="P908" s="39"/>
      <c r="Q908" s="40" t="str">
        <f>VLOOKUP(M908,Table1[#All],5,FALSE)</f>
        <v>Q2</v>
      </c>
      <c r="R908" s="79"/>
      <c r="S908" s="40" t="str">
        <f>VLOOKUP(M908,Table1[#All],6,FALSE)</f>
        <v>Q3</v>
      </c>
      <c r="T908" s="79"/>
      <c r="U908" s="40" t="str">
        <f>VLOOKUP(M908,Table1[#All],7,FALSE)</f>
        <v>Q4</v>
      </c>
      <c r="V908" s="79"/>
      <c r="W908" s="40" t="str">
        <f>VLOOKUP(M908,Table1[#All],8,FALSE)</f>
        <v>Q5</v>
      </c>
      <c r="X908" s="79"/>
      <c r="Y908" s="44" t="str">
        <f>VLOOKUP(M908,Table1[#All],2,FALSE)</f>
        <v>Action</v>
      </c>
      <c r="Z908" s="59" t="str">
        <f>VLOOKUP(M908,Table1[#All],9,FALSE)</f>
        <v>Additional Notes:</v>
      </c>
      <c r="AA908" s="76"/>
      <c r="AB908" s="76"/>
      <c r="AC908" s="90" t="s">
        <v>91</v>
      </c>
      <c r="AD908" s="76" t="s">
        <v>91</v>
      </c>
      <c r="AE908" s="77"/>
      <c r="AF908" s="77"/>
      <c r="AG908" s="41" t="s">
        <v>91</v>
      </c>
    </row>
    <row r="909" spans="1:33" ht="21" hidden="1" x14ac:dyDescent="0.55000000000000004">
      <c r="A909" s="44" t="str">
        <f>Data!K908</f>
        <v>No Insurance</v>
      </c>
      <c r="B909" s="44">
        <f>Data!L908</f>
        <v>0</v>
      </c>
      <c r="C909" s="44" t="str">
        <f>Data!D908</f>
        <v xml:space="preserve">Oliver , Kelly </v>
      </c>
      <c r="D909" s="82" t="str">
        <f>Data!F908</f>
        <v/>
      </c>
      <c r="E909" s="82" t="str">
        <f>Data!B908</f>
        <v>6947</v>
      </c>
      <c r="F909" s="44" t="str">
        <f>Data!A908</f>
        <v xml:space="preserve">Oliver , Kelly </v>
      </c>
      <c r="G909" s="55" t="str">
        <f>Data!C908</f>
        <v>11/15/1987</v>
      </c>
      <c r="H909" s="56">
        <f>Data!H908</f>
        <v>44537</v>
      </c>
      <c r="I909" s="56" t="str">
        <f>Data!I908</f>
        <v>12/7/2021</v>
      </c>
      <c r="J909" s="57">
        <f>Data!J908</f>
        <v>61.2</v>
      </c>
      <c r="K909" s="58">
        <f t="shared" ca="1" si="15"/>
        <v>163</v>
      </c>
      <c r="L909" s="58">
        <f>Data!M908</f>
        <v>0</v>
      </c>
      <c r="M909" s="37" t="s">
        <v>26</v>
      </c>
      <c r="N909" s="43" t="str">
        <f>VLOOKUP(M909,Table1[#All],3,FALSE)</f>
        <v>Note</v>
      </c>
      <c r="O909" s="40" t="str">
        <f>VLOOKUP(M909,Table1[#All],4,FALSE)</f>
        <v>Q1</v>
      </c>
      <c r="P909" s="39"/>
      <c r="Q909" s="40" t="str">
        <f>VLOOKUP(M909,Table1[#All],5,FALSE)</f>
        <v>Q2</v>
      </c>
      <c r="R909" s="79"/>
      <c r="S909" s="40" t="str">
        <f>VLOOKUP(M909,Table1[#All],6,FALSE)</f>
        <v>Q3</v>
      </c>
      <c r="T909" s="79"/>
      <c r="U909" s="40" t="str">
        <f>VLOOKUP(M909,Table1[#All],7,FALSE)</f>
        <v>Q4</v>
      </c>
      <c r="V909" s="79"/>
      <c r="W909" s="40" t="str">
        <f>VLOOKUP(M909,Table1[#All],8,FALSE)</f>
        <v>Q5</v>
      </c>
      <c r="X909" s="79"/>
      <c r="Y909" s="44" t="str">
        <f>VLOOKUP(M909,Table1[#All],2,FALSE)</f>
        <v>Action</v>
      </c>
      <c r="Z909" s="59" t="str">
        <f>VLOOKUP(M909,Table1[#All],9,FALSE)</f>
        <v>Additional Notes:</v>
      </c>
      <c r="AA909" s="76"/>
      <c r="AB909" s="76"/>
      <c r="AC909" s="90" t="s">
        <v>91</v>
      </c>
      <c r="AD909" s="76" t="s">
        <v>91</v>
      </c>
      <c r="AE909" s="77"/>
      <c r="AF909" s="77"/>
      <c r="AG909" s="41" t="s">
        <v>91</v>
      </c>
    </row>
    <row r="910" spans="1:33" ht="21" hidden="1" x14ac:dyDescent="0.55000000000000004">
      <c r="A910" s="44" t="str">
        <f>Data!K909</f>
        <v>No Insurance</v>
      </c>
      <c r="B910" s="44">
        <f>Data!L909</f>
        <v>0</v>
      </c>
      <c r="C910" s="44" t="str">
        <f>Data!D909</f>
        <v>Garcia Luis, Maria De Jesus</v>
      </c>
      <c r="D910" s="82" t="str">
        <f>Data!F909</f>
        <v/>
      </c>
      <c r="E910" s="82" t="str">
        <f>Data!B909</f>
        <v>2691</v>
      </c>
      <c r="F910" s="44" t="str">
        <f>Data!A909</f>
        <v>Garcia Luis, Maria De Jesus</v>
      </c>
      <c r="G910" s="55" t="str">
        <f>Data!C909</f>
        <v>4/17/1986</v>
      </c>
      <c r="H910" s="56">
        <f>Data!H909</f>
        <v>44532</v>
      </c>
      <c r="I910" s="56" t="str">
        <f>Data!I909</f>
        <v>12/2/2021</v>
      </c>
      <c r="J910" s="57">
        <f>Data!J909</f>
        <v>314.39999999999998</v>
      </c>
      <c r="K910" s="58">
        <f t="shared" ca="1" si="15"/>
        <v>168</v>
      </c>
      <c r="L910" s="58">
        <f>Data!M909</f>
        <v>0</v>
      </c>
      <c r="M910" s="37" t="s">
        <v>26</v>
      </c>
      <c r="N910" s="43" t="str">
        <f>VLOOKUP(M910,Table1[#All],3,FALSE)</f>
        <v>Note</v>
      </c>
      <c r="O910" s="40" t="str">
        <f>VLOOKUP(M910,Table1[#All],4,FALSE)</f>
        <v>Q1</v>
      </c>
      <c r="P910" s="39"/>
      <c r="Q910" s="40" t="str">
        <f>VLOOKUP(M910,Table1[#All],5,FALSE)</f>
        <v>Q2</v>
      </c>
      <c r="R910" s="79"/>
      <c r="S910" s="40" t="str">
        <f>VLOOKUP(M910,Table1[#All],6,FALSE)</f>
        <v>Q3</v>
      </c>
      <c r="T910" s="79"/>
      <c r="U910" s="40" t="str">
        <f>VLOOKUP(M910,Table1[#All],7,FALSE)</f>
        <v>Q4</v>
      </c>
      <c r="V910" s="79"/>
      <c r="W910" s="40" t="str">
        <f>VLOOKUP(M910,Table1[#All],8,FALSE)</f>
        <v>Q5</v>
      </c>
      <c r="X910" s="79"/>
      <c r="Y910" s="44" t="str">
        <f>VLOOKUP(M910,Table1[#All],2,FALSE)</f>
        <v>Action</v>
      </c>
      <c r="Z910" s="59" t="str">
        <f>VLOOKUP(M910,Table1[#All],9,FALSE)</f>
        <v>Additional Notes:</v>
      </c>
      <c r="AA910" s="76"/>
      <c r="AB910" s="76"/>
      <c r="AC910" s="90" t="s">
        <v>91</v>
      </c>
      <c r="AD910" s="76" t="s">
        <v>91</v>
      </c>
      <c r="AE910" s="77"/>
      <c r="AF910" s="77"/>
      <c r="AG910" s="41" t="s">
        <v>91</v>
      </c>
    </row>
    <row r="911" spans="1:33" ht="21" hidden="1" x14ac:dyDescent="0.55000000000000004">
      <c r="A911" s="44" t="str">
        <f>Data!K910</f>
        <v>No Insurance</v>
      </c>
      <c r="B911" s="44">
        <f>Data!L910</f>
        <v>0</v>
      </c>
      <c r="C911" s="44" t="str">
        <f>Data!D910</f>
        <v>Arrcho, Maria</v>
      </c>
      <c r="D911" s="82" t="str">
        <f>Data!F910</f>
        <v/>
      </c>
      <c r="E911" s="82" t="str">
        <f>Data!B910</f>
        <v>8547</v>
      </c>
      <c r="F911" s="44" t="str">
        <f>Data!A910</f>
        <v>Arrcho, Maria</v>
      </c>
      <c r="G911" s="55" t="str">
        <f>Data!C910</f>
        <v>5/23/1972</v>
      </c>
      <c r="H911" s="56">
        <f>Data!H910</f>
        <v>44530</v>
      </c>
      <c r="I911" s="56" t="str">
        <f>Data!I910</f>
        <v>11/30/2021</v>
      </c>
      <c r="J911" s="57">
        <f>Data!J910</f>
        <v>61.2</v>
      </c>
      <c r="K911" s="58">
        <f t="shared" ca="1" si="15"/>
        <v>170</v>
      </c>
      <c r="L911" s="58">
        <f>Data!M910</f>
        <v>0</v>
      </c>
      <c r="M911" s="37" t="s">
        <v>26</v>
      </c>
      <c r="N911" s="43" t="str">
        <f>VLOOKUP(M911,Table1[#All],3,FALSE)</f>
        <v>Note</v>
      </c>
      <c r="O911" s="40" t="str">
        <f>VLOOKUP(M911,Table1[#All],4,FALSE)</f>
        <v>Q1</v>
      </c>
      <c r="P911" s="39"/>
      <c r="Q911" s="40" t="str">
        <f>VLOOKUP(M911,Table1[#All],5,FALSE)</f>
        <v>Q2</v>
      </c>
      <c r="R911" s="79"/>
      <c r="S911" s="40" t="str">
        <f>VLOOKUP(M911,Table1[#All],6,FALSE)</f>
        <v>Q3</v>
      </c>
      <c r="T911" s="79"/>
      <c r="U911" s="40" t="str">
        <f>VLOOKUP(M911,Table1[#All],7,FALSE)</f>
        <v>Q4</v>
      </c>
      <c r="V911" s="79"/>
      <c r="W911" s="40" t="str">
        <f>VLOOKUP(M911,Table1[#All],8,FALSE)</f>
        <v>Q5</v>
      </c>
      <c r="X911" s="79"/>
      <c r="Y911" s="44" t="str">
        <f>VLOOKUP(M911,Table1[#All],2,FALSE)</f>
        <v>Action</v>
      </c>
      <c r="Z911" s="59" t="str">
        <f>VLOOKUP(M911,Table1[#All],9,FALSE)</f>
        <v>Additional Notes:</v>
      </c>
      <c r="AA911" s="76"/>
      <c r="AB911" s="76"/>
      <c r="AC911" s="90" t="s">
        <v>91</v>
      </c>
      <c r="AD911" s="76" t="s">
        <v>91</v>
      </c>
      <c r="AE911" s="77"/>
      <c r="AF911" s="77"/>
      <c r="AG911" s="41" t="s">
        <v>91</v>
      </c>
    </row>
    <row r="912" spans="1:33" ht="21" hidden="1" x14ac:dyDescent="0.55000000000000004">
      <c r="A912" s="44" t="str">
        <f>Data!K911</f>
        <v>No Insurance</v>
      </c>
      <c r="B912" s="44">
        <f>Data!L911</f>
        <v>0</v>
      </c>
      <c r="C912" s="44" t="str">
        <f>Data!D911</f>
        <v>Pearson, Gilbert</v>
      </c>
      <c r="D912" s="82" t="str">
        <f>Data!F911</f>
        <v>0000000000</v>
      </c>
      <c r="E912" s="82" t="str">
        <f>Data!B911</f>
        <v>8545</v>
      </c>
      <c r="F912" s="44" t="str">
        <f>Data!A911</f>
        <v>Pearson, Gilbert</v>
      </c>
      <c r="G912" s="55" t="str">
        <f>Data!C911</f>
        <v>11/2/1944</v>
      </c>
      <c r="H912" s="56">
        <f>Data!H911</f>
        <v>44529</v>
      </c>
      <c r="I912" s="56" t="str">
        <f>Data!I911</f>
        <v>12/9/2021</v>
      </c>
      <c r="J912" s="57">
        <f>Data!J911</f>
        <v>72</v>
      </c>
      <c r="K912" s="58">
        <f t="shared" ca="1" si="15"/>
        <v>161</v>
      </c>
      <c r="L912" s="58">
        <f>Data!M911</f>
        <v>0</v>
      </c>
      <c r="M912" s="37" t="s">
        <v>26</v>
      </c>
      <c r="N912" s="43" t="str">
        <f>VLOOKUP(M912,Table1[#All],3,FALSE)</f>
        <v>Note</v>
      </c>
      <c r="O912" s="40" t="str">
        <f>VLOOKUP(M912,Table1[#All],4,FALSE)</f>
        <v>Q1</v>
      </c>
      <c r="P912" s="39"/>
      <c r="Q912" s="40" t="str">
        <f>VLOOKUP(M912,Table1[#All],5,FALSE)</f>
        <v>Q2</v>
      </c>
      <c r="R912" s="79"/>
      <c r="S912" s="40" t="str">
        <f>VLOOKUP(M912,Table1[#All],6,FALSE)</f>
        <v>Q3</v>
      </c>
      <c r="T912" s="79"/>
      <c r="U912" s="40" t="str">
        <f>VLOOKUP(M912,Table1[#All],7,FALSE)</f>
        <v>Q4</v>
      </c>
      <c r="V912" s="79"/>
      <c r="W912" s="40" t="str">
        <f>VLOOKUP(M912,Table1[#All],8,FALSE)</f>
        <v>Q5</v>
      </c>
      <c r="X912" s="79"/>
      <c r="Y912" s="44" t="str">
        <f>VLOOKUP(M912,Table1[#All],2,FALSE)</f>
        <v>Action</v>
      </c>
      <c r="Z912" s="59" t="str">
        <f>VLOOKUP(M912,Table1[#All],9,FALSE)</f>
        <v>Additional Notes:</v>
      </c>
      <c r="AA912" s="76"/>
      <c r="AB912" s="76"/>
      <c r="AC912" s="90" t="s">
        <v>91</v>
      </c>
      <c r="AD912" s="76" t="s">
        <v>91</v>
      </c>
      <c r="AE912" s="77"/>
      <c r="AF912" s="77"/>
      <c r="AG912" s="41" t="s">
        <v>91</v>
      </c>
    </row>
    <row r="913" spans="1:33" ht="21" hidden="1" x14ac:dyDescent="0.55000000000000004">
      <c r="A913" s="44" t="str">
        <f>Data!K912</f>
        <v>No Insurance</v>
      </c>
      <c r="B913" s="44">
        <f>Data!L912</f>
        <v>0</v>
      </c>
      <c r="C913" s="44" t="str">
        <f>Data!D912</f>
        <v>Carmona, Alejo</v>
      </c>
      <c r="D913" s="82" t="str">
        <f>Data!F912</f>
        <v>00000000000</v>
      </c>
      <c r="E913" s="82" t="str">
        <f>Data!B912</f>
        <v>8457</v>
      </c>
      <c r="F913" s="44" t="str">
        <f>Data!A912</f>
        <v>Carmona, Alejo</v>
      </c>
      <c r="G913" s="55" t="str">
        <f>Data!C912</f>
        <v>3/25/1970</v>
      </c>
      <c r="H913" s="56">
        <f>Data!H912</f>
        <v>44513</v>
      </c>
      <c r="I913" s="56" t="str">
        <f>Data!I912</f>
        <v>11/13/2021</v>
      </c>
      <c r="J913" s="57">
        <f>Data!J912</f>
        <v>210</v>
      </c>
      <c r="K913" s="58">
        <f t="shared" ca="1" si="15"/>
        <v>187</v>
      </c>
      <c r="L913" s="58">
        <f>Data!M912</f>
        <v>0</v>
      </c>
      <c r="M913" s="37" t="s">
        <v>26</v>
      </c>
      <c r="N913" s="43" t="str">
        <f>VLOOKUP(M913,Table1[#All],3,FALSE)</f>
        <v>Note</v>
      </c>
      <c r="O913" s="40" t="str">
        <f>VLOOKUP(M913,Table1[#All],4,FALSE)</f>
        <v>Q1</v>
      </c>
      <c r="P913" s="39"/>
      <c r="Q913" s="40" t="str">
        <f>VLOOKUP(M913,Table1[#All],5,FALSE)</f>
        <v>Q2</v>
      </c>
      <c r="R913" s="79"/>
      <c r="S913" s="40" t="str">
        <f>VLOOKUP(M913,Table1[#All],6,FALSE)</f>
        <v>Q3</v>
      </c>
      <c r="T913" s="79"/>
      <c r="U913" s="40" t="str">
        <f>VLOOKUP(M913,Table1[#All],7,FALSE)</f>
        <v>Q4</v>
      </c>
      <c r="V913" s="79"/>
      <c r="W913" s="40" t="str">
        <f>VLOOKUP(M913,Table1[#All],8,FALSE)</f>
        <v>Q5</v>
      </c>
      <c r="X913" s="79"/>
      <c r="Y913" s="44" t="str">
        <f>VLOOKUP(M913,Table1[#All],2,FALSE)</f>
        <v>Action</v>
      </c>
      <c r="Z913" s="59" t="str">
        <f>VLOOKUP(M913,Table1[#All],9,FALSE)</f>
        <v>Additional Notes:</v>
      </c>
      <c r="AA913" s="76"/>
      <c r="AB913" s="76"/>
      <c r="AC913" s="90" t="s">
        <v>91</v>
      </c>
      <c r="AD913" s="76" t="s">
        <v>91</v>
      </c>
      <c r="AE913" s="77"/>
      <c r="AF913" s="77"/>
      <c r="AG913" s="41" t="s">
        <v>91</v>
      </c>
    </row>
    <row r="914" spans="1:33" ht="21" hidden="1" x14ac:dyDescent="0.55000000000000004">
      <c r="A914" s="44" t="str">
        <f>Data!K913</f>
        <v>No Insurance</v>
      </c>
      <c r="B914" s="44">
        <f>Data!L913</f>
        <v>0</v>
      </c>
      <c r="C914" s="44" t="str">
        <f>Data!D913</f>
        <v xml:space="preserve">Cain, Adam </v>
      </c>
      <c r="D914" s="82" t="str">
        <f>Data!F913</f>
        <v/>
      </c>
      <c r="E914" s="82" t="str">
        <f>Data!B913</f>
        <v>8343</v>
      </c>
      <c r="F914" s="44" t="str">
        <f>Data!A913</f>
        <v xml:space="preserve">Cain, Adam </v>
      </c>
      <c r="G914" s="55" t="str">
        <f>Data!C913</f>
        <v>6/12/1991</v>
      </c>
      <c r="H914" s="56">
        <f>Data!H913</f>
        <v>44512</v>
      </c>
      <c r="I914" s="56" t="str">
        <f>Data!I913</f>
        <v>11/12/2021</v>
      </c>
      <c r="J914" s="57">
        <f>Data!J913</f>
        <v>396</v>
      </c>
      <c r="K914" s="58">
        <f t="shared" ca="1" si="15"/>
        <v>188</v>
      </c>
      <c r="L914" s="58">
        <f>Data!M913</f>
        <v>0</v>
      </c>
      <c r="M914" s="37" t="s">
        <v>26</v>
      </c>
      <c r="N914" s="43" t="str">
        <f>VLOOKUP(M914,Table1[#All],3,FALSE)</f>
        <v>Note</v>
      </c>
      <c r="O914" s="40" t="str">
        <f>VLOOKUP(M914,Table1[#All],4,FALSE)</f>
        <v>Q1</v>
      </c>
      <c r="P914" s="39"/>
      <c r="Q914" s="40" t="str">
        <f>VLOOKUP(M914,Table1[#All],5,FALSE)</f>
        <v>Q2</v>
      </c>
      <c r="R914" s="79"/>
      <c r="S914" s="40" t="str">
        <f>VLOOKUP(M914,Table1[#All],6,FALSE)</f>
        <v>Q3</v>
      </c>
      <c r="T914" s="79"/>
      <c r="U914" s="40" t="str">
        <f>VLOOKUP(M914,Table1[#All],7,FALSE)</f>
        <v>Q4</v>
      </c>
      <c r="V914" s="79"/>
      <c r="W914" s="40" t="str">
        <f>VLOOKUP(M914,Table1[#All],8,FALSE)</f>
        <v>Q5</v>
      </c>
      <c r="X914" s="79"/>
      <c r="Y914" s="44" t="str">
        <f>VLOOKUP(M914,Table1[#All],2,FALSE)</f>
        <v>Action</v>
      </c>
      <c r="Z914" s="59" t="str">
        <f>VLOOKUP(M914,Table1[#All],9,FALSE)</f>
        <v>Additional Notes:</v>
      </c>
      <c r="AA914" s="76"/>
      <c r="AB914" s="76"/>
      <c r="AC914" s="90" t="s">
        <v>91</v>
      </c>
      <c r="AD914" s="76" t="s">
        <v>91</v>
      </c>
      <c r="AE914" s="77"/>
      <c r="AF914" s="77"/>
      <c r="AG914" s="41" t="s">
        <v>91</v>
      </c>
    </row>
    <row r="915" spans="1:33" ht="21" hidden="1" x14ac:dyDescent="0.55000000000000004">
      <c r="A915" s="44" t="str">
        <f>Data!K914</f>
        <v>No Insurance</v>
      </c>
      <c r="B915" s="44">
        <f>Data!L914</f>
        <v>0</v>
      </c>
      <c r="C915" s="44" t="str">
        <f>Data!D914</f>
        <v>Haen , Darrell</v>
      </c>
      <c r="D915" s="82" t="str">
        <f>Data!F914</f>
        <v/>
      </c>
      <c r="E915" s="82" t="str">
        <f>Data!B914</f>
        <v>8403</v>
      </c>
      <c r="F915" s="44" t="str">
        <f>Data!A914</f>
        <v>Haen , Darrell</v>
      </c>
      <c r="G915" s="55" t="str">
        <f>Data!C914</f>
        <v>9/30/1939</v>
      </c>
      <c r="H915" s="56">
        <f>Data!H914</f>
        <v>44511</v>
      </c>
      <c r="I915" s="56" t="str">
        <f>Data!I914</f>
        <v>11/11/2021</v>
      </c>
      <c r="J915" s="57">
        <f>Data!J914</f>
        <v>314.39999999999998</v>
      </c>
      <c r="K915" s="58">
        <f t="shared" ca="1" si="15"/>
        <v>189</v>
      </c>
      <c r="L915" s="58">
        <f>Data!M914</f>
        <v>0</v>
      </c>
      <c r="M915" s="37" t="s">
        <v>26</v>
      </c>
      <c r="N915" s="43" t="str">
        <f>VLOOKUP(M915,Table1[#All],3,FALSE)</f>
        <v>Note</v>
      </c>
      <c r="O915" s="40" t="str">
        <f>VLOOKUP(M915,Table1[#All],4,FALSE)</f>
        <v>Q1</v>
      </c>
      <c r="P915" s="39"/>
      <c r="Q915" s="40" t="str">
        <f>VLOOKUP(M915,Table1[#All],5,FALSE)</f>
        <v>Q2</v>
      </c>
      <c r="R915" s="79"/>
      <c r="S915" s="40" t="str">
        <f>VLOOKUP(M915,Table1[#All],6,FALSE)</f>
        <v>Q3</v>
      </c>
      <c r="T915" s="79"/>
      <c r="U915" s="40" t="str">
        <f>VLOOKUP(M915,Table1[#All],7,FALSE)</f>
        <v>Q4</v>
      </c>
      <c r="V915" s="79"/>
      <c r="W915" s="40" t="str">
        <f>VLOOKUP(M915,Table1[#All],8,FALSE)</f>
        <v>Q5</v>
      </c>
      <c r="X915" s="79"/>
      <c r="Y915" s="44" t="str">
        <f>VLOOKUP(M915,Table1[#All],2,FALSE)</f>
        <v>Action</v>
      </c>
      <c r="Z915" s="59" t="str">
        <f>VLOOKUP(M915,Table1[#All],9,FALSE)</f>
        <v>Additional Notes:</v>
      </c>
      <c r="AA915" s="76"/>
      <c r="AB915" s="76"/>
      <c r="AC915" s="90" t="s">
        <v>91</v>
      </c>
      <c r="AD915" s="76" t="s">
        <v>91</v>
      </c>
      <c r="AE915" s="77"/>
      <c r="AF915" s="77"/>
      <c r="AG915" s="41" t="s">
        <v>91</v>
      </c>
    </row>
    <row r="916" spans="1:33" ht="21" hidden="1" x14ac:dyDescent="0.55000000000000004">
      <c r="A916" s="44" t="str">
        <f>Data!K915</f>
        <v>No Insurance</v>
      </c>
      <c r="B916" s="44">
        <f>Data!L915</f>
        <v>0</v>
      </c>
      <c r="C916" s="44" t="str">
        <f>Data!D915</f>
        <v>Arellano, Angel</v>
      </c>
      <c r="D916" s="82" t="str">
        <f>Data!F915</f>
        <v/>
      </c>
      <c r="E916" s="82" t="str">
        <f>Data!B915</f>
        <v>7988</v>
      </c>
      <c r="F916" s="44" t="str">
        <f>Data!A915</f>
        <v>Arellano, Angel</v>
      </c>
      <c r="G916" s="55" t="str">
        <f>Data!C915</f>
        <v>11/7/1985</v>
      </c>
      <c r="H916" s="56">
        <f>Data!H915</f>
        <v>44501</v>
      </c>
      <c r="I916" s="56" t="str">
        <f>Data!I915</f>
        <v>11/1/2021</v>
      </c>
      <c r="J916" s="57">
        <f>Data!J915</f>
        <v>860.4</v>
      </c>
      <c r="K916" s="58">
        <f t="shared" ca="1" si="15"/>
        <v>199</v>
      </c>
      <c r="L916" s="58">
        <f>Data!M915</f>
        <v>0</v>
      </c>
      <c r="M916" s="37" t="s">
        <v>26</v>
      </c>
      <c r="N916" s="43" t="str">
        <f>VLOOKUP(M916,Table1[#All],3,FALSE)</f>
        <v>Note</v>
      </c>
      <c r="O916" s="40" t="str">
        <f>VLOOKUP(M916,Table1[#All],4,FALSE)</f>
        <v>Q1</v>
      </c>
      <c r="P916" s="39"/>
      <c r="Q916" s="40" t="str">
        <f>VLOOKUP(M916,Table1[#All],5,FALSE)</f>
        <v>Q2</v>
      </c>
      <c r="R916" s="79"/>
      <c r="S916" s="40" t="str">
        <f>VLOOKUP(M916,Table1[#All],6,FALSE)</f>
        <v>Q3</v>
      </c>
      <c r="T916" s="79"/>
      <c r="U916" s="40" t="str">
        <f>VLOOKUP(M916,Table1[#All],7,FALSE)</f>
        <v>Q4</v>
      </c>
      <c r="V916" s="79"/>
      <c r="W916" s="40" t="str">
        <f>VLOOKUP(M916,Table1[#All],8,FALSE)</f>
        <v>Q5</v>
      </c>
      <c r="X916" s="79"/>
      <c r="Y916" s="44" t="str">
        <f>VLOOKUP(M916,Table1[#All],2,FALSE)</f>
        <v>Action</v>
      </c>
      <c r="Z916" s="59" t="str">
        <f>VLOOKUP(M916,Table1[#All],9,FALSE)</f>
        <v>Additional Notes:</v>
      </c>
      <c r="AA916" s="76"/>
      <c r="AB916" s="76"/>
      <c r="AC916" s="90" t="s">
        <v>91</v>
      </c>
      <c r="AD916" s="76" t="s">
        <v>91</v>
      </c>
      <c r="AE916" s="77"/>
      <c r="AF916" s="77"/>
      <c r="AG916" s="41" t="s">
        <v>91</v>
      </c>
    </row>
    <row r="917" spans="1:33" ht="21" hidden="1" x14ac:dyDescent="0.55000000000000004">
      <c r="A917" s="44" t="str">
        <f>Data!K916</f>
        <v>No Insurance</v>
      </c>
      <c r="B917" s="44">
        <f>Data!L916</f>
        <v>0</v>
      </c>
      <c r="C917" s="44" t="str">
        <f>Data!D916</f>
        <v xml:space="preserve">Cain, Adam </v>
      </c>
      <c r="D917" s="82" t="str">
        <f>Data!F916</f>
        <v/>
      </c>
      <c r="E917" s="82" t="str">
        <f>Data!B916</f>
        <v>8343</v>
      </c>
      <c r="F917" s="44" t="str">
        <f>Data!A916</f>
        <v xml:space="preserve">Cain, Adam </v>
      </c>
      <c r="G917" s="55" t="str">
        <f>Data!C916</f>
        <v>6/12/1991</v>
      </c>
      <c r="H917" s="56">
        <f>Data!H916</f>
        <v>44498</v>
      </c>
      <c r="I917" s="56" t="str">
        <f>Data!I916</f>
        <v>10/29/2021</v>
      </c>
      <c r="J917" s="57">
        <f>Data!J916</f>
        <v>61.2</v>
      </c>
      <c r="K917" s="58">
        <f t="shared" ca="1" si="15"/>
        <v>202</v>
      </c>
      <c r="L917" s="58">
        <f>Data!M916</f>
        <v>0</v>
      </c>
      <c r="M917" s="37" t="s">
        <v>26</v>
      </c>
      <c r="N917" s="43" t="str">
        <f>VLOOKUP(M917,Table1[#All],3,FALSE)</f>
        <v>Note</v>
      </c>
      <c r="O917" s="40" t="str">
        <f>VLOOKUP(M917,Table1[#All],4,FALSE)</f>
        <v>Q1</v>
      </c>
      <c r="P917" s="39"/>
      <c r="Q917" s="40" t="str">
        <f>VLOOKUP(M917,Table1[#All],5,FALSE)</f>
        <v>Q2</v>
      </c>
      <c r="R917" s="79"/>
      <c r="S917" s="40" t="str">
        <f>VLOOKUP(M917,Table1[#All],6,FALSE)</f>
        <v>Q3</v>
      </c>
      <c r="T917" s="79"/>
      <c r="U917" s="40" t="str">
        <f>VLOOKUP(M917,Table1[#All],7,FALSE)</f>
        <v>Q4</v>
      </c>
      <c r="V917" s="79"/>
      <c r="W917" s="40" t="str">
        <f>VLOOKUP(M917,Table1[#All],8,FALSE)</f>
        <v>Q5</v>
      </c>
      <c r="X917" s="79"/>
      <c r="Y917" s="44" t="str">
        <f>VLOOKUP(M917,Table1[#All],2,FALSE)</f>
        <v>Action</v>
      </c>
      <c r="Z917" s="59" t="str">
        <f>VLOOKUP(M917,Table1[#All],9,FALSE)</f>
        <v>Additional Notes:</v>
      </c>
      <c r="AA917" s="76"/>
      <c r="AB917" s="76"/>
      <c r="AC917" s="90" t="s">
        <v>91</v>
      </c>
      <c r="AD917" s="76" t="s">
        <v>91</v>
      </c>
      <c r="AE917" s="77"/>
      <c r="AF917" s="77"/>
      <c r="AG917" s="41" t="s">
        <v>91</v>
      </c>
    </row>
    <row r="918" spans="1:33" ht="21" hidden="1" x14ac:dyDescent="0.55000000000000004">
      <c r="A918" s="44" t="str">
        <f>Data!K917</f>
        <v>No Insurance</v>
      </c>
      <c r="B918" s="44">
        <f>Data!L917</f>
        <v>0</v>
      </c>
      <c r="C918" s="44" t="str">
        <f>Data!D917</f>
        <v>Silva, Maria</v>
      </c>
      <c r="D918" s="82" t="str">
        <f>Data!F917</f>
        <v>000000000000000</v>
      </c>
      <c r="E918" s="82" t="str">
        <f>Data!B917</f>
        <v>8001</v>
      </c>
      <c r="F918" s="44" t="str">
        <f>Data!A917</f>
        <v>Silva, Maria</v>
      </c>
      <c r="G918" s="55" t="str">
        <f>Data!C917</f>
        <v>5/17/1981</v>
      </c>
      <c r="H918" s="56">
        <f>Data!H917</f>
        <v>44498</v>
      </c>
      <c r="I918" s="56" t="str">
        <f>Data!I917</f>
        <v>10/29/2021</v>
      </c>
      <c r="J918" s="57">
        <f>Data!J917</f>
        <v>180</v>
      </c>
      <c r="K918" s="58">
        <f t="shared" ca="1" si="15"/>
        <v>202</v>
      </c>
      <c r="L918" s="58">
        <f>Data!M917</f>
        <v>0</v>
      </c>
      <c r="M918" s="37" t="s">
        <v>26</v>
      </c>
      <c r="N918" s="43" t="str">
        <f>VLOOKUP(M918,Table1[#All],3,FALSE)</f>
        <v>Note</v>
      </c>
      <c r="O918" s="40" t="str">
        <f>VLOOKUP(M918,Table1[#All],4,FALSE)</f>
        <v>Q1</v>
      </c>
      <c r="P918" s="39"/>
      <c r="Q918" s="40" t="str">
        <f>VLOOKUP(M918,Table1[#All],5,FALSE)</f>
        <v>Q2</v>
      </c>
      <c r="R918" s="79"/>
      <c r="S918" s="40" t="str">
        <f>VLOOKUP(M918,Table1[#All],6,FALSE)</f>
        <v>Q3</v>
      </c>
      <c r="T918" s="79"/>
      <c r="U918" s="40" t="str">
        <f>VLOOKUP(M918,Table1[#All],7,FALSE)</f>
        <v>Q4</v>
      </c>
      <c r="V918" s="79"/>
      <c r="W918" s="40" t="str">
        <f>VLOOKUP(M918,Table1[#All],8,FALSE)</f>
        <v>Q5</v>
      </c>
      <c r="X918" s="79"/>
      <c r="Y918" s="44" t="str">
        <f>VLOOKUP(M918,Table1[#All],2,FALSE)</f>
        <v>Action</v>
      </c>
      <c r="Z918" s="59" t="str">
        <f>VLOOKUP(M918,Table1[#All],9,FALSE)</f>
        <v>Additional Notes:</v>
      </c>
      <c r="AA918" s="76"/>
      <c r="AB918" s="76"/>
      <c r="AC918" s="90" t="s">
        <v>91</v>
      </c>
      <c r="AD918" s="76" t="s">
        <v>91</v>
      </c>
      <c r="AE918" s="77"/>
      <c r="AF918" s="77"/>
      <c r="AG918" s="41" t="s">
        <v>91</v>
      </c>
    </row>
    <row r="919" spans="1:33" ht="21" hidden="1" x14ac:dyDescent="0.55000000000000004">
      <c r="A919" s="44" t="str">
        <f>Data!K918</f>
        <v>No Insurance</v>
      </c>
      <c r="B919" s="44">
        <f>Data!L918</f>
        <v>0</v>
      </c>
      <c r="C919" s="44" t="str">
        <f>Data!D918</f>
        <v>Rubio, Cinthia</v>
      </c>
      <c r="D919" s="82" t="str">
        <f>Data!F918</f>
        <v/>
      </c>
      <c r="E919" s="82" t="str">
        <f>Data!B918</f>
        <v>8269</v>
      </c>
      <c r="F919" s="44" t="str">
        <f>Data!A918</f>
        <v>Rubio, Cinthia</v>
      </c>
      <c r="G919" s="55" t="str">
        <f>Data!C918</f>
        <v>6/27/2002</v>
      </c>
      <c r="H919" s="56">
        <f>Data!H918</f>
        <v>44489</v>
      </c>
      <c r="I919" s="56" t="str">
        <f>Data!I918</f>
        <v>10/20/2021</v>
      </c>
      <c r="J919" s="57">
        <f>Data!J918</f>
        <v>290.39999999999998</v>
      </c>
      <c r="K919" s="58">
        <f t="shared" ca="1" si="15"/>
        <v>211</v>
      </c>
      <c r="L919" s="58">
        <f>Data!M918</f>
        <v>0</v>
      </c>
      <c r="M919" s="37" t="s">
        <v>26</v>
      </c>
      <c r="N919" s="43" t="str">
        <f>VLOOKUP(M919,Table1[#All],3,FALSE)</f>
        <v>Note</v>
      </c>
      <c r="O919" s="40" t="str">
        <f>VLOOKUP(M919,Table1[#All],4,FALSE)</f>
        <v>Q1</v>
      </c>
      <c r="P919" s="39"/>
      <c r="Q919" s="40" t="str">
        <f>VLOOKUP(M919,Table1[#All],5,FALSE)</f>
        <v>Q2</v>
      </c>
      <c r="R919" s="79"/>
      <c r="S919" s="40" t="str">
        <f>VLOOKUP(M919,Table1[#All],6,FALSE)</f>
        <v>Q3</v>
      </c>
      <c r="T919" s="79"/>
      <c r="U919" s="40" t="str">
        <f>VLOOKUP(M919,Table1[#All],7,FALSE)</f>
        <v>Q4</v>
      </c>
      <c r="V919" s="79"/>
      <c r="W919" s="40" t="str">
        <f>VLOOKUP(M919,Table1[#All],8,FALSE)</f>
        <v>Q5</v>
      </c>
      <c r="X919" s="79"/>
      <c r="Y919" s="44" t="str">
        <f>VLOOKUP(M919,Table1[#All],2,FALSE)</f>
        <v>Action</v>
      </c>
      <c r="Z919" s="59" t="str">
        <f>VLOOKUP(M919,Table1[#All],9,FALSE)</f>
        <v>Additional Notes:</v>
      </c>
      <c r="AA919" s="76"/>
      <c r="AB919" s="76"/>
      <c r="AC919" s="90" t="s">
        <v>91</v>
      </c>
      <c r="AD919" s="76" t="s">
        <v>91</v>
      </c>
      <c r="AE919" s="77"/>
      <c r="AF919" s="77"/>
      <c r="AG919" s="41" t="s">
        <v>91</v>
      </c>
    </row>
    <row r="920" spans="1:33" ht="21" hidden="1" x14ac:dyDescent="0.55000000000000004">
      <c r="A920" s="44" t="str">
        <f>Data!K919</f>
        <v>No Insurance</v>
      </c>
      <c r="B920" s="44">
        <f>Data!L919</f>
        <v>0</v>
      </c>
      <c r="C920" s="44" t="str">
        <f>Data!D919</f>
        <v>Santana , Wilfrido</v>
      </c>
      <c r="D920" s="82" t="str">
        <f>Data!F919</f>
        <v/>
      </c>
      <c r="E920" s="82" t="str">
        <f>Data!B919</f>
        <v>8276</v>
      </c>
      <c r="F920" s="44" t="str">
        <f>Data!A919</f>
        <v>Santana , Wilfrido</v>
      </c>
      <c r="G920" s="55" t="str">
        <f>Data!C919</f>
        <v>6/2/1985</v>
      </c>
      <c r="H920" s="56">
        <f>Data!H919</f>
        <v>44489</v>
      </c>
      <c r="I920" s="56" t="str">
        <f>Data!I919</f>
        <v>10/20/2021</v>
      </c>
      <c r="J920" s="57">
        <f>Data!J919</f>
        <v>463.2</v>
      </c>
      <c r="K920" s="58">
        <f t="shared" ca="1" si="15"/>
        <v>211</v>
      </c>
      <c r="L920" s="58">
        <f>Data!M919</f>
        <v>0</v>
      </c>
      <c r="M920" s="37" t="s">
        <v>26</v>
      </c>
      <c r="N920" s="43" t="str">
        <f>VLOOKUP(M920,Table1[#All],3,FALSE)</f>
        <v>Note</v>
      </c>
      <c r="O920" s="40" t="str">
        <f>VLOOKUP(M920,Table1[#All],4,FALSE)</f>
        <v>Q1</v>
      </c>
      <c r="P920" s="39"/>
      <c r="Q920" s="40" t="str">
        <f>VLOOKUP(M920,Table1[#All],5,FALSE)</f>
        <v>Q2</v>
      </c>
      <c r="R920" s="79"/>
      <c r="S920" s="40" t="str">
        <f>VLOOKUP(M920,Table1[#All],6,FALSE)</f>
        <v>Q3</v>
      </c>
      <c r="T920" s="79"/>
      <c r="U920" s="40" t="str">
        <f>VLOOKUP(M920,Table1[#All],7,FALSE)</f>
        <v>Q4</v>
      </c>
      <c r="V920" s="79"/>
      <c r="W920" s="40" t="str">
        <f>VLOOKUP(M920,Table1[#All],8,FALSE)</f>
        <v>Q5</v>
      </c>
      <c r="X920" s="79"/>
      <c r="Y920" s="44" t="str">
        <f>VLOOKUP(M920,Table1[#All],2,FALSE)</f>
        <v>Action</v>
      </c>
      <c r="Z920" s="59" t="str">
        <f>VLOOKUP(M920,Table1[#All],9,FALSE)</f>
        <v>Additional Notes:</v>
      </c>
      <c r="AA920" s="76"/>
      <c r="AB920" s="76"/>
      <c r="AC920" s="90" t="s">
        <v>91</v>
      </c>
      <c r="AD920" s="76" t="s">
        <v>91</v>
      </c>
      <c r="AE920" s="77"/>
      <c r="AF920" s="77"/>
      <c r="AG920" s="41" t="s">
        <v>91</v>
      </c>
    </row>
    <row r="921" spans="1:33" ht="21" hidden="1" x14ac:dyDescent="0.55000000000000004">
      <c r="A921" s="44" t="str">
        <f>Data!K920</f>
        <v>No Insurance</v>
      </c>
      <c r="B921" s="44">
        <f>Data!L920</f>
        <v>0</v>
      </c>
      <c r="C921" s="44" t="str">
        <f>Data!D920</f>
        <v xml:space="preserve">Villa , Alicia </v>
      </c>
      <c r="D921" s="82" t="str">
        <f>Data!F920</f>
        <v/>
      </c>
      <c r="E921" s="82" t="str">
        <f>Data!B920</f>
        <v>8215</v>
      </c>
      <c r="F921" s="44" t="str">
        <f>Data!A920</f>
        <v xml:space="preserve">Villa , Alicia </v>
      </c>
      <c r="G921" s="55" t="str">
        <f>Data!C920</f>
        <v>7/1/1964</v>
      </c>
      <c r="H921" s="56">
        <f>Data!H920</f>
        <v>44482</v>
      </c>
      <c r="I921" s="56" t="str">
        <f>Data!I920</f>
        <v>10/13/2021</v>
      </c>
      <c r="J921" s="57">
        <f>Data!J920</f>
        <v>296.39999999999998</v>
      </c>
      <c r="K921" s="58">
        <f t="shared" ca="1" si="15"/>
        <v>218</v>
      </c>
      <c r="L921" s="58">
        <f>Data!M920</f>
        <v>0</v>
      </c>
      <c r="M921" s="37" t="s">
        <v>26</v>
      </c>
      <c r="N921" s="43" t="str">
        <f>VLOOKUP(M921,Table1[#All],3,FALSE)</f>
        <v>Note</v>
      </c>
      <c r="O921" s="40" t="str">
        <f>VLOOKUP(M921,Table1[#All],4,FALSE)</f>
        <v>Q1</v>
      </c>
      <c r="P921" s="39"/>
      <c r="Q921" s="40" t="str">
        <f>VLOOKUP(M921,Table1[#All],5,FALSE)</f>
        <v>Q2</v>
      </c>
      <c r="R921" s="79"/>
      <c r="S921" s="40" t="str">
        <f>VLOOKUP(M921,Table1[#All],6,FALSE)</f>
        <v>Q3</v>
      </c>
      <c r="T921" s="79"/>
      <c r="U921" s="40" t="str">
        <f>VLOOKUP(M921,Table1[#All],7,FALSE)</f>
        <v>Q4</v>
      </c>
      <c r="V921" s="79"/>
      <c r="W921" s="40" t="str">
        <f>VLOOKUP(M921,Table1[#All],8,FALSE)</f>
        <v>Q5</v>
      </c>
      <c r="X921" s="79"/>
      <c r="Y921" s="44" t="str">
        <f>VLOOKUP(M921,Table1[#All],2,FALSE)</f>
        <v>Action</v>
      </c>
      <c r="Z921" s="59" t="str">
        <f>VLOOKUP(M921,Table1[#All],9,FALSE)</f>
        <v>Additional Notes:</v>
      </c>
      <c r="AA921" s="76"/>
      <c r="AB921" s="76"/>
      <c r="AC921" s="90" t="s">
        <v>91</v>
      </c>
      <c r="AD921" s="76" t="s">
        <v>91</v>
      </c>
      <c r="AE921" s="77"/>
      <c r="AF921" s="77"/>
      <c r="AG921" s="41" t="s">
        <v>91</v>
      </c>
    </row>
    <row r="922" spans="1:33" ht="21" hidden="1" x14ac:dyDescent="0.55000000000000004">
      <c r="A922" s="44" t="str">
        <f>Data!K921</f>
        <v>No Insurance</v>
      </c>
      <c r="B922" s="44">
        <f>Data!L921</f>
        <v>0</v>
      </c>
      <c r="C922" s="44" t="str">
        <f>Data!D921</f>
        <v>Silva, Maria</v>
      </c>
      <c r="D922" s="82" t="str">
        <f>Data!F921</f>
        <v>000000000000000</v>
      </c>
      <c r="E922" s="82" t="str">
        <f>Data!B921</f>
        <v>8001</v>
      </c>
      <c r="F922" s="44" t="str">
        <f>Data!A921</f>
        <v>Silva, Maria</v>
      </c>
      <c r="G922" s="55" t="str">
        <f>Data!C921</f>
        <v>5/17/1981</v>
      </c>
      <c r="H922" s="56">
        <f>Data!H921</f>
        <v>44478</v>
      </c>
      <c r="I922" s="56" t="str">
        <f>Data!I921</f>
        <v>10/9/2021</v>
      </c>
      <c r="J922" s="57">
        <f>Data!J921</f>
        <v>548.4</v>
      </c>
      <c r="K922" s="58">
        <f t="shared" ca="1" si="15"/>
        <v>222</v>
      </c>
      <c r="L922" s="58">
        <f>Data!M921</f>
        <v>0</v>
      </c>
      <c r="M922" s="37" t="s">
        <v>26</v>
      </c>
      <c r="N922" s="43" t="str">
        <f>VLOOKUP(M922,Table1[#All],3,FALSE)</f>
        <v>Note</v>
      </c>
      <c r="O922" s="40" t="str">
        <f>VLOOKUP(M922,Table1[#All],4,FALSE)</f>
        <v>Q1</v>
      </c>
      <c r="P922" s="39"/>
      <c r="Q922" s="40" t="str">
        <f>VLOOKUP(M922,Table1[#All],5,FALSE)</f>
        <v>Q2</v>
      </c>
      <c r="R922" s="79"/>
      <c r="S922" s="40" t="str">
        <f>VLOOKUP(M922,Table1[#All],6,FALSE)</f>
        <v>Q3</v>
      </c>
      <c r="T922" s="79"/>
      <c r="U922" s="40" t="str">
        <f>VLOOKUP(M922,Table1[#All],7,FALSE)</f>
        <v>Q4</v>
      </c>
      <c r="V922" s="79"/>
      <c r="W922" s="40" t="str">
        <f>VLOOKUP(M922,Table1[#All],8,FALSE)</f>
        <v>Q5</v>
      </c>
      <c r="X922" s="79"/>
      <c r="Y922" s="44" t="str">
        <f>VLOOKUP(M922,Table1[#All],2,FALSE)</f>
        <v>Action</v>
      </c>
      <c r="Z922" s="59" t="str">
        <f>VLOOKUP(M922,Table1[#All],9,FALSE)</f>
        <v>Additional Notes:</v>
      </c>
      <c r="AA922" s="76"/>
      <c r="AB922" s="76"/>
      <c r="AC922" s="90" t="s">
        <v>91</v>
      </c>
      <c r="AD922" s="76" t="s">
        <v>91</v>
      </c>
      <c r="AE922" s="77"/>
      <c r="AF922" s="77"/>
      <c r="AG922" s="41" t="s">
        <v>91</v>
      </c>
    </row>
    <row r="923" spans="1:33" ht="21" hidden="1" x14ac:dyDescent="0.55000000000000004">
      <c r="A923" s="44" t="str">
        <f>Data!K922</f>
        <v>No Insurance</v>
      </c>
      <c r="B923" s="44">
        <f>Data!L922</f>
        <v>0</v>
      </c>
      <c r="C923" s="44" t="str">
        <f>Data!D922</f>
        <v>Nizar Fattah , Obaida</v>
      </c>
      <c r="D923" s="82" t="str">
        <f>Data!F922</f>
        <v/>
      </c>
      <c r="E923" s="82" t="str">
        <f>Data!B922</f>
        <v>4935</v>
      </c>
      <c r="F923" s="44" t="str">
        <f>Data!A922</f>
        <v>Nizar Fattah , Obaida</v>
      </c>
      <c r="G923" s="55" t="str">
        <f>Data!C922</f>
        <v>12/10/2009</v>
      </c>
      <c r="H923" s="56">
        <f>Data!H922</f>
        <v>44471</v>
      </c>
      <c r="I923" s="56" t="str">
        <f>Data!I922</f>
        <v>10/2/2021</v>
      </c>
      <c r="J923" s="57">
        <f>Data!J922</f>
        <v>346.8</v>
      </c>
      <c r="K923" s="58">
        <f t="shared" ca="1" si="15"/>
        <v>229</v>
      </c>
      <c r="L923" s="58">
        <f>Data!M922</f>
        <v>0</v>
      </c>
      <c r="M923" s="37" t="s">
        <v>26</v>
      </c>
      <c r="N923" s="43" t="str">
        <f>VLOOKUP(M923,Table1[#All],3,FALSE)</f>
        <v>Note</v>
      </c>
      <c r="O923" s="40" t="str">
        <f>VLOOKUP(M923,Table1[#All],4,FALSE)</f>
        <v>Q1</v>
      </c>
      <c r="P923" s="39"/>
      <c r="Q923" s="40" t="str">
        <f>VLOOKUP(M923,Table1[#All],5,FALSE)</f>
        <v>Q2</v>
      </c>
      <c r="R923" s="79"/>
      <c r="S923" s="40" t="str">
        <f>VLOOKUP(M923,Table1[#All],6,FALSE)</f>
        <v>Q3</v>
      </c>
      <c r="T923" s="79"/>
      <c r="U923" s="40" t="str">
        <f>VLOOKUP(M923,Table1[#All],7,FALSE)</f>
        <v>Q4</v>
      </c>
      <c r="V923" s="79"/>
      <c r="W923" s="40" t="str">
        <f>VLOOKUP(M923,Table1[#All],8,FALSE)</f>
        <v>Q5</v>
      </c>
      <c r="X923" s="79"/>
      <c r="Y923" s="44" t="str">
        <f>VLOOKUP(M923,Table1[#All],2,FALSE)</f>
        <v>Action</v>
      </c>
      <c r="Z923" s="59" t="str">
        <f>VLOOKUP(M923,Table1[#All],9,FALSE)</f>
        <v>Additional Notes:</v>
      </c>
      <c r="AA923" s="76"/>
      <c r="AB923" s="76"/>
      <c r="AC923" s="90" t="s">
        <v>91</v>
      </c>
      <c r="AD923" s="76" t="s">
        <v>91</v>
      </c>
      <c r="AE923" s="77"/>
      <c r="AF923" s="77"/>
      <c r="AG923" s="41" t="s">
        <v>91</v>
      </c>
    </row>
    <row r="924" spans="1:33" ht="21" hidden="1" x14ac:dyDescent="0.55000000000000004">
      <c r="A924" s="44" t="str">
        <f>Data!K923</f>
        <v>No Insurance</v>
      </c>
      <c r="B924" s="44">
        <f>Data!L923</f>
        <v>0</v>
      </c>
      <c r="C924" s="44" t="str">
        <f>Data!D923</f>
        <v>Miller, Donald</v>
      </c>
      <c r="D924" s="82" t="str">
        <f>Data!F923</f>
        <v>2403182524</v>
      </c>
      <c r="E924" s="82" t="str">
        <f>Data!B923</f>
        <v>8113</v>
      </c>
      <c r="F924" s="44" t="str">
        <f>Data!A923</f>
        <v>Miller, Donald</v>
      </c>
      <c r="G924" s="55" t="str">
        <f>Data!C923</f>
        <v>11/21/1970</v>
      </c>
      <c r="H924" s="56">
        <f>Data!H923</f>
        <v>44470</v>
      </c>
      <c r="I924" s="56" t="str">
        <f>Data!I923</f>
        <v>10/1/2021</v>
      </c>
      <c r="J924" s="57">
        <f>Data!J923</f>
        <v>613.20000000000005</v>
      </c>
      <c r="K924" s="58">
        <f t="shared" ca="1" si="15"/>
        <v>230</v>
      </c>
      <c r="L924" s="58">
        <f>Data!M923</f>
        <v>0</v>
      </c>
      <c r="M924" s="37" t="s">
        <v>26</v>
      </c>
      <c r="N924" s="43" t="str">
        <f>VLOOKUP(M924,Table1[#All],3,FALSE)</f>
        <v>Note</v>
      </c>
      <c r="O924" s="40" t="str">
        <f>VLOOKUP(M924,Table1[#All],4,FALSE)</f>
        <v>Q1</v>
      </c>
      <c r="P924" s="39"/>
      <c r="Q924" s="40" t="str">
        <f>VLOOKUP(M924,Table1[#All],5,FALSE)</f>
        <v>Q2</v>
      </c>
      <c r="R924" s="79"/>
      <c r="S924" s="40" t="str">
        <f>VLOOKUP(M924,Table1[#All],6,FALSE)</f>
        <v>Q3</v>
      </c>
      <c r="T924" s="79"/>
      <c r="U924" s="40" t="str">
        <f>VLOOKUP(M924,Table1[#All],7,FALSE)</f>
        <v>Q4</v>
      </c>
      <c r="V924" s="79"/>
      <c r="W924" s="40" t="str">
        <f>VLOOKUP(M924,Table1[#All],8,FALSE)</f>
        <v>Q5</v>
      </c>
      <c r="X924" s="79"/>
      <c r="Y924" s="44" t="str">
        <f>VLOOKUP(M924,Table1[#All],2,FALSE)</f>
        <v>Action</v>
      </c>
      <c r="Z924" s="59" t="str">
        <f>VLOOKUP(M924,Table1[#All],9,FALSE)</f>
        <v>Additional Notes:</v>
      </c>
      <c r="AA924" s="76"/>
      <c r="AB924" s="76"/>
      <c r="AC924" s="90" t="s">
        <v>91</v>
      </c>
      <c r="AD924" s="76" t="s">
        <v>91</v>
      </c>
      <c r="AE924" s="77"/>
      <c r="AF924" s="77"/>
      <c r="AG924" s="41" t="s">
        <v>91</v>
      </c>
    </row>
    <row r="925" spans="1:33" ht="21" hidden="1" x14ac:dyDescent="0.55000000000000004">
      <c r="A925" s="44" t="str">
        <f>Data!K924</f>
        <v>No Insurance</v>
      </c>
      <c r="B925" s="44">
        <f>Data!L924</f>
        <v>0</v>
      </c>
      <c r="C925" s="44" t="str">
        <f>Data!D924</f>
        <v>Mohamed, Suher</v>
      </c>
      <c r="D925" s="82" t="str">
        <f>Data!F924</f>
        <v>22025054901</v>
      </c>
      <c r="E925" s="82" t="str">
        <f>Data!B924</f>
        <v>2384</v>
      </c>
      <c r="F925" s="44" t="str">
        <f>Data!A924</f>
        <v>Mohamed, Suher</v>
      </c>
      <c r="G925" s="55" t="str">
        <f>Data!C924</f>
        <v>5/1/1977</v>
      </c>
      <c r="H925" s="56">
        <f>Data!H924</f>
        <v>44471</v>
      </c>
      <c r="I925" s="56" t="str">
        <f>Data!I924</f>
        <v>10/11/2021</v>
      </c>
      <c r="J925" s="57">
        <f>Data!J924</f>
        <v>123.6</v>
      </c>
      <c r="K925" s="58">
        <f t="shared" ca="1" si="15"/>
        <v>220</v>
      </c>
      <c r="L925" s="58">
        <f>Data!M924</f>
        <v>0</v>
      </c>
      <c r="M925" s="37" t="s">
        <v>26</v>
      </c>
      <c r="N925" s="43" t="str">
        <f>VLOOKUP(M925,Table1[#All],3,FALSE)</f>
        <v>Note</v>
      </c>
      <c r="O925" s="40" t="str">
        <f>VLOOKUP(M925,Table1[#All],4,FALSE)</f>
        <v>Q1</v>
      </c>
      <c r="P925" s="39"/>
      <c r="Q925" s="40" t="str">
        <f>VLOOKUP(M925,Table1[#All],5,FALSE)</f>
        <v>Q2</v>
      </c>
      <c r="R925" s="79"/>
      <c r="S925" s="40" t="str">
        <f>VLOOKUP(M925,Table1[#All],6,FALSE)</f>
        <v>Q3</v>
      </c>
      <c r="T925" s="79"/>
      <c r="U925" s="40" t="str">
        <f>VLOOKUP(M925,Table1[#All],7,FALSE)</f>
        <v>Q4</v>
      </c>
      <c r="V925" s="79"/>
      <c r="W925" s="40" t="str">
        <f>VLOOKUP(M925,Table1[#All],8,FALSE)</f>
        <v>Q5</v>
      </c>
      <c r="X925" s="79"/>
      <c r="Y925" s="44" t="str">
        <f>VLOOKUP(M925,Table1[#All],2,FALSE)</f>
        <v>Action</v>
      </c>
      <c r="Z925" s="59" t="str">
        <f>VLOOKUP(M925,Table1[#All],9,FALSE)</f>
        <v>Additional Notes:</v>
      </c>
      <c r="AA925" s="76"/>
      <c r="AB925" s="76"/>
      <c r="AC925" s="90" t="s">
        <v>91</v>
      </c>
      <c r="AD925" s="76" t="s">
        <v>91</v>
      </c>
      <c r="AE925" s="77"/>
      <c r="AF925" s="77"/>
      <c r="AG925" s="41" t="s">
        <v>91</v>
      </c>
    </row>
    <row r="926" spans="1:33" ht="21" hidden="1" x14ac:dyDescent="0.55000000000000004">
      <c r="A926" s="44" t="str">
        <f>Data!K925</f>
        <v>No Insurance</v>
      </c>
      <c r="B926" s="44">
        <f>Data!L925</f>
        <v>0</v>
      </c>
      <c r="C926" s="44" t="str">
        <f>Data!D925</f>
        <v>Hussein , Morad</v>
      </c>
      <c r="D926" s="82" t="str">
        <f>Data!F925</f>
        <v/>
      </c>
      <c r="E926" s="82" t="str">
        <f>Data!B925</f>
        <v>8077</v>
      </c>
      <c r="F926" s="44" t="str">
        <f>Data!A925</f>
        <v>Hussein , Morad</v>
      </c>
      <c r="G926" s="55" t="str">
        <f>Data!C925</f>
        <v>10/14/1975</v>
      </c>
      <c r="H926" s="56">
        <f>Data!H925</f>
        <v>44467</v>
      </c>
      <c r="I926" s="56" t="str">
        <f>Data!I925</f>
        <v>9/28/2021</v>
      </c>
      <c r="J926" s="57">
        <f>Data!J925</f>
        <v>332.4</v>
      </c>
      <c r="K926" s="58">
        <f t="shared" ca="1" si="15"/>
        <v>233</v>
      </c>
      <c r="L926" s="58">
        <f>Data!M925</f>
        <v>0</v>
      </c>
      <c r="M926" s="37" t="s">
        <v>26</v>
      </c>
      <c r="N926" s="43" t="str">
        <f>VLOOKUP(M926,Table1[#All],3,FALSE)</f>
        <v>Note</v>
      </c>
      <c r="O926" s="40" t="str">
        <f>VLOOKUP(M926,Table1[#All],4,FALSE)</f>
        <v>Q1</v>
      </c>
      <c r="P926" s="39"/>
      <c r="Q926" s="40" t="str">
        <f>VLOOKUP(M926,Table1[#All],5,FALSE)</f>
        <v>Q2</v>
      </c>
      <c r="R926" s="79"/>
      <c r="S926" s="40" t="str">
        <f>VLOOKUP(M926,Table1[#All],6,FALSE)</f>
        <v>Q3</v>
      </c>
      <c r="T926" s="79"/>
      <c r="U926" s="40" t="str">
        <f>VLOOKUP(M926,Table1[#All],7,FALSE)</f>
        <v>Q4</v>
      </c>
      <c r="V926" s="79"/>
      <c r="W926" s="40" t="str">
        <f>VLOOKUP(M926,Table1[#All],8,FALSE)</f>
        <v>Q5</v>
      </c>
      <c r="X926" s="79"/>
      <c r="Y926" s="44" t="str">
        <f>VLOOKUP(M926,Table1[#All],2,FALSE)</f>
        <v>Action</v>
      </c>
      <c r="Z926" s="59" t="str">
        <f>VLOOKUP(M926,Table1[#All],9,FALSE)</f>
        <v>Additional Notes:</v>
      </c>
      <c r="AA926" s="76"/>
      <c r="AB926" s="76"/>
      <c r="AC926" s="90" t="s">
        <v>91</v>
      </c>
      <c r="AD926" s="76" t="s">
        <v>91</v>
      </c>
      <c r="AE926" s="77"/>
      <c r="AF926" s="77"/>
      <c r="AG926" s="41" t="s">
        <v>91</v>
      </c>
    </row>
    <row r="927" spans="1:33" ht="21" hidden="1" x14ac:dyDescent="0.55000000000000004">
      <c r="A927" s="44" t="str">
        <f>Data!K926</f>
        <v>No Insurance</v>
      </c>
      <c r="B927" s="44">
        <f>Data!L926</f>
        <v>0</v>
      </c>
      <c r="C927" s="44" t="str">
        <f>Data!D926</f>
        <v>Petsin, Ashley</v>
      </c>
      <c r="D927" s="82" t="str">
        <f>Data!F926</f>
        <v>07704984319</v>
      </c>
      <c r="E927" s="82" t="str">
        <f>Data!B926</f>
        <v>7776</v>
      </c>
      <c r="F927" s="44" t="str">
        <f>Data!A926</f>
        <v>Petsin, Ashley</v>
      </c>
      <c r="G927" s="55" t="str">
        <f>Data!C926</f>
        <v>7/28/1998</v>
      </c>
      <c r="H927" s="56">
        <f>Data!H926</f>
        <v>44461</v>
      </c>
      <c r="I927" s="56" t="str">
        <f>Data!I926</f>
        <v>9/22/2021</v>
      </c>
      <c r="J927" s="57">
        <f>Data!J926</f>
        <v>1412.4</v>
      </c>
      <c r="K927" s="58">
        <f t="shared" ca="1" si="15"/>
        <v>239</v>
      </c>
      <c r="L927" s="58">
        <f>Data!M926</f>
        <v>0</v>
      </c>
      <c r="M927" s="37" t="s">
        <v>26</v>
      </c>
      <c r="N927" s="43" t="str">
        <f>VLOOKUP(M927,Table1[#All],3,FALSE)</f>
        <v>Note</v>
      </c>
      <c r="O927" s="40" t="str">
        <f>VLOOKUP(M927,Table1[#All],4,FALSE)</f>
        <v>Q1</v>
      </c>
      <c r="P927" s="39"/>
      <c r="Q927" s="40" t="str">
        <f>VLOOKUP(M927,Table1[#All],5,FALSE)</f>
        <v>Q2</v>
      </c>
      <c r="R927" s="79"/>
      <c r="S927" s="40" t="str">
        <f>VLOOKUP(M927,Table1[#All],6,FALSE)</f>
        <v>Q3</v>
      </c>
      <c r="T927" s="79"/>
      <c r="U927" s="40" t="str">
        <f>VLOOKUP(M927,Table1[#All],7,FALSE)</f>
        <v>Q4</v>
      </c>
      <c r="V927" s="79"/>
      <c r="W927" s="40" t="str">
        <f>VLOOKUP(M927,Table1[#All],8,FALSE)</f>
        <v>Q5</v>
      </c>
      <c r="X927" s="79"/>
      <c r="Y927" s="44" t="str">
        <f>VLOOKUP(M927,Table1[#All],2,FALSE)</f>
        <v>Action</v>
      </c>
      <c r="Z927" s="59" t="str">
        <f>VLOOKUP(M927,Table1[#All],9,FALSE)</f>
        <v>Additional Notes:</v>
      </c>
      <c r="AA927" s="76"/>
      <c r="AB927" s="76"/>
      <c r="AC927" s="90" t="s">
        <v>91</v>
      </c>
      <c r="AD927" s="76" t="s">
        <v>91</v>
      </c>
      <c r="AE927" s="77"/>
      <c r="AF927" s="77"/>
      <c r="AG927" s="41" t="s">
        <v>91</v>
      </c>
    </row>
    <row r="928" spans="1:33" ht="21" hidden="1" x14ac:dyDescent="0.55000000000000004">
      <c r="A928" s="44" t="str">
        <f>Data!K927</f>
        <v>No Insurance</v>
      </c>
      <c r="B928" s="44">
        <f>Data!L927</f>
        <v>0</v>
      </c>
      <c r="C928" s="44" t="str">
        <f>Data!D927</f>
        <v>VALAZQUEZ, VIRGINIA</v>
      </c>
      <c r="D928" s="82" t="str">
        <f>Data!F927</f>
        <v/>
      </c>
      <c r="E928" s="82" t="str">
        <f>Data!B927</f>
        <v>7939</v>
      </c>
      <c r="F928" s="44" t="str">
        <f>Data!A927</f>
        <v>VALAZQUEZ, VIRGINIA</v>
      </c>
      <c r="G928" s="55" t="str">
        <f>Data!C927</f>
        <v>12/10/1982</v>
      </c>
      <c r="H928" s="56">
        <f>Data!H927</f>
        <v>44460</v>
      </c>
      <c r="I928" s="56" t="str">
        <f>Data!I927</f>
        <v>9/21/2021</v>
      </c>
      <c r="J928" s="57">
        <f>Data!J927</f>
        <v>644.4</v>
      </c>
      <c r="K928" s="58">
        <f t="shared" ca="1" si="15"/>
        <v>240</v>
      </c>
      <c r="L928" s="58">
        <f>Data!M927</f>
        <v>0</v>
      </c>
      <c r="M928" s="37" t="s">
        <v>26</v>
      </c>
      <c r="N928" s="43" t="str">
        <f>VLOOKUP(M928,Table1[#All],3,FALSE)</f>
        <v>Note</v>
      </c>
      <c r="O928" s="40" t="str">
        <f>VLOOKUP(M928,Table1[#All],4,FALSE)</f>
        <v>Q1</v>
      </c>
      <c r="P928" s="39"/>
      <c r="Q928" s="40" t="str">
        <f>VLOOKUP(M928,Table1[#All],5,FALSE)</f>
        <v>Q2</v>
      </c>
      <c r="R928" s="79"/>
      <c r="S928" s="40" t="str">
        <f>VLOOKUP(M928,Table1[#All],6,FALSE)</f>
        <v>Q3</v>
      </c>
      <c r="T928" s="79"/>
      <c r="U928" s="40" t="str">
        <f>VLOOKUP(M928,Table1[#All],7,FALSE)</f>
        <v>Q4</v>
      </c>
      <c r="V928" s="79"/>
      <c r="W928" s="40" t="str">
        <f>VLOOKUP(M928,Table1[#All],8,FALSE)</f>
        <v>Q5</v>
      </c>
      <c r="X928" s="79"/>
      <c r="Y928" s="44" t="str">
        <f>VLOOKUP(M928,Table1[#All],2,FALSE)</f>
        <v>Action</v>
      </c>
      <c r="Z928" s="59" t="str">
        <f>VLOOKUP(M928,Table1[#All],9,FALSE)</f>
        <v>Additional Notes:</v>
      </c>
      <c r="AA928" s="76"/>
      <c r="AB928" s="76"/>
      <c r="AC928" s="90" t="s">
        <v>91</v>
      </c>
      <c r="AD928" s="76" t="s">
        <v>91</v>
      </c>
      <c r="AE928" s="77"/>
      <c r="AF928" s="77"/>
      <c r="AG928" s="41" t="s">
        <v>91</v>
      </c>
    </row>
    <row r="929" spans="1:33" ht="21" hidden="1" x14ac:dyDescent="0.55000000000000004">
      <c r="A929" s="44" t="str">
        <f>Data!K928</f>
        <v>No Insurance</v>
      </c>
      <c r="B929" s="44">
        <f>Data!L928</f>
        <v>0</v>
      </c>
      <c r="C929" s="44" t="str">
        <f>Data!D928</f>
        <v>Arellano, Angel</v>
      </c>
      <c r="D929" s="82" t="str">
        <f>Data!F928</f>
        <v/>
      </c>
      <c r="E929" s="82" t="str">
        <f>Data!B928</f>
        <v>7988</v>
      </c>
      <c r="F929" s="44" t="str">
        <f>Data!A928</f>
        <v>Arellano, Angel</v>
      </c>
      <c r="G929" s="55" t="str">
        <f>Data!C928</f>
        <v>11/7/1985</v>
      </c>
      <c r="H929" s="56">
        <f>Data!H928</f>
        <v>44457</v>
      </c>
      <c r="I929" s="56" t="str">
        <f>Data!I928</f>
        <v>9/18/2021</v>
      </c>
      <c r="J929" s="57">
        <f>Data!J928</f>
        <v>210</v>
      </c>
      <c r="K929" s="58">
        <f t="shared" ca="1" si="15"/>
        <v>243</v>
      </c>
      <c r="L929" s="58">
        <f>Data!M928</f>
        <v>0</v>
      </c>
      <c r="M929" s="37" t="s">
        <v>26</v>
      </c>
      <c r="N929" s="43" t="str">
        <f>VLOOKUP(M929,Table1[#All],3,FALSE)</f>
        <v>Note</v>
      </c>
      <c r="O929" s="40" t="str">
        <f>VLOOKUP(M929,Table1[#All],4,FALSE)</f>
        <v>Q1</v>
      </c>
      <c r="P929" s="39"/>
      <c r="Q929" s="40" t="str">
        <f>VLOOKUP(M929,Table1[#All],5,FALSE)</f>
        <v>Q2</v>
      </c>
      <c r="R929" s="79"/>
      <c r="S929" s="40" t="str">
        <f>VLOOKUP(M929,Table1[#All],6,FALSE)</f>
        <v>Q3</v>
      </c>
      <c r="T929" s="79"/>
      <c r="U929" s="40" t="str">
        <f>VLOOKUP(M929,Table1[#All],7,FALSE)</f>
        <v>Q4</v>
      </c>
      <c r="V929" s="79"/>
      <c r="W929" s="40" t="str">
        <f>VLOOKUP(M929,Table1[#All],8,FALSE)</f>
        <v>Q5</v>
      </c>
      <c r="X929" s="79"/>
      <c r="Y929" s="44" t="str">
        <f>VLOOKUP(M929,Table1[#All],2,FALSE)</f>
        <v>Action</v>
      </c>
      <c r="Z929" s="59" t="str">
        <f>VLOOKUP(M929,Table1[#All],9,FALSE)</f>
        <v>Additional Notes:</v>
      </c>
      <c r="AA929" s="76"/>
      <c r="AB929" s="76"/>
      <c r="AC929" s="90" t="s">
        <v>91</v>
      </c>
      <c r="AD929" s="76" t="s">
        <v>91</v>
      </c>
      <c r="AE929" s="77"/>
      <c r="AF929" s="77"/>
      <c r="AG929" s="41" t="s">
        <v>91</v>
      </c>
    </row>
    <row r="930" spans="1:33" ht="21" hidden="1" x14ac:dyDescent="0.55000000000000004">
      <c r="A930" s="44" t="str">
        <f>Data!K929</f>
        <v>No Insurance</v>
      </c>
      <c r="B930" s="44">
        <f>Data!L929</f>
        <v>0</v>
      </c>
      <c r="C930" s="44" t="str">
        <f>Data!D929</f>
        <v>VALAZQUEZ, VIRGINIA</v>
      </c>
      <c r="D930" s="82" t="str">
        <f>Data!F929</f>
        <v/>
      </c>
      <c r="E930" s="82" t="str">
        <f>Data!B929</f>
        <v>7939</v>
      </c>
      <c r="F930" s="44" t="str">
        <f>Data!A929</f>
        <v>VALAZQUEZ, VIRGINIA</v>
      </c>
      <c r="G930" s="55" t="str">
        <f>Data!C929</f>
        <v>12/10/1982</v>
      </c>
      <c r="H930" s="56">
        <f>Data!H929</f>
        <v>44453</v>
      </c>
      <c r="I930" s="56" t="str">
        <f>Data!I929</f>
        <v>9/14/2021</v>
      </c>
      <c r="J930" s="57">
        <f>Data!J929</f>
        <v>210</v>
      </c>
      <c r="K930" s="58">
        <f t="shared" ca="1" si="15"/>
        <v>247</v>
      </c>
      <c r="L930" s="58">
        <f>Data!M929</f>
        <v>0</v>
      </c>
      <c r="M930" s="37" t="s">
        <v>26</v>
      </c>
      <c r="N930" s="43" t="str">
        <f>VLOOKUP(M930,Table1[#All],3,FALSE)</f>
        <v>Note</v>
      </c>
      <c r="O930" s="40" t="str">
        <f>VLOOKUP(M930,Table1[#All],4,FALSE)</f>
        <v>Q1</v>
      </c>
      <c r="P930" s="39"/>
      <c r="Q930" s="40" t="str">
        <f>VLOOKUP(M930,Table1[#All],5,FALSE)</f>
        <v>Q2</v>
      </c>
      <c r="R930" s="79"/>
      <c r="S930" s="40" t="str">
        <f>VLOOKUP(M930,Table1[#All],6,FALSE)</f>
        <v>Q3</v>
      </c>
      <c r="T930" s="79"/>
      <c r="U930" s="40" t="str">
        <f>VLOOKUP(M930,Table1[#All],7,FALSE)</f>
        <v>Q4</v>
      </c>
      <c r="V930" s="79"/>
      <c r="W930" s="40" t="str">
        <f>VLOOKUP(M930,Table1[#All],8,FALSE)</f>
        <v>Q5</v>
      </c>
      <c r="X930" s="79"/>
      <c r="Y930" s="44" t="str">
        <f>VLOOKUP(M930,Table1[#All],2,FALSE)</f>
        <v>Action</v>
      </c>
      <c r="Z930" s="59" t="str">
        <f>VLOOKUP(M930,Table1[#All],9,FALSE)</f>
        <v>Additional Notes:</v>
      </c>
      <c r="AA930" s="76"/>
      <c r="AB930" s="76"/>
      <c r="AC930" s="90" t="s">
        <v>91</v>
      </c>
      <c r="AD930" s="76" t="s">
        <v>91</v>
      </c>
      <c r="AE930" s="77"/>
      <c r="AF930" s="77"/>
      <c r="AG930" s="41" t="s">
        <v>91</v>
      </c>
    </row>
    <row r="931" spans="1:33" ht="21" hidden="1" x14ac:dyDescent="0.55000000000000004">
      <c r="A931" s="44" t="str">
        <f>Data!K930</f>
        <v>No Insurance</v>
      </c>
      <c r="B931" s="44">
        <f>Data!L930</f>
        <v>0</v>
      </c>
      <c r="C931" s="44" t="str">
        <f>Data!D930</f>
        <v>Petsin, Ashley</v>
      </c>
      <c r="D931" s="82" t="str">
        <f>Data!F930</f>
        <v>07704984319</v>
      </c>
      <c r="E931" s="82" t="str">
        <f>Data!B930</f>
        <v>7776</v>
      </c>
      <c r="F931" s="44" t="str">
        <f>Data!A930</f>
        <v>Petsin, Ashley</v>
      </c>
      <c r="G931" s="55" t="str">
        <f>Data!C930</f>
        <v>7/28/1998</v>
      </c>
      <c r="H931" s="56">
        <f>Data!H930</f>
        <v>44426</v>
      </c>
      <c r="I931" s="56" t="str">
        <f>Data!I930</f>
        <v>8/18/2021</v>
      </c>
      <c r="J931" s="57">
        <f>Data!J930</f>
        <v>72</v>
      </c>
      <c r="K931" s="58">
        <f t="shared" ca="1" si="15"/>
        <v>274</v>
      </c>
      <c r="L931" s="58">
        <f>Data!M930</f>
        <v>0</v>
      </c>
      <c r="M931" s="37" t="s">
        <v>26</v>
      </c>
      <c r="N931" s="43" t="str">
        <f>VLOOKUP(M931,Table1[#All],3,FALSE)</f>
        <v>Note</v>
      </c>
      <c r="O931" s="40" t="str">
        <f>VLOOKUP(M931,Table1[#All],4,FALSE)</f>
        <v>Q1</v>
      </c>
      <c r="P931" s="39"/>
      <c r="Q931" s="40" t="str">
        <f>VLOOKUP(M931,Table1[#All],5,FALSE)</f>
        <v>Q2</v>
      </c>
      <c r="R931" s="79"/>
      <c r="S931" s="40" t="str">
        <f>VLOOKUP(M931,Table1[#All],6,FALSE)</f>
        <v>Q3</v>
      </c>
      <c r="T931" s="79"/>
      <c r="U931" s="40" t="str">
        <f>VLOOKUP(M931,Table1[#All],7,FALSE)</f>
        <v>Q4</v>
      </c>
      <c r="V931" s="79"/>
      <c r="W931" s="40" t="str">
        <f>VLOOKUP(M931,Table1[#All],8,FALSE)</f>
        <v>Q5</v>
      </c>
      <c r="X931" s="79"/>
      <c r="Y931" s="44" t="str">
        <f>VLOOKUP(M931,Table1[#All],2,FALSE)</f>
        <v>Action</v>
      </c>
      <c r="Z931" s="59" t="str">
        <f>VLOOKUP(M931,Table1[#All],9,FALSE)</f>
        <v>Additional Notes:</v>
      </c>
      <c r="AA931" s="76"/>
      <c r="AB931" s="76"/>
      <c r="AC931" s="90" t="s">
        <v>91</v>
      </c>
      <c r="AD931" s="76" t="s">
        <v>91</v>
      </c>
      <c r="AE931" s="77"/>
      <c r="AF931" s="77"/>
      <c r="AG931" s="41" t="s">
        <v>91</v>
      </c>
    </row>
    <row r="932" spans="1:33" ht="21" hidden="1" x14ac:dyDescent="0.55000000000000004">
      <c r="A932" s="44" t="str">
        <f>Data!K931</f>
        <v>No Insurance</v>
      </c>
      <c r="B932" s="44">
        <f>Data!L931</f>
        <v>0</v>
      </c>
      <c r="C932" s="44" t="str">
        <f>Data!D931</f>
        <v>Brock , William</v>
      </c>
      <c r="D932" s="82" t="str">
        <f>Data!F931</f>
        <v/>
      </c>
      <c r="E932" s="82" t="str">
        <f>Data!B931</f>
        <v>7672</v>
      </c>
      <c r="F932" s="44" t="str">
        <f>Data!A931</f>
        <v>Brock , William</v>
      </c>
      <c r="G932" s="55" t="str">
        <f>Data!C931</f>
        <v>1/4/2021</v>
      </c>
      <c r="H932" s="56">
        <f>Data!H931</f>
        <v>44420</v>
      </c>
      <c r="I932" s="56" t="str">
        <f>Data!I931</f>
        <v>8/12/2021</v>
      </c>
      <c r="J932" s="57">
        <f>Data!J931</f>
        <v>552</v>
      </c>
      <c r="K932" s="58">
        <f t="shared" ca="1" si="15"/>
        <v>280</v>
      </c>
      <c r="L932" s="58">
        <f>Data!M931</f>
        <v>0</v>
      </c>
      <c r="M932" s="37" t="s">
        <v>26</v>
      </c>
      <c r="N932" s="43" t="str">
        <f>VLOOKUP(M932,Table1[#All],3,FALSE)</f>
        <v>Note</v>
      </c>
      <c r="O932" s="40" t="str">
        <f>VLOOKUP(M932,Table1[#All],4,FALSE)</f>
        <v>Q1</v>
      </c>
      <c r="P932" s="39"/>
      <c r="Q932" s="40" t="str">
        <f>VLOOKUP(M932,Table1[#All],5,FALSE)</f>
        <v>Q2</v>
      </c>
      <c r="R932" s="79"/>
      <c r="S932" s="40" t="str">
        <f>VLOOKUP(M932,Table1[#All],6,FALSE)</f>
        <v>Q3</v>
      </c>
      <c r="T932" s="79"/>
      <c r="U932" s="40" t="str">
        <f>VLOOKUP(M932,Table1[#All],7,FALSE)</f>
        <v>Q4</v>
      </c>
      <c r="V932" s="79"/>
      <c r="W932" s="40" t="str">
        <f>VLOOKUP(M932,Table1[#All],8,FALSE)</f>
        <v>Q5</v>
      </c>
      <c r="X932" s="79"/>
      <c r="Y932" s="44" t="str">
        <f>VLOOKUP(M932,Table1[#All],2,FALSE)</f>
        <v>Action</v>
      </c>
      <c r="Z932" s="59" t="str">
        <f>VLOOKUP(M932,Table1[#All],9,FALSE)</f>
        <v>Additional Notes:</v>
      </c>
      <c r="AA932" s="76"/>
      <c r="AB932" s="76"/>
      <c r="AC932" s="90" t="s">
        <v>91</v>
      </c>
      <c r="AD932" s="76" t="s">
        <v>91</v>
      </c>
      <c r="AE932" s="77"/>
      <c r="AF932" s="77"/>
      <c r="AG932" s="41" t="s">
        <v>91</v>
      </c>
    </row>
    <row r="933" spans="1:33" ht="21" hidden="1" x14ac:dyDescent="0.55000000000000004">
      <c r="A933" s="44" t="str">
        <f>Data!K932</f>
        <v>No Insurance</v>
      </c>
      <c r="B933" s="44">
        <f>Data!L932</f>
        <v>0</v>
      </c>
      <c r="C933" s="44" t="str">
        <f>Data!D932</f>
        <v xml:space="preserve">Singh Khashre, Manjeet </v>
      </c>
      <c r="D933" s="82" t="str">
        <f>Data!F932</f>
        <v>000000000000</v>
      </c>
      <c r="E933" s="82" t="str">
        <f>Data!B932</f>
        <v>7678</v>
      </c>
      <c r="F933" s="44" t="str">
        <f>Data!A932</f>
        <v xml:space="preserve">Singh Khashre, Manjeet </v>
      </c>
      <c r="G933" s="55" t="str">
        <f>Data!C932</f>
        <v>3/26/1982</v>
      </c>
      <c r="H933" s="56">
        <f>Data!H932</f>
        <v>44412</v>
      </c>
      <c r="I933" s="56" t="str">
        <f>Data!I932</f>
        <v>8/4/2021</v>
      </c>
      <c r="J933" s="57">
        <f>Data!J932</f>
        <v>199.2</v>
      </c>
      <c r="K933" s="58">
        <f t="shared" ca="1" si="15"/>
        <v>288</v>
      </c>
      <c r="L933" s="58">
        <f>Data!M932</f>
        <v>0</v>
      </c>
      <c r="M933" s="37" t="s">
        <v>26</v>
      </c>
      <c r="N933" s="43" t="str">
        <f>VLOOKUP(M933,Table1[#All],3,FALSE)</f>
        <v>Note</v>
      </c>
      <c r="O933" s="40" t="str">
        <f>VLOOKUP(M933,Table1[#All],4,FALSE)</f>
        <v>Q1</v>
      </c>
      <c r="P933" s="39"/>
      <c r="Q933" s="40" t="str">
        <f>VLOOKUP(M933,Table1[#All],5,FALSE)</f>
        <v>Q2</v>
      </c>
      <c r="R933" s="79"/>
      <c r="S933" s="40" t="str">
        <f>VLOOKUP(M933,Table1[#All],6,FALSE)</f>
        <v>Q3</v>
      </c>
      <c r="T933" s="79"/>
      <c r="U933" s="40" t="str">
        <f>VLOOKUP(M933,Table1[#All],7,FALSE)</f>
        <v>Q4</v>
      </c>
      <c r="V933" s="79"/>
      <c r="W933" s="40" t="str">
        <f>VLOOKUP(M933,Table1[#All],8,FALSE)</f>
        <v>Q5</v>
      </c>
      <c r="X933" s="79"/>
      <c r="Y933" s="44" t="str">
        <f>VLOOKUP(M933,Table1[#All],2,FALSE)</f>
        <v>Action</v>
      </c>
      <c r="Z933" s="59" t="str">
        <f>VLOOKUP(M933,Table1[#All],9,FALSE)</f>
        <v>Additional Notes:</v>
      </c>
      <c r="AA933" s="76"/>
      <c r="AB933" s="76"/>
      <c r="AC933" s="90" t="s">
        <v>91</v>
      </c>
      <c r="AD933" s="76" t="s">
        <v>91</v>
      </c>
      <c r="AE933" s="77"/>
      <c r="AF933" s="77"/>
      <c r="AG933" s="41" t="s">
        <v>91</v>
      </c>
    </row>
    <row r="934" spans="1:33" ht="21" hidden="1" x14ac:dyDescent="0.55000000000000004">
      <c r="A934" s="44" t="str">
        <f>Data!K933</f>
        <v>No Insurance</v>
      </c>
      <c r="B934" s="44">
        <f>Data!L933</f>
        <v>0</v>
      </c>
      <c r="C934" s="44" t="str">
        <f>Data!D933</f>
        <v>Story, Mary</v>
      </c>
      <c r="D934" s="82" t="str">
        <f>Data!F933</f>
        <v/>
      </c>
      <c r="E934" s="82" t="str">
        <f>Data!B933</f>
        <v>3721</v>
      </c>
      <c r="F934" s="44" t="str">
        <f>Data!A933</f>
        <v>Story, Mary</v>
      </c>
      <c r="G934" s="55" t="str">
        <f>Data!C933</f>
        <v>7/7/1971</v>
      </c>
      <c r="H934" s="56">
        <f>Data!H933</f>
        <v>44407</v>
      </c>
      <c r="I934" s="56" t="str">
        <f>Data!I933</f>
        <v>7/30/2021</v>
      </c>
      <c r="J934" s="57">
        <f>Data!J933</f>
        <v>199.2</v>
      </c>
      <c r="K934" s="58">
        <f t="shared" ca="1" si="15"/>
        <v>293</v>
      </c>
      <c r="L934" s="58">
        <f>Data!M933</f>
        <v>0</v>
      </c>
      <c r="M934" s="37" t="s">
        <v>26</v>
      </c>
      <c r="N934" s="43" t="str">
        <f>VLOOKUP(M934,Table1[#All],3,FALSE)</f>
        <v>Note</v>
      </c>
      <c r="O934" s="40" t="str">
        <f>VLOOKUP(M934,Table1[#All],4,FALSE)</f>
        <v>Q1</v>
      </c>
      <c r="P934" s="39"/>
      <c r="Q934" s="40" t="str">
        <f>VLOOKUP(M934,Table1[#All],5,FALSE)</f>
        <v>Q2</v>
      </c>
      <c r="R934" s="79"/>
      <c r="S934" s="40" t="str">
        <f>VLOOKUP(M934,Table1[#All],6,FALSE)</f>
        <v>Q3</v>
      </c>
      <c r="T934" s="79"/>
      <c r="U934" s="40" t="str">
        <f>VLOOKUP(M934,Table1[#All],7,FALSE)</f>
        <v>Q4</v>
      </c>
      <c r="V934" s="79"/>
      <c r="W934" s="40" t="str">
        <f>VLOOKUP(M934,Table1[#All],8,FALSE)</f>
        <v>Q5</v>
      </c>
      <c r="X934" s="79"/>
      <c r="Y934" s="44" t="str">
        <f>VLOOKUP(M934,Table1[#All],2,FALSE)</f>
        <v>Action</v>
      </c>
      <c r="Z934" s="59" t="str">
        <f>VLOOKUP(M934,Table1[#All],9,FALSE)</f>
        <v>Additional Notes:</v>
      </c>
      <c r="AA934" s="76"/>
      <c r="AB934" s="76"/>
      <c r="AC934" s="90" t="s">
        <v>91</v>
      </c>
      <c r="AD934" s="76" t="s">
        <v>91</v>
      </c>
      <c r="AE934" s="77"/>
      <c r="AF934" s="77"/>
      <c r="AG934" s="41" t="s">
        <v>91</v>
      </c>
    </row>
    <row r="935" spans="1:33" ht="21" hidden="1" x14ac:dyDescent="0.55000000000000004">
      <c r="A935" s="44" t="str">
        <f>Data!K934</f>
        <v>No Insurance</v>
      </c>
      <c r="B935" s="44">
        <f>Data!L934</f>
        <v>0</v>
      </c>
      <c r="C935" s="44" t="str">
        <f>Data!D934</f>
        <v xml:space="preserve">Hasting, Donald </v>
      </c>
      <c r="D935" s="82" t="str">
        <f>Data!F934</f>
        <v/>
      </c>
      <c r="E935" s="82" t="str">
        <f>Data!B934</f>
        <v>6943</v>
      </c>
      <c r="F935" s="44" t="str">
        <f>Data!A934</f>
        <v xml:space="preserve">Hasting, Donald </v>
      </c>
      <c r="G935" s="55" t="str">
        <f>Data!C934</f>
        <v>10/8/1959</v>
      </c>
      <c r="H935" s="56">
        <f>Data!H934</f>
        <v>44334</v>
      </c>
      <c r="I935" s="56" t="str">
        <f>Data!I934</f>
        <v>5/18/2021</v>
      </c>
      <c r="J935" s="57">
        <f>Data!J934</f>
        <v>250.8</v>
      </c>
      <c r="K935" s="58">
        <f t="shared" ca="1" si="15"/>
        <v>366</v>
      </c>
      <c r="L935" s="58">
        <f>Data!M934</f>
        <v>0</v>
      </c>
      <c r="M935" s="37" t="s">
        <v>26</v>
      </c>
      <c r="N935" s="43" t="str">
        <f>VLOOKUP(M935,Table1[#All],3,FALSE)</f>
        <v>Note</v>
      </c>
      <c r="O935" s="40" t="str">
        <f>VLOOKUP(M935,Table1[#All],4,FALSE)</f>
        <v>Q1</v>
      </c>
      <c r="P935" s="39"/>
      <c r="Q935" s="40" t="str">
        <f>VLOOKUP(M935,Table1[#All],5,FALSE)</f>
        <v>Q2</v>
      </c>
      <c r="R935" s="79"/>
      <c r="S935" s="40" t="str">
        <f>VLOOKUP(M935,Table1[#All],6,FALSE)</f>
        <v>Q3</v>
      </c>
      <c r="T935" s="79"/>
      <c r="U935" s="40" t="str">
        <f>VLOOKUP(M935,Table1[#All],7,FALSE)</f>
        <v>Q4</v>
      </c>
      <c r="V935" s="79"/>
      <c r="W935" s="40" t="str">
        <f>VLOOKUP(M935,Table1[#All],8,FALSE)</f>
        <v>Q5</v>
      </c>
      <c r="X935" s="79"/>
      <c r="Y935" s="44" t="str">
        <f>VLOOKUP(M935,Table1[#All],2,FALSE)</f>
        <v>Action</v>
      </c>
      <c r="Z935" s="59" t="str">
        <f>VLOOKUP(M935,Table1[#All],9,FALSE)</f>
        <v>Additional Notes:</v>
      </c>
      <c r="AA935" s="76"/>
      <c r="AB935" s="76"/>
      <c r="AC935" s="90" t="s">
        <v>91</v>
      </c>
      <c r="AD935" s="76" t="s">
        <v>91</v>
      </c>
      <c r="AE935" s="77"/>
      <c r="AF935" s="77"/>
      <c r="AG935" s="41" t="s">
        <v>91</v>
      </c>
    </row>
    <row r="936" spans="1:33" ht="21" hidden="1" x14ac:dyDescent="0.55000000000000004">
      <c r="A936" s="44" t="str">
        <f>Data!K935</f>
        <v>No Insurance</v>
      </c>
      <c r="B936" s="44">
        <f>Data!L935</f>
        <v>0</v>
      </c>
      <c r="C936" s="44" t="str">
        <f>Data!D935</f>
        <v xml:space="preserve">Saldivar , Silvia </v>
      </c>
      <c r="D936" s="82" t="str">
        <f>Data!F935</f>
        <v/>
      </c>
      <c r="E936" s="82" t="str">
        <f>Data!B935</f>
        <v>6884</v>
      </c>
      <c r="F936" s="44" t="str">
        <f>Data!A935</f>
        <v xml:space="preserve">Saldivar , Silvia </v>
      </c>
      <c r="G936" s="55" t="str">
        <f>Data!C935</f>
        <v>1/13/1971</v>
      </c>
      <c r="H936" s="56">
        <f>Data!H935</f>
        <v>44333</v>
      </c>
      <c r="I936" s="56" t="str">
        <f>Data!I935</f>
        <v>5/17/2021</v>
      </c>
      <c r="J936" s="57">
        <f>Data!J935</f>
        <v>480</v>
      </c>
      <c r="K936" s="58">
        <f t="shared" ref="K936:K999" ca="1" si="16">TODAY()-I936</f>
        <v>367</v>
      </c>
      <c r="L936" s="58">
        <f>Data!M935</f>
        <v>0</v>
      </c>
      <c r="M936" s="37" t="s">
        <v>26</v>
      </c>
      <c r="N936" s="43" t="str">
        <f>VLOOKUP(M936,Table1[#All],3,FALSE)</f>
        <v>Note</v>
      </c>
      <c r="O936" s="40" t="str">
        <f>VLOOKUP(M936,Table1[#All],4,FALSE)</f>
        <v>Q1</v>
      </c>
      <c r="P936" s="39"/>
      <c r="Q936" s="40" t="str">
        <f>VLOOKUP(M936,Table1[#All],5,FALSE)</f>
        <v>Q2</v>
      </c>
      <c r="R936" s="79"/>
      <c r="S936" s="40" t="str">
        <f>VLOOKUP(M936,Table1[#All],6,FALSE)</f>
        <v>Q3</v>
      </c>
      <c r="T936" s="79"/>
      <c r="U936" s="40" t="str">
        <f>VLOOKUP(M936,Table1[#All],7,FALSE)</f>
        <v>Q4</v>
      </c>
      <c r="V936" s="79"/>
      <c r="W936" s="40" t="str">
        <f>VLOOKUP(M936,Table1[#All],8,FALSE)</f>
        <v>Q5</v>
      </c>
      <c r="X936" s="79"/>
      <c r="Y936" s="44" t="str">
        <f>VLOOKUP(M936,Table1[#All],2,FALSE)</f>
        <v>Action</v>
      </c>
      <c r="Z936" s="59" t="str">
        <f>VLOOKUP(M936,Table1[#All],9,FALSE)</f>
        <v>Additional Notes:</v>
      </c>
      <c r="AA936" s="76"/>
      <c r="AB936" s="76"/>
      <c r="AC936" s="90" t="s">
        <v>91</v>
      </c>
      <c r="AD936" s="76" t="s">
        <v>91</v>
      </c>
      <c r="AE936" s="77"/>
      <c r="AF936" s="77"/>
      <c r="AG936" s="41" t="s">
        <v>91</v>
      </c>
    </row>
    <row r="937" spans="1:33" ht="21" hidden="1" x14ac:dyDescent="0.55000000000000004">
      <c r="A937" s="44" t="str">
        <f>Data!K936</f>
        <v>No Insurance</v>
      </c>
      <c r="B937" s="44">
        <f>Data!L936</f>
        <v>0</v>
      </c>
      <c r="C937" s="44" t="str">
        <f>Data!D936</f>
        <v>Kaur, Kuldip</v>
      </c>
      <c r="D937" s="82" t="str">
        <f>Data!F936</f>
        <v/>
      </c>
      <c r="E937" s="82" t="str">
        <f>Data!B936</f>
        <v>7070</v>
      </c>
      <c r="F937" s="44" t="str">
        <f>Data!A936</f>
        <v>Kaur, Kuldip</v>
      </c>
      <c r="G937" s="55" t="str">
        <f>Data!C936</f>
        <v>10/17/1965</v>
      </c>
      <c r="H937" s="56">
        <f>Data!H936</f>
        <v>44327</v>
      </c>
      <c r="I937" s="56" t="str">
        <f>Data!I936</f>
        <v>5/11/2021</v>
      </c>
      <c r="J937" s="57">
        <f>Data!J936</f>
        <v>425.6</v>
      </c>
      <c r="K937" s="58">
        <f t="shared" ca="1" si="16"/>
        <v>373</v>
      </c>
      <c r="L937" s="58">
        <f>Data!M936</f>
        <v>0</v>
      </c>
      <c r="M937" s="37" t="s">
        <v>26</v>
      </c>
      <c r="N937" s="43" t="str">
        <f>VLOOKUP(M937,Table1[#All],3,FALSE)</f>
        <v>Note</v>
      </c>
      <c r="O937" s="40" t="str">
        <f>VLOOKUP(M937,Table1[#All],4,FALSE)</f>
        <v>Q1</v>
      </c>
      <c r="P937" s="39"/>
      <c r="Q937" s="40" t="str">
        <f>VLOOKUP(M937,Table1[#All],5,FALSE)</f>
        <v>Q2</v>
      </c>
      <c r="R937" s="79"/>
      <c r="S937" s="40" t="str">
        <f>VLOOKUP(M937,Table1[#All],6,FALSE)</f>
        <v>Q3</v>
      </c>
      <c r="T937" s="79"/>
      <c r="U937" s="40" t="str">
        <f>VLOOKUP(M937,Table1[#All],7,FALSE)</f>
        <v>Q4</v>
      </c>
      <c r="V937" s="79"/>
      <c r="W937" s="40" t="str">
        <f>VLOOKUP(M937,Table1[#All],8,FALSE)</f>
        <v>Q5</v>
      </c>
      <c r="X937" s="79"/>
      <c r="Y937" s="44" t="str">
        <f>VLOOKUP(M937,Table1[#All],2,FALSE)</f>
        <v>Action</v>
      </c>
      <c r="Z937" s="59" t="str">
        <f>VLOOKUP(M937,Table1[#All],9,FALSE)</f>
        <v>Additional Notes:</v>
      </c>
      <c r="AA937" s="76"/>
      <c r="AB937" s="76"/>
      <c r="AC937" s="90" t="s">
        <v>91</v>
      </c>
      <c r="AD937" s="76" t="s">
        <v>91</v>
      </c>
      <c r="AE937" s="77"/>
      <c r="AF937" s="77"/>
      <c r="AG937" s="41" t="s">
        <v>91</v>
      </c>
    </row>
    <row r="938" spans="1:33" ht="21" hidden="1" x14ac:dyDescent="0.55000000000000004">
      <c r="A938" s="44" t="str">
        <f>Data!K937</f>
        <v>No Insurance</v>
      </c>
      <c r="B938" s="44">
        <f>Data!L937</f>
        <v>0</v>
      </c>
      <c r="C938" s="44" t="str">
        <f>Data!D937</f>
        <v>Singh, Satnam</v>
      </c>
      <c r="D938" s="82" t="str">
        <f>Data!F937</f>
        <v/>
      </c>
      <c r="E938" s="82" t="str">
        <f>Data!B937</f>
        <v>7071</v>
      </c>
      <c r="F938" s="44" t="str">
        <f>Data!A937</f>
        <v>Singh, Satnam</v>
      </c>
      <c r="G938" s="55" t="str">
        <f>Data!C937</f>
        <v>2/20/1964</v>
      </c>
      <c r="H938" s="56">
        <f>Data!H937</f>
        <v>44327</v>
      </c>
      <c r="I938" s="56" t="str">
        <f>Data!I937</f>
        <v>5/11/2021</v>
      </c>
      <c r="J938" s="57">
        <f>Data!J937</f>
        <v>186</v>
      </c>
      <c r="K938" s="58">
        <f t="shared" ca="1" si="16"/>
        <v>373</v>
      </c>
      <c r="L938" s="58">
        <f>Data!M937</f>
        <v>0</v>
      </c>
      <c r="M938" s="37" t="s">
        <v>26</v>
      </c>
      <c r="N938" s="43" t="str">
        <f>VLOOKUP(M938,Table1[#All],3,FALSE)</f>
        <v>Note</v>
      </c>
      <c r="O938" s="40" t="str">
        <f>VLOOKUP(M938,Table1[#All],4,FALSE)</f>
        <v>Q1</v>
      </c>
      <c r="P938" s="39"/>
      <c r="Q938" s="40" t="str">
        <f>VLOOKUP(M938,Table1[#All],5,FALSE)</f>
        <v>Q2</v>
      </c>
      <c r="R938" s="79"/>
      <c r="S938" s="40" t="str">
        <f>VLOOKUP(M938,Table1[#All],6,FALSE)</f>
        <v>Q3</v>
      </c>
      <c r="T938" s="79"/>
      <c r="U938" s="40" t="str">
        <f>VLOOKUP(M938,Table1[#All],7,FALSE)</f>
        <v>Q4</v>
      </c>
      <c r="V938" s="79"/>
      <c r="W938" s="40" t="str">
        <f>VLOOKUP(M938,Table1[#All],8,FALSE)</f>
        <v>Q5</v>
      </c>
      <c r="X938" s="79"/>
      <c r="Y938" s="44" t="str">
        <f>VLOOKUP(M938,Table1[#All],2,FALSE)</f>
        <v>Action</v>
      </c>
      <c r="Z938" s="59" t="str">
        <f>VLOOKUP(M938,Table1[#All],9,FALSE)</f>
        <v>Additional Notes:</v>
      </c>
      <c r="AA938" s="76"/>
      <c r="AB938" s="76"/>
      <c r="AC938" s="90" t="s">
        <v>91</v>
      </c>
      <c r="AD938" s="76" t="s">
        <v>91</v>
      </c>
      <c r="AE938" s="77"/>
      <c r="AF938" s="77"/>
      <c r="AG938" s="41" t="s">
        <v>91</v>
      </c>
    </row>
    <row r="939" spans="1:33" ht="21" hidden="1" x14ac:dyDescent="0.55000000000000004">
      <c r="A939" s="44" t="str">
        <f>Data!K938</f>
        <v>No Insurance</v>
      </c>
      <c r="B939" s="44">
        <f>Data!L938</f>
        <v>0</v>
      </c>
      <c r="C939" s="44" t="str">
        <f>Data!D938</f>
        <v>Pacheco  Lopez, Guillermo</v>
      </c>
      <c r="D939" s="82" t="str">
        <f>Data!F938</f>
        <v>000231</v>
      </c>
      <c r="E939" s="82" t="str">
        <f>Data!B938</f>
        <v>6629</v>
      </c>
      <c r="F939" s="44" t="str">
        <f>Data!A938</f>
        <v>Pacheco  Lopez, Guillermo</v>
      </c>
      <c r="G939" s="55" t="str">
        <f>Data!C938</f>
        <v>11/1/1974</v>
      </c>
      <c r="H939" s="56">
        <f>Data!H938</f>
        <v>44327</v>
      </c>
      <c r="I939" s="56" t="str">
        <f>Data!I938</f>
        <v>5/11/2021</v>
      </c>
      <c r="J939" s="57">
        <f>Data!J938</f>
        <v>61.2</v>
      </c>
      <c r="K939" s="58">
        <f t="shared" ca="1" si="16"/>
        <v>373</v>
      </c>
      <c r="L939" s="58">
        <f>Data!M938</f>
        <v>0</v>
      </c>
      <c r="M939" s="37" t="s">
        <v>26</v>
      </c>
      <c r="N939" s="43" t="str">
        <f>VLOOKUP(M939,Table1[#All],3,FALSE)</f>
        <v>Note</v>
      </c>
      <c r="O939" s="40" t="str">
        <f>VLOOKUP(M939,Table1[#All],4,FALSE)</f>
        <v>Q1</v>
      </c>
      <c r="P939" s="39"/>
      <c r="Q939" s="40" t="str">
        <f>VLOOKUP(M939,Table1[#All],5,FALSE)</f>
        <v>Q2</v>
      </c>
      <c r="R939" s="79"/>
      <c r="S939" s="40" t="str">
        <f>VLOOKUP(M939,Table1[#All],6,FALSE)</f>
        <v>Q3</v>
      </c>
      <c r="T939" s="79"/>
      <c r="U939" s="40" t="str">
        <f>VLOOKUP(M939,Table1[#All],7,FALSE)</f>
        <v>Q4</v>
      </c>
      <c r="V939" s="79"/>
      <c r="W939" s="40" t="str">
        <f>VLOOKUP(M939,Table1[#All],8,FALSE)</f>
        <v>Q5</v>
      </c>
      <c r="X939" s="79"/>
      <c r="Y939" s="44" t="str">
        <f>VLOOKUP(M939,Table1[#All],2,FALSE)</f>
        <v>Action</v>
      </c>
      <c r="Z939" s="59" t="str">
        <f>VLOOKUP(M939,Table1[#All],9,FALSE)</f>
        <v>Additional Notes:</v>
      </c>
      <c r="AA939" s="76"/>
      <c r="AB939" s="76"/>
      <c r="AC939" s="90" t="s">
        <v>91</v>
      </c>
      <c r="AD939" s="76" t="s">
        <v>91</v>
      </c>
      <c r="AE939" s="77"/>
      <c r="AF939" s="77"/>
      <c r="AG939" s="41" t="s">
        <v>91</v>
      </c>
    </row>
    <row r="940" spans="1:33" ht="21" hidden="1" x14ac:dyDescent="0.55000000000000004">
      <c r="A940" s="44" t="str">
        <f>Data!K939</f>
        <v>No Insurance</v>
      </c>
      <c r="B940" s="44">
        <f>Data!L939</f>
        <v>0</v>
      </c>
      <c r="C940" s="44" t="str">
        <f>Data!D939</f>
        <v>Garcia , Martin</v>
      </c>
      <c r="D940" s="82" t="str">
        <f>Data!F939</f>
        <v/>
      </c>
      <c r="E940" s="82" t="str">
        <f>Data!B939</f>
        <v>7020</v>
      </c>
      <c r="F940" s="44" t="str">
        <f>Data!A939</f>
        <v>Garcia , Martin</v>
      </c>
      <c r="G940" s="55" t="str">
        <f>Data!C939</f>
        <v>10/28/1991</v>
      </c>
      <c r="H940" s="56">
        <f>Data!H939</f>
        <v>44319</v>
      </c>
      <c r="I940" s="56" t="str">
        <f>Data!I939</f>
        <v>5/3/2021</v>
      </c>
      <c r="J940" s="57">
        <f>Data!J939</f>
        <v>414</v>
      </c>
      <c r="K940" s="58">
        <f t="shared" ca="1" si="16"/>
        <v>381</v>
      </c>
      <c r="L940" s="58">
        <f>Data!M939</f>
        <v>0</v>
      </c>
      <c r="M940" s="37" t="s">
        <v>26</v>
      </c>
      <c r="N940" s="43" t="str">
        <f>VLOOKUP(M940,Table1[#All],3,FALSE)</f>
        <v>Note</v>
      </c>
      <c r="O940" s="40" t="str">
        <f>VLOOKUP(M940,Table1[#All],4,FALSE)</f>
        <v>Q1</v>
      </c>
      <c r="P940" s="39"/>
      <c r="Q940" s="40" t="str">
        <f>VLOOKUP(M940,Table1[#All],5,FALSE)</f>
        <v>Q2</v>
      </c>
      <c r="R940" s="79"/>
      <c r="S940" s="40" t="str">
        <f>VLOOKUP(M940,Table1[#All],6,FALSE)</f>
        <v>Q3</v>
      </c>
      <c r="T940" s="79"/>
      <c r="U940" s="40" t="str">
        <f>VLOOKUP(M940,Table1[#All],7,FALSE)</f>
        <v>Q4</v>
      </c>
      <c r="V940" s="79"/>
      <c r="W940" s="40" t="str">
        <f>VLOOKUP(M940,Table1[#All],8,FALSE)</f>
        <v>Q5</v>
      </c>
      <c r="X940" s="79"/>
      <c r="Y940" s="44" t="str">
        <f>VLOOKUP(M940,Table1[#All],2,FALSE)</f>
        <v>Action</v>
      </c>
      <c r="Z940" s="59" t="str">
        <f>VLOOKUP(M940,Table1[#All],9,FALSE)</f>
        <v>Additional Notes:</v>
      </c>
      <c r="AA940" s="76"/>
      <c r="AB940" s="76"/>
      <c r="AC940" s="90" t="s">
        <v>91</v>
      </c>
      <c r="AD940" s="76" t="s">
        <v>91</v>
      </c>
      <c r="AE940" s="77"/>
      <c r="AF940" s="77"/>
      <c r="AG940" s="41" t="s">
        <v>91</v>
      </c>
    </row>
    <row r="941" spans="1:33" ht="21" hidden="1" x14ac:dyDescent="0.55000000000000004">
      <c r="A941" s="44" t="str">
        <f>Data!K940</f>
        <v>No Insurance</v>
      </c>
      <c r="B941" s="44">
        <f>Data!L940</f>
        <v>0</v>
      </c>
      <c r="C941" s="44" t="str">
        <f>Data!D940</f>
        <v xml:space="preserve">Hasting, Donald </v>
      </c>
      <c r="D941" s="82" t="str">
        <f>Data!F940</f>
        <v/>
      </c>
      <c r="E941" s="82" t="str">
        <f>Data!B940</f>
        <v>6943</v>
      </c>
      <c r="F941" s="44" t="str">
        <f>Data!A940</f>
        <v xml:space="preserve">Hasting, Donald </v>
      </c>
      <c r="G941" s="55" t="str">
        <f>Data!C940</f>
        <v>10/8/1959</v>
      </c>
      <c r="H941" s="56">
        <f>Data!H940</f>
        <v>44319</v>
      </c>
      <c r="I941" s="56" t="str">
        <f>Data!I940</f>
        <v>5/3/2021</v>
      </c>
      <c r="J941" s="57">
        <f>Data!J940</f>
        <v>138</v>
      </c>
      <c r="K941" s="58">
        <f t="shared" ca="1" si="16"/>
        <v>381</v>
      </c>
      <c r="L941" s="58">
        <f>Data!M940</f>
        <v>0</v>
      </c>
      <c r="M941" s="37" t="s">
        <v>26</v>
      </c>
      <c r="N941" s="43" t="str">
        <f>VLOOKUP(M941,Table1[#All],3,FALSE)</f>
        <v>Note</v>
      </c>
      <c r="O941" s="40" t="str">
        <f>VLOOKUP(M941,Table1[#All],4,FALSE)</f>
        <v>Q1</v>
      </c>
      <c r="P941" s="39"/>
      <c r="Q941" s="40" t="str">
        <f>VLOOKUP(M941,Table1[#All],5,FALSE)</f>
        <v>Q2</v>
      </c>
      <c r="R941" s="79"/>
      <c r="S941" s="40" t="str">
        <f>VLOOKUP(M941,Table1[#All],6,FALSE)</f>
        <v>Q3</v>
      </c>
      <c r="T941" s="79"/>
      <c r="U941" s="40" t="str">
        <f>VLOOKUP(M941,Table1[#All],7,FALSE)</f>
        <v>Q4</v>
      </c>
      <c r="V941" s="79"/>
      <c r="W941" s="40" t="str">
        <f>VLOOKUP(M941,Table1[#All],8,FALSE)</f>
        <v>Q5</v>
      </c>
      <c r="X941" s="79"/>
      <c r="Y941" s="44" t="str">
        <f>VLOOKUP(M941,Table1[#All],2,FALSE)</f>
        <v>Action</v>
      </c>
      <c r="Z941" s="59" t="str">
        <f>VLOOKUP(M941,Table1[#All],9,FALSE)</f>
        <v>Additional Notes:</v>
      </c>
      <c r="AA941" s="76"/>
      <c r="AB941" s="76"/>
      <c r="AC941" s="90" t="s">
        <v>91</v>
      </c>
      <c r="AD941" s="76" t="s">
        <v>91</v>
      </c>
      <c r="AE941" s="77"/>
      <c r="AF941" s="77"/>
      <c r="AG941" s="41" t="s">
        <v>91</v>
      </c>
    </row>
    <row r="942" spans="1:33" ht="21" hidden="1" x14ac:dyDescent="0.55000000000000004">
      <c r="A942" s="44" t="str">
        <f>Data!K941</f>
        <v>No Insurance</v>
      </c>
      <c r="B942" s="44">
        <f>Data!L941</f>
        <v>0</v>
      </c>
      <c r="C942" s="44" t="str">
        <f>Data!D941</f>
        <v>Cox , Sherry</v>
      </c>
      <c r="D942" s="82" t="str">
        <f>Data!F941</f>
        <v/>
      </c>
      <c r="E942" s="82" t="str">
        <f>Data!B941</f>
        <v>6937</v>
      </c>
      <c r="F942" s="44" t="str">
        <f>Data!A941</f>
        <v>Cox , Sherry</v>
      </c>
      <c r="G942" s="55" t="str">
        <f>Data!C941</f>
        <v>11/22/1971</v>
      </c>
      <c r="H942" s="56">
        <f>Data!H941</f>
        <v>44313</v>
      </c>
      <c r="I942" s="56" t="str">
        <f>Data!I941</f>
        <v>4/27/2021</v>
      </c>
      <c r="J942" s="57">
        <f>Data!J941</f>
        <v>199.2</v>
      </c>
      <c r="K942" s="58">
        <f t="shared" ca="1" si="16"/>
        <v>387</v>
      </c>
      <c r="L942" s="58">
        <f>Data!M941</f>
        <v>0</v>
      </c>
      <c r="M942" s="37" t="s">
        <v>26</v>
      </c>
      <c r="N942" s="43" t="str">
        <f>VLOOKUP(M942,Table1[#All],3,FALSE)</f>
        <v>Note</v>
      </c>
      <c r="O942" s="40" t="str">
        <f>VLOOKUP(M942,Table1[#All],4,FALSE)</f>
        <v>Q1</v>
      </c>
      <c r="P942" s="39"/>
      <c r="Q942" s="40" t="str">
        <f>VLOOKUP(M942,Table1[#All],5,FALSE)</f>
        <v>Q2</v>
      </c>
      <c r="R942" s="79"/>
      <c r="S942" s="40" t="str">
        <f>VLOOKUP(M942,Table1[#All],6,FALSE)</f>
        <v>Q3</v>
      </c>
      <c r="T942" s="79"/>
      <c r="U942" s="40" t="str">
        <f>VLOOKUP(M942,Table1[#All],7,FALSE)</f>
        <v>Q4</v>
      </c>
      <c r="V942" s="79"/>
      <c r="W942" s="40" t="str">
        <f>VLOOKUP(M942,Table1[#All],8,FALSE)</f>
        <v>Q5</v>
      </c>
      <c r="X942" s="79"/>
      <c r="Y942" s="44" t="str">
        <f>VLOOKUP(M942,Table1[#All],2,FALSE)</f>
        <v>Action</v>
      </c>
      <c r="Z942" s="59" t="str">
        <f>VLOOKUP(M942,Table1[#All],9,FALSE)</f>
        <v>Additional Notes:</v>
      </c>
      <c r="AA942" s="76"/>
      <c r="AB942" s="76"/>
      <c r="AC942" s="90" t="s">
        <v>91</v>
      </c>
      <c r="AD942" s="76" t="s">
        <v>91</v>
      </c>
      <c r="AE942" s="77"/>
      <c r="AF942" s="77"/>
      <c r="AG942" s="41" t="s">
        <v>91</v>
      </c>
    </row>
    <row r="943" spans="1:33" ht="21" hidden="1" x14ac:dyDescent="0.55000000000000004">
      <c r="A943" s="44" t="str">
        <f>Data!K942</f>
        <v>No Insurance</v>
      </c>
      <c r="B943" s="44">
        <f>Data!L942</f>
        <v>0</v>
      </c>
      <c r="C943" s="44" t="str">
        <f>Data!D942</f>
        <v xml:space="preserve">Oliver , Kelly </v>
      </c>
      <c r="D943" s="82" t="str">
        <f>Data!F942</f>
        <v/>
      </c>
      <c r="E943" s="82" t="str">
        <f>Data!B942</f>
        <v>6947</v>
      </c>
      <c r="F943" s="44" t="str">
        <f>Data!A942</f>
        <v xml:space="preserve">Oliver , Kelly </v>
      </c>
      <c r="G943" s="55" t="str">
        <f>Data!C942</f>
        <v>11/15/1987</v>
      </c>
      <c r="H943" s="56">
        <f>Data!H942</f>
        <v>44313</v>
      </c>
      <c r="I943" s="56" t="str">
        <f>Data!I942</f>
        <v>4/27/2021</v>
      </c>
      <c r="J943" s="57">
        <f>Data!J942</f>
        <v>261.60000000000002</v>
      </c>
      <c r="K943" s="58">
        <f t="shared" ca="1" si="16"/>
        <v>387</v>
      </c>
      <c r="L943" s="58">
        <f>Data!M942</f>
        <v>0</v>
      </c>
      <c r="M943" s="37" t="s">
        <v>26</v>
      </c>
      <c r="N943" s="43" t="str">
        <f>VLOOKUP(M943,Table1[#All],3,FALSE)</f>
        <v>Note</v>
      </c>
      <c r="O943" s="40" t="str">
        <f>VLOOKUP(M943,Table1[#All],4,FALSE)</f>
        <v>Q1</v>
      </c>
      <c r="P943" s="39"/>
      <c r="Q943" s="40" t="str">
        <f>VLOOKUP(M943,Table1[#All],5,FALSE)</f>
        <v>Q2</v>
      </c>
      <c r="R943" s="79"/>
      <c r="S943" s="40" t="str">
        <f>VLOOKUP(M943,Table1[#All],6,FALSE)</f>
        <v>Q3</v>
      </c>
      <c r="T943" s="79"/>
      <c r="U943" s="40" t="str">
        <f>VLOOKUP(M943,Table1[#All],7,FALSE)</f>
        <v>Q4</v>
      </c>
      <c r="V943" s="79"/>
      <c r="W943" s="40" t="str">
        <f>VLOOKUP(M943,Table1[#All],8,FALSE)</f>
        <v>Q5</v>
      </c>
      <c r="X943" s="79"/>
      <c r="Y943" s="44" t="str">
        <f>VLOOKUP(M943,Table1[#All],2,FALSE)</f>
        <v>Action</v>
      </c>
      <c r="Z943" s="59" t="str">
        <f>VLOOKUP(M943,Table1[#All],9,FALSE)</f>
        <v>Additional Notes:</v>
      </c>
      <c r="AA943" s="76"/>
      <c r="AB943" s="76"/>
      <c r="AC943" s="90" t="s">
        <v>91</v>
      </c>
      <c r="AD943" s="76" t="s">
        <v>91</v>
      </c>
      <c r="AE943" s="77"/>
      <c r="AF943" s="77"/>
      <c r="AG943" s="41" t="s">
        <v>91</v>
      </c>
    </row>
    <row r="944" spans="1:33" ht="21" hidden="1" x14ac:dyDescent="0.55000000000000004">
      <c r="A944" s="44" t="str">
        <f>Data!K943</f>
        <v>No Insurance</v>
      </c>
      <c r="B944" s="44">
        <f>Data!L943</f>
        <v>0</v>
      </c>
      <c r="C944" s="44" t="str">
        <f>Data!D943</f>
        <v xml:space="preserve">Hasting, Donald </v>
      </c>
      <c r="D944" s="82" t="str">
        <f>Data!F943</f>
        <v/>
      </c>
      <c r="E944" s="82" t="str">
        <f>Data!B943</f>
        <v>6943</v>
      </c>
      <c r="F944" s="44" t="str">
        <f>Data!A943</f>
        <v xml:space="preserve">Hasting, Donald </v>
      </c>
      <c r="G944" s="55" t="str">
        <f>Data!C943</f>
        <v>10/8/1959</v>
      </c>
      <c r="H944" s="56">
        <f>Data!H943</f>
        <v>44310</v>
      </c>
      <c r="I944" s="56" t="str">
        <f>Data!I943</f>
        <v>4/24/2021</v>
      </c>
      <c r="J944" s="57">
        <f>Data!J943</f>
        <v>88.8</v>
      </c>
      <c r="K944" s="58">
        <f t="shared" ca="1" si="16"/>
        <v>390</v>
      </c>
      <c r="L944" s="58">
        <f>Data!M943</f>
        <v>0</v>
      </c>
      <c r="M944" s="37" t="s">
        <v>26</v>
      </c>
      <c r="N944" s="43" t="str">
        <f>VLOOKUP(M944,Table1[#All],3,FALSE)</f>
        <v>Note</v>
      </c>
      <c r="O944" s="40" t="str">
        <f>VLOOKUP(M944,Table1[#All],4,FALSE)</f>
        <v>Q1</v>
      </c>
      <c r="P944" s="39"/>
      <c r="Q944" s="40" t="str">
        <f>VLOOKUP(M944,Table1[#All],5,FALSE)</f>
        <v>Q2</v>
      </c>
      <c r="R944" s="79"/>
      <c r="S944" s="40" t="str">
        <f>VLOOKUP(M944,Table1[#All],6,FALSE)</f>
        <v>Q3</v>
      </c>
      <c r="T944" s="79"/>
      <c r="U944" s="40" t="str">
        <f>VLOOKUP(M944,Table1[#All],7,FALSE)</f>
        <v>Q4</v>
      </c>
      <c r="V944" s="79"/>
      <c r="W944" s="40" t="str">
        <f>VLOOKUP(M944,Table1[#All],8,FALSE)</f>
        <v>Q5</v>
      </c>
      <c r="X944" s="79"/>
      <c r="Y944" s="44" t="str">
        <f>VLOOKUP(M944,Table1[#All],2,FALSE)</f>
        <v>Action</v>
      </c>
      <c r="Z944" s="59" t="str">
        <f>VLOOKUP(M944,Table1[#All],9,FALSE)</f>
        <v>Additional Notes:</v>
      </c>
      <c r="AA944" s="76"/>
      <c r="AB944" s="76"/>
      <c r="AC944" s="90" t="s">
        <v>91</v>
      </c>
      <c r="AD944" s="76" t="s">
        <v>91</v>
      </c>
      <c r="AE944" s="77"/>
      <c r="AF944" s="77"/>
      <c r="AG944" s="41" t="s">
        <v>91</v>
      </c>
    </row>
    <row r="945" spans="1:33" ht="21" hidden="1" x14ac:dyDescent="0.55000000000000004">
      <c r="A945" s="44" t="str">
        <f>Data!K944</f>
        <v>No Insurance</v>
      </c>
      <c r="B945" s="44">
        <f>Data!L944</f>
        <v>0</v>
      </c>
      <c r="C945" s="44" t="str">
        <f>Data!D944</f>
        <v xml:space="preserve">Saldivar , Silvia </v>
      </c>
      <c r="D945" s="82" t="str">
        <f>Data!F944</f>
        <v/>
      </c>
      <c r="E945" s="82" t="str">
        <f>Data!B944</f>
        <v>6884</v>
      </c>
      <c r="F945" s="44" t="str">
        <f>Data!A944</f>
        <v xml:space="preserve">Saldivar , Silvia </v>
      </c>
      <c r="G945" s="55" t="str">
        <f>Data!C944</f>
        <v>1/13/1971</v>
      </c>
      <c r="H945" s="56">
        <f>Data!H944</f>
        <v>44305</v>
      </c>
      <c r="I945" s="56" t="str">
        <f>Data!I944</f>
        <v>4/19/2021</v>
      </c>
      <c r="J945" s="57">
        <f>Data!J944</f>
        <v>552</v>
      </c>
      <c r="K945" s="58">
        <f t="shared" ca="1" si="16"/>
        <v>395</v>
      </c>
      <c r="L945" s="58">
        <f>Data!M944</f>
        <v>0</v>
      </c>
      <c r="M945" s="37" t="s">
        <v>26</v>
      </c>
      <c r="N945" s="43" t="str">
        <f>VLOOKUP(M945,Table1[#All],3,FALSE)</f>
        <v>Note</v>
      </c>
      <c r="O945" s="40" t="str">
        <f>VLOOKUP(M945,Table1[#All],4,FALSE)</f>
        <v>Q1</v>
      </c>
      <c r="P945" s="39"/>
      <c r="Q945" s="40" t="str">
        <f>VLOOKUP(M945,Table1[#All],5,FALSE)</f>
        <v>Q2</v>
      </c>
      <c r="R945" s="79"/>
      <c r="S945" s="40" t="str">
        <f>VLOOKUP(M945,Table1[#All],6,FALSE)</f>
        <v>Q3</v>
      </c>
      <c r="T945" s="79"/>
      <c r="U945" s="40" t="str">
        <f>VLOOKUP(M945,Table1[#All],7,FALSE)</f>
        <v>Q4</v>
      </c>
      <c r="V945" s="79"/>
      <c r="W945" s="40" t="str">
        <f>VLOOKUP(M945,Table1[#All],8,FALSE)</f>
        <v>Q5</v>
      </c>
      <c r="X945" s="79"/>
      <c r="Y945" s="44" t="str">
        <f>VLOOKUP(M945,Table1[#All],2,FALSE)</f>
        <v>Action</v>
      </c>
      <c r="Z945" s="59" t="str">
        <f>VLOOKUP(M945,Table1[#All],9,FALSE)</f>
        <v>Additional Notes:</v>
      </c>
      <c r="AA945" s="76"/>
      <c r="AB945" s="76"/>
      <c r="AC945" s="90" t="s">
        <v>91</v>
      </c>
      <c r="AD945" s="76" t="s">
        <v>91</v>
      </c>
      <c r="AE945" s="77"/>
      <c r="AF945" s="77"/>
      <c r="AG945" s="41" t="s">
        <v>91</v>
      </c>
    </row>
    <row r="946" spans="1:33" ht="21" hidden="1" x14ac:dyDescent="0.55000000000000004">
      <c r="A946" s="44" t="str">
        <f>Data!K945</f>
        <v>No Insurance</v>
      </c>
      <c r="B946" s="44">
        <f>Data!L945</f>
        <v>0</v>
      </c>
      <c r="C946" s="44" t="str">
        <f>Data!D945</f>
        <v>Jaitly, Kiran</v>
      </c>
      <c r="D946" s="82" t="str">
        <f>Data!F945</f>
        <v/>
      </c>
      <c r="E946" s="82" t="str">
        <f>Data!B945</f>
        <v>6806</v>
      </c>
      <c r="F946" s="44" t="str">
        <f>Data!A945</f>
        <v>Jaitly, Kiran</v>
      </c>
      <c r="G946" s="55" t="str">
        <f>Data!C945</f>
        <v>6/6/1962</v>
      </c>
      <c r="H946" s="56">
        <f>Data!H945</f>
        <v>44293</v>
      </c>
      <c r="I946" s="56" t="str">
        <f>Data!I945</f>
        <v>4/7/2021</v>
      </c>
      <c r="J946" s="57">
        <f>Data!J945</f>
        <v>72</v>
      </c>
      <c r="K946" s="58">
        <f t="shared" ca="1" si="16"/>
        <v>407</v>
      </c>
      <c r="L946" s="58">
        <f>Data!M945</f>
        <v>0</v>
      </c>
      <c r="M946" s="37" t="s">
        <v>26</v>
      </c>
      <c r="N946" s="43" t="str">
        <f>VLOOKUP(M946,Table1[#All],3,FALSE)</f>
        <v>Note</v>
      </c>
      <c r="O946" s="40" t="str">
        <f>VLOOKUP(M946,Table1[#All],4,FALSE)</f>
        <v>Q1</v>
      </c>
      <c r="P946" s="39"/>
      <c r="Q946" s="40" t="str">
        <f>VLOOKUP(M946,Table1[#All],5,FALSE)</f>
        <v>Q2</v>
      </c>
      <c r="R946" s="79"/>
      <c r="S946" s="40" t="str">
        <f>VLOOKUP(M946,Table1[#All],6,FALSE)</f>
        <v>Q3</v>
      </c>
      <c r="T946" s="79"/>
      <c r="U946" s="40" t="str">
        <f>VLOOKUP(M946,Table1[#All],7,FALSE)</f>
        <v>Q4</v>
      </c>
      <c r="V946" s="79"/>
      <c r="W946" s="40" t="str">
        <f>VLOOKUP(M946,Table1[#All],8,FALSE)</f>
        <v>Q5</v>
      </c>
      <c r="X946" s="79"/>
      <c r="Y946" s="44" t="str">
        <f>VLOOKUP(M946,Table1[#All],2,FALSE)</f>
        <v>Action</v>
      </c>
      <c r="Z946" s="59" t="str">
        <f>VLOOKUP(M946,Table1[#All],9,FALSE)</f>
        <v>Additional Notes:</v>
      </c>
      <c r="AA946" s="76"/>
      <c r="AB946" s="76"/>
      <c r="AC946" s="90" t="s">
        <v>91</v>
      </c>
      <c r="AD946" s="76" t="s">
        <v>91</v>
      </c>
      <c r="AE946" s="77"/>
      <c r="AF946" s="77"/>
      <c r="AG946" s="41" t="s">
        <v>91</v>
      </c>
    </row>
    <row r="947" spans="1:33" ht="21" hidden="1" x14ac:dyDescent="0.55000000000000004">
      <c r="A947" s="44" t="str">
        <f>Data!K946</f>
        <v>No Insurance</v>
      </c>
      <c r="B947" s="44">
        <f>Data!L946</f>
        <v>0</v>
      </c>
      <c r="C947" s="44" t="str">
        <f>Data!D946</f>
        <v>Kaur , Rajwinder</v>
      </c>
      <c r="D947" s="82" t="str">
        <f>Data!F946</f>
        <v>0000000</v>
      </c>
      <c r="E947" s="82" t="str">
        <f>Data!B946</f>
        <v>6748</v>
      </c>
      <c r="F947" s="44" t="str">
        <f>Data!A946</f>
        <v>Kaur , Rajwinder</v>
      </c>
      <c r="G947" s="55" t="str">
        <f>Data!C946</f>
        <v>11/19/1990</v>
      </c>
      <c r="H947" s="56">
        <f>Data!H946</f>
        <v>44286</v>
      </c>
      <c r="I947" s="56" t="str">
        <f>Data!I946</f>
        <v>4/6/2021</v>
      </c>
      <c r="J947" s="57">
        <f>Data!J946</f>
        <v>61.2</v>
      </c>
      <c r="K947" s="58">
        <f t="shared" ca="1" si="16"/>
        <v>408</v>
      </c>
      <c r="L947" s="58">
        <f>Data!M946</f>
        <v>0</v>
      </c>
      <c r="M947" s="37" t="s">
        <v>26</v>
      </c>
      <c r="N947" s="43" t="str">
        <f>VLOOKUP(M947,Table1[#All],3,FALSE)</f>
        <v>Note</v>
      </c>
      <c r="O947" s="40" t="str">
        <f>VLOOKUP(M947,Table1[#All],4,FALSE)</f>
        <v>Q1</v>
      </c>
      <c r="P947" s="39"/>
      <c r="Q947" s="40" t="str">
        <f>VLOOKUP(M947,Table1[#All],5,FALSE)</f>
        <v>Q2</v>
      </c>
      <c r="R947" s="79"/>
      <c r="S947" s="40" t="str">
        <f>VLOOKUP(M947,Table1[#All],6,FALSE)</f>
        <v>Q3</v>
      </c>
      <c r="T947" s="79"/>
      <c r="U947" s="40" t="str">
        <f>VLOOKUP(M947,Table1[#All],7,FALSE)</f>
        <v>Q4</v>
      </c>
      <c r="V947" s="79"/>
      <c r="W947" s="40" t="str">
        <f>VLOOKUP(M947,Table1[#All],8,FALSE)</f>
        <v>Q5</v>
      </c>
      <c r="X947" s="79"/>
      <c r="Y947" s="44" t="str">
        <f>VLOOKUP(M947,Table1[#All],2,FALSE)</f>
        <v>Action</v>
      </c>
      <c r="Z947" s="59" t="str">
        <f>VLOOKUP(M947,Table1[#All],9,FALSE)</f>
        <v>Additional Notes:</v>
      </c>
      <c r="AA947" s="76"/>
      <c r="AB947" s="76"/>
      <c r="AC947" s="90" t="s">
        <v>91</v>
      </c>
      <c r="AD947" s="76" t="s">
        <v>91</v>
      </c>
      <c r="AE947" s="77"/>
      <c r="AF947" s="77"/>
      <c r="AG947" s="41" t="s">
        <v>91</v>
      </c>
    </row>
    <row r="948" spans="1:33" ht="21" hidden="1" x14ac:dyDescent="0.55000000000000004">
      <c r="A948" s="44" t="str">
        <f>Data!K947</f>
        <v>Reliance Standard Insurance Co</v>
      </c>
      <c r="B948" s="44" t="str">
        <f>Data!L947</f>
        <v>8004977044</v>
      </c>
      <c r="C948" s="44" t="str">
        <f>Data!D947</f>
        <v>Mcdougalds, James</v>
      </c>
      <c r="D948" s="82" t="str">
        <f>Data!F947</f>
        <v>001493310</v>
      </c>
      <c r="E948" s="82" t="str">
        <f>Data!B947</f>
        <v>9306</v>
      </c>
      <c r="F948" s="44" t="str">
        <f>Data!A947</f>
        <v>Mcdougalds, James</v>
      </c>
      <c r="G948" s="55" t="str">
        <f>Data!C947</f>
        <v>8/22/1975</v>
      </c>
      <c r="H948" s="56">
        <f>Data!H947</f>
        <v>44652</v>
      </c>
      <c r="I948" s="56" t="str">
        <f>Data!I947</f>
        <v>4/4/2022</v>
      </c>
      <c r="J948" s="57">
        <f>Data!J947</f>
        <v>430.4</v>
      </c>
      <c r="K948" s="58">
        <f t="shared" ca="1" si="16"/>
        <v>45</v>
      </c>
      <c r="L948" s="58">
        <f>Data!M947</f>
        <v>0</v>
      </c>
      <c r="M948" s="37" t="s">
        <v>26</v>
      </c>
      <c r="N948" s="43" t="str">
        <f>VLOOKUP(M948,Table1[#All],3,FALSE)</f>
        <v>Note</v>
      </c>
      <c r="O948" s="40" t="str">
        <f>VLOOKUP(M948,Table1[#All],4,FALSE)</f>
        <v>Q1</v>
      </c>
      <c r="P948" s="39"/>
      <c r="Q948" s="40" t="str">
        <f>VLOOKUP(M948,Table1[#All],5,FALSE)</f>
        <v>Q2</v>
      </c>
      <c r="R948" s="79"/>
      <c r="S948" s="40" t="str">
        <f>VLOOKUP(M948,Table1[#All],6,FALSE)</f>
        <v>Q3</v>
      </c>
      <c r="T948" s="79"/>
      <c r="U948" s="40" t="str">
        <f>VLOOKUP(M948,Table1[#All],7,FALSE)</f>
        <v>Q4</v>
      </c>
      <c r="V948" s="79"/>
      <c r="W948" s="40" t="str">
        <f>VLOOKUP(M948,Table1[#All],8,FALSE)</f>
        <v>Q5</v>
      </c>
      <c r="X948" s="79"/>
      <c r="Y948" s="44" t="str">
        <f>VLOOKUP(M948,Table1[#All],2,FALSE)</f>
        <v>Action</v>
      </c>
      <c r="Z948" s="59" t="str">
        <f>VLOOKUP(M948,Table1[#All],9,FALSE)</f>
        <v>Additional Notes:</v>
      </c>
      <c r="AA948" s="76"/>
      <c r="AB948" s="76"/>
      <c r="AC948" s="90" t="s">
        <v>91</v>
      </c>
      <c r="AD948" s="76" t="s">
        <v>91</v>
      </c>
      <c r="AE948" s="77"/>
      <c r="AF948" s="77"/>
      <c r="AG948" s="41" t="s">
        <v>91</v>
      </c>
    </row>
    <row r="949" spans="1:33" ht="21" hidden="1" x14ac:dyDescent="0.55000000000000004">
      <c r="A949" s="44" t="str">
        <f>Data!K948</f>
        <v xml:space="preserve">UHC PPO </v>
      </c>
      <c r="B949" s="44" t="str">
        <f>Data!L948</f>
        <v>8008225353</v>
      </c>
      <c r="C949" s="44" t="str">
        <f>Data!D948</f>
        <v xml:space="preserve">Rabideau, Wayne </v>
      </c>
      <c r="D949" s="82" t="str">
        <f>Data!F948</f>
        <v>902874743</v>
      </c>
      <c r="E949" s="82" t="str">
        <f>Data!B948</f>
        <v>5380</v>
      </c>
      <c r="F949" s="44" t="str">
        <f>Data!A948</f>
        <v xml:space="preserve">Rabideau, Wayne </v>
      </c>
      <c r="G949" s="55" t="str">
        <f>Data!C948</f>
        <v>4/6/1951</v>
      </c>
      <c r="H949" s="56">
        <f>Data!H948</f>
        <v>44532</v>
      </c>
      <c r="I949" s="56" t="str">
        <f>Data!I948</f>
        <v>3/7/2022</v>
      </c>
      <c r="J949" s="57">
        <f>Data!J948</f>
        <v>1062</v>
      </c>
      <c r="K949" s="58">
        <f t="shared" ca="1" si="16"/>
        <v>73</v>
      </c>
      <c r="L949" s="58">
        <f>Data!M948</f>
        <v>0</v>
      </c>
      <c r="M949" s="37" t="s">
        <v>26</v>
      </c>
      <c r="N949" s="43" t="str">
        <f>VLOOKUP(M949,Table1[#All],3,FALSE)</f>
        <v>Note</v>
      </c>
      <c r="O949" s="40" t="str">
        <f>VLOOKUP(M949,Table1[#All],4,FALSE)</f>
        <v>Q1</v>
      </c>
      <c r="P949" s="39"/>
      <c r="Q949" s="40" t="str">
        <f>VLOOKUP(M949,Table1[#All],5,FALSE)</f>
        <v>Q2</v>
      </c>
      <c r="R949" s="79"/>
      <c r="S949" s="40" t="str">
        <f>VLOOKUP(M949,Table1[#All],6,FALSE)</f>
        <v>Q3</v>
      </c>
      <c r="T949" s="79"/>
      <c r="U949" s="40" t="str">
        <f>VLOOKUP(M949,Table1[#All],7,FALSE)</f>
        <v>Q4</v>
      </c>
      <c r="V949" s="79"/>
      <c r="W949" s="40" t="str">
        <f>VLOOKUP(M949,Table1[#All],8,FALSE)</f>
        <v>Q5</v>
      </c>
      <c r="X949" s="79"/>
      <c r="Y949" s="44" t="str">
        <f>VLOOKUP(M949,Table1[#All],2,FALSE)</f>
        <v>Action</v>
      </c>
      <c r="Z949" s="59" t="str">
        <f>VLOOKUP(M949,Table1[#All],9,FALSE)</f>
        <v>Additional Notes:</v>
      </c>
      <c r="AA949" s="76"/>
      <c r="AB949" s="76"/>
      <c r="AC949" s="90" t="s">
        <v>91</v>
      </c>
      <c r="AD949" s="76" t="s">
        <v>91</v>
      </c>
      <c r="AE949" s="77"/>
      <c r="AF949" s="77"/>
      <c r="AG949" s="41" t="s">
        <v>91</v>
      </c>
    </row>
    <row r="950" spans="1:33" ht="21" hidden="1" x14ac:dyDescent="0.55000000000000004">
      <c r="A950" s="44" t="str">
        <f>Data!K949</f>
        <v xml:space="preserve">UHC PPO </v>
      </c>
      <c r="B950" s="44" t="str">
        <f>Data!L949</f>
        <v>8008225353</v>
      </c>
      <c r="C950" s="44" t="str">
        <f>Data!D949</f>
        <v>Rangel, Anastacia</v>
      </c>
      <c r="D950" s="82" t="str">
        <f>Data!F949</f>
        <v>961911362</v>
      </c>
      <c r="E950" s="82" t="str">
        <f>Data!B949</f>
        <v>879</v>
      </c>
      <c r="F950" s="44" t="str">
        <f>Data!A949</f>
        <v>Rangel, Anastacia</v>
      </c>
      <c r="G950" s="55" t="str">
        <f>Data!C949</f>
        <v>4/15/1935</v>
      </c>
      <c r="H950" s="56">
        <f>Data!H949</f>
        <v>44589</v>
      </c>
      <c r="I950" s="56" t="str">
        <f>Data!I949</f>
        <v>1/31/2022</v>
      </c>
      <c r="J950" s="57">
        <f>Data!J949</f>
        <v>138</v>
      </c>
      <c r="K950" s="58">
        <f t="shared" ca="1" si="16"/>
        <v>108</v>
      </c>
      <c r="L950" s="58">
        <f>Data!M949</f>
        <v>0</v>
      </c>
      <c r="M950" s="37" t="s">
        <v>5</v>
      </c>
      <c r="N950" s="43" t="str">
        <f>VLOOKUP(M950,Table1[#All],3,FALSE)</f>
        <v>Claim Paid by EFT;</v>
      </c>
      <c r="O950" s="40" t="str">
        <f>VLOOKUP(M950,Table1[#All],4,FALSE)</f>
        <v>Issue Date:</v>
      </c>
      <c r="P950" s="38">
        <v>44594</v>
      </c>
      <c r="Q950" s="40" t="str">
        <f>VLOOKUP(M950,Table1[#All],5,FALSE)</f>
        <v>EFT#</v>
      </c>
      <c r="R950" s="79">
        <v>216124322</v>
      </c>
      <c r="S950" s="40" t="str">
        <f>VLOOKUP(M950,Table1[#All],6,FALSE)</f>
        <v>Bulk/Sep:</v>
      </c>
      <c r="T950" s="79" t="s">
        <v>3883</v>
      </c>
      <c r="U950" s="40" t="str">
        <f>VLOOKUP(M950,Table1[#All],7,FALSE)</f>
        <v>Call Ref#:</v>
      </c>
      <c r="V950" s="79" t="s">
        <v>4174</v>
      </c>
      <c r="W950" s="40" t="str">
        <f>VLOOKUP(M950,Table1[#All],8,FALSE)</f>
        <v>Cust Rep:</v>
      </c>
      <c r="X950" s="79" t="s">
        <v>4175</v>
      </c>
      <c r="Y950" s="44" t="str">
        <f>VLOOKUP(M950,Table1[#All],2,FALSE)</f>
        <v xml:space="preserve">Task Post Pmt Queue </v>
      </c>
      <c r="Z950" s="59" t="str">
        <f>VLOOKUP(M950,Table1[#All],9,FALSE)</f>
        <v>Additional Notes:</v>
      </c>
      <c r="AA950" s="76" t="s">
        <v>4176</v>
      </c>
      <c r="AB950" s="76" t="s">
        <v>3816</v>
      </c>
      <c r="AC950" s="90" t="s">
        <v>115</v>
      </c>
      <c r="AD950" s="76" t="s">
        <v>177</v>
      </c>
      <c r="AE950" s="77" t="s">
        <v>3770</v>
      </c>
      <c r="AF950" s="110">
        <v>44687</v>
      </c>
      <c r="AG950" s="41" t="s">
        <v>101</v>
      </c>
    </row>
    <row r="951" spans="1:33" ht="42" hidden="1" x14ac:dyDescent="0.55000000000000004">
      <c r="A951" s="44" t="str">
        <f>Data!K950</f>
        <v xml:space="preserve">UHC PPO </v>
      </c>
      <c r="B951" s="44" t="str">
        <f>Data!L950</f>
        <v>8008225353</v>
      </c>
      <c r="C951" s="44" t="str">
        <f>Data!D950</f>
        <v>Rangel, Anastacia</v>
      </c>
      <c r="D951" s="82" t="str">
        <f>Data!F950</f>
        <v>961911362</v>
      </c>
      <c r="E951" s="82" t="str">
        <f>Data!B950</f>
        <v>879</v>
      </c>
      <c r="F951" s="44" t="str">
        <f>Data!A950</f>
        <v>Rangel, Anastacia</v>
      </c>
      <c r="G951" s="55" t="str">
        <f>Data!C950</f>
        <v>4/15/1935</v>
      </c>
      <c r="H951" s="56">
        <f>Data!H950</f>
        <v>44586</v>
      </c>
      <c r="I951" s="56" t="str">
        <f>Data!I950</f>
        <v>1/25/2022</v>
      </c>
      <c r="J951" s="57">
        <f>Data!J950</f>
        <v>138</v>
      </c>
      <c r="K951" s="58">
        <f t="shared" ca="1" si="16"/>
        <v>114</v>
      </c>
      <c r="L951" s="58">
        <f>Data!M950</f>
        <v>0</v>
      </c>
      <c r="M951" s="37" t="s">
        <v>30</v>
      </c>
      <c r="N951" s="43" t="str">
        <f>VLOOKUP(M951,Table1[#All],3,FALSE)</f>
        <v>Claim not on file. Patient is active ;</v>
      </c>
      <c r="O951" s="40" t="str">
        <f>VLOOKUP(M951,Table1[#All],4,FALSE)</f>
        <v>Payor ID &amp; Address:</v>
      </c>
      <c r="P951" s="39">
        <v>52133</v>
      </c>
      <c r="Q951" s="40" t="str">
        <f>VLOOKUP(M951,Table1[#All],5,FALSE)</f>
        <v>Fax # (If Fax Yes):</v>
      </c>
      <c r="R951" s="79">
        <v>2487336372</v>
      </c>
      <c r="S951" s="40" t="str">
        <f>VLOOKUP(M951,Table1[#All],6,FALSE)</f>
        <v>TFL in Mnths:</v>
      </c>
      <c r="T951" s="79" t="s">
        <v>3968</v>
      </c>
      <c r="U951" s="40" t="str">
        <f>VLOOKUP(M951,Table1[#All],7,FALSE)</f>
        <v>Call Ref#:</v>
      </c>
      <c r="V951" s="79" t="s">
        <v>4145</v>
      </c>
      <c r="W951" s="40" t="str">
        <f>VLOOKUP(M951,Table1[#All],8,FALSE)</f>
        <v>Cust Rep:</v>
      </c>
      <c r="X951" s="79" t="s">
        <v>4146</v>
      </c>
      <c r="Y951" s="44" t="str">
        <f>VLOOKUP(M951,Table1[#All],2,FALSE)</f>
        <v>Task Sub Pending Claims Queue</v>
      </c>
      <c r="Z951" s="59" t="str">
        <f>VLOOKUP(M951,Table1[#All],9,FALSE)</f>
        <v>Additional Notes:</v>
      </c>
      <c r="AA951" s="76" t="s">
        <v>4147</v>
      </c>
      <c r="AB951" s="76" t="s">
        <v>3816</v>
      </c>
      <c r="AC951" s="90" t="s">
        <v>185</v>
      </c>
      <c r="AD951" s="76" t="s">
        <v>177</v>
      </c>
      <c r="AE951" s="77" t="s">
        <v>4127</v>
      </c>
      <c r="AF951" s="110">
        <v>44679</v>
      </c>
      <c r="AG951" s="41" t="s">
        <v>101</v>
      </c>
    </row>
    <row r="952" spans="1:33" ht="21" hidden="1" x14ac:dyDescent="0.55000000000000004">
      <c r="A952" s="44" t="str">
        <f>Data!K951</f>
        <v xml:space="preserve">UHC PPO </v>
      </c>
      <c r="B952" s="44" t="str">
        <f>Data!L951</f>
        <v>8008225353</v>
      </c>
      <c r="C952" s="44" t="str">
        <f>Data!D951</f>
        <v>Rangel, Anastacia</v>
      </c>
      <c r="D952" s="82" t="str">
        <f>Data!F951</f>
        <v>961911362</v>
      </c>
      <c r="E952" s="82" t="str">
        <f>Data!B951</f>
        <v>879</v>
      </c>
      <c r="F952" s="44" t="str">
        <f>Data!A951</f>
        <v>Rangel, Anastacia</v>
      </c>
      <c r="G952" s="55" t="str">
        <f>Data!C951</f>
        <v>4/15/1935</v>
      </c>
      <c r="H952" s="56">
        <f>Data!H951</f>
        <v>44575</v>
      </c>
      <c r="I952" s="56" t="str">
        <f>Data!I951</f>
        <v>1/17/2022</v>
      </c>
      <c r="J952" s="57">
        <f>Data!J951</f>
        <v>138</v>
      </c>
      <c r="K952" s="58">
        <f t="shared" ca="1" si="16"/>
        <v>122</v>
      </c>
      <c r="L952" s="58">
        <f>Data!M951</f>
        <v>0</v>
      </c>
      <c r="M952" s="37" t="s">
        <v>5</v>
      </c>
      <c r="N952" s="43" t="str">
        <f>VLOOKUP(M952,Table1[#All],3,FALSE)</f>
        <v>Claim Paid by EFT;</v>
      </c>
      <c r="O952" s="40" t="str">
        <f>VLOOKUP(M952,Table1[#All],4,FALSE)</f>
        <v>Issue Date:</v>
      </c>
      <c r="P952" s="38">
        <v>44580</v>
      </c>
      <c r="Q952" s="40" t="str">
        <f>VLOOKUP(M952,Table1[#All],5,FALSE)</f>
        <v>EFT#</v>
      </c>
      <c r="R952" s="79">
        <v>216119061</v>
      </c>
      <c r="S952" s="40" t="str">
        <f>VLOOKUP(M952,Table1[#All],6,FALSE)</f>
        <v>Bulk/Sep:</v>
      </c>
      <c r="T952" s="79" t="s">
        <v>3699</v>
      </c>
      <c r="U952" s="40" t="str">
        <f>VLOOKUP(M952,Table1[#All],7,FALSE)</f>
        <v>Call Ref#:</v>
      </c>
      <c r="V952" s="79" t="s">
        <v>3841</v>
      </c>
      <c r="W952" s="40" t="str">
        <f>VLOOKUP(M952,Table1[#All],8,FALSE)</f>
        <v>Cust Rep:</v>
      </c>
      <c r="X952" s="79" t="s">
        <v>3842</v>
      </c>
      <c r="Y952" s="44" t="str">
        <f>VLOOKUP(M952,Table1[#All],2,FALSE)</f>
        <v xml:space="preserve">Task Post Pmt Queue </v>
      </c>
      <c r="Z952" s="59" t="str">
        <f>VLOOKUP(M952,Table1[#All],9,FALSE)</f>
        <v>Additional Notes:</v>
      </c>
      <c r="AA952" s="76" t="s">
        <v>3844</v>
      </c>
      <c r="AB952" s="76" t="s">
        <v>3697</v>
      </c>
      <c r="AC952" s="90" t="s">
        <v>115</v>
      </c>
      <c r="AD952" s="76" t="s">
        <v>177</v>
      </c>
      <c r="AE952" s="77" t="s">
        <v>3698</v>
      </c>
      <c r="AF952" s="110">
        <v>44614</v>
      </c>
      <c r="AG952" s="41" t="s">
        <v>101</v>
      </c>
    </row>
    <row r="953" spans="1:33" ht="33" hidden="1" x14ac:dyDescent="0.55000000000000004">
      <c r="A953" s="44" t="str">
        <f>Data!K952</f>
        <v xml:space="preserve">UHC PPO </v>
      </c>
      <c r="B953" s="44" t="str">
        <f>Data!L952</f>
        <v>8008225353</v>
      </c>
      <c r="C953" s="44" t="str">
        <f>Data!D952</f>
        <v>Rangel, Anastacia</v>
      </c>
      <c r="D953" s="82" t="str">
        <f>Data!F952</f>
        <v>961911362</v>
      </c>
      <c r="E953" s="82" t="str">
        <f>Data!B952</f>
        <v>879</v>
      </c>
      <c r="F953" s="44" t="str">
        <f>Data!A952</f>
        <v>Rangel, Anastacia</v>
      </c>
      <c r="G953" s="55" t="str">
        <f>Data!C952</f>
        <v>4/15/1935</v>
      </c>
      <c r="H953" s="56">
        <f>Data!H952</f>
        <v>44561</v>
      </c>
      <c r="I953" s="56" t="str">
        <f>Data!I952</f>
        <v>1/7/2022</v>
      </c>
      <c r="J953" s="57">
        <f>Data!J952</f>
        <v>226.8</v>
      </c>
      <c r="K953" s="58">
        <f t="shared" ca="1" si="16"/>
        <v>132</v>
      </c>
      <c r="L953" s="58">
        <f>Data!M952</f>
        <v>0</v>
      </c>
      <c r="M953" s="37" t="s">
        <v>5</v>
      </c>
      <c r="N953" s="43" t="str">
        <f>VLOOKUP(M953,Table1[#All],3,FALSE)</f>
        <v>Claim Paid by EFT;</v>
      </c>
      <c r="O953" s="40" t="str">
        <f>VLOOKUP(M953,Table1[#All],4,FALSE)</f>
        <v>Issue Date:</v>
      </c>
      <c r="P953" s="38">
        <v>44572</v>
      </c>
      <c r="Q953" s="40" t="str">
        <f>VLOOKUP(M953,Table1[#All],5,FALSE)</f>
        <v>EFT#</v>
      </c>
      <c r="R953" s="79">
        <v>210804433</v>
      </c>
      <c r="S953" s="40" t="str">
        <f>VLOOKUP(M953,Table1[#All],6,FALSE)</f>
        <v>Bulk/Sep:</v>
      </c>
      <c r="T953" s="79" t="s">
        <v>3699</v>
      </c>
      <c r="U953" s="40" t="str">
        <f>VLOOKUP(M953,Table1[#All],7,FALSE)</f>
        <v>Call Ref#:</v>
      </c>
      <c r="V953" s="79" t="s">
        <v>3832</v>
      </c>
      <c r="W953" s="40" t="str">
        <f>VLOOKUP(M953,Table1[#All],8,FALSE)</f>
        <v>Cust Rep:</v>
      </c>
      <c r="X953" s="79" t="s">
        <v>3843</v>
      </c>
      <c r="Y953" s="44" t="str">
        <f>VLOOKUP(M953,Table1[#All],2,FALSE)</f>
        <v xml:space="preserve">Task Post Pmt Queue </v>
      </c>
      <c r="Z953" s="59" t="str">
        <f>VLOOKUP(M953,Table1[#All],9,FALSE)</f>
        <v>Additional Notes:</v>
      </c>
      <c r="AA953" s="76" t="s">
        <v>3845</v>
      </c>
      <c r="AB953" s="76" t="s">
        <v>3697</v>
      </c>
      <c r="AC953" s="90" t="s">
        <v>115</v>
      </c>
      <c r="AD953" s="76" t="s">
        <v>177</v>
      </c>
      <c r="AE953" s="77" t="s">
        <v>3698</v>
      </c>
      <c r="AF953" s="110">
        <v>44614</v>
      </c>
      <c r="AG953" s="41" t="s">
        <v>101</v>
      </c>
    </row>
    <row r="954" spans="1:33" ht="49.5" hidden="1" x14ac:dyDescent="0.55000000000000004">
      <c r="A954" s="44" t="str">
        <f>Data!K953</f>
        <v xml:space="preserve">UHC PPO </v>
      </c>
      <c r="B954" s="44" t="str">
        <f>Data!L953</f>
        <v>8008225353</v>
      </c>
      <c r="C954" s="44" t="str">
        <f>Data!D953</f>
        <v xml:space="preserve">Reed , Janet </v>
      </c>
      <c r="D954" s="82" t="str">
        <f>Data!F953</f>
        <v>909421807</v>
      </c>
      <c r="E954" s="82" t="str">
        <f>Data!B953</f>
        <v>5370</v>
      </c>
      <c r="F954" s="44" t="str">
        <f>Data!A953</f>
        <v xml:space="preserve">Reed , Janet </v>
      </c>
      <c r="G954" s="55" t="str">
        <f>Data!C953</f>
        <v>3/19/1954</v>
      </c>
      <c r="H954" s="56">
        <f>Data!H953</f>
        <v>44302</v>
      </c>
      <c r="I954" s="56" t="str">
        <f>Data!I953</f>
        <v>12/22/2021</v>
      </c>
      <c r="J954" s="57">
        <f>Data!J953</f>
        <v>2124</v>
      </c>
      <c r="K954" s="58">
        <f t="shared" ca="1" si="16"/>
        <v>148</v>
      </c>
      <c r="L954" s="58">
        <f>Data!M953</f>
        <v>0</v>
      </c>
      <c r="M954" s="37" t="s">
        <v>20</v>
      </c>
      <c r="N954" s="43" t="str">
        <f>VLOOKUP(M954,Table1[#All],3,FALSE)</f>
        <v>Ins needs more info, need to submit;</v>
      </c>
      <c r="O954" s="40" t="str">
        <f>VLOOKUP(M954,Table1[#All],4,FALSE)</f>
        <v>Attachments/Info needed?</v>
      </c>
      <c r="P954" s="39" t="s">
        <v>3837</v>
      </c>
      <c r="Q954" s="40" t="str">
        <f>VLOOKUP(M954,Table1[#All],5,FALSE)</f>
        <v>Fax # (If Fax Yes):</v>
      </c>
      <c r="R954" s="79" t="s">
        <v>3760</v>
      </c>
      <c r="S954" s="40" t="str">
        <f>VLOOKUP(M954,Table1[#All],6,FALSE)</f>
        <v>Call Ref#:</v>
      </c>
      <c r="T954" s="79" t="s">
        <v>3838</v>
      </c>
      <c r="U954" s="40" t="str">
        <f>VLOOKUP(M954,Table1[#All],7,FALSE)</f>
        <v>Cust Rep:</v>
      </c>
      <c r="V954" s="79" t="s">
        <v>3840</v>
      </c>
      <c r="W954" s="40">
        <f>VLOOKUP(M954,Table1[#All],8,FALSE)</f>
        <v>0</v>
      </c>
      <c r="X954" s="79"/>
      <c r="Y954" s="44" t="str">
        <f>VLOOKUP(M954,Table1[#All],2,FALSE)</f>
        <v xml:space="preserve">Task Sub Pending Claims Queue </v>
      </c>
      <c r="Z954" s="59" t="str">
        <f>VLOOKUP(M954,Table1[#All],9,FALSE)</f>
        <v>Additional Notes:</v>
      </c>
      <c r="AA954" s="76" t="s">
        <v>3839</v>
      </c>
      <c r="AB954" s="76" t="s">
        <v>3697</v>
      </c>
      <c r="AC954" s="90" t="s">
        <v>115</v>
      </c>
      <c r="AD954" s="76" t="s">
        <v>177</v>
      </c>
      <c r="AE954" s="77" t="s">
        <v>3698</v>
      </c>
      <c r="AF954" s="110">
        <v>44614</v>
      </c>
      <c r="AG954" s="41" t="s">
        <v>101</v>
      </c>
    </row>
    <row r="955" spans="1:33" ht="21" hidden="1" x14ac:dyDescent="0.55000000000000004">
      <c r="A955" s="44" t="str">
        <f>Data!K954</f>
        <v>UNITED HEALTH CARE DENTAL</v>
      </c>
      <c r="B955" s="44" t="str">
        <f>Data!L954</f>
        <v>8004459090</v>
      </c>
      <c r="C955" s="44" t="str">
        <f>Data!D954</f>
        <v xml:space="preserve">Payne , Daniel </v>
      </c>
      <c r="D955" s="82" t="str">
        <f>Data!F954</f>
        <v>943830350</v>
      </c>
      <c r="E955" s="82" t="str">
        <f>Data!B954</f>
        <v>9137</v>
      </c>
      <c r="F955" s="44" t="str">
        <f>Data!A954</f>
        <v xml:space="preserve">Payne , Daniel </v>
      </c>
      <c r="G955" s="55" t="str">
        <f>Data!C954</f>
        <v>8/16/1985</v>
      </c>
      <c r="H955" s="56">
        <f>Data!H954</f>
        <v>44652</v>
      </c>
      <c r="I955" s="56" t="str">
        <f>Data!I954</f>
        <v>4/4/2022</v>
      </c>
      <c r="J955" s="57">
        <f>Data!J954</f>
        <v>480</v>
      </c>
      <c r="K955" s="58">
        <f t="shared" ca="1" si="16"/>
        <v>45</v>
      </c>
      <c r="L955" s="58">
        <f>Data!M954</f>
        <v>0</v>
      </c>
      <c r="M955" s="37" t="s">
        <v>26</v>
      </c>
      <c r="N955" s="43" t="str">
        <f>VLOOKUP(M955,Table1[#All],3,FALSE)</f>
        <v>Note</v>
      </c>
      <c r="O955" s="40" t="str">
        <f>VLOOKUP(M955,Table1[#All],4,FALSE)</f>
        <v>Q1</v>
      </c>
      <c r="P955" s="39"/>
      <c r="Q955" s="40" t="str">
        <f>VLOOKUP(M955,Table1[#All],5,FALSE)</f>
        <v>Q2</v>
      </c>
      <c r="R955" s="79"/>
      <c r="S955" s="40" t="str">
        <f>VLOOKUP(M955,Table1[#All],6,FALSE)</f>
        <v>Q3</v>
      </c>
      <c r="T955" s="79"/>
      <c r="U955" s="40" t="str">
        <f>VLOOKUP(M955,Table1[#All],7,FALSE)</f>
        <v>Q4</v>
      </c>
      <c r="V955" s="79"/>
      <c r="W955" s="40" t="str">
        <f>VLOOKUP(M955,Table1[#All],8,FALSE)</f>
        <v>Q5</v>
      </c>
      <c r="X955" s="79"/>
      <c r="Y955" s="44" t="str">
        <f>VLOOKUP(M955,Table1[#All],2,FALSE)</f>
        <v>Action</v>
      </c>
      <c r="Z955" s="59" t="str">
        <f>VLOOKUP(M955,Table1[#All],9,FALSE)</f>
        <v>Additional Notes:</v>
      </c>
      <c r="AA955" s="76"/>
      <c r="AB955" s="76"/>
      <c r="AC955" s="90" t="s">
        <v>91</v>
      </c>
      <c r="AD955" s="76" t="s">
        <v>91</v>
      </c>
      <c r="AE955" s="77"/>
      <c r="AF955" s="77"/>
      <c r="AG955" s="41" t="s">
        <v>91</v>
      </c>
    </row>
    <row r="956" spans="1:33" ht="21" hidden="1" x14ac:dyDescent="0.55000000000000004">
      <c r="A956" s="44" t="str">
        <f>Data!K955</f>
        <v>UNITED HEALTH CARE DENTAL</v>
      </c>
      <c r="B956" s="44" t="str">
        <f>Data!L955</f>
        <v>8004459090</v>
      </c>
      <c r="C956" s="44" t="str">
        <f>Data!D955</f>
        <v>Modesti, Eugene</v>
      </c>
      <c r="D956" s="82" t="str">
        <f>Data!F955</f>
        <v>441061703</v>
      </c>
      <c r="E956" s="82" t="str">
        <f>Data!B955</f>
        <v>9359</v>
      </c>
      <c r="F956" s="44" t="str">
        <f>Data!A955</f>
        <v>Modesti, Eugene</v>
      </c>
      <c r="G956" s="55" t="str">
        <f>Data!C955</f>
        <v>2/21/1962</v>
      </c>
      <c r="H956" s="56">
        <f>Data!H955</f>
        <v>44652</v>
      </c>
      <c r="I956" s="56" t="str">
        <f>Data!I955</f>
        <v>4/4/2022</v>
      </c>
      <c r="J956" s="57">
        <f>Data!J955</f>
        <v>258.8</v>
      </c>
      <c r="K956" s="58">
        <f t="shared" ca="1" si="16"/>
        <v>45</v>
      </c>
      <c r="L956" s="58">
        <f>Data!M955</f>
        <v>0</v>
      </c>
      <c r="M956" s="37" t="s">
        <v>26</v>
      </c>
      <c r="N956" s="43" t="str">
        <f>VLOOKUP(M956,Table1[#All],3,FALSE)</f>
        <v>Note</v>
      </c>
      <c r="O956" s="40" t="str">
        <f>VLOOKUP(M956,Table1[#All],4,FALSE)</f>
        <v>Q1</v>
      </c>
      <c r="P956" s="39"/>
      <c r="Q956" s="40" t="str">
        <f>VLOOKUP(M956,Table1[#All],5,FALSE)</f>
        <v>Q2</v>
      </c>
      <c r="R956" s="79"/>
      <c r="S956" s="40" t="str">
        <f>VLOOKUP(M956,Table1[#All],6,FALSE)</f>
        <v>Q3</v>
      </c>
      <c r="T956" s="79"/>
      <c r="U956" s="40" t="str">
        <f>VLOOKUP(M956,Table1[#All],7,FALSE)</f>
        <v>Q4</v>
      </c>
      <c r="V956" s="79"/>
      <c r="W956" s="40" t="str">
        <f>VLOOKUP(M956,Table1[#All],8,FALSE)</f>
        <v>Q5</v>
      </c>
      <c r="X956" s="79"/>
      <c r="Y956" s="44" t="str">
        <f>VLOOKUP(M956,Table1[#All],2,FALSE)</f>
        <v>Action</v>
      </c>
      <c r="Z956" s="59" t="str">
        <f>VLOOKUP(M956,Table1[#All],9,FALSE)</f>
        <v>Additional Notes:</v>
      </c>
      <c r="AA956" s="76"/>
      <c r="AB956" s="76"/>
      <c r="AC956" s="90" t="s">
        <v>91</v>
      </c>
      <c r="AD956" s="76" t="s">
        <v>91</v>
      </c>
      <c r="AE956" s="77"/>
      <c r="AF956" s="77"/>
      <c r="AG956" s="41" t="s">
        <v>91</v>
      </c>
    </row>
    <row r="957" spans="1:33" ht="21" hidden="1" x14ac:dyDescent="0.55000000000000004">
      <c r="A957" s="44" t="str">
        <f>Data!K956</f>
        <v>UNITED HEALTH CARE DENTAL</v>
      </c>
      <c r="B957" s="44" t="str">
        <f>Data!L956</f>
        <v>8004459090</v>
      </c>
      <c r="C957" s="44" t="str">
        <f>Data!D956</f>
        <v>Smith, Amy</v>
      </c>
      <c r="D957" s="82" t="str">
        <f>Data!F956</f>
        <v>935204780</v>
      </c>
      <c r="E957" s="82" t="str">
        <f>Data!B956</f>
        <v>5260</v>
      </c>
      <c r="F957" s="44" t="str">
        <f>Data!A956</f>
        <v>Smith, Amy</v>
      </c>
      <c r="G957" s="55" t="str">
        <f>Data!C956</f>
        <v>12/27/1977</v>
      </c>
      <c r="H957" s="56">
        <f>Data!H956</f>
        <v>44649</v>
      </c>
      <c r="I957" s="56" t="str">
        <f>Data!I956</f>
        <v>3/30/2022</v>
      </c>
      <c r="J957" s="57">
        <f>Data!J956</f>
        <v>230</v>
      </c>
      <c r="K957" s="58">
        <f t="shared" ca="1" si="16"/>
        <v>50</v>
      </c>
      <c r="L957" s="58">
        <f>Data!M956</f>
        <v>0</v>
      </c>
      <c r="M957" s="37" t="s">
        <v>26</v>
      </c>
      <c r="N957" s="43" t="str">
        <f>VLOOKUP(M957,Table1[#All],3,FALSE)</f>
        <v>Note</v>
      </c>
      <c r="O957" s="40" t="str">
        <f>VLOOKUP(M957,Table1[#All],4,FALSE)</f>
        <v>Q1</v>
      </c>
      <c r="P957" s="39"/>
      <c r="Q957" s="40" t="str">
        <f>VLOOKUP(M957,Table1[#All],5,FALSE)</f>
        <v>Q2</v>
      </c>
      <c r="R957" s="79"/>
      <c r="S957" s="40" t="str">
        <f>VLOOKUP(M957,Table1[#All],6,FALSE)</f>
        <v>Q3</v>
      </c>
      <c r="T957" s="79"/>
      <c r="U957" s="40" t="str">
        <f>VLOOKUP(M957,Table1[#All],7,FALSE)</f>
        <v>Q4</v>
      </c>
      <c r="V957" s="79"/>
      <c r="W957" s="40" t="str">
        <f>VLOOKUP(M957,Table1[#All],8,FALSE)</f>
        <v>Q5</v>
      </c>
      <c r="X957" s="79"/>
      <c r="Y957" s="44" t="str">
        <f>VLOOKUP(M957,Table1[#All],2,FALSE)</f>
        <v>Action</v>
      </c>
      <c r="Z957" s="59" t="str">
        <f>VLOOKUP(M957,Table1[#All],9,FALSE)</f>
        <v>Additional Notes:</v>
      </c>
      <c r="AA957" s="76"/>
      <c r="AB957" s="76"/>
      <c r="AC957" s="90" t="s">
        <v>91</v>
      </c>
      <c r="AD957" s="76" t="s">
        <v>91</v>
      </c>
      <c r="AE957" s="77"/>
      <c r="AF957" s="77"/>
      <c r="AG957" s="41" t="s">
        <v>91</v>
      </c>
    </row>
    <row r="958" spans="1:33" ht="21" hidden="1" x14ac:dyDescent="0.55000000000000004">
      <c r="A958" s="44" t="str">
        <f>Data!K957</f>
        <v>UNITED HEALTH CARE DENTAL</v>
      </c>
      <c r="B958" s="44" t="str">
        <f>Data!L957</f>
        <v>8004459090</v>
      </c>
      <c r="C958" s="44" t="str">
        <f>Data!D957</f>
        <v xml:space="preserve">Payne , Daniel </v>
      </c>
      <c r="D958" s="82" t="str">
        <f>Data!F957</f>
        <v>943830350</v>
      </c>
      <c r="E958" s="82" t="str">
        <f>Data!B957</f>
        <v>9137</v>
      </c>
      <c r="F958" s="44" t="str">
        <f>Data!A957</f>
        <v xml:space="preserve">Payne , Daniel </v>
      </c>
      <c r="G958" s="55" t="str">
        <f>Data!C957</f>
        <v>8/16/1985</v>
      </c>
      <c r="H958" s="56">
        <f>Data!H957</f>
        <v>44643</v>
      </c>
      <c r="I958" s="56" t="str">
        <f>Data!I957</f>
        <v>3/24/2022</v>
      </c>
      <c r="J958" s="57">
        <f>Data!J957</f>
        <v>272.39999999999998</v>
      </c>
      <c r="K958" s="58">
        <f t="shared" ca="1" si="16"/>
        <v>56</v>
      </c>
      <c r="L958" s="58">
        <f>Data!M957</f>
        <v>0</v>
      </c>
      <c r="M958" s="37" t="s">
        <v>26</v>
      </c>
      <c r="N958" s="43" t="str">
        <f>VLOOKUP(M958,Table1[#All],3,FALSE)</f>
        <v>Note</v>
      </c>
      <c r="O958" s="40" t="str">
        <f>VLOOKUP(M958,Table1[#All],4,FALSE)</f>
        <v>Q1</v>
      </c>
      <c r="P958" s="39"/>
      <c r="Q958" s="40" t="str">
        <f>VLOOKUP(M958,Table1[#All],5,FALSE)</f>
        <v>Q2</v>
      </c>
      <c r="R958" s="79"/>
      <c r="S958" s="40" t="str">
        <f>VLOOKUP(M958,Table1[#All],6,FALSE)</f>
        <v>Q3</v>
      </c>
      <c r="T958" s="79"/>
      <c r="U958" s="40" t="str">
        <f>VLOOKUP(M958,Table1[#All],7,FALSE)</f>
        <v>Q4</v>
      </c>
      <c r="V958" s="79"/>
      <c r="W958" s="40" t="str">
        <f>VLOOKUP(M958,Table1[#All],8,FALSE)</f>
        <v>Q5</v>
      </c>
      <c r="X958" s="79"/>
      <c r="Y958" s="44" t="str">
        <f>VLOOKUP(M958,Table1[#All],2,FALSE)</f>
        <v>Action</v>
      </c>
      <c r="Z958" s="59" t="str">
        <f>VLOOKUP(M958,Table1[#All],9,FALSE)</f>
        <v>Additional Notes:</v>
      </c>
      <c r="AA958" s="76"/>
      <c r="AB958" s="76"/>
      <c r="AC958" s="90" t="s">
        <v>91</v>
      </c>
      <c r="AD958" s="76" t="s">
        <v>91</v>
      </c>
      <c r="AE958" s="77"/>
      <c r="AF958" s="77"/>
      <c r="AG958" s="41" t="s">
        <v>91</v>
      </c>
    </row>
    <row r="959" spans="1:33" ht="21" hidden="1" x14ac:dyDescent="0.55000000000000004">
      <c r="A959" s="44" t="str">
        <f>Data!K958</f>
        <v>UNITED HEALTH CARE DENTAL</v>
      </c>
      <c r="B959" s="44" t="str">
        <f>Data!L958</f>
        <v>8004459090</v>
      </c>
      <c r="C959" s="44" t="str">
        <f>Data!D958</f>
        <v xml:space="preserve">Shannon, Versie </v>
      </c>
      <c r="D959" s="82" t="str">
        <f>Data!F958</f>
        <v>923526102</v>
      </c>
      <c r="E959" s="82" t="str">
        <f>Data!B958</f>
        <v>9241</v>
      </c>
      <c r="F959" s="44" t="str">
        <f>Data!A958</f>
        <v xml:space="preserve">Shannon, Versie </v>
      </c>
      <c r="G959" s="55" t="str">
        <f>Data!C958</f>
        <v>11/11/1960</v>
      </c>
      <c r="H959" s="56">
        <f>Data!H958</f>
        <v>44638</v>
      </c>
      <c r="I959" s="56" t="str">
        <f>Data!I958</f>
        <v>3/21/2022</v>
      </c>
      <c r="J959" s="57">
        <f>Data!J958</f>
        <v>258.8</v>
      </c>
      <c r="K959" s="58">
        <f t="shared" ca="1" si="16"/>
        <v>59</v>
      </c>
      <c r="L959" s="58">
        <f>Data!M958</f>
        <v>0</v>
      </c>
      <c r="M959" s="37" t="s">
        <v>26</v>
      </c>
      <c r="N959" s="43" t="str">
        <f>VLOOKUP(M959,Table1[#All],3,FALSE)</f>
        <v>Note</v>
      </c>
      <c r="O959" s="40" t="str">
        <f>VLOOKUP(M959,Table1[#All],4,FALSE)</f>
        <v>Q1</v>
      </c>
      <c r="P959" s="39"/>
      <c r="Q959" s="40" t="str">
        <f>VLOOKUP(M959,Table1[#All],5,FALSE)</f>
        <v>Q2</v>
      </c>
      <c r="R959" s="79"/>
      <c r="S959" s="40" t="str">
        <f>VLOOKUP(M959,Table1[#All],6,FALSE)</f>
        <v>Q3</v>
      </c>
      <c r="T959" s="79"/>
      <c r="U959" s="40" t="str">
        <f>VLOOKUP(M959,Table1[#All],7,FALSE)</f>
        <v>Q4</v>
      </c>
      <c r="V959" s="79"/>
      <c r="W959" s="40" t="str">
        <f>VLOOKUP(M959,Table1[#All],8,FALSE)</f>
        <v>Q5</v>
      </c>
      <c r="X959" s="79"/>
      <c r="Y959" s="44" t="str">
        <f>VLOOKUP(M959,Table1[#All],2,FALSE)</f>
        <v>Action</v>
      </c>
      <c r="Z959" s="59" t="str">
        <f>VLOOKUP(M959,Table1[#All],9,FALSE)</f>
        <v>Additional Notes:</v>
      </c>
      <c r="AA959" s="76"/>
      <c r="AB959" s="76"/>
      <c r="AC959" s="90" t="s">
        <v>91</v>
      </c>
      <c r="AD959" s="76" t="s">
        <v>91</v>
      </c>
      <c r="AE959" s="77"/>
      <c r="AF959" s="77"/>
      <c r="AG959" s="41" t="s">
        <v>91</v>
      </c>
    </row>
    <row r="960" spans="1:33" ht="21" hidden="1" x14ac:dyDescent="0.55000000000000004">
      <c r="A960" s="44" t="str">
        <f>Data!K959</f>
        <v>UNITED HEALTH CARE DENTAL</v>
      </c>
      <c r="B960" s="44" t="str">
        <f>Data!L959</f>
        <v>8004459090</v>
      </c>
      <c r="C960" s="44" t="str">
        <f>Data!D959</f>
        <v>Jorgensen , Michael</v>
      </c>
      <c r="D960" s="82" t="str">
        <f>Data!F959</f>
        <v>944107972</v>
      </c>
      <c r="E960" s="82" t="str">
        <f>Data!B959</f>
        <v>6648</v>
      </c>
      <c r="F960" s="44" t="str">
        <f>Data!A959</f>
        <v>Jorgensen , Michael</v>
      </c>
      <c r="G960" s="55" t="str">
        <f>Data!C959</f>
        <v>6/5/1951</v>
      </c>
      <c r="H960" s="56">
        <f>Data!H959</f>
        <v>44326</v>
      </c>
      <c r="I960" s="56" t="str">
        <f>Data!I959</f>
        <v>3/7/2022</v>
      </c>
      <c r="J960" s="57">
        <f>Data!J959</f>
        <v>61.2</v>
      </c>
      <c r="K960" s="58">
        <f t="shared" ca="1" si="16"/>
        <v>73</v>
      </c>
      <c r="L960" s="58">
        <f>Data!M959</f>
        <v>0</v>
      </c>
      <c r="M960" s="37" t="s">
        <v>26</v>
      </c>
      <c r="N960" s="43" t="str">
        <f>VLOOKUP(M960,Table1[#All],3,FALSE)</f>
        <v>Note</v>
      </c>
      <c r="O960" s="40" t="str">
        <f>VLOOKUP(M960,Table1[#All],4,FALSE)</f>
        <v>Q1</v>
      </c>
      <c r="P960" s="39"/>
      <c r="Q960" s="40" t="str">
        <f>VLOOKUP(M960,Table1[#All],5,FALSE)</f>
        <v>Q2</v>
      </c>
      <c r="R960" s="79"/>
      <c r="S960" s="40" t="str">
        <f>VLOOKUP(M960,Table1[#All],6,FALSE)</f>
        <v>Q3</v>
      </c>
      <c r="T960" s="79"/>
      <c r="U960" s="40" t="str">
        <f>VLOOKUP(M960,Table1[#All],7,FALSE)</f>
        <v>Q4</v>
      </c>
      <c r="V960" s="79"/>
      <c r="W960" s="40" t="str">
        <f>VLOOKUP(M960,Table1[#All],8,FALSE)</f>
        <v>Q5</v>
      </c>
      <c r="X960" s="79"/>
      <c r="Y960" s="44" t="str">
        <f>VLOOKUP(M960,Table1[#All],2,FALSE)</f>
        <v>Action</v>
      </c>
      <c r="Z960" s="59" t="str">
        <f>VLOOKUP(M960,Table1[#All],9,FALSE)</f>
        <v>Additional Notes:</v>
      </c>
      <c r="AA960" s="76"/>
      <c r="AB960" s="76"/>
      <c r="AC960" s="90" t="s">
        <v>91</v>
      </c>
      <c r="AD960" s="76" t="s">
        <v>91</v>
      </c>
      <c r="AE960" s="77"/>
      <c r="AF960" s="77"/>
      <c r="AG960" s="41" t="s">
        <v>91</v>
      </c>
    </row>
    <row r="961" spans="1:33" ht="21" hidden="1" x14ac:dyDescent="0.55000000000000004">
      <c r="A961" s="44" t="str">
        <f>Data!K960</f>
        <v>UNITED HEALTH CARE DENTAL</v>
      </c>
      <c r="B961" s="44" t="str">
        <f>Data!L960</f>
        <v>8004459090</v>
      </c>
      <c r="C961" s="44" t="str">
        <f>Data!D960</f>
        <v>Bostick, Dale</v>
      </c>
      <c r="D961" s="82" t="str">
        <f>Data!F960</f>
        <v>945153491</v>
      </c>
      <c r="E961" s="82" t="str">
        <f>Data!B960</f>
        <v>7621</v>
      </c>
      <c r="F961" s="44" t="str">
        <f>Data!A960</f>
        <v>Bostick, Dale</v>
      </c>
      <c r="G961" s="55" t="str">
        <f>Data!C960</f>
        <v>12/24/1960</v>
      </c>
      <c r="H961" s="56">
        <f>Data!H960</f>
        <v>44606</v>
      </c>
      <c r="I961" s="56" t="str">
        <f>Data!I960</f>
        <v>2/15/2022</v>
      </c>
      <c r="J961" s="57">
        <f>Data!J960</f>
        <v>186</v>
      </c>
      <c r="K961" s="58">
        <f t="shared" ca="1" si="16"/>
        <v>93</v>
      </c>
      <c r="L961" s="58">
        <f>Data!M960</f>
        <v>0</v>
      </c>
      <c r="M961" s="37" t="s">
        <v>26</v>
      </c>
      <c r="N961" s="43" t="str">
        <f>VLOOKUP(M961,Table1[#All],3,FALSE)</f>
        <v>Note</v>
      </c>
      <c r="O961" s="40" t="str">
        <f>VLOOKUP(M961,Table1[#All],4,FALSE)</f>
        <v>Q1</v>
      </c>
      <c r="P961" s="39"/>
      <c r="Q961" s="40" t="str">
        <f>VLOOKUP(M961,Table1[#All],5,FALSE)</f>
        <v>Q2</v>
      </c>
      <c r="R961" s="79"/>
      <c r="S961" s="40" t="str">
        <f>VLOOKUP(M961,Table1[#All],6,FALSE)</f>
        <v>Q3</v>
      </c>
      <c r="T961" s="79"/>
      <c r="U961" s="40" t="str">
        <f>VLOOKUP(M961,Table1[#All],7,FALSE)</f>
        <v>Q4</v>
      </c>
      <c r="V961" s="79"/>
      <c r="W961" s="40" t="str">
        <f>VLOOKUP(M961,Table1[#All],8,FALSE)</f>
        <v>Q5</v>
      </c>
      <c r="X961" s="79"/>
      <c r="Y961" s="44" t="str">
        <f>VLOOKUP(M961,Table1[#All],2,FALSE)</f>
        <v>Action</v>
      </c>
      <c r="Z961" s="59" t="str">
        <f>VLOOKUP(M961,Table1[#All],9,FALSE)</f>
        <v>Additional Notes:</v>
      </c>
      <c r="AA961" s="76"/>
      <c r="AB961" s="76"/>
      <c r="AC961" s="90" t="s">
        <v>91</v>
      </c>
      <c r="AD961" s="76" t="s">
        <v>91</v>
      </c>
      <c r="AE961" s="77"/>
      <c r="AF961" s="77"/>
      <c r="AG961" s="41" t="s">
        <v>91</v>
      </c>
    </row>
    <row r="962" spans="1:33" ht="21" hidden="1" x14ac:dyDescent="0.55000000000000004">
      <c r="A962" s="44" t="str">
        <f>Data!K961</f>
        <v>UNITED HEALTH CARE DENTAL</v>
      </c>
      <c r="B962" s="44" t="str">
        <f>Data!L961</f>
        <v>8004459090</v>
      </c>
      <c r="C962" s="44" t="str">
        <f>Data!D961</f>
        <v>Sanderson, Karen</v>
      </c>
      <c r="D962" s="82" t="str">
        <f>Data!F961</f>
        <v>951037218</v>
      </c>
      <c r="E962" s="82" t="str">
        <f>Data!B961</f>
        <v>172</v>
      </c>
      <c r="F962" s="44" t="str">
        <f>Data!A961</f>
        <v>Sanderson, Karen</v>
      </c>
      <c r="G962" s="55" t="str">
        <f>Data!C961</f>
        <v>8/16/1964</v>
      </c>
      <c r="H962" s="56">
        <f>Data!H961</f>
        <v>44565</v>
      </c>
      <c r="I962" s="56" t="str">
        <f>Data!I961</f>
        <v>2/8/2022</v>
      </c>
      <c r="J962" s="57">
        <f>Data!J961</f>
        <v>266</v>
      </c>
      <c r="K962" s="58">
        <f t="shared" ca="1" si="16"/>
        <v>100</v>
      </c>
      <c r="L962" s="58">
        <f>Data!M961</f>
        <v>0</v>
      </c>
      <c r="M962" s="37" t="s">
        <v>5</v>
      </c>
      <c r="N962" s="43" t="str">
        <f>VLOOKUP(M962,Table1[#All],3,FALSE)</f>
        <v>Claim Paid by EFT;</v>
      </c>
      <c r="O962" s="40" t="str">
        <f>VLOOKUP(M962,Table1[#All],4,FALSE)</f>
        <v>Issue Date:</v>
      </c>
      <c r="P962" s="39"/>
      <c r="Q962" s="40" t="str">
        <f>VLOOKUP(M962,Table1[#All],5,FALSE)</f>
        <v>EFT#</v>
      </c>
      <c r="R962" s="79">
        <v>218204527</v>
      </c>
      <c r="S962" s="40" t="str">
        <f>VLOOKUP(M962,Table1[#All],6,FALSE)</f>
        <v>Bulk/Sep:</v>
      </c>
      <c r="T962" s="79" t="s">
        <v>3883</v>
      </c>
      <c r="U962" s="40" t="str">
        <f>VLOOKUP(M962,Table1[#All],7,FALSE)</f>
        <v>Call Ref#:</v>
      </c>
      <c r="V962" s="79" t="s">
        <v>4182</v>
      </c>
      <c r="W962" s="40" t="str">
        <f>VLOOKUP(M962,Table1[#All],8,FALSE)</f>
        <v>Cust Rep:</v>
      </c>
      <c r="X962" s="79" t="s">
        <v>4183</v>
      </c>
      <c r="Y962" s="44" t="str">
        <f>VLOOKUP(M962,Table1[#All],2,FALSE)</f>
        <v xml:space="preserve">Task Post Pmt Queue </v>
      </c>
      <c r="Z962" s="59" t="str">
        <f>VLOOKUP(M962,Table1[#All],9,FALSE)</f>
        <v>Additional Notes:</v>
      </c>
      <c r="AA962" s="76" t="s">
        <v>4184</v>
      </c>
      <c r="AB962" s="76" t="s">
        <v>3816</v>
      </c>
      <c r="AC962" s="90" t="s">
        <v>187</v>
      </c>
      <c r="AD962" s="76" t="s">
        <v>177</v>
      </c>
      <c r="AE962" s="77" t="s">
        <v>4127</v>
      </c>
      <c r="AF962" s="110">
        <v>44690</v>
      </c>
      <c r="AG962" s="41" t="s">
        <v>101</v>
      </c>
    </row>
    <row r="963" spans="1:33" ht="21" hidden="1" x14ac:dyDescent="0.55000000000000004">
      <c r="A963" s="44" t="str">
        <f>Data!K962</f>
        <v>UNITED HEALTH CARE DENTAL</v>
      </c>
      <c r="B963" s="44" t="str">
        <f>Data!L962</f>
        <v>8004459090</v>
      </c>
      <c r="C963" s="44" t="str">
        <f>Data!D962</f>
        <v>Walker, Nehemiah</v>
      </c>
      <c r="D963" s="82" t="str">
        <f>Data!F962</f>
        <v>925061671</v>
      </c>
      <c r="E963" s="82" t="str">
        <f>Data!B962</f>
        <v>8408</v>
      </c>
      <c r="F963" s="44" t="str">
        <f>Data!A962</f>
        <v>Walker, Nehemiah</v>
      </c>
      <c r="G963" s="55" t="str">
        <f>Data!C962</f>
        <v>2/3/2008</v>
      </c>
      <c r="H963" s="56">
        <f>Data!H962</f>
        <v>44508</v>
      </c>
      <c r="I963" s="56" t="str">
        <f>Data!I962</f>
        <v>1/28/2022</v>
      </c>
      <c r="J963" s="57">
        <f>Data!J962</f>
        <v>1082</v>
      </c>
      <c r="K963" s="58">
        <f t="shared" ca="1" si="16"/>
        <v>111</v>
      </c>
      <c r="L963" s="58">
        <f>Data!M962</f>
        <v>0</v>
      </c>
      <c r="M963" s="37" t="s">
        <v>5</v>
      </c>
      <c r="N963" s="43" t="str">
        <f>VLOOKUP(M963,Table1[#All],3,FALSE)</f>
        <v>Claim Paid by EFT;</v>
      </c>
      <c r="O963" s="40" t="str">
        <f>VLOOKUP(M963,Table1[#All],4,FALSE)</f>
        <v>Issue Date:</v>
      </c>
      <c r="P963" s="38">
        <v>44589</v>
      </c>
      <c r="Q963" s="40" t="str">
        <f>VLOOKUP(M963,Table1[#All],5,FALSE)</f>
        <v>EFT#</v>
      </c>
      <c r="R963" s="79">
        <v>214954071</v>
      </c>
      <c r="S963" s="40" t="str">
        <f>VLOOKUP(M963,Table1[#All],6,FALSE)</f>
        <v>Bulk/Sep:</v>
      </c>
      <c r="T963" s="79" t="s">
        <v>3699</v>
      </c>
      <c r="U963" s="40" t="str">
        <f>VLOOKUP(M963,Table1[#All],7,FALSE)</f>
        <v>Call Ref#:</v>
      </c>
      <c r="V963" s="79" t="s">
        <v>4151</v>
      </c>
      <c r="W963" s="40" t="str">
        <f>VLOOKUP(M963,Table1[#All],8,FALSE)</f>
        <v>Cust Rep:</v>
      </c>
      <c r="X963" s="79" t="s">
        <v>4152</v>
      </c>
      <c r="Y963" s="44" t="str">
        <f>VLOOKUP(M963,Table1[#All],2,FALSE)</f>
        <v xml:space="preserve">Task Post Pmt Queue </v>
      </c>
      <c r="Z963" s="59" t="str">
        <f>VLOOKUP(M963,Table1[#All],9,FALSE)</f>
        <v>Additional Notes:</v>
      </c>
      <c r="AA963" s="76" t="s">
        <v>4153</v>
      </c>
      <c r="AB963" s="76" t="s">
        <v>3816</v>
      </c>
      <c r="AC963" s="90" t="s">
        <v>187</v>
      </c>
      <c r="AD963" s="76" t="s">
        <v>177</v>
      </c>
      <c r="AE963" s="77" t="s">
        <v>4127</v>
      </c>
      <c r="AF963" s="110">
        <v>44679</v>
      </c>
      <c r="AG963" s="41" t="s">
        <v>101</v>
      </c>
    </row>
    <row r="964" spans="1:33" ht="21" hidden="1" x14ac:dyDescent="0.55000000000000004">
      <c r="A964" s="44" t="str">
        <f>Data!K963</f>
        <v>UNITED HEALTH CARE DENTAL</v>
      </c>
      <c r="B964" s="44" t="str">
        <f>Data!L963</f>
        <v>8004459090</v>
      </c>
      <c r="C964" s="44" t="str">
        <f>Data!D963</f>
        <v>Walker, Nehemiah</v>
      </c>
      <c r="D964" s="82" t="str">
        <f>Data!F963</f>
        <v>925061671</v>
      </c>
      <c r="E964" s="82" t="str">
        <f>Data!B963</f>
        <v>8408</v>
      </c>
      <c r="F964" s="44" t="str">
        <f>Data!A963</f>
        <v>Walker, Nehemiah</v>
      </c>
      <c r="G964" s="55" t="str">
        <f>Data!C963</f>
        <v>2/3/2008</v>
      </c>
      <c r="H964" s="56">
        <f>Data!H963</f>
        <v>44587</v>
      </c>
      <c r="I964" s="56" t="str">
        <f>Data!I963</f>
        <v>1/27/2022</v>
      </c>
      <c r="J964" s="57">
        <f>Data!J963</f>
        <v>82.8</v>
      </c>
      <c r="K964" s="58">
        <f t="shared" ca="1" si="16"/>
        <v>112</v>
      </c>
      <c r="L964" s="58">
        <f>Data!M963</f>
        <v>0</v>
      </c>
      <c r="M964" s="37" t="s">
        <v>31</v>
      </c>
      <c r="N964" s="43" t="str">
        <f>VLOOKUP(M964,Table1[#All],3,FALSE)</f>
        <v>Patient not active/no active policy;</v>
      </c>
      <c r="O964" s="40" t="str">
        <f>VLOOKUP(M964,Table1[#All],4,FALSE)</f>
        <v>Policy Term Dt:</v>
      </c>
      <c r="P964" s="39" t="s">
        <v>4154</v>
      </c>
      <c r="Q964" s="40" t="str">
        <f>VLOOKUP(M964,Table1[#All],5,FALSE)</f>
        <v>Call Ref#:</v>
      </c>
      <c r="R964" s="79" t="s">
        <v>4149</v>
      </c>
      <c r="S964" s="40" t="str">
        <f>VLOOKUP(M964,Table1[#All],6,FALSE)</f>
        <v>Cust Rep:</v>
      </c>
      <c r="T964" s="79" t="s">
        <v>4150</v>
      </c>
      <c r="U964" s="40">
        <f>VLOOKUP(M964,Table1[#All],7,FALSE)</f>
        <v>0</v>
      </c>
      <c r="V964" s="79"/>
      <c r="W964" s="40">
        <f>VLOOKUP(M964,Table1[#All],8,FALSE)</f>
        <v>0</v>
      </c>
      <c r="X964" s="79"/>
      <c r="Y964" s="44" t="str">
        <f>VLOOKUP(M964,Table1[#All],2,FALSE)</f>
        <v>Task Denied Claims Queue</v>
      </c>
      <c r="Z964" s="59" t="str">
        <f>VLOOKUP(M964,Table1[#All],9,FALSE)</f>
        <v>Additional Notes:</v>
      </c>
      <c r="AA964" s="76" t="s">
        <v>4225</v>
      </c>
      <c r="AB964" s="76" t="s">
        <v>3697</v>
      </c>
      <c r="AC964" s="90" t="s">
        <v>185</v>
      </c>
      <c r="AD964" s="76" t="s">
        <v>177</v>
      </c>
      <c r="AE964" s="77" t="s">
        <v>4127</v>
      </c>
      <c r="AF964" s="110">
        <v>44679</v>
      </c>
      <c r="AG964" s="41" t="s">
        <v>101</v>
      </c>
    </row>
    <row r="965" spans="1:33" ht="21" hidden="1" x14ac:dyDescent="0.55000000000000004">
      <c r="A965" s="44" t="str">
        <f>Data!K964</f>
        <v>UNITED HEALTH CARE DENTAL</v>
      </c>
      <c r="B965" s="44" t="str">
        <f>Data!L964</f>
        <v>8004459090</v>
      </c>
      <c r="C965" s="44" t="str">
        <f>Data!D964</f>
        <v>Walker, Nehemiah</v>
      </c>
      <c r="D965" s="82" t="str">
        <f>Data!F964</f>
        <v>925061671</v>
      </c>
      <c r="E965" s="82" t="str">
        <f>Data!B964</f>
        <v>8408</v>
      </c>
      <c r="F965" s="44" t="str">
        <f>Data!A964</f>
        <v>Walker, Nehemiah</v>
      </c>
      <c r="G965" s="55" t="str">
        <f>Data!C964</f>
        <v>2/3/2008</v>
      </c>
      <c r="H965" s="56">
        <f>Data!H964</f>
        <v>44561</v>
      </c>
      <c r="I965" s="56" t="str">
        <f>Data!I964</f>
        <v>1/26/2022</v>
      </c>
      <c r="J965" s="57">
        <f>Data!J964</f>
        <v>204</v>
      </c>
      <c r="K965" s="58">
        <f t="shared" ca="1" si="16"/>
        <v>113</v>
      </c>
      <c r="L965" s="58">
        <f>Data!M964</f>
        <v>0</v>
      </c>
      <c r="M965" s="37" t="s">
        <v>5</v>
      </c>
      <c r="N965" s="43" t="str">
        <f>VLOOKUP(M965,Table1[#All],3,FALSE)</f>
        <v>Claim Paid by EFT;</v>
      </c>
      <c r="O965" s="40" t="str">
        <f>VLOOKUP(M965,Table1[#All],4,FALSE)</f>
        <v>Issue Date:</v>
      </c>
      <c r="P965" s="38">
        <v>44589</v>
      </c>
      <c r="Q965" s="40" t="str">
        <f>VLOOKUP(M965,Table1[#All],5,FALSE)</f>
        <v>EFT#</v>
      </c>
      <c r="R965" s="79">
        <v>214954017</v>
      </c>
      <c r="S965" s="40" t="str">
        <f>VLOOKUP(M965,Table1[#All],6,FALSE)</f>
        <v>Bulk/Sep:</v>
      </c>
      <c r="T965" s="79" t="s">
        <v>3800</v>
      </c>
      <c r="U965" s="40" t="str">
        <f>VLOOKUP(M965,Table1[#All],7,FALSE)</f>
        <v>Call Ref#:</v>
      </c>
      <c r="V965" s="79" t="s">
        <v>4149</v>
      </c>
      <c r="W965" s="40" t="str">
        <f>VLOOKUP(M965,Table1[#All],8,FALSE)</f>
        <v>Cust Rep:</v>
      </c>
      <c r="X965" s="79" t="s">
        <v>4150</v>
      </c>
      <c r="Y965" s="44" t="str">
        <f>VLOOKUP(M965,Table1[#All],2,FALSE)</f>
        <v xml:space="preserve">Task Post Pmt Queue </v>
      </c>
      <c r="Z965" s="59" t="str">
        <f>VLOOKUP(M965,Table1[#All],9,FALSE)</f>
        <v>Additional Notes:</v>
      </c>
      <c r="AA965" s="76" t="s">
        <v>4155</v>
      </c>
      <c r="AB965" s="76" t="s">
        <v>3816</v>
      </c>
      <c r="AC965" s="90" t="s">
        <v>187</v>
      </c>
      <c r="AD965" s="76" t="s">
        <v>177</v>
      </c>
      <c r="AE965" s="77" t="s">
        <v>4127</v>
      </c>
      <c r="AF965" s="110">
        <v>44679</v>
      </c>
      <c r="AG965" s="41" t="s">
        <v>101</v>
      </c>
    </row>
    <row r="966" spans="1:33" ht="42" hidden="1" x14ac:dyDescent="0.55000000000000004">
      <c r="A966" s="44" t="str">
        <f>Data!K965</f>
        <v>UNITED HEALTH CARE DENTAL</v>
      </c>
      <c r="B966" s="44" t="str">
        <f>Data!L965</f>
        <v>8004459090</v>
      </c>
      <c r="C966" s="44" t="str">
        <f>Data!D965</f>
        <v xml:space="preserve">Beatovic , Dennis </v>
      </c>
      <c r="D966" s="82" t="str">
        <f>Data!F965</f>
        <v>931758465</v>
      </c>
      <c r="E966" s="82" t="str">
        <f>Data!B965</f>
        <v>7554</v>
      </c>
      <c r="F966" s="44" t="str">
        <f>Data!A965</f>
        <v xml:space="preserve">Beatovic , Dennis </v>
      </c>
      <c r="G966" s="55" t="str">
        <f>Data!C965</f>
        <v>2/2/1954</v>
      </c>
      <c r="H966" s="56">
        <f>Data!H965</f>
        <v>44579</v>
      </c>
      <c r="I966" s="56" t="str">
        <f>Data!I965</f>
        <v>1/19/2022</v>
      </c>
      <c r="J966" s="57">
        <f>Data!J965</f>
        <v>463.2</v>
      </c>
      <c r="K966" s="58">
        <f t="shared" ca="1" si="16"/>
        <v>120</v>
      </c>
      <c r="L966" s="58">
        <f>Data!M965</f>
        <v>0</v>
      </c>
      <c r="M966" s="37" t="s">
        <v>30</v>
      </c>
      <c r="N966" s="43" t="str">
        <f>VLOOKUP(M966,Table1[#All],3,FALSE)</f>
        <v>Claim not on file. Patient is active ;</v>
      </c>
      <c r="O966" s="40" t="str">
        <f>VLOOKUP(M966,Table1[#All],4,FALSE)</f>
        <v>Payor ID &amp; Address:</v>
      </c>
      <c r="P966" s="39">
        <v>52133</v>
      </c>
      <c r="Q966" s="40" t="str">
        <f>VLOOKUP(M966,Table1[#All],5,FALSE)</f>
        <v>Fax # (If Fax Yes):</v>
      </c>
      <c r="R966" s="79">
        <v>2487336372</v>
      </c>
      <c r="S966" s="40" t="str">
        <f>VLOOKUP(M966,Table1[#All],6,FALSE)</f>
        <v>TFL in Mnths:</v>
      </c>
      <c r="T966" s="79" t="s">
        <v>3968</v>
      </c>
      <c r="U966" s="40" t="str">
        <f>VLOOKUP(M966,Table1[#All],7,FALSE)</f>
        <v>Call Ref#:</v>
      </c>
      <c r="V966" s="79" t="s">
        <v>4132</v>
      </c>
      <c r="W966" s="40" t="str">
        <f>VLOOKUP(M966,Table1[#All],8,FALSE)</f>
        <v>Cust Rep:</v>
      </c>
      <c r="X966" s="79" t="s">
        <v>4133</v>
      </c>
      <c r="Y966" s="44" t="str">
        <f>VLOOKUP(M966,Table1[#All],2,FALSE)</f>
        <v>Task Sub Pending Claims Queue</v>
      </c>
      <c r="Z966" s="59" t="str">
        <f>VLOOKUP(M966,Table1[#All],9,FALSE)</f>
        <v>Additional Notes:</v>
      </c>
      <c r="AA966" s="76" t="s">
        <v>4134</v>
      </c>
      <c r="AB966" s="76" t="s">
        <v>3816</v>
      </c>
      <c r="AC966" s="90" t="s">
        <v>185</v>
      </c>
      <c r="AD966" s="76" t="s">
        <v>177</v>
      </c>
      <c r="AE966" s="77" t="s">
        <v>4127</v>
      </c>
      <c r="AF966" s="110">
        <v>44673</v>
      </c>
      <c r="AG966" s="41" t="s">
        <v>101</v>
      </c>
    </row>
    <row r="967" spans="1:33" ht="21" hidden="1" x14ac:dyDescent="0.55000000000000004">
      <c r="A967" s="44" t="str">
        <f>Data!K966</f>
        <v>UNITED HEALTH CARE DENTAL</v>
      </c>
      <c r="B967" s="44" t="str">
        <f>Data!L966</f>
        <v>8004459090</v>
      </c>
      <c r="C967" s="44" t="str">
        <f>Data!D966</f>
        <v>PLUMB, STELLA</v>
      </c>
      <c r="D967" s="82" t="str">
        <f>Data!F966</f>
        <v>976347578</v>
      </c>
      <c r="E967" s="82" t="str">
        <f>Data!B966</f>
        <v>2857</v>
      </c>
      <c r="F967" s="44" t="str">
        <f>Data!A966</f>
        <v>PLUMB, STELLA</v>
      </c>
      <c r="G967" s="55" t="str">
        <f>Data!C966</f>
        <v>2/26/1947</v>
      </c>
      <c r="H967" s="56">
        <f>Data!H966</f>
        <v>44575</v>
      </c>
      <c r="I967" s="56" t="str">
        <f>Data!I966</f>
        <v>1/17/2022</v>
      </c>
      <c r="J967" s="57">
        <f>Data!J966</f>
        <v>478.4</v>
      </c>
      <c r="K967" s="58">
        <f t="shared" ca="1" si="16"/>
        <v>122</v>
      </c>
      <c r="L967" s="58">
        <f>Data!M966</f>
        <v>0</v>
      </c>
      <c r="M967" s="37" t="s">
        <v>5</v>
      </c>
      <c r="N967" s="43" t="str">
        <f>VLOOKUP(M967,Table1[#All],3,FALSE)</f>
        <v>Claim Paid by EFT;</v>
      </c>
      <c r="O967" s="40" t="str">
        <f>VLOOKUP(M967,Table1[#All],4,FALSE)</f>
        <v>Issue Date:</v>
      </c>
      <c r="P967" s="38">
        <v>44580</v>
      </c>
      <c r="Q967" s="40" t="str">
        <f>VLOOKUP(M967,Table1[#All],5,FALSE)</f>
        <v>EFT#</v>
      </c>
      <c r="R967" s="79">
        <v>216119061</v>
      </c>
      <c r="S967" s="40" t="str">
        <f>VLOOKUP(M967,Table1[#All],6,FALSE)</f>
        <v>Bulk/Sep:</v>
      </c>
      <c r="T967" s="79" t="s">
        <v>3699</v>
      </c>
      <c r="U967" s="40" t="str">
        <f>VLOOKUP(M967,Table1[#All],7,FALSE)</f>
        <v>Call Ref#:</v>
      </c>
      <c r="V967" s="79" t="s">
        <v>3834</v>
      </c>
      <c r="W967" s="40" t="str">
        <f>VLOOKUP(M967,Table1[#All],8,FALSE)</f>
        <v>Cust Rep:</v>
      </c>
      <c r="X967" s="79" t="s">
        <v>3836</v>
      </c>
      <c r="Y967" s="44" t="str">
        <f>VLOOKUP(M967,Table1[#All],2,FALSE)</f>
        <v xml:space="preserve">Task Post Pmt Queue </v>
      </c>
      <c r="Z967" s="59" t="str">
        <f>VLOOKUP(M967,Table1[#All],9,FALSE)</f>
        <v>Additional Notes:</v>
      </c>
      <c r="AA967" s="76" t="s">
        <v>3835</v>
      </c>
      <c r="AB967" s="76" t="s">
        <v>3697</v>
      </c>
      <c r="AC967" s="90" t="s">
        <v>115</v>
      </c>
      <c r="AD967" s="76" t="s">
        <v>177</v>
      </c>
      <c r="AE967" s="77" t="s">
        <v>3698</v>
      </c>
      <c r="AF967" s="110">
        <v>44614</v>
      </c>
      <c r="AG967" s="41" t="s">
        <v>101</v>
      </c>
    </row>
    <row r="968" spans="1:33" ht="33" hidden="1" x14ac:dyDescent="0.55000000000000004">
      <c r="A968" s="44" t="str">
        <f>Data!K967</f>
        <v>UNITED HEALTH CARE DENTAL</v>
      </c>
      <c r="B968" s="44" t="str">
        <f>Data!L967</f>
        <v>8004459090</v>
      </c>
      <c r="C968" s="44" t="str">
        <f>Data!D967</f>
        <v>Udvare, Sherry</v>
      </c>
      <c r="D968" s="82" t="str">
        <f>Data!F967</f>
        <v>905362287-00</v>
      </c>
      <c r="E968" s="82" t="str">
        <f>Data!B967</f>
        <v>8748</v>
      </c>
      <c r="F968" s="44" t="str">
        <f>Data!A967</f>
        <v>Udvare, Sherry</v>
      </c>
      <c r="G968" s="55" t="str">
        <f>Data!C967</f>
        <v>7/1/1953</v>
      </c>
      <c r="H968" s="56">
        <f>Data!H967</f>
        <v>44561</v>
      </c>
      <c r="I968" s="56" t="str">
        <f>Data!I967</f>
        <v>1/7/2022</v>
      </c>
      <c r="J968" s="57">
        <f>Data!J967</f>
        <v>408.8</v>
      </c>
      <c r="K968" s="58">
        <f t="shared" ca="1" si="16"/>
        <v>132</v>
      </c>
      <c r="L968" s="58">
        <f>Data!M967</f>
        <v>0</v>
      </c>
      <c r="M968" s="37" t="s">
        <v>5</v>
      </c>
      <c r="N968" s="43" t="str">
        <f>VLOOKUP(M968,Table1[#All],3,FALSE)</f>
        <v>Claim Paid by EFT;</v>
      </c>
      <c r="O968" s="40" t="str">
        <f>VLOOKUP(M968,Table1[#All],4,FALSE)</f>
        <v>Issue Date:</v>
      </c>
      <c r="P968" s="38">
        <v>44572</v>
      </c>
      <c r="Q968" s="40" t="str">
        <f>VLOOKUP(M968,Table1[#All],5,FALSE)</f>
        <v>EFT#</v>
      </c>
      <c r="R968" s="79">
        <v>210804433</v>
      </c>
      <c r="S968" s="40" t="str">
        <f>VLOOKUP(M968,Table1[#All],6,FALSE)</f>
        <v>Bulk/Sep:</v>
      </c>
      <c r="T968" s="79" t="s">
        <v>3699</v>
      </c>
      <c r="U968" s="40" t="str">
        <f>VLOOKUP(M968,Table1[#All],7,FALSE)</f>
        <v>Call Ref#:</v>
      </c>
      <c r="V968" s="79" t="s">
        <v>3832</v>
      </c>
      <c r="W968" s="40" t="str">
        <f>VLOOKUP(M968,Table1[#All],8,FALSE)</f>
        <v>Cust Rep:</v>
      </c>
      <c r="X968" s="79" t="s">
        <v>3823</v>
      </c>
      <c r="Y968" s="44" t="str">
        <f>VLOOKUP(M968,Table1[#All],2,FALSE)</f>
        <v xml:space="preserve">Task Post Pmt Queue </v>
      </c>
      <c r="Z968" s="59" t="str">
        <f>VLOOKUP(M968,Table1[#All],9,FALSE)</f>
        <v>Additional Notes:</v>
      </c>
      <c r="AA968" s="76" t="s">
        <v>3833</v>
      </c>
      <c r="AB968" s="76" t="s">
        <v>3697</v>
      </c>
      <c r="AC968" s="90" t="s">
        <v>115</v>
      </c>
      <c r="AD968" s="76" t="s">
        <v>177</v>
      </c>
      <c r="AE968" s="77" t="s">
        <v>3698</v>
      </c>
      <c r="AF968" s="110">
        <v>44614</v>
      </c>
      <c r="AG968" s="41" t="s">
        <v>101</v>
      </c>
    </row>
    <row r="969" spans="1:33" ht="33" hidden="1" x14ac:dyDescent="0.55000000000000004">
      <c r="A969" s="44" t="str">
        <f>Data!K968</f>
        <v>UNITED HEALTH CARE DENTAL</v>
      </c>
      <c r="B969" s="44" t="str">
        <f>Data!L968</f>
        <v>8004459090</v>
      </c>
      <c r="C969" s="44" t="str">
        <f>Data!D968</f>
        <v>Waterstraat , Brian</v>
      </c>
      <c r="D969" s="82" t="str">
        <f>Data!F968</f>
        <v>932742209</v>
      </c>
      <c r="E969" s="82" t="str">
        <f>Data!B968</f>
        <v>8542</v>
      </c>
      <c r="F969" s="44" t="str">
        <f>Data!A968</f>
        <v>Waterstraat , Brian</v>
      </c>
      <c r="G969" s="55" t="str">
        <f>Data!C968</f>
        <v>5/13/1956</v>
      </c>
      <c r="H969" s="56">
        <f>Data!H968</f>
        <v>44558</v>
      </c>
      <c r="I969" s="56" t="str">
        <f>Data!I968</f>
        <v>1/1/2022</v>
      </c>
      <c r="J969" s="57">
        <f>Data!J968</f>
        <v>480</v>
      </c>
      <c r="K969" s="58">
        <f t="shared" ca="1" si="16"/>
        <v>138</v>
      </c>
      <c r="L969" s="58">
        <f>Data!M968</f>
        <v>0</v>
      </c>
      <c r="M969" s="37" t="s">
        <v>5</v>
      </c>
      <c r="N969" s="43" t="str">
        <f>VLOOKUP(M969,Table1[#All],3,FALSE)</f>
        <v>Claim Paid by EFT;</v>
      </c>
      <c r="O969" s="40" t="str">
        <f>VLOOKUP(M969,Table1[#All],4,FALSE)</f>
        <v>Issue Date:</v>
      </c>
      <c r="P969" s="38">
        <v>44573</v>
      </c>
      <c r="Q969" s="40" t="str">
        <f>VLOOKUP(M969,Table1[#All],5,FALSE)</f>
        <v>EFT#</v>
      </c>
      <c r="R969" s="79">
        <v>210987394</v>
      </c>
      <c r="S969" s="40" t="str">
        <f>VLOOKUP(M969,Table1[#All],6,FALSE)</f>
        <v>Bulk/Sep:</v>
      </c>
      <c r="T969" s="79" t="s">
        <v>3699</v>
      </c>
      <c r="U969" s="40" t="str">
        <f>VLOOKUP(M969,Table1[#All],7,FALSE)</f>
        <v>Call Ref#:</v>
      </c>
      <c r="V969" s="79" t="s">
        <v>3825</v>
      </c>
      <c r="W969" s="40" t="str">
        <f>VLOOKUP(M969,Table1[#All],8,FALSE)</f>
        <v>Cust Rep:</v>
      </c>
      <c r="X969" s="79" t="s">
        <v>3823</v>
      </c>
      <c r="Y969" s="44" t="str">
        <f>VLOOKUP(M969,Table1[#All],2,FALSE)</f>
        <v xml:space="preserve">Task Post Pmt Queue </v>
      </c>
      <c r="Z969" s="59" t="str">
        <f>VLOOKUP(M969,Table1[#All],9,FALSE)</f>
        <v>Additional Notes:</v>
      </c>
      <c r="AA969" s="76" t="s">
        <v>3830</v>
      </c>
      <c r="AB969" s="76" t="s">
        <v>3697</v>
      </c>
      <c r="AC969" s="90" t="s">
        <v>115</v>
      </c>
      <c r="AD969" s="76" t="s">
        <v>177</v>
      </c>
      <c r="AE969" s="77" t="s">
        <v>3698</v>
      </c>
      <c r="AF969" s="110">
        <v>44614</v>
      </c>
      <c r="AG969" s="41" t="s">
        <v>101</v>
      </c>
    </row>
    <row r="970" spans="1:33" ht="33" hidden="1" x14ac:dyDescent="0.55000000000000004">
      <c r="A970" s="44" t="str">
        <f>Data!K969</f>
        <v>UNITED HEALTH CARE DENTAL</v>
      </c>
      <c r="B970" s="44" t="str">
        <f>Data!L969</f>
        <v>8004459090</v>
      </c>
      <c r="C970" s="44" t="str">
        <f>Data!D969</f>
        <v>Waterstraat , Brian</v>
      </c>
      <c r="D970" s="82" t="str">
        <f>Data!F969</f>
        <v>932742209</v>
      </c>
      <c r="E970" s="82" t="str">
        <f>Data!B969</f>
        <v>8542</v>
      </c>
      <c r="F970" s="44" t="str">
        <f>Data!A969</f>
        <v>Waterstraat , Brian</v>
      </c>
      <c r="G970" s="55" t="str">
        <f>Data!C969</f>
        <v>5/13/1956</v>
      </c>
      <c r="H970" s="56">
        <f>Data!H969</f>
        <v>44558</v>
      </c>
      <c r="I970" s="56" t="str">
        <f>Data!I969</f>
        <v>1/1/2022</v>
      </c>
      <c r="J970" s="57">
        <f>Data!J969</f>
        <v>696</v>
      </c>
      <c r="K970" s="58">
        <f t="shared" ca="1" si="16"/>
        <v>138</v>
      </c>
      <c r="L970" s="58">
        <f>Data!M969</f>
        <v>0</v>
      </c>
      <c r="M970" s="37" t="s">
        <v>5</v>
      </c>
      <c r="N970" s="43" t="str">
        <f>VLOOKUP(M970,Table1[#All],3,FALSE)</f>
        <v>Claim Paid by EFT;</v>
      </c>
      <c r="O970" s="40" t="str">
        <f>VLOOKUP(M970,Table1[#All],4,FALSE)</f>
        <v>Issue Date:</v>
      </c>
      <c r="P970" s="38">
        <v>44573</v>
      </c>
      <c r="Q970" s="40" t="str">
        <f>VLOOKUP(M970,Table1[#All],5,FALSE)</f>
        <v>EFT#</v>
      </c>
      <c r="R970" s="79">
        <v>210987394</v>
      </c>
      <c r="S970" s="40" t="str">
        <f>VLOOKUP(M970,Table1[#All],6,FALSE)</f>
        <v>Bulk/Sep:</v>
      </c>
      <c r="T970" s="79" t="s">
        <v>3699</v>
      </c>
      <c r="U970" s="40" t="str">
        <f>VLOOKUP(M970,Table1[#All],7,FALSE)</f>
        <v>Call Ref#:</v>
      </c>
      <c r="V970" s="79" t="s">
        <v>3825</v>
      </c>
      <c r="W970" s="40" t="str">
        <f>VLOOKUP(M970,Table1[#All],8,FALSE)</f>
        <v>Cust Rep:</v>
      </c>
      <c r="X970" s="79" t="s">
        <v>3823</v>
      </c>
      <c r="Y970" s="44" t="str">
        <f>VLOOKUP(M970,Table1[#All],2,FALSE)</f>
        <v xml:space="preserve">Task Post Pmt Queue </v>
      </c>
      <c r="Z970" s="59" t="str">
        <f>VLOOKUP(M970,Table1[#All],9,FALSE)</f>
        <v>Additional Notes:</v>
      </c>
      <c r="AA970" s="76" t="s">
        <v>3831</v>
      </c>
      <c r="AB970" s="76" t="s">
        <v>3697</v>
      </c>
      <c r="AC970" s="90" t="s">
        <v>115</v>
      </c>
      <c r="AD970" s="76" t="s">
        <v>177</v>
      </c>
      <c r="AE970" s="77" t="s">
        <v>3698</v>
      </c>
      <c r="AF970" s="110">
        <v>44614</v>
      </c>
      <c r="AG970" s="41" t="s">
        <v>101</v>
      </c>
    </row>
    <row r="971" spans="1:33" ht="33" hidden="1" x14ac:dyDescent="0.55000000000000004">
      <c r="A971" s="44" t="str">
        <f>Data!K970</f>
        <v>UNITED HEALTH CARE DENTAL</v>
      </c>
      <c r="B971" s="44" t="str">
        <f>Data!L970</f>
        <v>8004459090</v>
      </c>
      <c r="C971" s="44" t="str">
        <f>Data!D970</f>
        <v xml:space="preserve">Titone , Ronald </v>
      </c>
      <c r="D971" s="82" t="str">
        <f>Data!F970</f>
        <v>929008820</v>
      </c>
      <c r="E971" s="82" t="str">
        <f>Data!B970</f>
        <v>7366</v>
      </c>
      <c r="F971" s="44" t="str">
        <f>Data!A970</f>
        <v xml:space="preserve">Titone , Ronald </v>
      </c>
      <c r="G971" s="55" t="str">
        <f>Data!C970</f>
        <v>2/19/1943</v>
      </c>
      <c r="H971" s="56">
        <f>Data!H970</f>
        <v>44547</v>
      </c>
      <c r="I971" s="56" t="str">
        <f>Data!I970</f>
        <v>12/20/2021</v>
      </c>
      <c r="J971" s="57">
        <f>Data!J970</f>
        <v>2600.4</v>
      </c>
      <c r="K971" s="58">
        <f t="shared" ca="1" si="16"/>
        <v>150</v>
      </c>
      <c r="L971" s="58">
        <f>Data!M970</f>
        <v>0</v>
      </c>
      <c r="M971" s="37" t="s">
        <v>5</v>
      </c>
      <c r="N971" s="43" t="str">
        <f>VLOOKUP(M971,Table1[#All],3,FALSE)</f>
        <v>Claim Paid by EFT;</v>
      </c>
      <c r="O971" s="40" t="str">
        <f>VLOOKUP(M971,Table1[#All],4,FALSE)</f>
        <v>Issue Date:</v>
      </c>
      <c r="P971" s="38">
        <v>44558</v>
      </c>
      <c r="Q971" s="40" t="str">
        <f>VLOOKUP(M971,Table1[#All],5,FALSE)</f>
        <v>EFT#</v>
      </c>
      <c r="R971" s="79">
        <v>207217036</v>
      </c>
      <c r="S971" s="40" t="str">
        <f>VLOOKUP(M971,Table1[#All],6,FALSE)</f>
        <v>Bulk/Sep:</v>
      </c>
      <c r="T971" s="79" t="s">
        <v>3699</v>
      </c>
      <c r="U971" s="40" t="str">
        <f>VLOOKUP(M971,Table1[#All],7,FALSE)</f>
        <v>Call Ref#:</v>
      </c>
      <c r="V971" s="79" t="s">
        <v>3828</v>
      </c>
      <c r="W971" s="40" t="str">
        <f>VLOOKUP(M971,Table1[#All],8,FALSE)</f>
        <v>Cust Rep:</v>
      </c>
      <c r="X971" s="79" t="s">
        <v>3823</v>
      </c>
      <c r="Y971" s="44" t="str">
        <f>VLOOKUP(M971,Table1[#All],2,FALSE)</f>
        <v xml:space="preserve">Task Post Pmt Queue </v>
      </c>
      <c r="Z971" s="59" t="str">
        <f>VLOOKUP(M971,Table1[#All],9,FALSE)</f>
        <v>Additional Notes:</v>
      </c>
      <c r="AA971" s="76" t="s">
        <v>3829</v>
      </c>
      <c r="AB971" s="76" t="s">
        <v>3697</v>
      </c>
      <c r="AC971" s="90" t="s">
        <v>115</v>
      </c>
      <c r="AD971" s="76" t="s">
        <v>177</v>
      </c>
      <c r="AE971" s="77" t="s">
        <v>3698</v>
      </c>
      <c r="AF971" s="110">
        <v>44614</v>
      </c>
      <c r="AG971" s="41" t="s">
        <v>101</v>
      </c>
    </row>
    <row r="972" spans="1:33" ht="33" hidden="1" x14ac:dyDescent="0.55000000000000004">
      <c r="A972" s="44" t="str">
        <f>Data!K971</f>
        <v>UNITED HEALTH CARE DENTAL</v>
      </c>
      <c r="B972" s="44" t="str">
        <f>Data!L971</f>
        <v>8004459090</v>
      </c>
      <c r="C972" s="44" t="str">
        <f>Data!D971</f>
        <v>Waterstraat , Brian</v>
      </c>
      <c r="D972" s="82" t="str">
        <f>Data!F971</f>
        <v>932742209</v>
      </c>
      <c r="E972" s="82" t="str">
        <f>Data!B971</f>
        <v>8542</v>
      </c>
      <c r="F972" s="44" t="str">
        <f>Data!A971</f>
        <v>Waterstraat , Brian</v>
      </c>
      <c r="G972" s="55" t="str">
        <f>Data!C971</f>
        <v>5/13/1956</v>
      </c>
      <c r="H972" s="56">
        <f>Data!H971</f>
        <v>44545</v>
      </c>
      <c r="I972" s="56" t="str">
        <f>Data!I971</f>
        <v>12/20/2021</v>
      </c>
      <c r="J972" s="57">
        <f>Data!J971</f>
        <v>178.4</v>
      </c>
      <c r="K972" s="58">
        <f t="shared" ca="1" si="16"/>
        <v>150</v>
      </c>
      <c r="L972" s="58">
        <f>Data!M971</f>
        <v>0</v>
      </c>
      <c r="M972" s="37" t="s">
        <v>5</v>
      </c>
      <c r="N972" s="43" t="str">
        <f>VLOOKUP(M972,Table1[#All],3,FALSE)</f>
        <v>Claim Paid by EFT;</v>
      </c>
      <c r="O972" s="40" t="str">
        <f>VLOOKUP(M972,Table1[#All],4,FALSE)</f>
        <v>Issue Date:</v>
      </c>
      <c r="P972" s="38">
        <v>44552</v>
      </c>
      <c r="Q972" s="40" t="str">
        <f>VLOOKUP(M972,Table1[#All],5,FALSE)</f>
        <v>EFT#</v>
      </c>
      <c r="R972" s="79">
        <v>205892366</v>
      </c>
      <c r="S972" s="40" t="str">
        <f>VLOOKUP(M972,Table1[#All],6,FALSE)</f>
        <v>Bulk/Sep:</v>
      </c>
      <c r="T972" s="79" t="s">
        <v>3826</v>
      </c>
      <c r="U972" s="40" t="str">
        <f>VLOOKUP(M972,Table1[#All],7,FALSE)</f>
        <v>Call Ref#:</v>
      </c>
      <c r="V972" s="79" t="s">
        <v>3825</v>
      </c>
      <c r="W972" s="40" t="str">
        <f>VLOOKUP(M972,Table1[#All],8,FALSE)</f>
        <v>Cust Rep:</v>
      </c>
      <c r="X972" s="79" t="s">
        <v>3823</v>
      </c>
      <c r="Y972" s="44" t="str">
        <f>VLOOKUP(M972,Table1[#All],2,FALSE)</f>
        <v xml:space="preserve">Task Post Pmt Queue </v>
      </c>
      <c r="Z972" s="59" t="str">
        <f>VLOOKUP(M972,Table1[#All],9,FALSE)</f>
        <v>Additional Notes:</v>
      </c>
      <c r="AA972" s="76" t="s">
        <v>3827</v>
      </c>
      <c r="AB972" s="76" t="s">
        <v>3697</v>
      </c>
      <c r="AC972" s="90" t="s">
        <v>115</v>
      </c>
      <c r="AD972" s="76" t="s">
        <v>177</v>
      </c>
      <c r="AE972" s="77" t="s">
        <v>3698</v>
      </c>
      <c r="AF972" s="110">
        <v>44614</v>
      </c>
      <c r="AG972" s="41" t="s">
        <v>101</v>
      </c>
    </row>
    <row r="973" spans="1:33" ht="33" hidden="1" x14ac:dyDescent="0.55000000000000004">
      <c r="A973" s="44" t="str">
        <f>Data!K972</f>
        <v>UNITED HEALTH CARE DENTAL</v>
      </c>
      <c r="B973" s="44" t="str">
        <f>Data!L972</f>
        <v>8004459090</v>
      </c>
      <c r="C973" s="44" t="str">
        <f>Data!D972</f>
        <v xml:space="preserve">Beatovic , Dennis </v>
      </c>
      <c r="D973" s="82" t="str">
        <f>Data!F972</f>
        <v>931758465</v>
      </c>
      <c r="E973" s="82" t="str">
        <f>Data!B972</f>
        <v>7554</v>
      </c>
      <c r="F973" s="44" t="str">
        <f>Data!A972</f>
        <v xml:space="preserve">Beatovic , Dennis </v>
      </c>
      <c r="G973" s="55" t="str">
        <f>Data!C972</f>
        <v>2/2/1954</v>
      </c>
      <c r="H973" s="56">
        <f>Data!H972</f>
        <v>44537</v>
      </c>
      <c r="I973" s="56" t="str">
        <f>Data!I972</f>
        <v>12/22/2021</v>
      </c>
      <c r="J973" s="57">
        <f>Data!J972</f>
        <v>82.8</v>
      </c>
      <c r="K973" s="58">
        <f t="shared" ca="1" si="16"/>
        <v>148</v>
      </c>
      <c r="L973" s="58">
        <f>Data!M972</f>
        <v>0</v>
      </c>
      <c r="M973" s="37" t="s">
        <v>5</v>
      </c>
      <c r="N973" s="43" t="str">
        <f>VLOOKUP(M973,Table1[#All],3,FALSE)</f>
        <v>Claim Paid by EFT;</v>
      </c>
      <c r="O973" s="40" t="str">
        <f>VLOOKUP(M973,Table1[#All],4,FALSE)</f>
        <v>Issue Date:</v>
      </c>
      <c r="P973" s="38">
        <v>44558</v>
      </c>
      <c r="Q973" s="40" t="str">
        <f>VLOOKUP(M973,Table1[#All],5,FALSE)</f>
        <v>EFT#</v>
      </c>
      <c r="R973" s="79">
        <v>207217036</v>
      </c>
      <c r="S973" s="40" t="str">
        <f>VLOOKUP(M973,Table1[#All],6,FALSE)</f>
        <v>Bulk/Sep:</v>
      </c>
      <c r="T973" s="79" t="s">
        <v>3800</v>
      </c>
      <c r="U973" s="40" t="str">
        <f>VLOOKUP(M973,Table1[#All],7,FALSE)</f>
        <v>Call Ref#:</v>
      </c>
      <c r="V973" s="79" t="s">
        <v>3822</v>
      </c>
      <c r="W973" s="40" t="str">
        <f>VLOOKUP(M973,Table1[#All],8,FALSE)</f>
        <v>Cust Rep:</v>
      </c>
      <c r="X973" s="79" t="s">
        <v>3823</v>
      </c>
      <c r="Y973" s="44" t="str">
        <f>VLOOKUP(M973,Table1[#All],2,FALSE)</f>
        <v xml:space="preserve">Task Post Pmt Queue </v>
      </c>
      <c r="Z973" s="59" t="str">
        <f>VLOOKUP(M973,Table1[#All],9,FALSE)</f>
        <v>Additional Notes:</v>
      </c>
      <c r="AA973" s="76" t="s">
        <v>3824</v>
      </c>
      <c r="AB973" s="76" t="s">
        <v>3697</v>
      </c>
      <c r="AC973" s="90" t="s">
        <v>115</v>
      </c>
      <c r="AD973" s="76" t="s">
        <v>177</v>
      </c>
      <c r="AE973" s="77" t="s">
        <v>3698</v>
      </c>
      <c r="AF973" s="110">
        <v>44614</v>
      </c>
      <c r="AG973" s="41" t="s">
        <v>101</v>
      </c>
    </row>
    <row r="974" spans="1:33" ht="42" hidden="1" x14ac:dyDescent="0.55000000000000004">
      <c r="A974" s="44" t="str">
        <f>Data!K973</f>
        <v>UNITED HEALTH CARE DENTAL</v>
      </c>
      <c r="B974" s="44" t="str">
        <f>Data!L973</f>
        <v>8004459090</v>
      </c>
      <c r="C974" s="44" t="str">
        <f>Data!D973</f>
        <v>Parnell, Dajsha</v>
      </c>
      <c r="D974" s="82" t="str">
        <f>Data!F973</f>
        <v>906501610</v>
      </c>
      <c r="E974" s="82" t="str">
        <f>Data!B973</f>
        <v>6342</v>
      </c>
      <c r="F974" s="44" t="str">
        <f>Data!A973</f>
        <v>Parnell, Dajsha</v>
      </c>
      <c r="G974" s="55" t="str">
        <f>Data!C973</f>
        <v>10/13/1956</v>
      </c>
      <c r="H974" s="56">
        <f>Data!H973</f>
        <v>44286</v>
      </c>
      <c r="I974" s="56" t="str">
        <f>Data!I973</f>
        <v>4/1/2021</v>
      </c>
      <c r="J974" s="57">
        <f>Data!J973</f>
        <v>61.2</v>
      </c>
      <c r="K974" s="58">
        <f t="shared" ca="1" si="16"/>
        <v>413</v>
      </c>
      <c r="L974" s="58">
        <f>Data!M973</f>
        <v>0</v>
      </c>
      <c r="M974" s="37" t="s">
        <v>20</v>
      </c>
      <c r="N974" s="43" t="str">
        <f>VLOOKUP(M974,Table1[#All],3,FALSE)</f>
        <v>Ins needs more info, need to submit;</v>
      </c>
      <c r="O974" s="40" t="str">
        <f>VLOOKUP(M974,Table1[#All],4,FALSE)</f>
        <v>Attachments/Info needed?</v>
      </c>
      <c r="P974" s="39" t="s">
        <v>3759</v>
      </c>
      <c r="Q974" s="40" t="str">
        <f>VLOOKUP(M974,Table1[#All],5,FALSE)</f>
        <v>Fax # (If Fax Yes):</v>
      </c>
      <c r="R974" s="79">
        <v>2487336372</v>
      </c>
      <c r="S974" s="40" t="str">
        <f>VLOOKUP(M974,Table1[#All],6,FALSE)</f>
        <v>Call Ref#:</v>
      </c>
      <c r="T974" s="79" t="s">
        <v>3817</v>
      </c>
      <c r="U974" s="40" t="str">
        <f>VLOOKUP(M974,Table1[#All],7,FALSE)</f>
        <v>Cust Rep:</v>
      </c>
      <c r="V974" s="79" t="s">
        <v>3818</v>
      </c>
      <c r="W974" s="40">
        <f>VLOOKUP(M974,Table1[#All],8,FALSE)</f>
        <v>0</v>
      </c>
      <c r="X974" s="79"/>
      <c r="Y974" s="44" t="str">
        <f>VLOOKUP(M974,Table1[#All],2,FALSE)</f>
        <v xml:space="preserve">Task Sub Pending Claims Queue </v>
      </c>
      <c r="Z974" s="59" t="str">
        <f>VLOOKUP(M974,Table1[#All],9,FALSE)</f>
        <v>Additional Notes:</v>
      </c>
      <c r="AA974" s="76" t="s">
        <v>3820</v>
      </c>
      <c r="AB974" s="76" t="s">
        <v>3697</v>
      </c>
      <c r="AC974" s="90" t="s">
        <v>115</v>
      </c>
      <c r="AD974" s="76" t="s">
        <v>177</v>
      </c>
      <c r="AE974" s="77" t="s">
        <v>3698</v>
      </c>
      <c r="AF974" s="110">
        <v>44618</v>
      </c>
      <c r="AG974" s="41" t="s">
        <v>101</v>
      </c>
    </row>
    <row r="975" spans="1:33" ht="42" hidden="1" x14ac:dyDescent="0.55000000000000004">
      <c r="A975" s="44" t="str">
        <f>Data!K974</f>
        <v>UNITED HEALTH CARE DENTAL</v>
      </c>
      <c r="B975" s="44" t="str">
        <f>Data!L974</f>
        <v>8004459090</v>
      </c>
      <c r="C975" s="44" t="str">
        <f>Data!D974</f>
        <v>Parnell, Dajsha</v>
      </c>
      <c r="D975" s="82" t="str">
        <f>Data!F974</f>
        <v>906501610</v>
      </c>
      <c r="E975" s="82" t="str">
        <f>Data!B974</f>
        <v>6342</v>
      </c>
      <c r="F975" s="44" t="str">
        <f>Data!A974</f>
        <v>Parnell, Dajsha</v>
      </c>
      <c r="G975" s="55" t="str">
        <f>Data!C974</f>
        <v>10/13/1956</v>
      </c>
      <c r="H975" s="56">
        <f>Data!H974</f>
        <v>44278</v>
      </c>
      <c r="I975" s="56" t="str">
        <f>Data!I974</f>
        <v>3/26/2021</v>
      </c>
      <c r="J975" s="57">
        <f>Data!J974</f>
        <v>253.2</v>
      </c>
      <c r="K975" s="58">
        <f t="shared" ca="1" si="16"/>
        <v>419</v>
      </c>
      <c r="L975" s="58">
        <f>Data!M974</f>
        <v>0</v>
      </c>
      <c r="M975" s="37" t="s">
        <v>20</v>
      </c>
      <c r="N975" s="43" t="str">
        <f>VLOOKUP(M975,Table1[#All],3,FALSE)</f>
        <v>Ins needs more info, need to submit;</v>
      </c>
      <c r="O975" s="40" t="str">
        <f>VLOOKUP(M975,Table1[#All],4,FALSE)</f>
        <v>Attachments/Info needed?</v>
      </c>
      <c r="P975" s="39" t="s">
        <v>3759</v>
      </c>
      <c r="Q975" s="40" t="str">
        <f>VLOOKUP(M975,Table1[#All],5,FALSE)</f>
        <v>Fax # (If Fax Yes):</v>
      </c>
      <c r="R975" s="79">
        <v>2487336372</v>
      </c>
      <c r="S975" s="40" t="str">
        <f>VLOOKUP(M975,Table1[#All],6,FALSE)</f>
        <v>Call Ref#:</v>
      </c>
      <c r="T975" s="79" t="s">
        <v>3817</v>
      </c>
      <c r="U975" s="40" t="str">
        <f>VLOOKUP(M975,Table1[#All],7,FALSE)</f>
        <v>Cust Rep:</v>
      </c>
      <c r="V975" s="79" t="s">
        <v>3818</v>
      </c>
      <c r="W975" s="40">
        <f>VLOOKUP(M975,Table1[#All],8,FALSE)</f>
        <v>0</v>
      </c>
      <c r="X975" s="79"/>
      <c r="Y975" s="44" t="str">
        <f>VLOOKUP(M975,Table1[#All],2,FALSE)</f>
        <v xml:space="preserve">Task Sub Pending Claims Queue </v>
      </c>
      <c r="Z975" s="59" t="str">
        <f>VLOOKUP(M975,Table1[#All],9,FALSE)</f>
        <v>Additional Notes:</v>
      </c>
      <c r="AA975" s="76" t="s">
        <v>3821</v>
      </c>
      <c r="AB975" s="76" t="s">
        <v>3697</v>
      </c>
      <c r="AC975" s="90" t="s">
        <v>115</v>
      </c>
      <c r="AD975" s="76" t="s">
        <v>177</v>
      </c>
      <c r="AE975" s="77" t="s">
        <v>3698</v>
      </c>
      <c r="AF975" s="110">
        <v>44608</v>
      </c>
      <c r="AG975" s="41" t="s">
        <v>101</v>
      </c>
    </row>
    <row r="976" spans="1:33" ht="42" hidden="1" x14ac:dyDescent="0.55000000000000004">
      <c r="A976" s="44" t="str">
        <f>Data!K975</f>
        <v>UNITED HEALTH CARE DENTAL</v>
      </c>
      <c r="B976" s="44" t="str">
        <f>Data!L975</f>
        <v>8004459090</v>
      </c>
      <c r="C976" s="44" t="str">
        <f>Data!D975</f>
        <v>Parnell, Dajsha</v>
      </c>
      <c r="D976" s="82" t="str">
        <f>Data!F975</f>
        <v>906501610</v>
      </c>
      <c r="E976" s="82" t="str">
        <f>Data!B975</f>
        <v>6342</v>
      </c>
      <c r="F976" s="44" t="str">
        <f>Data!A975</f>
        <v>Parnell, Dajsha</v>
      </c>
      <c r="G976" s="55" t="str">
        <f>Data!C975</f>
        <v>10/13/1956</v>
      </c>
      <c r="H976" s="56">
        <f>Data!H975</f>
        <v>44240</v>
      </c>
      <c r="I976" s="56" t="str">
        <f>Data!I975</f>
        <v>2/17/2021</v>
      </c>
      <c r="J976" s="57">
        <f>Data!J975</f>
        <v>296.39999999999998</v>
      </c>
      <c r="K976" s="58">
        <f t="shared" ca="1" si="16"/>
        <v>456</v>
      </c>
      <c r="L976" s="58">
        <f>Data!M975</f>
        <v>0</v>
      </c>
      <c r="M976" s="37" t="s">
        <v>20</v>
      </c>
      <c r="N976" s="43" t="str">
        <f>VLOOKUP(M976,Table1[#All],3,FALSE)</f>
        <v>Ins needs more info, need to submit;</v>
      </c>
      <c r="O976" s="40" t="str">
        <f>VLOOKUP(M976,Table1[#All],4,FALSE)</f>
        <v>Attachments/Info needed?</v>
      </c>
      <c r="P976" s="39" t="s">
        <v>3759</v>
      </c>
      <c r="Q976" s="40" t="str">
        <f>VLOOKUP(M976,Table1[#All],5,FALSE)</f>
        <v>Fax # (If Fax Yes):</v>
      </c>
      <c r="R976" s="79">
        <v>2487336372</v>
      </c>
      <c r="S976" s="40" t="str">
        <f>VLOOKUP(M976,Table1[#All],6,FALSE)</f>
        <v>Call Ref#:</v>
      </c>
      <c r="T976" s="79" t="s">
        <v>3817</v>
      </c>
      <c r="U976" s="40" t="str">
        <f>VLOOKUP(M976,Table1[#All],7,FALSE)</f>
        <v>Cust Rep:</v>
      </c>
      <c r="V976" s="79" t="s">
        <v>3818</v>
      </c>
      <c r="W976" s="40">
        <f>VLOOKUP(M976,Table1[#All],8,FALSE)</f>
        <v>0</v>
      </c>
      <c r="X976" s="79"/>
      <c r="Y976" s="44" t="str">
        <f>VLOOKUP(M976,Table1[#All],2,FALSE)</f>
        <v xml:space="preserve">Task Sub Pending Claims Queue </v>
      </c>
      <c r="Z976" s="59" t="str">
        <f>VLOOKUP(M976,Table1[#All],9,FALSE)</f>
        <v>Additional Notes:</v>
      </c>
      <c r="AA976" s="76" t="s">
        <v>3819</v>
      </c>
      <c r="AB976" s="76" t="s">
        <v>3697</v>
      </c>
      <c r="AC976" s="90" t="s">
        <v>185</v>
      </c>
      <c r="AD976" s="76" t="s">
        <v>177</v>
      </c>
      <c r="AE976" s="77" t="s">
        <v>3698</v>
      </c>
      <c r="AF976" s="110">
        <v>44614</v>
      </c>
      <c r="AG976" s="41" t="s">
        <v>101</v>
      </c>
    </row>
    <row r="977" spans="1:33" ht="21" hidden="1" x14ac:dyDescent="0.55000000000000004">
      <c r="A977" s="44" t="str">
        <f>Data!K976</f>
        <v>United Health Care Dental</v>
      </c>
      <c r="B977" s="44" t="str">
        <f>Data!L976</f>
        <v>8882498833</v>
      </c>
      <c r="C977" s="44" t="str">
        <f>Data!D976</f>
        <v xml:space="preserve">Landreman , Carolyn </v>
      </c>
      <c r="D977" s="82" t="str">
        <f>Data!F976</f>
        <v>122201668</v>
      </c>
      <c r="E977" s="82" t="str">
        <f>Data!B976</f>
        <v>8598</v>
      </c>
      <c r="F977" s="44" t="str">
        <f>Data!A976</f>
        <v xml:space="preserve">Landreman , Carolyn </v>
      </c>
      <c r="G977" s="55" t="str">
        <f>Data!C976</f>
        <v>2/20/1962</v>
      </c>
      <c r="H977" s="56">
        <f>Data!H976</f>
        <v>44652</v>
      </c>
      <c r="I977" s="56" t="str">
        <f>Data!I976</f>
        <v>4/4/2022</v>
      </c>
      <c r="J977" s="57">
        <f>Data!J976</f>
        <v>1861.2</v>
      </c>
      <c r="K977" s="58">
        <f t="shared" ca="1" si="16"/>
        <v>45</v>
      </c>
      <c r="L977" s="58">
        <f>Data!M976</f>
        <v>0</v>
      </c>
      <c r="M977" s="37" t="s">
        <v>26</v>
      </c>
      <c r="N977" s="43" t="str">
        <f>VLOOKUP(M977,Table1[#All],3,FALSE)</f>
        <v>Note</v>
      </c>
      <c r="O977" s="40" t="str">
        <f>VLOOKUP(M977,Table1[#All],4,FALSE)</f>
        <v>Q1</v>
      </c>
      <c r="P977" s="39"/>
      <c r="Q977" s="40" t="str">
        <f>VLOOKUP(M977,Table1[#All],5,FALSE)</f>
        <v>Q2</v>
      </c>
      <c r="R977" s="79"/>
      <c r="S977" s="40" t="str">
        <f>VLOOKUP(M977,Table1[#All],6,FALSE)</f>
        <v>Q3</v>
      </c>
      <c r="T977" s="79"/>
      <c r="U977" s="40" t="str">
        <f>VLOOKUP(M977,Table1[#All],7,FALSE)</f>
        <v>Q4</v>
      </c>
      <c r="V977" s="79"/>
      <c r="W977" s="40" t="str">
        <f>VLOOKUP(M977,Table1[#All],8,FALSE)</f>
        <v>Q5</v>
      </c>
      <c r="X977" s="79"/>
      <c r="Y977" s="44" t="str">
        <f>VLOOKUP(M977,Table1[#All],2,FALSE)</f>
        <v>Action</v>
      </c>
      <c r="Z977" s="59" t="str">
        <f>VLOOKUP(M977,Table1[#All],9,FALSE)</f>
        <v>Additional Notes:</v>
      </c>
      <c r="AA977" s="76"/>
      <c r="AB977" s="76"/>
      <c r="AC977" s="90" t="s">
        <v>91</v>
      </c>
      <c r="AD977" s="76" t="s">
        <v>91</v>
      </c>
      <c r="AE977" s="77"/>
      <c r="AF977" s="77"/>
      <c r="AG977" s="41" t="s">
        <v>91</v>
      </c>
    </row>
    <row r="978" spans="1:33" ht="21" hidden="1" x14ac:dyDescent="0.55000000000000004">
      <c r="A978" s="44" t="str">
        <f>Data!K977</f>
        <v>United Health Care Dental</v>
      </c>
      <c r="B978" s="44" t="str">
        <f>Data!L977</f>
        <v>8882498833</v>
      </c>
      <c r="C978" s="44" t="str">
        <f>Data!D977</f>
        <v>Pecard , Lorna</v>
      </c>
      <c r="D978" s="82" t="str">
        <f>Data!F977</f>
        <v>122685961</v>
      </c>
      <c r="E978" s="82" t="str">
        <f>Data!B977</f>
        <v>9319</v>
      </c>
      <c r="F978" s="44" t="str">
        <f>Data!A977</f>
        <v>Pecard , Lorna</v>
      </c>
      <c r="G978" s="55" t="str">
        <f>Data!C977</f>
        <v>4/25/1994</v>
      </c>
      <c r="H978" s="56">
        <f>Data!H977</f>
        <v>44649</v>
      </c>
      <c r="I978" s="56" t="str">
        <f>Data!I977</f>
        <v>3/30/2022</v>
      </c>
      <c r="J978" s="57">
        <f>Data!J977</f>
        <v>612</v>
      </c>
      <c r="K978" s="58">
        <f t="shared" ca="1" si="16"/>
        <v>50</v>
      </c>
      <c r="L978" s="58">
        <f>Data!M977</f>
        <v>0</v>
      </c>
      <c r="M978" s="37" t="s">
        <v>26</v>
      </c>
      <c r="N978" s="43" t="str">
        <f>VLOOKUP(M978,Table1[#All],3,FALSE)</f>
        <v>Note</v>
      </c>
      <c r="O978" s="40" t="str">
        <f>VLOOKUP(M978,Table1[#All],4,FALSE)</f>
        <v>Q1</v>
      </c>
      <c r="P978" s="39"/>
      <c r="Q978" s="40" t="str">
        <f>VLOOKUP(M978,Table1[#All],5,FALSE)</f>
        <v>Q2</v>
      </c>
      <c r="R978" s="79"/>
      <c r="S978" s="40" t="str">
        <f>VLOOKUP(M978,Table1[#All],6,FALSE)</f>
        <v>Q3</v>
      </c>
      <c r="T978" s="79"/>
      <c r="U978" s="40" t="str">
        <f>VLOOKUP(M978,Table1[#All],7,FALSE)</f>
        <v>Q4</v>
      </c>
      <c r="V978" s="79"/>
      <c r="W978" s="40" t="str">
        <f>VLOOKUP(M978,Table1[#All],8,FALSE)</f>
        <v>Q5</v>
      </c>
      <c r="X978" s="79"/>
      <c r="Y978" s="44" t="str">
        <f>VLOOKUP(M978,Table1[#All],2,FALSE)</f>
        <v>Action</v>
      </c>
      <c r="Z978" s="59" t="str">
        <f>VLOOKUP(M978,Table1[#All],9,FALSE)</f>
        <v>Additional Notes:</v>
      </c>
      <c r="AA978" s="76"/>
      <c r="AB978" s="76"/>
      <c r="AC978" s="90" t="s">
        <v>91</v>
      </c>
      <c r="AD978" s="76" t="s">
        <v>91</v>
      </c>
      <c r="AE978" s="77"/>
      <c r="AF978" s="77"/>
      <c r="AG978" s="41" t="s">
        <v>91</v>
      </c>
    </row>
    <row r="979" spans="1:33" ht="21" hidden="1" x14ac:dyDescent="0.55000000000000004">
      <c r="A979" s="44" t="str">
        <f>Data!K978</f>
        <v>United Health Care Dental</v>
      </c>
      <c r="B979" s="44" t="str">
        <f>Data!L978</f>
        <v>8882498833</v>
      </c>
      <c r="C979" s="44" t="str">
        <f>Data!D978</f>
        <v>Pecard , Lorna</v>
      </c>
      <c r="D979" s="82" t="str">
        <f>Data!F978</f>
        <v>122685961</v>
      </c>
      <c r="E979" s="82" t="str">
        <f>Data!B978</f>
        <v>9319</v>
      </c>
      <c r="F979" s="44" t="str">
        <f>Data!A978</f>
        <v>Pecard , Lorna</v>
      </c>
      <c r="G979" s="55" t="str">
        <f>Data!C978</f>
        <v>4/25/1994</v>
      </c>
      <c r="H979" s="56">
        <f>Data!H978</f>
        <v>44642</v>
      </c>
      <c r="I979" s="56" t="str">
        <f>Data!I978</f>
        <v>3/23/2022</v>
      </c>
      <c r="J979" s="57">
        <f>Data!J978</f>
        <v>258.8</v>
      </c>
      <c r="K979" s="58">
        <f t="shared" ca="1" si="16"/>
        <v>57</v>
      </c>
      <c r="L979" s="58">
        <f>Data!M978</f>
        <v>0</v>
      </c>
      <c r="M979" s="37" t="s">
        <v>26</v>
      </c>
      <c r="N979" s="43" t="str">
        <f>VLOOKUP(M979,Table1[#All],3,FALSE)</f>
        <v>Note</v>
      </c>
      <c r="O979" s="40" t="str">
        <f>VLOOKUP(M979,Table1[#All],4,FALSE)</f>
        <v>Q1</v>
      </c>
      <c r="P979" s="39"/>
      <c r="Q979" s="40" t="str">
        <f>VLOOKUP(M979,Table1[#All],5,FALSE)</f>
        <v>Q2</v>
      </c>
      <c r="R979" s="79"/>
      <c r="S979" s="40" t="str">
        <f>VLOOKUP(M979,Table1[#All],6,FALSE)</f>
        <v>Q3</v>
      </c>
      <c r="T979" s="79"/>
      <c r="U979" s="40" t="str">
        <f>VLOOKUP(M979,Table1[#All],7,FALSE)</f>
        <v>Q4</v>
      </c>
      <c r="V979" s="79"/>
      <c r="W979" s="40" t="str">
        <f>VLOOKUP(M979,Table1[#All],8,FALSE)</f>
        <v>Q5</v>
      </c>
      <c r="X979" s="79"/>
      <c r="Y979" s="44" t="str">
        <f>VLOOKUP(M979,Table1[#All],2,FALSE)</f>
        <v>Action</v>
      </c>
      <c r="Z979" s="59" t="str">
        <f>VLOOKUP(M979,Table1[#All],9,FALSE)</f>
        <v>Additional Notes:</v>
      </c>
      <c r="AA979" s="76"/>
      <c r="AB979" s="76"/>
      <c r="AC979" s="90" t="s">
        <v>91</v>
      </c>
      <c r="AD979" s="76" t="s">
        <v>91</v>
      </c>
      <c r="AE979" s="77"/>
      <c r="AF979" s="77"/>
      <c r="AG979" s="41" t="s">
        <v>91</v>
      </c>
    </row>
    <row r="980" spans="1:33" ht="21" hidden="1" x14ac:dyDescent="0.55000000000000004">
      <c r="A980" s="44" t="str">
        <f>Data!K979</f>
        <v>United Health Care Dental</v>
      </c>
      <c r="B980" s="44" t="str">
        <f>Data!L979</f>
        <v>8882498833</v>
      </c>
      <c r="C980" s="44" t="str">
        <f>Data!D979</f>
        <v xml:space="preserve">STOCKER , ETHAN </v>
      </c>
      <c r="D980" s="82" t="str">
        <f>Data!F979</f>
        <v>115851983</v>
      </c>
      <c r="E980" s="82" t="str">
        <f>Data!B979</f>
        <v>3372</v>
      </c>
      <c r="F980" s="44" t="str">
        <f>Data!A979</f>
        <v xml:space="preserve">STOCKER , ETHAN </v>
      </c>
      <c r="G980" s="55" t="str">
        <f>Data!C979</f>
        <v>10/5/1997</v>
      </c>
      <c r="H980" s="56">
        <f>Data!H979</f>
        <v>44641</v>
      </c>
      <c r="I980" s="56" t="str">
        <f>Data!I979</f>
        <v>3/22/2022</v>
      </c>
      <c r="J980" s="57">
        <f>Data!J979</f>
        <v>266</v>
      </c>
      <c r="K980" s="58">
        <f t="shared" ca="1" si="16"/>
        <v>58</v>
      </c>
      <c r="L980" s="58">
        <f>Data!M979</f>
        <v>0</v>
      </c>
      <c r="M980" s="37" t="s">
        <v>26</v>
      </c>
      <c r="N980" s="43" t="str">
        <f>VLOOKUP(M980,Table1[#All],3,FALSE)</f>
        <v>Note</v>
      </c>
      <c r="O980" s="40" t="str">
        <f>VLOOKUP(M980,Table1[#All],4,FALSE)</f>
        <v>Q1</v>
      </c>
      <c r="P980" s="39"/>
      <c r="Q980" s="40" t="str">
        <f>VLOOKUP(M980,Table1[#All],5,FALSE)</f>
        <v>Q2</v>
      </c>
      <c r="R980" s="79"/>
      <c r="S980" s="40" t="str">
        <f>VLOOKUP(M980,Table1[#All],6,FALSE)</f>
        <v>Q3</v>
      </c>
      <c r="T980" s="79"/>
      <c r="U980" s="40" t="str">
        <f>VLOOKUP(M980,Table1[#All],7,FALSE)</f>
        <v>Q4</v>
      </c>
      <c r="V980" s="79"/>
      <c r="W980" s="40" t="str">
        <f>VLOOKUP(M980,Table1[#All],8,FALSE)</f>
        <v>Q5</v>
      </c>
      <c r="X980" s="79"/>
      <c r="Y980" s="44" t="str">
        <f>VLOOKUP(M980,Table1[#All],2,FALSE)</f>
        <v>Action</v>
      </c>
      <c r="Z980" s="59" t="str">
        <f>VLOOKUP(M980,Table1[#All],9,FALSE)</f>
        <v>Additional Notes:</v>
      </c>
      <c r="AA980" s="76"/>
      <c r="AB980" s="76"/>
      <c r="AC980" s="90" t="s">
        <v>91</v>
      </c>
      <c r="AD980" s="76" t="s">
        <v>91</v>
      </c>
      <c r="AE980" s="77"/>
      <c r="AF980" s="77"/>
      <c r="AG980" s="41" t="s">
        <v>91</v>
      </c>
    </row>
    <row r="981" spans="1:33" ht="21" hidden="1" x14ac:dyDescent="0.55000000000000004">
      <c r="A981" s="44" t="str">
        <f>Data!K980</f>
        <v>United Health Care Dental</v>
      </c>
      <c r="B981" s="44" t="str">
        <f>Data!L980</f>
        <v>8882498833</v>
      </c>
      <c r="C981" s="44" t="str">
        <f>Data!D980</f>
        <v>Dickman, David</v>
      </c>
      <c r="D981" s="82" t="str">
        <f>Data!F980</f>
        <v>114353427</v>
      </c>
      <c r="E981" s="82" t="str">
        <f>Data!B980</f>
        <v>7701</v>
      </c>
      <c r="F981" s="44" t="str">
        <f>Data!A980</f>
        <v>Dickman, David</v>
      </c>
      <c r="G981" s="55" t="str">
        <f>Data!C980</f>
        <v>4/13/1971</v>
      </c>
      <c r="H981" s="56">
        <f>Data!H980</f>
        <v>44631</v>
      </c>
      <c r="I981" s="56" t="str">
        <f>Data!I980</f>
        <v>3/11/2022</v>
      </c>
      <c r="J981" s="57">
        <f>Data!J980</f>
        <v>138</v>
      </c>
      <c r="K981" s="58">
        <f t="shared" ca="1" si="16"/>
        <v>69</v>
      </c>
      <c r="L981" s="58">
        <f>Data!M980</f>
        <v>0</v>
      </c>
      <c r="M981" s="37" t="s">
        <v>26</v>
      </c>
      <c r="N981" s="43" t="str">
        <f>VLOOKUP(M981,Table1[#All],3,FALSE)</f>
        <v>Note</v>
      </c>
      <c r="O981" s="40" t="str">
        <f>VLOOKUP(M981,Table1[#All],4,FALSE)</f>
        <v>Q1</v>
      </c>
      <c r="P981" s="39"/>
      <c r="Q981" s="40" t="str">
        <f>VLOOKUP(M981,Table1[#All],5,FALSE)</f>
        <v>Q2</v>
      </c>
      <c r="R981" s="79"/>
      <c r="S981" s="40" t="str">
        <f>VLOOKUP(M981,Table1[#All],6,FALSE)</f>
        <v>Q3</v>
      </c>
      <c r="T981" s="79"/>
      <c r="U981" s="40" t="str">
        <f>VLOOKUP(M981,Table1[#All],7,FALSE)</f>
        <v>Q4</v>
      </c>
      <c r="V981" s="79"/>
      <c r="W981" s="40" t="str">
        <f>VLOOKUP(M981,Table1[#All],8,FALSE)</f>
        <v>Q5</v>
      </c>
      <c r="X981" s="79"/>
      <c r="Y981" s="44" t="str">
        <f>VLOOKUP(M981,Table1[#All],2,FALSE)</f>
        <v>Action</v>
      </c>
      <c r="Z981" s="59" t="str">
        <f>VLOOKUP(M981,Table1[#All],9,FALSE)</f>
        <v>Additional Notes:</v>
      </c>
      <c r="AA981" s="76"/>
      <c r="AB981" s="76"/>
      <c r="AC981" s="90" t="s">
        <v>91</v>
      </c>
      <c r="AD981" s="76" t="s">
        <v>91</v>
      </c>
      <c r="AE981" s="77"/>
      <c r="AF981" s="77"/>
      <c r="AG981" s="41" t="s">
        <v>91</v>
      </c>
    </row>
    <row r="982" spans="1:33" ht="21" hidden="1" x14ac:dyDescent="0.55000000000000004">
      <c r="A982" s="44" t="str">
        <f>Data!K981</f>
        <v>United Health Care Dental</v>
      </c>
      <c r="B982" s="44" t="str">
        <f>Data!L981</f>
        <v>8882498833</v>
      </c>
      <c r="C982" s="44" t="str">
        <f>Data!D981</f>
        <v>Dickman, David</v>
      </c>
      <c r="D982" s="82" t="str">
        <f>Data!F981</f>
        <v>114353427</v>
      </c>
      <c r="E982" s="82" t="str">
        <f>Data!B981</f>
        <v>7701</v>
      </c>
      <c r="F982" s="44" t="str">
        <f>Data!A981</f>
        <v>Dickman, David</v>
      </c>
      <c r="G982" s="55" t="str">
        <f>Data!C981</f>
        <v>4/13/1971</v>
      </c>
      <c r="H982" s="56">
        <f>Data!H981</f>
        <v>44631</v>
      </c>
      <c r="I982" s="56" t="str">
        <f>Data!I981</f>
        <v>3/11/2022</v>
      </c>
      <c r="J982" s="57">
        <f>Data!J981</f>
        <v>138</v>
      </c>
      <c r="K982" s="58">
        <f t="shared" ca="1" si="16"/>
        <v>69</v>
      </c>
      <c r="L982" s="58">
        <f>Data!M981</f>
        <v>0</v>
      </c>
      <c r="M982" s="37" t="s">
        <v>26</v>
      </c>
      <c r="N982" s="43" t="str">
        <f>VLOOKUP(M982,Table1[#All],3,FALSE)</f>
        <v>Note</v>
      </c>
      <c r="O982" s="40" t="str">
        <f>VLOOKUP(M982,Table1[#All],4,FALSE)</f>
        <v>Q1</v>
      </c>
      <c r="P982" s="39"/>
      <c r="Q982" s="40" t="str">
        <f>VLOOKUP(M982,Table1[#All],5,FALSE)</f>
        <v>Q2</v>
      </c>
      <c r="R982" s="79"/>
      <c r="S982" s="40" t="str">
        <f>VLOOKUP(M982,Table1[#All],6,FALSE)</f>
        <v>Q3</v>
      </c>
      <c r="T982" s="79"/>
      <c r="U982" s="40" t="str">
        <f>VLOOKUP(M982,Table1[#All],7,FALSE)</f>
        <v>Q4</v>
      </c>
      <c r="V982" s="79"/>
      <c r="W982" s="40" t="str">
        <f>VLOOKUP(M982,Table1[#All],8,FALSE)</f>
        <v>Q5</v>
      </c>
      <c r="X982" s="79"/>
      <c r="Y982" s="44" t="str">
        <f>VLOOKUP(M982,Table1[#All],2,FALSE)</f>
        <v>Action</v>
      </c>
      <c r="Z982" s="59" t="str">
        <f>VLOOKUP(M982,Table1[#All],9,FALSE)</f>
        <v>Additional Notes:</v>
      </c>
      <c r="AA982" s="76"/>
      <c r="AB982" s="76"/>
      <c r="AC982" s="90" t="s">
        <v>91</v>
      </c>
      <c r="AD982" s="76" t="s">
        <v>91</v>
      </c>
      <c r="AE982" s="77"/>
      <c r="AF982" s="77"/>
      <c r="AG982" s="41" t="s">
        <v>91</v>
      </c>
    </row>
    <row r="983" spans="1:33" ht="21" hidden="1" x14ac:dyDescent="0.55000000000000004">
      <c r="A983" s="44" t="str">
        <f>Data!K982</f>
        <v>United Health Care Dental</v>
      </c>
      <c r="B983" s="44" t="str">
        <f>Data!L982</f>
        <v>8882498833</v>
      </c>
      <c r="C983" s="44" t="str">
        <f>Data!D982</f>
        <v>Kahlani, Medina</v>
      </c>
      <c r="D983" s="82" t="str">
        <f>Data!F982</f>
        <v>122059120</v>
      </c>
      <c r="E983" s="82" t="str">
        <f>Data!B982</f>
        <v>8753</v>
      </c>
      <c r="F983" s="44" t="str">
        <f>Data!A982</f>
        <v>Kahlani, Medina</v>
      </c>
      <c r="G983" s="55" t="str">
        <f>Data!C982</f>
        <v>5/4/1998</v>
      </c>
      <c r="H983" s="56">
        <f>Data!H982</f>
        <v>44614</v>
      </c>
      <c r="I983" s="56" t="str">
        <f>Data!I982</f>
        <v>3/2/2022</v>
      </c>
      <c r="J983" s="57">
        <f>Data!J982</f>
        <v>216</v>
      </c>
      <c r="K983" s="58">
        <f t="shared" ca="1" si="16"/>
        <v>78</v>
      </c>
      <c r="L983" s="58">
        <f>Data!M982</f>
        <v>0</v>
      </c>
      <c r="M983" s="37" t="s">
        <v>26</v>
      </c>
      <c r="N983" s="43" t="str">
        <f>VLOOKUP(M983,Table1[#All],3,FALSE)</f>
        <v>Note</v>
      </c>
      <c r="O983" s="40" t="str">
        <f>VLOOKUP(M983,Table1[#All],4,FALSE)</f>
        <v>Q1</v>
      </c>
      <c r="P983" s="39"/>
      <c r="Q983" s="40" t="str">
        <f>VLOOKUP(M983,Table1[#All],5,FALSE)</f>
        <v>Q2</v>
      </c>
      <c r="R983" s="79"/>
      <c r="S983" s="40" t="str">
        <f>VLOOKUP(M983,Table1[#All],6,FALSE)</f>
        <v>Q3</v>
      </c>
      <c r="T983" s="79"/>
      <c r="U983" s="40" t="str">
        <f>VLOOKUP(M983,Table1[#All],7,FALSE)</f>
        <v>Q4</v>
      </c>
      <c r="V983" s="79"/>
      <c r="W983" s="40" t="str">
        <f>VLOOKUP(M983,Table1[#All],8,FALSE)</f>
        <v>Q5</v>
      </c>
      <c r="X983" s="79"/>
      <c r="Y983" s="44" t="str">
        <f>VLOOKUP(M983,Table1[#All],2,FALSE)</f>
        <v>Action</v>
      </c>
      <c r="Z983" s="59" t="str">
        <f>VLOOKUP(M983,Table1[#All],9,FALSE)</f>
        <v>Additional Notes:</v>
      </c>
      <c r="AA983" s="76"/>
      <c r="AB983" s="76"/>
      <c r="AC983" s="90" t="s">
        <v>91</v>
      </c>
      <c r="AD983" s="76" t="s">
        <v>91</v>
      </c>
      <c r="AE983" s="77"/>
      <c r="AF983" s="77"/>
      <c r="AG983" s="41" t="s">
        <v>91</v>
      </c>
    </row>
    <row r="984" spans="1:33" ht="21" hidden="1" x14ac:dyDescent="0.55000000000000004">
      <c r="A984" s="44" t="str">
        <f>Data!K983</f>
        <v>United Health Care Dental</v>
      </c>
      <c r="B984" s="44" t="str">
        <f>Data!L983</f>
        <v>8882498833</v>
      </c>
      <c r="C984" s="44" t="str">
        <f>Data!D983</f>
        <v>Eckert, Justin</v>
      </c>
      <c r="D984" s="82" t="str">
        <f>Data!F983</f>
        <v>118322056</v>
      </c>
      <c r="E984" s="82" t="str">
        <f>Data!B983</f>
        <v>8838</v>
      </c>
      <c r="F984" s="44" t="str">
        <f>Data!A983</f>
        <v>Eckert, Justin</v>
      </c>
      <c r="G984" s="55" t="str">
        <f>Data!C983</f>
        <v>2/23/2000</v>
      </c>
      <c r="H984" s="56">
        <f>Data!H983</f>
        <v>44603</v>
      </c>
      <c r="I984" s="56" t="str">
        <f>Data!I983</f>
        <v>3/2/2022</v>
      </c>
      <c r="J984" s="57">
        <f>Data!J983</f>
        <v>480</v>
      </c>
      <c r="K984" s="58">
        <f t="shared" ca="1" si="16"/>
        <v>78</v>
      </c>
      <c r="L984" s="58">
        <f>Data!M983</f>
        <v>0</v>
      </c>
      <c r="M984" s="37" t="s">
        <v>26</v>
      </c>
      <c r="N984" s="43" t="str">
        <f>VLOOKUP(M984,Table1[#All],3,FALSE)</f>
        <v>Note</v>
      </c>
      <c r="O984" s="40" t="str">
        <f>VLOOKUP(M984,Table1[#All],4,FALSE)</f>
        <v>Q1</v>
      </c>
      <c r="P984" s="39"/>
      <c r="Q984" s="40" t="str">
        <f>VLOOKUP(M984,Table1[#All],5,FALSE)</f>
        <v>Q2</v>
      </c>
      <c r="R984" s="79"/>
      <c r="S984" s="40" t="str">
        <f>VLOOKUP(M984,Table1[#All],6,FALSE)</f>
        <v>Q3</v>
      </c>
      <c r="T984" s="79"/>
      <c r="U984" s="40" t="str">
        <f>VLOOKUP(M984,Table1[#All],7,FALSE)</f>
        <v>Q4</v>
      </c>
      <c r="V984" s="79"/>
      <c r="W984" s="40" t="str">
        <f>VLOOKUP(M984,Table1[#All],8,FALSE)</f>
        <v>Q5</v>
      </c>
      <c r="X984" s="79"/>
      <c r="Y984" s="44" t="str">
        <f>VLOOKUP(M984,Table1[#All],2,FALSE)</f>
        <v>Action</v>
      </c>
      <c r="Z984" s="59" t="str">
        <f>VLOOKUP(M984,Table1[#All],9,FALSE)</f>
        <v>Additional Notes:</v>
      </c>
      <c r="AA984" s="76"/>
      <c r="AB984" s="76"/>
      <c r="AC984" s="90" t="s">
        <v>91</v>
      </c>
      <c r="AD984" s="76" t="s">
        <v>91</v>
      </c>
      <c r="AE984" s="77"/>
      <c r="AF984" s="77"/>
      <c r="AG984" s="41" t="s">
        <v>91</v>
      </c>
    </row>
    <row r="985" spans="1:33" ht="21" hidden="1" x14ac:dyDescent="0.55000000000000004">
      <c r="A985" s="44" t="str">
        <f>Data!K984</f>
        <v>United Health Care Dental</v>
      </c>
      <c r="B985" s="44" t="str">
        <f>Data!L984</f>
        <v>8882498833</v>
      </c>
      <c r="C985" s="44" t="str">
        <f>Data!D984</f>
        <v xml:space="preserve">Atkinson , Anita </v>
      </c>
      <c r="D985" s="82" t="str">
        <f>Data!F984</f>
        <v>120147020</v>
      </c>
      <c r="E985" s="82" t="str">
        <f>Data!B984</f>
        <v>6776</v>
      </c>
      <c r="F985" s="44" t="str">
        <f>Data!A984</f>
        <v xml:space="preserve">Atkinson , Anita </v>
      </c>
      <c r="G985" s="55" t="str">
        <f>Data!C984</f>
        <v>12/24/1957</v>
      </c>
      <c r="H985" s="56">
        <f>Data!H984</f>
        <v>44522</v>
      </c>
      <c r="I985" s="56" t="str">
        <f>Data!I984</f>
        <v>2/26/2022</v>
      </c>
      <c r="J985" s="57">
        <f>Data!J984</f>
        <v>416.4</v>
      </c>
      <c r="K985" s="58">
        <f t="shared" ca="1" si="16"/>
        <v>82</v>
      </c>
      <c r="L985" s="58">
        <f>Data!M984</f>
        <v>0</v>
      </c>
      <c r="M985" s="37" t="s">
        <v>26</v>
      </c>
      <c r="N985" s="43" t="str">
        <f>VLOOKUP(M985,Table1[#All],3,FALSE)</f>
        <v>Note</v>
      </c>
      <c r="O985" s="40" t="str">
        <f>VLOOKUP(M985,Table1[#All],4,FALSE)</f>
        <v>Q1</v>
      </c>
      <c r="P985" s="39"/>
      <c r="Q985" s="40" t="str">
        <f>VLOOKUP(M985,Table1[#All],5,FALSE)</f>
        <v>Q2</v>
      </c>
      <c r="R985" s="79"/>
      <c r="S985" s="40" t="str">
        <f>VLOOKUP(M985,Table1[#All],6,FALSE)</f>
        <v>Q3</v>
      </c>
      <c r="T985" s="79"/>
      <c r="U985" s="40" t="str">
        <f>VLOOKUP(M985,Table1[#All],7,FALSE)</f>
        <v>Q4</v>
      </c>
      <c r="V985" s="79"/>
      <c r="W985" s="40" t="str">
        <f>VLOOKUP(M985,Table1[#All],8,FALSE)</f>
        <v>Q5</v>
      </c>
      <c r="X985" s="79"/>
      <c r="Y985" s="44" t="str">
        <f>VLOOKUP(M985,Table1[#All],2,FALSE)</f>
        <v>Action</v>
      </c>
      <c r="Z985" s="59" t="str">
        <f>VLOOKUP(M985,Table1[#All],9,FALSE)</f>
        <v>Additional Notes:</v>
      </c>
      <c r="AA985" s="76"/>
      <c r="AB985" s="76"/>
      <c r="AC985" s="90" t="s">
        <v>91</v>
      </c>
      <c r="AD985" s="76" t="s">
        <v>91</v>
      </c>
      <c r="AE985" s="77"/>
      <c r="AF985" s="77"/>
      <c r="AG985" s="41" t="s">
        <v>91</v>
      </c>
    </row>
    <row r="986" spans="1:33" ht="21" hidden="1" x14ac:dyDescent="0.55000000000000004">
      <c r="A986" s="44" t="str">
        <f>Data!K985</f>
        <v>United Health Care Dental</v>
      </c>
      <c r="B986" s="44" t="str">
        <f>Data!L985</f>
        <v>8882498833</v>
      </c>
      <c r="C986" s="44" t="str">
        <f>Data!D985</f>
        <v>Evangelista, Yazmin</v>
      </c>
      <c r="D986" s="82" t="str">
        <f>Data!F985</f>
        <v>118936006</v>
      </c>
      <c r="E986" s="82" t="str">
        <f>Data!B985</f>
        <v>6102</v>
      </c>
      <c r="F986" s="44" t="str">
        <f>Data!A985</f>
        <v>Evangelista, Yazmin</v>
      </c>
      <c r="G986" s="55" t="str">
        <f>Data!C985</f>
        <v>2/9/1987</v>
      </c>
      <c r="H986" s="56">
        <f>Data!H985</f>
        <v>44263</v>
      </c>
      <c r="I986" s="56" t="str">
        <f>Data!I985</f>
        <v>2/25/2022</v>
      </c>
      <c r="J986" s="57">
        <f>Data!J985</f>
        <v>1213.2</v>
      </c>
      <c r="K986" s="58">
        <f t="shared" ca="1" si="16"/>
        <v>83</v>
      </c>
      <c r="L986" s="58">
        <f>Data!M985</f>
        <v>0</v>
      </c>
      <c r="M986" s="37" t="s">
        <v>26</v>
      </c>
      <c r="N986" s="43" t="str">
        <f>VLOOKUP(M986,Table1[#All],3,FALSE)</f>
        <v>Note</v>
      </c>
      <c r="O986" s="40" t="str">
        <f>VLOOKUP(M986,Table1[#All],4,FALSE)</f>
        <v>Q1</v>
      </c>
      <c r="P986" s="39"/>
      <c r="Q986" s="40" t="str">
        <f>VLOOKUP(M986,Table1[#All],5,FALSE)</f>
        <v>Q2</v>
      </c>
      <c r="R986" s="79"/>
      <c r="S986" s="40" t="str">
        <f>VLOOKUP(M986,Table1[#All],6,FALSE)</f>
        <v>Q3</v>
      </c>
      <c r="T986" s="79"/>
      <c r="U986" s="40" t="str">
        <f>VLOOKUP(M986,Table1[#All],7,FALSE)</f>
        <v>Q4</v>
      </c>
      <c r="V986" s="79"/>
      <c r="W986" s="40" t="str">
        <f>VLOOKUP(M986,Table1[#All],8,FALSE)</f>
        <v>Q5</v>
      </c>
      <c r="X986" s="79"/>
      <c r="Y986" s="44" t="str">
        <f>VLOOKUP(M986,Table1[#All],2,FALSE)</f>
        <v>Action</v>
      </c>
      <c r="Z986" s="59" t="str">
        <f>VLOOKUP(M986,Table1[#All],9,FALSE)</f>
        <v>Additional Notes:</v>
      </c>
      <c r="AA986" s="76"/>
      <c r="AB986" s="76"/>
      <c r="AC986" s="90" t="s">
        <v>91</v>
      </c>
      <c r="AD986" s="76" t="s">
        <v>91</v>
      </c>
      <c r="AE986" s="77"/>
      <c r="AF986" s="77"/>
      <c r="AG986" s="41" t="s">
        <v>91</v>
      </c>
    </row>
    <row r="987" spans="1:33" ht="21" hidden="1" x14ac:dyDescent="0.55000000000000004">
      <c r="A987" s="44" t="str">
        <f>Data!K986</f>
        <v>United Health Care Dental</v>
      </c>
      <c r="B987" s="44" t="str">
        <f>Data!L986</f>
        <v>8882498833</v>
      </c>
      <c r="C987" s="44" t="str">
        <f>Data!D986</f>
        <v>Rattle , Loree</v>
      </c>
      <c r="D987" s="82" t="str">
        <f>Data!F986</f>
        <v>120963752</v>
      </c>
      <c r="E987" s="82" t="str">
        <f>Data!B986</f>
        <v>8016</v>
      </c>
      <c r="F987" s="44" t="str">
        <f>Data!A986</f>
        <v>Rattle , Loree</v>
      </c>
      <c r="G987" s="55" t="str">
        <f>Data!C986</f>
        <v>9/17/1961</v>
      </c>
      <c r="H987" s="56">
        <f>Data!H986</f>
        <v>44603</v>
      </c>
      <c r="I987" s="56" t="str">
        <f>Data!I986</f>
        <v>2/24/2022</v>
      </c>
      <c r="J987" s="57">
        <f>Data!J986</f>
        <v>22.8</v>
      </c>
      <c r="K987" s="58">
        <f t="shared" ca="1" si="16"/>
        <v>84</v>
      </c>
      <c r="L987" s="58">
        <f>Data!M986</f>
        <v>0</v>
      </c>
      <c r="M987" s="37" t="s">
        <v>26</v>
      </c>
      <c r="N987" s="43" t="str">
        <f>VLOOKUP(M987,Table1[#All],3,FALSE)</f>
        <v>Note</v>
      </c>
      <c r="O987" s="40" t="str">
        <f>VLOOKUP(M987,Table1[#All],4,FALSE)</f>
        <v>Q1</v>
      </c>
      <c r="P987" s="39"/>
      <c r="Q987" s="40" t="str">
        <f>VLOOKUP(M987,Table1[#All],5,FALSE)</f>
        <v>Q2</v>
      </c>
      <c r="R987" s="79"/>
      <c r="S987" s="40" t="str">
        <f>VLOOKUP(M987,Table1[#All],6,FALSE)</f>
        <v>Q3</v>
      </c>
      <c r="T987" s="79"/>
      <c r="U987" s="40" t="str">
        <f>VLOOKUP(M987,Table1[#All],7,FALSE)</f>
        <v>Q4</v>
      </c>
      <c r="V987" s="79"/>
      <c r="W987" s="40" t="str">
        <f>VLOOKUP(M987,Table1[#All],8,FALSE)</f>
        <v>Q5</v>
      </c>
      <c r="X987" s="79"/>
      <c r="Y987" s="44" t="str">
        <f>VLOOKUP(M987,Table1[#All],2,FALSE)</f>
        <v>Action</v>
      </c>
      <c r="Z987" s="59" t="str">
        <f>VLOOKUP(M987,Table1[#All],9,FALSE)</f>
        <v>Additional Notes:</v>
      </c>
      <c r="AA987" s="76"/>
      <c r="AB987" s="76"/>
      <c r="AC987" s="90" t="s">
        <v>91</v>
      </c>
      <c r="AD987" s="76" t="s">
        <v>91</v>
      </c>
      <c r="AE987" s="77"/>
      <c r="AF987" s="77"/>
      <c r="AG987" s="41" t="s">
        <v>91</v>
      </c>
    </row>
    <row r="988" spans="1:33" ht="21" hidden="1" x14ac:dyDescent="0.55000000000000004">
      <c r="A988" s="44" t="str">
        <f>Data!K987</f>
        <v>United Health Care Dental</v>
      </c>
      <c r="B988" s="44" t="str">
        <f>Data!L987</f>
        <v>8882498833</v>
      </c>
      <c r="C988" s="44" t="str">
        <f>Data!D987</f>
        <v>Vargas, Mariah</v>
      </c>
      <c r="D988" s="82" t="str">
        <f>Data!F987</f>
        <v>115204024</v>
      </c>
      <c r="E988" s="82" t="str">
        <f>Data!B987</f>
        <v>8978</v>
      </c>
      <c r="F988" s="44" t="str">
        <f>Data!A987</f>
        <v>Vargas, Mariah</v>
      </c>
      <c r="G988" s="55" t="str">
        <f>Data!C987</f>
        <v>9/1/2006</v>
      </c>
      <c r="H988" s="56">
        <f>Data!H987</f>
        <v>44603</v>
      </c>
      <c r="I988" s="56" t="str">
        <f>Data!I987</f>
        <v>2/15/2022</v>
      </c>
      <c r="J988" s="57">
        <f>Data!J987</f>
        <v>294.8</v>
      </c>
      <c r="K988" s="58">
        <f t="shared" ca="1" si="16"/>
        <v>93</v>
      </c>
      <c r="L988" s="58">
        <f>Data!M987</f>
        <v>0</v>
      </c>
      <c r="M988" s="37" t="s">
        <v>26</v>
      </c>
      <c r="N988" s="43" t="str">
        <f>VLOOKUP(M988,Table1[#All],3,FALSE)</f>
        <v>Note</v>
      </c>
      <c r="O988" s="40" t="str">
        <f>VLOOKUP(M988,Table1[#All],4,FALSE)</f>
        <v>Q1</v>
      </c>
      <c r="P988" s="39"/>
      <c r="Q988" s="40" t="str">
        <f>VLOOKUP(M988,Table1[#All],5,FALSE)</f>
        <v>Q2</v>
      </c>
      <c r="R988" s="79"/>
      <c r="S988" s="40" t="str">
        <f>VLOOKUP(M988,Table1[#All],6,FALSE)</f>
        <v>Q3</v>
      </c>
      <c r="T988" s="79"/>
      <c r="U988" s="40" t="str">
        <f>VLOOKUP(M988,Table1[#All],7,FALSE)</f>
        <v>Q4</v>
      </c>
      <c r="V988" s="79"/>
      <c r="W988" s="40" t="str">
        <f>VLOOKUP(M988,Table1[#All],8,FALSE)</f>
        <v>Q5</v>
      </c>
      <c r="X988" s="79"/>
      <c r="Y988" s="44" t="str">
        <f>VLOOKUP(M988,Table1[#All],2,FALSE)</f>
        <v>Action</v>
      </c>
      <c r="Z988" s="59" t="str">
        <f>VLOOKUP(M988,Table1[#All],9,FALSE)</f>
        <v>Additional Notes:</v>
      </c>
      <c r="AA988" s="76"/>
      <c r="AB988" s="76"/>
      <c r="AC988" s="90" t="s">
        <v>91</v>
      </c>
      <c r="AD988" s="76" t="s">
        <v>91</v>
      </c>
      <c r="AE988" s="77"/>
      <c r="AF988" s="77"/>
      <c r="AG988" s="41" t="s">
        <v>91</v>
      </c>
    </row>
    <row r="989" spans="1:33" ht="21" hidden="1" x14ac:dyDescent="0.55000000000000004">
      <c r="A989" s="44" t="str">
        <f>Data!K988</f>
        <v>United Health Care Dental</v>
      </c>
      <c r="B989" s="44" t="str">
        <f>Data!L988</f>
        <v>8882498833</v>
      </c>
      <c r="C989" s="44" t="str">
        <f>Data!D988</f>
        <v>Evangelista, Yazmin</v>
      </c>
      <c r="D989" s="82" t="str">
        <f>Data!F988</f>
        <v>118936006</v>
      </c>
      <c r="E989" s="82" t="str">
        <f>Data!B988</f>
        <v>6102</v>
      </c>
      <c r="F989" s="44" t="str">
        <f>Data!A988</f>
        <v>Evangelista, Yazmin</v>
      </c>
      <c r="G989" s="55" t="str">
        <f>Data!C988</f>
        <v>2/9/1987</v>
      </c>
      <c r="H989" s="56">
        <f>Data!H988</f>
        <v>44603</v>
      </c>
      <c r="I989" s="56" t="str">
        <f>Data!I988</f>
        <v>2/25/2022</v>
      </c>
      <c r="J989" s="57">
        <f>Data!J988</f>
        <v>912.8</v>
      </c>
      <c r="K989" s="58">
        <f t="shared" ca="1" si="16"/>
        <v>83</v>
      </c>
      <c r="L989" s="58">
        <f>Data!M988</f>
        <v>0</v>
      </c>
      <c r="M989" s="37" t="s">
        <v>26</v>
      </c>
      <c r="N989" s="43" t="str">
        <f>VLOOKUP(M989,Table1[#All],3,FALSE)</f>
        <v>Note</v>
      </c>
      <c r="O989" s="40" t="str">
        <f>VLOOKUP(M989,Table1[#All],4,FALSE)</f>
        <v>Q1</v>
      </c>
      <c r="P989" s="39"/>
      <c r="Q989" s="40" t="str">
        <f>VLOOKUP(M989,Table1[#All],5,FALSE)</f>
        <v>Q2</v>
      </c>
      <c r="R989" s="79"/>
      <c r="S989" s="40" t="str">
        <f>VLOOKUP(M989,Table1[#All],6,FALSE)</f>
        <v>Q3</v>
      </c>
      <c r="T989" s="79"/>
      <c r="U989" s="40" t="str">
        <f>VLOOKUP(M989,Table1[#All],7,FALSE)</f>
        <v>Q4</v>
      </c>
      <c r="V989" s="79"/>
      <c r="W989" s="40" t="str">
        <f>VLOOKUP(M989,Table1[#All],8,FALSE)</f>
        <v>Q5</v>
      </c>
      <c r="X989" s="79"/>
      <c r="Y989" s="44" t="str">
        <f>VLOOKUP(M989,Table1[#All],2,FALSE)</f>
        <v>Action</v>
      </c>
      <c r="Z989" s="59" t="str">
        <f>VLOOKUP(M989,Table1[#All],9,FALSE)</f>
        <v>Additional Notes:</v>
      </c>
      <c r="AA989" s="76"/>
      <c r="AB989" s="76"/>
      <c r="AC989" s="90" t="s">
        <v>91</v>
      </c>
      <c r="AD989" s="76" t="s">
        <v>91</v>
      </c>
      <c r="AE989" s="77"/>
      <c r="AF989" s="77"/>
      <c r="AG989" s="41" t="s">
        <v>91</v>
      </c>
    </row>
    <row r="990" spans="1:33" ht="21" hidden="1" x14ac:dyDescent="0.55000000000000004">
      <c r="A990" s="44" t="str">
        <f>Data!K989</f>
        <v>United Health Care Dental</v>
      </c>
      <c r="B990" s="44" t="str">
        <f>Data!L989</f>
        <v>8882498833</v>
      </c>
      <c r="C990" s="44" t="str">
        <f>Data!D989</f>
        <v xml:space="preserve">Williams , Treanta </v>
      </c>
      <c r="D990" s="82" t="str">
        <f>Data!F989</f>
        <v>110617798</v>
      </c>
      <c r="E990" s="82" t="str">
        <f>Data!B989</f>
        <v>6492</v>
      </c>
      <c r="F990" s="44" t="str">
        <f>Data!A989</f>
        <v xml:space="preserve">Williams , Treanta </v>
      </c>
      <c r="G990" s="55" t="str">
        <f>Data!C989</f>
        <v>1/24/2000</v>
      </c>
      <c r="H990" s="56">
        <f>Data!H989</f>
        <v>44596</v>
      </c>
      <c r="I990" s="56" t="str">
        <f>Data!I989</f>
        <v>2/22/2022</v>
      </c>
      <c r="J990" s="57">
        <f>Data!J989</f>
        <v>612</v>
      </c>
      <c r="K990" s="58">
        <f t="shared" ca="1" si="16"/>
        <v>86</v>
      </c>
      <c r="L990" s="58">
        <f>Data!M989</f>
        <v>0</v>
      </c>
      <c r="M990" s="37" t="s">
        <v>26</v>
      </c>
      <c r="N990" s="43" t="str">
        <f>VLOOKUP(M990,Table1[#All],3,FALSE)</f>
        <v>Note</v>
      </c>
      <c r="O990" s="40" t="str">
        <f>VLOOKUP(M990,Table1[#All],4,FALSE)</f>
        <v>Q1</v>
      </c>
      <c r="P990" s="39"/>
      <c r="Q990" s="40" t="str">
        <f>VLOOKUP(M990,Table1[#All],5,FALSE)</f>
        <v>Q2</v>
      </c>
      <c r="R990" s="79"/>
      <c r="S990" s="40" t="str">
        <f>VLOOKUP(M990,Table1[#All],6,FALSE)</f>
        <v>Q3</v>
      </c>
      <c r="T990" s="79"/>
      <c r="U990" s="40" t="str">
        <f>VLOOKUP(M990,Table1[#All],7,FALSE)</f>
        <v>Q4</v>
      </c>
      <c r="V990" s="79"/>
      <c r="W990" s="40" t="str">
        <f>VLOOKUP(M990,Table1[#All],8,FALSE)</f>
        <v>Q5</v>
      </c>
      <c r="X990" s="79"/>
      <c r="Y990" s="44" t="str">
        <f>VLOOKUP(M990,Table1[#All],2,FALSE)</f>
        <v>Action</v>
      </c>
      <c r="Z990" s="59" t="str">
        <f>VLOOKUP(M990,Table1[#All],9,FALSE)</f>
        <v>Additional Notes:</v>
      </c>
      <c r="AA990" s="76"/>
      <c r="AB990" s="76"/>
      <c r="AC990" s="90" t="s">
        <v>91</v>
      </c>
      <c r="AD990" s="76" t="s">
        <v>91</v>
      </c>
      <c r="AE990" s="77"/>
      <c r="AF990" s="77"/>
      <c r="AG990" s="41" t="s">
        <v>91</v>
      </c>
    </row>
    <row r="991" spans="1:33" ht="42" hidden="1" x14ac:dyDescent="0.55000000000000004">
      <c r="A991" s="44" t="str">
        <f>Data!K990</f>
        <v>United Health Care Dental</v>
      </c>
      <c r="B991" s="44" t="str">
        <f>Data!L990</f>
        <v>8882498833</v>
      </c>
      <c r="C991" s="44" t="str">
        <f>Data!D990</f>
        <v>Kahlani, Medina</v>
      </c>
      <c r="D991" s="82" t="str">
        <f>Data!F990</f>
        <v>122059120</v>
      </c>
      <c r="E991" s="82" t="str">
        <f>Data!B990</f>
        <v>8753</v>
      </c>
      <c r="F991" s="44" t="str">
        <f>Data!A990</f>
        <v>Kahlani, Medina</v>
      </c>
      <c r="G991" s="55" t="str">
        <f>Data!C990</f>
        <v>5/4/1998</v>
      </c>
      <c r="H991" s="56">
        <f>Data!H990</f>
        <v>44579</v>
      </c>
      <c r="I991" s="56" t="str">
        <f>Data!I990</f>
        <v>1/19/2022</v>
      </c>
      <c r="J991" s="57">
        <f>Data!J990</f>
        <v>432</v>
      </c>
      <c r="K991" s="58">
        <f t="shared" ca="1" si="16"/>
        <v>120</v>
      </c>
      <c r="L991" s="58">
        <f>Data!M990</f>
        <v>0</v>
      </c>
      <c r="M991" s="37" t="s">
        <v>20</v>
      </c>
      <c r="N991" s="43" t="str">
        <f>VLOOKUP(M991,Table1[#All],3,FALSE)</f>
        <v>Ins needs more info, need to submit;</v>
      </c>
      <c r="O991" s="40" t="str">
        <f>VLOOKUP(M991,Table1[#All],4,FALSE)</f>
        <v>Attachments/Info needed?</v>
      </c>
      <c r="P991" s="39"/>
      <c r="Q991" s="40" t="str">
        <f>VLOOKUP(M991,Table1[#All],5,FALSE)</f>
        <v>Fax # (If Fax Yes):</v>
      </c>
      <c r="R991" s="39" t="s">
        <v>3759</v>
      </c>
      <c r="S991" s="40" t="str">
        <f>VLOOKUP(M991,Table1[#All],6,FALSE)</f>
        <v>Call Ref#:</v>
      </c>
      <c r="T991" s="79"/>
      <c r="U991" s="40" t="str">
        <f>VLOOKUP(M991,Table1[#All],7,FALSE)</f>
        <v>Cust Rep:</v>
      </c>
      <c r="V991" s="79"/>
      <c r="W991" s="40">
        <f>VLOOKUP(M991,Table1[#All],8,FALSE)</f>
        <v>0</v>
      </c>
      <c r="X991" s="79"/>
      <c r="Y991" s="44" t="str">
        <f>VLOOKUP(M991,Table1[#All],2,FALSE)</f>
        <v xml:space="preserve">Task Sub Pending Claims Queue </v>
      </c>
      <c r="Z991" s="59" t="str">
        <f>VLOOKUP(M991,Table1[#All],9,FALSE)</f>
        <v>Additional Notes:</v>
      </c>
      <c r="AA991" s="76" t="s">
        <v>3814</v>
      </c>
      <c r="AB991" s="76" t="s">
        <v>3697</v>
      </c>
      <c r="AC991" s="90" t="s">
        <v>115</v>
      </c>
      <c r="AD991" s="76" t="s">
        <v>177</v>
      </c>
      <c r="AE991" s="77" t="s">
        <v>3698</v>
      </c>
      <c r="AF991" s="110">
        <v>44614</v>
      </c>
      <c r="AG991" s="41" t="s">
        <v>101</v>
      </c>
    </row>
    <row r="992" spans="1:33" ht="21" hidden="1" x14ac:dyDescent="0.55000000000000004">
      <c r="A992" s="44" t="str">
        <f>Data!K991</f>
        <v>United Health Care Dental</v>
      </c>
      <c r="B992" s="44" t="str">
        <f>Data!L991</f>
        <v>8882498833</v>
      </c>
      <c r="C992" s="44" t="str">
        <f>Data!D991</f>
        <v xml:space="preserve">Naumczik , Stacey </v>
      </c>
      <c r="D992" s="82" t="str">
        <f>Data!F991</f>
        <v>118095514</v>
      </c>
      <c r="E992" s="82" t="str">
        <f>Data!B991</f>
        <v>7139</v>
      </c>
      <c r="F992" s="44" t="str">
        <f>Data!A991</f>
        <v xml:space="preserve">Naumczik , Stacey </v>
      </c>
      <c r="G992" s="55" t="str">
        <f>Data!C991</f>
        <v>12/1/1977</v>
      </c>
      <c r="H992" s="56">
        <f>Data!H991</f>
        <v>44573</v>
      </c>
      <c r="I992" s="56" t="str">
        <f>Data!I991</f>
        <v>1/12/2022</v>
      </c>
      <c r="J992" s="57">
        <f>Data!J991</f>
        <v>253.2</v>
      </c>
      <c r="K992" s="58">
        <f t="shared" ca="1" si="16"/>
        <v>127</v>
      </c>
      <c r="L992" s="58">
        <f>Data!M991</f>
        <v>0</v>
      </c>
      <c r="M992" s="37" t="s">
        <v>95</v>
      </c>
      <c r="N992" s="43" t="str">
        <f>VLOOKUP(M992,Table1[#All],3,FALSE)</f>
        <v>Write information in Addl Notes</v>
      </c>
      <c r="O992" s="40" t="str">
        <f>VLOOKUP(M992,Table1[#All],4,FALSE)</f>
        <v>Call Ref#:</v>
      </c>
      <c r="P992" s="39"/>
      <c r="Q992" s="40" t="str">
        <f>VLOOKUP(M992,Table1[#All],5,FALSE)</f>
        <v>Cust Rep:</v>
      </c>
      <c r="R992" s="79"/>
      <c r="S992" s="40">
        <f>VLOOKUP(M992,Table1[#All],6,FALSE)</f>
        <v>0</v>
      </c>
      <c r="T992" s="79"/>
      <c r="U992" s="40" t="str">
        <f>VLOOKUP(M992,Table1[#All],7,FALSE)</f>
        <v xml:space="preserve"> </v>
      </c>
      <c r="V992" s="79"/>
      <c r="W992" s="40" t="str">
        <f>VLOOKUP(M992,Table1[#All],8,FALSE)</f>
        <v xml:space="preserve"> </v>
      </c>
      <c r="X992" s="79"/>
      <c r="Y992" s="44" t="str">
        <f>VLOOKUP(M992,Table1[#All],2,FALSE)</f>
        <v xml:space="preserve"> Team Lead to review &amp; Follow-Up</v>
      </c>
      <c r="Z992" s="59" t="str">
        <f>VLOOKUP(M992,Table1[#All],9,FALSE)</f>
        <v>Additional Notes:</v>
      </c>
      <c r="AA992" s="76"/>
      <c r="AB992" s="76" t="s">
        <v>3816</v>
      </c>
      <c r="AC992" s="90"/>
      <c r="AD992" s="76" t="s">
        <v>177</v>
      </c>
      <c r="AE992" s="77" t="s">
        <v>3698</v>
      </c>
      <c r="AF992" s="110">
        <v>44614</v>
      </c>
      <c r="AG992" s="41" t="s">
        <v>101</v>
      </c>
    </row>
    <row r="993" spans="1:33" ht="21" hidden="1" x14ac:dyDescent="0.55000000000000004">
      <c r="A993" s="44" t="str">
        <f>Data!K992</f>
        <v>United Health Care Dental</v>
      </c>
      <c r="B993" s="44" t="str">
        <f>Data!L992</f>
        <v>8882498833</v>
      </c>
      <c r="C993" s="44" t="str">
        <f>Data!D992</f>
        <v>Vargas Ruiz , Alfredo</v>
      </c>
      <c r="D993" s="82" t="str">
        <f>Data!F992</f>
        <v>121934062</v>
      </c>
      <c r="E993" s="82" t="str">
        <f>Data!B992</f>
        <v>8775</v>
      </c>
      <c r="F993" s="44" t="str">
        <f>Data!A992</f>
        <v>Vargas Ruiz , Alfredo</v>
      </c>
      <c r="G993" s="55" t="str">
        <f>Data!C992</f>
        <v>3/21/1988</v>
      </c>
      <c r="H993" s="56">
        <f>Data!H992</f>
        <v>44565</v>
      </c>
      <c r="I993" s="56" t="str">
        <f>Data!I992</f>
        <v>1/12/2022</v>
      </c>
      <c r="J993" s="57">
        <f>Data!J992</f>
        <v>608.4</v>
      </c>
      <c r="K993" s="58">
        <f t="shared" ca="1" si="16"/>
        <v>127</v>
      </c>
      <c r="L993" s="58">
        <f>Data!M992</f>
        <v>0</v>
      </c>
      <c r="M993" s="37" t="s">
        <v>5</v>
      </c>
      <c r="N993" s="43" t="str">
        <f>VLOOKUP(M993,Table1[#All],3,FALSE)</f>
        <v>Claim Paid by EFT;</v>
      </c>
      <c r="O993" s="40" t="str">
        <f>VLOOKUP(M993,Table1[#All],4,FALSE)</f>
        <v>Issue Date:</v>
      </c>
      <c r="P993" s="38">
        <v>44580</v>
      </c>
      <c r="Q993" s="40" t="str">
        <f>VLOOKUP(M993,Table1[#All],5,FALSE)</f>
        <v>EFT#</v>
      </c>
      <c r="R993" s="79">
        <v>7293793</v>
      </c>
      <c r="S993" s="40" t="str">
        <f>VLOOKUP(M993,Table1[#All],6,FALSE)</f>
        <v>Bulk/Sep:</v>
      </c>
      <c r="T993" s="79" t="s">
        <v>3800</v>
      </c>
      <c r="U993" s="40" t="str">
        <f>VLOOKUP(M993,Table1[#All],7,FALSE)</f>
        <v>Call Ref#:</v>
      </c>
      <c r="V993" s="79"/>
      <c r="W993" s="40" t="str">
        <f>VLOOKUP(M993,Table1[#All],8,FALSE)</f>
        <v>Cust Rep:</v>
      </c>
      <c r="X993" s="79"/>
      <c r="Y993" s="44" t="str">
        <f>VLOOKUP(M993,Table1[#All],2,FALSE)</f>
        <v xml:space="preserve">Task Post Pmt Queue </v>
      </c>
      <c r="Z993" s="59" t="str">
        <f>VLOOKUP(M993,Table1[#All],9,FALSE)</f>
        <v>Additional Notes:</v>
      </c>
      <c r="AA993" s="76" t="s">
        <v>3815</v>
      </c>
      <c r="AB993" s="76" t="s">
        <v>3697</v>
      </c>
      <c r="AC993" s="90" t="s">
        <v>115</v>
      </c>
      <c r="AD993" s="76" t="s">
        <v>177</v>
      </c>
      <c r="AE993" s="77" t="s">
        <v>3698</v>
      </c>
      <c r="AF993" s="110">
        <v>44614</v>
      </c>
      <c r="AG993" s="41" t="s">
        <v>101</v>
      </c>
    </row>
    <row r="994" spans="1:33" ht="42" hidden="1" x14ac:dyDescent="0.55000000000000004">
      <c r="A994" s="44" t="str">
        <f>Data!K993</f>
        <v>United Health Care Dental</v>
      </c>
      <c r="B994" s="44" t="str">
        <f>Data!L993</f>
        <v>8882498833</v>
      </c>
      <c r="C994" s="44" t="str">
        <f>Data!D993</f>
        <v>Kahlani, Medina</v>
      </c>
      <c r="D994" s="82" t="str">
        <f>Data!F993</f>
        <v>122059120</v>
      </c>
      <c r="E994" s="82" t="str">
        <f>Data!B993</f>
        <v>8753</v>
      </c>
      <c r="F994" s="44" t="str">
        <f>Data!A993</f>
        <v>Kahlani, Medina</v>
      </c>
      <c r="G994" s="55" t="str">
        <f>Data!C993</f>
        <v>5/4/1998</v>
      </c>
      <c r="H994" s="56">
        <f>Data!H993</f>
        <v>44565</v>
      </c>
      <c r="I994" s="56" t="str">
        <f>Data!I993</f>
        <v>1/12/2022</v>
      </c>
      <c r="J994" s="57">
        <f>Data!J993</f>
        <v>585.6</v>
      </c>
      <c r="K994" s="58">
        <f t="shared" ca="1" si="16"/>
        <v>127</v>
      </c>
      <c r="L994" s="58">
        <f>Data!M993</f>
        <v>0</v>
      </c>
      <c r="M994" s="37" t="s">
        <v>20</v>
      </c>
      <c r="N994" s="43" t="str">
        <f>VLOOKUP(M994,Table1[#All],3,FALSE)</f>
        <v>Ins needs more info, need to submit;</v>
      </c>
      <c r="O994" s="40" t="str">
        <f>VLOOKUP(M994,Table1[#All],4,FALSE)</f>
        <v>Attachments/Info needed?</v>
      </c>
      <c r="P994" s="39" t="s">
        <v>3759</v>
      </c>
      <c r="Q994" s="40" t="str">
        <f>VLOOKUP(M994,Table1[#All],5,FALSE)</f>
        <v>Fax # (If Fax Yes):</v>
      </c>
      <c r="R994" s="79"/>
      <c r="S994" s="40" t="str">
        <f>VLOOKUP(M994,Table1[#All],6,FALSE)</f>
        <v>Call Ref#:</v>
      </c>
      <c r="T994" s="79"/>
      <c r="U994" s="40" t="str">
        <f>VLOOKUP(M994,Table1[#All],7,FALSE)</f>
        <v>Cust Rep:</v>
      </c>
      <c r="V994" s="79"/>
      <c r="W994" s="40">
        <f>VLOOKUP(M994,Table1[#All],8,FALSE)</f>
        <v>0</v>
      </c>
      <c r="X994" s="79"/>
      <c r="Y994" s="44" t="str">
        <f>VLOOKUP(M994,Table1[#All],2,FALSE)</f>
        <v xml:space="preserve">Task Sub Pending Claims Queue </v>
      </c>
      <c r="Z994" s="59" t="str">
        <f>VLOOKUP(M994,Table1[#All],9,FALSE)</f>
        <v>Additional Notes:</v>
      </c>
      <c r="AA994" s="76" t="s">
        <v>3814</v>
      </c>
      <c r="AB994" s="76" t="s">
        <v>3697</v>
      </c>
      <c r="AC994" s="90" t="s">
        <v>115</v>
      </c>
      <c r="AD994" s="76" t="s">
        <v>177</v>
      </c>
      <c r="AE994" s="77" t="s">
        <v>3698</v>
      </c>
      <c r="AF994" s="110">
        <v>44614</v>
      </c>
      <c r="AG994" s="41" t="s">
        <v>101</v>
      </c>
    </row>
    <row r="995" spans="1:33" ht="84" hidden="1" x14ac:dyDescent="0.55000000000000004">
      <c r="A995" s="44" t="str">
        <f>Data!K994</f>
        <v>United Health Care Dental</v>
      </c>
      <c r="B995" s="44" t="str">
        <f>Data!L994</f>
        <v>8882498833</v>
      </c>
      <c r="C995" s="44" t="str">
        <f>Data!D994</f>
        <v>Pollack , Kai</v>
      </c>
      <c r="D995" s="82" t="str">
        <f>Data!F994</f>
        <v>121933081</v>
      </c>
      <c r="E995" s="82" t="str">
        <f>Data!B994</f>
        <v>7891</v>
      </c>
      <c r="F995" s="44" t="str">
        <f>Data!A994</f>
        <v>Pollack , Kai</v>
      </c>
      <c r="G995" s="55" t="str">
        <f>Data!C994</f>
        <v>4/19/2012</v>
      </c>
      <c r="H995" s="56">
        <f>Data!H994</f>
        <v>44547</v>
      </c>
      <c r="I995" s="56" t="str">
        <f>Data!I994</f>
        <v>12/17/2021</v>
      </c>
      <c r="J995" s="57">
        <f>Data!J994</f>
        <v>0</v>
      </c>
      <c r="K995" s="58">
        <f t="shared" ca="1" si="16"/>
        <v>153</v>
      </c>
      <c r="L995" s="58">
        <f>Data!M994</f>
        <v>0</v>
      </c>
      <c r="M995" s="37" t="s">
        <v>30</v>
      </c>
      <c r="N995" s="43" t="str">
        <f>VLOOKUP(M995,Table1[#All],3,FALSE)</f>
        <v>Claim not on file. Patient is active ;</v>
      </c>
      <c r="O995" s="40" t="str">
        <f>VLOOKUP(M995,Table1[#All],4,FALSE)</f>
        <v>Payor ID &amp; Address:</v>
      </c>
      <c r="P995" s="39" t="s">
        <v>3812</v>
      </c>
      <c r="Q995" s="40" t="str">
        <f>VLOOKUP(M995,Table1[#All],5,FALSE)</f>
        <v>Fax # (If Fax Yes):</v>
      </c>
      <c r="R995" s="79" t="s">
        <v>3760</v>
      </c>
      <c r="S995" s="40" t="str">
        <f>VLOOKUP(M995,Table1[#All],6,FALSE)</f>
        <v>TFL in Mnths:</v>
      </c>
      <c r="T995" s="79" t="s">
        <v>3706</v>
      </c>
      <c r="U995" s="40" t="str">
        <f>VLOOKUP(M995,Table1[#All],7,FALSE)</f>
        <v>Call Ref#:</v>
      </c>
      <c r="V995" s="79" t="s">
        <v>3809</v>
      </c>
      <c r="W995" s="40" t="str">
        <f>VLOOKUP(M995,Table1[#All],8,FALSE)</f>
        <v>Cust Rep:</v>
      </c>
      <c r="X995" s="79" t="s">
        <v>3810</v>
      </c>
      <c r="Y995" s="44" t="str">
        <f>VLOOKUP(M995,Table1[#All],2,FALSE)</f>
        <v>Task Sub Pending Claims Queue</v>
      </c>
      <c r="Z995" s="59" t="str">
        <f>VLOOKUP(M995,Table1[#All],9,FALSE)</f>
        <v>Additional Notes:</v>
      </c>
      <c r="AA995" s="76" t="s">
        <v>3813</v>
      </c>
      <c r="AB995" s="76" t="s">
        <v>3697</v>
      </c>
      <c r="AC995" s="90" t="s">
        <v>185</v>
      </c>
      <c r="AD995" s="76" t="s">
        <v>177</v>
      </c>
      <c r="AE995" s="77" t="s">
        <v>3698</v>
      </c>
      <c r="AF995" s="110">
        <v>44614</v>
      </c>
      <c r="AG995" s="41" t="s">
        <v>101</v>
      </c>
    </row>
    <row r="996" spans="1:33" ht="33" hidden="1" x14ac:dyDescent="0.55000000000000004">
      <c r="A996" s="44" t="str">
        <f>Data!K995</f>
        <v>United Health Care Dental</v>
      </c>
      <c r="B996" s="44" t="str">
        <f>Data!L995</f>
        <v>8882498833</v>
      </c>
      <c r="C996" s="44" t="str">
        <f>Data!D995</f>
        <v>Salamone Cacciotti , Kimberle</v>
      </c>
      <c r="D996" s="82" t="str">
        <f>Data!F995</f>
        <v>116182830</v>
      </c>
      <c r="E996" s="82" t="str">
        <f>Data!B995</f>
        <v>7481</v>
      </c>
      <c r="F996" s="44" t="str">
        <f>Data!A995</f>
        <v>Salamone Cacciotti , Kimberle</v>
      </c>
      <c r="G996" s="55" t="str">
        <f>Data!C995</f>
        <v>12/6/1974</v>
      </c>
      <c r="H996" s="56">
        <f>Data!H995</f>
        <v>44540</v>
      </c>
      <c r="I996" s="56" t="str">
        <f>Data!I995</f>
        <v>12/14/2021</v>
      </c>
      <c r="J996" s="57">
        <f>Data!J995</f>
        <v>314.39999999999998</v>
      </c>
      <c r="K996" s="58">
        <f t="shared" ca="1" si="16"/>
        <v>156</v>
      </c>
      <c r="L996" s="58">
        <f>Data!M995</f>
        <v>0</v>
      </c>
      <c r="M996" s="37" t="s">
        <v>5</v>
      </c>
      <c r="N996" s="43" t="str">
        <f>VLOOKUP(M996,Table1[#All],3,FALSE)</f>
        <v>Claim Paid by EFT;</v>
      </c>
      <c r="O996" s="40" t="str">
        <f>VLOOKUP(M996,Table1[#All],4,FALSE)</f>
        <v>Issue Date:</v>
      </c>
      <c r="P996" s="38">
        <v>44551</v>
      </c>
      <c r="Q996" s="40" t="str">
        <f>VLOOKUP(M996,Table1[#All],5,FALSE)</f>
        <v>EFT#</v>
      </c>
      <c r="R996" s="79">
        <v>7258482</v>
      </c>
      <c r="S996" s="40" t="str">
        <f>VLOOKUP(M996,Table1[#All],6,FALSE)</f>
        <v>Bulk/Sep:</v>
      </c>
      <c r="T996" s="79" t="s">
        <v>3808</v>
      </c>
      <c r="U996" s="40" t="str">
        <f>VLOOKUP(M996,Table1[#All],7,FALSE)</f>
        <v>Call Ref#:</v>
      </c>
      <c r="V996" s="79" t="s">
        <v>3809</v>
      </c>
      <c r="W996" s="40" t="str">
        <f>VLOOKUP(M996,Table1[#All],8,FALSE)</f>
        <v>Cust Rep:</v>
      </c>
      <c r="X996" s="79" t="s">
        <v>3810</v>
      </c>
      <c r="Y996" s="44" t="str">
        <f>VLOOKUP(M996,Table1[#All],2,FALSE)</f>
        <v xml:space="preserve">Task Post Pmt Queue </v>
      </c>
      <c r="Z996" s="59" t="str">
        <f>VLOOKUP(M996,Table1[#All],9,FALSE)</f>
        <v>Additional Notes:</v>
      </c>
      <c r="AA996" s="76" t="s">
        <v>3811</v>
      </c>
      <c r="AB996" s="76" t="s">
        <v>3697</v>
      </c>
      <c r="AC996" s="90" t="s">
        <v>115</v>
      </c>
      <c r="AD996" s="76" t="s">
        <v>177</v>
      </c>
      <c r="AE996" s="77" t="s">
        <v>3698</v>
      </c>
      <c r="AF996" s="110">
        <v>44614</v>
      </c>
      <c r="AG996" s="41" t="s">
        <v>101</v>
      </c>
    </row>
    <row r="997" spans="1:33" ht="42" hidden="1" x14ac:dyDescent="0.55000000000000004">
      <c r="A997" s="44" t="str">
        <f>Data!K996</f>
        <v>United Health Care Dental</v>
      </c>
      <c r="B997" s="44" t="str">
        <f>Data!L996</f>
        <v>8882498833</v>
      </c>
      <c r="C997" s="44" t="str">
        <f>Data!D996</f>
        <v xml:space="preserve">Jaeger , Brooke </v>
      </c>
      <c r="D997" s="82" t="str">
        <f>Data!F996</f>
        <v>119457072</v>
      </c>
      <c r="E997" s="82" t="str">
        <f>Data!B996</f>
        <v>8601</v>
      </c>
      <c r="F997" s="44" t="str">
        <f>Data!A996</f>
        <v xml:space="preserve">Jaeger , Brooke </v>
      </c>
      <c r="G997" s="55" t="str">
        <f>Data!C996</f>
        <v>7/17/1993</v>
      </c>
      <c r="H997" s="56">
        <f>Data!H996</f>
        <v>44540</v>
      </c>
      <c r="I997" s="56" t="str">
        <f>Data!I996</f>
        <v>12/14/2021</v>
      </c>
      <c r="J997" s="57">
        <f>Data!J996</f>
        <v>332.4</v>
      </c>
      <c r="K997" s="58">
        <f t="shared" ca="1" si="16"/>
        <v>156</v>
      </c>
      <c r="L997" s="58">
        <f>Data!M996</f>
        <v>0</v>
      </c>
      <c r="M997" s="37" t="s">
        <v>20</v>
      </c>
      <c r="N997" s="43" t="str">
        <f>VLOOKUP(M997,Table1[#All],3,FALSE)</f>
        <v>Ins needs more info, need to submit;</v>
      </c>
      <c r="O997" s="40" t="str">
        <f>VLOOKUP(M997,Table1[#All],4,FALSE)</f>
        <v>Attachments/Info needed?</v>
      </c>
      <c r="P997" s="39" t="s">
        <v>3759</v>
      </c>
      <c r="Q997" s="40" t="str">
        <f>VLOOKUP(M997,Table1[#All],5,FALSE)</f>
        <v>Fax # (If Fax Yes):</v>
      </c>
      <c r="R997" s="79"/>
      <c r="S997" s="40" t="str">
        <f>VLOOKUP(M997,Table1[#All],6,FALSE)</f>
        <v>Call Ref#:</v>
      </c>
      <c r="T997" s="79"/>
      <c r="U997" s="40" t="str">
        <f>VLOOKUP(M997,Table1[#All],7,FALSE)</f>
        <v>Cust Rep:</v>
      </c>
      <c r="V997" s="79"/>
      <c r="W997" s="40">
        <f>VLOOKUP(M997,Table1[#All],8,FALSE)</f>
        <v>0</v>
      </c>
      <c r="X997" s="79"/>
      <c r="Y997" s="44" t="str">
        <f>VLOOKUP(M997,Table1[#All],2,FALSE)</f>
        <v xml:space="preserve">Task Sub Pending Claims Queue </v>
      </c>
      <c r="Z997" s="59" t="str">
        <f>VLOOKUP(M997,Table1[#All],9,FALSE)</f>
        <v>Additional Notes:</v>
      </c>
      <c r="AA997" s="76" t="s">
        <v>3807</v>
      </c>
      <c r="AB997" s="76" t="s">
        <v>3697</v>
      </c>
      <c r="AC997" s="90" t="s">
        <v>115</v>
      </c>
      <c r="AD997" s="76" t="s">
        <v>177</v>
      </c>
      <c r="AE997" s="77" t="s">
        <v>3698</v>
      </c>
      <c r="AF997" s="110">
        <v>44614</v>
      </c>
      <c r="AG997" s="41" t="s">
        <v>101</v>
      </c>
    </row>
    <row r="998" spans="1:33" ht="42" hidden="1" x14ac:dyDescent="0.55000000000000004">
      <c r="A998" s="44" t="str">
        <f>Data!K997</f>
        <v>United Health Care Dental</v>
      </c>
      <c r="B998" s="44" t="str">
        <f>Data!L997</f>
        <v>8882498833</v>
      </c>
      <c r="C998" s="44" t="str">
        <f>Data!D997</f>
        <v>Velazquez, Spencer</v>
      </c>
      <c r="D998" s="82" t="str">
        <f>Data!F997</f>
        <v>116312474</v>
      </c>
      <c r="E998" s="82" t="str">
        <f>Data!B997</f>
        <v>1747</v>
      </c>
      <c r="F998" s="44" t="str">
        <f>Data!A997</f>
        <v>Velazquez, Spencer</v>
      </c>
      <c r="G998" s="55" t="str">
        <f>Data!C997</f>
        <v>9/21/2011</v>
      </c>
      <c r="H998" s="56">
        <f>Data!H997</f>
        <v>44536</v>
      </c>
      <c r="I998" s="56" t="str">
        <f>Data!I997</f>
        <v>12/10/2021</v>
      </c>
      <c r="J998" s="57">
        <f>Data!J997</f>
        <v>227.6</v>
      </c>
      <c r="K998" s="58">
        <f t="shared" ca="1" si="16"/>
        <v>160</v>
      </c>
      <c r="L998" s="58">
        <f>Data!M997</f>
        <v>0</v>
      </c>
      <c r="M998" s="37" t="s">
        <v>20</v>
      </c>
      <c r="N998" s="43" t="str">
        <f>VLOOKUP(M998,Table1[#All],3,FALSE)</f>
        <v>Ins needs more info, need to submit;</v>
      </c>
      <c r="O998" s="40" t="str">
        <f>VLOOKUP(M998,Table1[#All],4,FALSE)</f>
        <v>Attachments/Info needed?</v>
      </c>
      <c r="P998" s="39" t="s">
        <v>3759</v>
      </c>
      <c r="Q998" s="40" t="str">
        <f>VLOOKUP(M998,Table1[#All],5,FALSE)</f>
        <v>Fax # (If Fax Yes):</v>
      </c>
      <c r="R998" s="79" t="s">
        <v>3760</v>
      </c>
      <c r="S998" s="40" t="str">
        <f>VLOOKUP(M998,Table1[#All],6,FALSE)</f>
        <v>Call Ref#:</v>
      </c>
      <c r="T998" s="79"/>
      <c r="U998" s="40" t="str">
        <f>VLOOKUP(M998,Table1[#All],7,FALSE)</f>
        <v>Cust Rep:</v>
      </c>
      <c r="V998" s="79"/>
      <c r="W998" s="40">
        <f>VLOOKUP(M998,Table1[#All],8,FALSE)</f>
        <v>0</v>
      </c>
      <c r="X998" s="79"/>
      <c r="Y998" s="44" t="str">
        <f>VLOOKUP(M998,Table1[#All],2,FALSE)</f>
        <v xml:space="preserve">Task Sub Pending Claims Queue </v>
      </c>
      <c r="Z998" s="59" t="str">
        <f>VLOOKUP(M998,Table1[#All],9,FALSE)</f>
        <v>Additional Notes:</v>
      </c>
      <c r="AA998" s="76" t="s">
        <v>3806</v>
      </c>
      <c r="AB998" s="76" t="s">
        <v>3697</v>
      </c>
      <c r="AC998" s="90" t="s">
        <v>115</v>
      </c>
      <c r="AD998" s="76" t="s">
        <v>177</v>
      </c>
      <c r="AE998" s="77" t="s">
        <v>3698</v>
      </c>
      <c r="AF998" s="110">
        <v>44614</v>
      </c>
      <c r="AG998" s="41" t="s">
        <v>101</v>
      </c>
    </row>
    <row r="999" spans="1:33" ht="33" hidden="1" x14ac:dyDescent="0.55000000000000004">
      <c r="A999" s="44" t="str">
        <f>Data!K998</f>
        <v>United Health Care Dental</v>
      </c>
      <c r="B999" s="44" t="str">
        <f>Data!L998</f>
        <v>8882498833</v>
      </c>
      <c r="C999" s="44" t="str">
        <f>Data!D998</f>
        <v xml:space="preserve">Siebold , Ruth </v>
      </c>
      <c r="D999" s="82" t="str">
        <f>Data!F998</f>
        <v>116134476</v>
      </c>
      <c r="E999" s="82" t="str">
        <f>Data!B998</f>
        <v>7647</v>
      </c>
      <c r="F999" s="44" t="str">
        <f>Data!A998</f>
        <v xml:space="preserve">Siebold , Ruth </v>
      </c>
      <c r="G999" s="55" t="str">
        <f>Data!C998</f>
        <v>3/12/1970</v>
      </c>
      <c r="H999" s="56">
        <f>Data!H998</f>
        <v>44529</v>
      </c>
      <c r="I999" s="56" t="str">
        <f>Data!I998</f>
        <v>12/1/2021</v>
      </c>
      <c r="J999" s="57">
        <f>Data!J998</f>
        <v>226.8</v>
      </c>
      <c r="K999" s="58">
        <f t="shared" ca="1" si="16"/>
        <v>169</v>
      </c>
      <c r="L999" s="58">
        <f>Data!M998</f>
        <v>0</v>
      </c>
      <c r="M999" s="37" t="s">
        <v>5</v>
      </c>
      <c r="N999" s="43" t="str">
        <f>VLOOKUP(M999,Table1[#All],3,FALSE)</f>
        <v>Claim Paid by EFT;</v>
      </c>
      <c r="O999" s="40" t="str">
        <f>VLOOKUP(M999,Table1[#All],4,FALSE)</f>
        <v>Issue Date:</v>
      </c>
      <c r="P999" s="38">
        <v>44537</v>
      </c>
      <c r="Q999" s="40" t="str">
        <f>VLOOKUP(M999,Table1[#All],5,FALSE)</f>
        <v>EFT#</v>
      </c>
      <c r="R999" s="79">
        <v>7237071</v>
      </c>
      <c r="S999" s="40" t="str">
        <f>VLOOKUP(M999,Table1[#All],6,FALSE)</f>
        <v>Bulk/Sep:</v>
      </c>
      <c r="T999" s="79" t="s">
        <v>3800</v>
      </c>
      <c r="U999" s="40" t="str">
        <f>VLOOKUP(M999,Table1[#All],7,FALSE)</f>
        <v>Call Ref#:</v>
      </c>
      <c r="V999" s="79" t="s">
        <v>3804</v>
      </c>
      <c r="W999" s="40" t="str">
        <f>VLOOKUP(M999,Table1[#All],8,FALSE)</f>
        <v>Cust Rep:</v>
      </c>
      <c r="X999" s="79" t="s">
        <v>3769</v>
      </c>
      <c r="Y999" s="44" t="str">
        <f>VLOOKUP(M999,Table1[#All],2,FALSE)</f>
        <v xml:space="preserve">Task Post Pmt Queue </v>
      </c>
      <c r="Z999" s="59" t="str">
        <f>VLOOKUP(M999,Table1[#All],9,FALSE)</f>
        <v>Additional Notes:</v>
      </c>
      <c r="AA999" s="76" t="s">
        <v>3805</v>
      </c>
      <c r="AB999" s="76" t="s">
        <v>3697</v>
      </c>
      <c r="AC999" s="90" t="s">
        <v>115</v>
      </c>
      <c r="AD999" s="76" t="s">
        <v>177</v>
      </c>
      <c r="AE999" s="77" t="s">
        <v>3698</v>
      </c>
      <c r="AF999" s="110">
        <v>44614</v>
      </c>
      <c r="AG999" s="41" t="s">
        <v>101</v>
      </c>
    </row>
    <row r="1000" spans="1:33" ht="33" hidden="1" x14ac:dyDescent="0.55000000000000004">
      <c r="A1000" s="44" t="str">
        <f>Data!K999</f>
        <v>United Health Care Dental</v>
      </c>
      <c r="B1000" s="44" t="str">
        <f>Data!L999</f>
        <v>8882498833</v>
      </c>
      <c r="C1000" s="44" t="str">
        <f>Data!D999</f>
        <v>Martinez Mendez , Kiara</v>
      </c>
      <c r="D1000" s="82" t="str">
        <f>Data!F999</f>
        <v>119091534</v>
      </c>
      <c r="E1000" s="82" t="str">
        <f>Data!B999</f>
        <v>8533</v>
      </c>
      <c r="F1000" s="44" t="str">
        <f>Data!A999</f>
        <v>Martinez Mendez , Kiara</v>
      </c>
      <c r="G1000" s="55" t="str">
        <f>Data!C999</f>
        <v>10/4/2000</v>
      </c>
      <c r="H1000" s="56">
        <f>Data!H999</f>
        <v>44523</v>
      </c>
      <c r="I1000" s="56" t="str">
        <f>Data!I999</f>
        <v>12/1/2021</v>
      </c>
      <c r="J1000" s="57">
        <f>Data!J999</f>
        <v>294.8</v>
      </c>
      <c r="K1000" s="58">
        <f t="shared" ref="K1000:K1063" ca="1" si="17">TODAY()-I1000</f>
        <v>169</v>
      </c>
      <c r="L1000" s="58">
        <f>Data!M999</f>
        <v>0</v>
      </c>
      <c r="M1000" s="37" t="s">
        <v>5</v>
      </c>
      <c r="N1000" s="43" t="str">
        <f>VLOOKUP(M1000,Table1[#All],3,FALSE)</f>
        <v>Claim Paid by EFT;</v>
      </c>
      <c r="O1000" s="40" t="str">
        <f>VLOOKUP(M1000,Table1[#All],4,FALSE)</f>
        <v>Issue Date:</v>
      </c>
      <c r="P1000" s="38">
        <v>44537</v>
      </c>
      <c r="Q1000" s="40" t="str">
        <f>VLOOKUP(M1000,Table1[#All],5,FALSE)</f>
        <v>EFT#</v>
      </c>
      <c r="R1000" s="79">
        <v>7235767</v>
      </c>
      <c r="S1000" s="40" t="str">
        <f>VLOOKUP(M1000,Table1[#All],6,FALSE)</f>
        <v>Bulk/Sep:</v>
      </c>
      <c r="T1000" s="79" t="s">
        <v>3800</v>
      </c>
      <c r="U1000" s="40" t="str">
        <f>VLOOKUP(M1000,Table1[#All],7,FALSE)</f>
        <v>Call Ref#:</v>
      </c>
      <c r="V1000" s="79" t="s">
        <v>3801</v>
      </c>
      <c r="W1000" s="40" t="str">
        <f>VLOOKUP(M1000,Table1[#All],8,FALSE)</f>
        <v>Cust Rep:</v>
      </c>
      <c r="X1000" s="79" t="s">
        <v>3802</v>
      </c>
      <c r="Y1000" s="44" t="str">
        <f>VLOOKUP(M1000,Table1[#All],2,FALSE)</f>
        <v xml:space="preserve">Task Post Pmt Queue </v>
      </c>
      <c r="Z1000" s="59" t="str">
        <f>VLOOKUP(M1000,Table1[#All],9,FALSE)</f>
        <v>Additional Notes:</v>
      </c>
      <c r="AA1000" s="76" t="s">
        <v>3803</v>
      </c>
      <c r="AB1000" s="76" t="s">
        <v>3697</v>
      </c>
      <c r="AC1000" s="90" t="s">
        <v>115</v>
      </c>
      <c r="AD1000" s="76" t="s">
        <v>177</v>
      </c>
      <c r="AE1000" s="77" t="s">
        <v>3698</v>
      </c>
      <c r="AF1000" s="110">
        <v>44614</v>
      </c>
      <c r="AG1000" s="41" t="s">
        <v>101</v>
      </c>
    </row>
    <row r="1001" spans="1:33" ht="42" hidden="1" x14ac:dyDescent="0.55000000000000004">
      <c r="A1001" s="44" t="str">
        <f>Data!K1000</f>
        <v>United Health Care Dental</v>
      </c>
      <c r="B1001" s="44" t="str">
        <f>Data!L1000</f>
        <v>8882498833</v>
      </c>
      <c r="C1001" s="44" t="str">
        <f>Data!D1000</f>
        <v>Kraft, Douglas</v>
      </c>
      <c r="D1001" s="82" t="str">
        <f>Data!F1000</f>
        <v>119009087</v>
      </c>
      <c r="E1001" s="82" t="str">
        <f>Data!B1000</f>
        <v>8358</v>
      </c>
      <c r="F1001" s="44" t="str">
        <f>Data!A1000</f>
        <v>Kraft, Douglas</v>
      </c>
      <c r="G1001" s="55" t="str">
        <f>Data!C1000</f>
        <v>2/7/1966</v>
      </c>
      <c r="H1001" s="56">
        <f>Data!H1000</f>
        <v>44512</v>
      </c>
      <c r="I1001" s="56" t="str">
        <f>Data!I1000</f>
        <v>11/18/2021</v>
      </c>
      <c r="J1001" s="57">
        <f>Data!J1000</f>
        <v>148.80000000000001</v>
      </c>
      <c r="K1001" s="58">
        <f t="shared" ca="1" si="17"/>
        <v>182</v>
      </c>
      <c r="L1001" s="58">
        <f>Data!M1000</f>
        <v>0</v>
      </c>
      <c r="M1001" s="37" t="s">
        <v>30</v>
      </c>
      <c r="N1001" s="43" t="str">
        <f>VLOOKUP(M1001,Table1[#All],3,FALSE)</f>
        <v>Claim not on file. Patient is active ;</v>
      </c>
      <c r="O1001" s="40" t="str">
        <f>VLOOKUP(M1001,Table1[#All],4,FALSE)</f>
        <v>Payor ID &amp; Address:</v>
      </c>
      <c r="P1001" s="39" t="s">
        <v>3704</v>
      </c>
      <c r="Q1001" s="40" t="str">
        <f>VLOOKUP(M1001,Table1[#All],5,FALSE)</f>
        <v>Fax # (If Fax Yes):</v>
      </c>
      <c r="R1001" s="79"/>
      <c r="S1001" s="40" t="str">
        <f>VLOOKUP(M1001,Table1[#All],6,FALSE)</f>
        <v>TFL in Mnths:</v>
      </c>
      <c r="T1001" s="79"/>
      <c r="U1001" s="40" t="str">
        <f>VLOOKUP(M1001,Table1[#All],7,FALSE)</f>
        <v>Call Ref#:</v>
      </c>
      <c r="V1001" s="79" t="s">
        <v>3797</v>
      </c>
      <c r="W1001" s="40" t="str">
        <f>VLOOKUP(M1001,Table1[#All],8,FALSE)</f>
        <v>Cust Rep:</v>
      </c>
      <c r="X1001" s="79"/>
      <c r="Y1001" s="44" t="str">
        <f>VLOOKUP(M1001,Table1[#All],2,FALSE)</f>
        <v>Task Sub Pending Claims Queue</v>
      </c>
      <c r="Z1001" s="59" t="str">
        <f>VLOOKUP(M1001,Table1[#All],9,FALSE)</f>
        <v>Additional Notes:</v>
      </c>
      <c r="AA1001" s="76" t="s">
        <v>3798</v>
      </c>
      <c r="AB1001" s="76" t="s">
        <v>3697</v>
      </c>
      <c r="AC1001" s="90" t="s">
        <v>185</v>
      </c>
      <c r="AD1001" s="76" t="s">
        <v>177</v>
      </c>
      <c r="AE1001" s="77" t="s">
        <v>3799</v>
      </c>
      <c r="AF1001" s="110">
        <v>44608</v>
      </c>
      <c r="AG1001" s="41" t="s">
        <v>101</v>
      </c>
    </row>
    <row r="1002" spans="1:33" ht="33" hidden="1" x14ac:dyDescent="0.55000000000000004">
      <c r="A1002" s="44" t="str">
        <f>Data!K1001</f>
        <v>United Health Care Dental</v>
      </c>
      <c r="B1002" s="44" t="str">
        <f>Data!L1001</f>
        <v>8882498833</v>
      </c>
      <c r="C1002" s="44" t="str">
        <f>Data!D1001</f>
        <v>Chavez, Britney</v>
      </c>
      <c r="D1002" s="82" t="str">
        <f>Data!F1001</f>
        <v>110229651</v>
      </c>
      <c r="E1002" s="82" t="str">
        <f>Data!B1001</f>
        <v>5180</v>
      </c>
      <c r="F1002" s="44" t="str">
        <f>Data!A1001</f>
        <v>Chavez, Britney</v>
      </c>
      <c r="G1002" s="55" t="str">
        <f>Data!C1001</f>
        <v>11/11/1991</v>
      </c>
      <c r="H1002" s="56">
        <f>Data!H1001</f>
        <v>44510</v>
      </c>
      <c r="I1002" s="56" t="str">
        <f>Data!I1001</f>
        <v>11/12/2021</v>
      </c>
      <c r="J1002" s="57">
        <f>Data!J1001</f>
        <v>61.2</v>
      </c>
      <c r="K1002" s="58">
        <f t="shared" ca="1" si="17"/>
        <v>188</v>
      </c>
      <c r="L1002" s="58">
        <f>Data!M1001</f>
        <v>0</v>
      </c>
      <c r="M1002" s="37" t="s">
        <v>5</v>
      </c>
      <c r="N1002" s="43" t="str">
        <f>VLOOKUP(M1002,Table1[#All],3,FALSE)</f>
        <v>Claim Paid by EFT;</v>
      </c>
      <c r="O1002" s="40" t="str">
        <f>VLOOKUP(M1002,Table1[#All],4,FALSE)</f>
        <v>Issue Date:</v>
      </c>
      <c r="P1002" s="38">
        <v>44518</v>
      </c>
      <c r="Q1002" s="40" t="str">
        <f>VLOOKUP(M1002,Table1[#All],5,FALSE)</f>
        <v>EFT#</v>
      </c>
      <c r="R1002" s="79">
        <v>7214927</v>
      </c>
      <c r="S1002" s="40" t="str">
        <f>VLOOKUP(M1002,Table1[#All],6,FALSE)</f>
        <v>Bulk/Sep:</v>
      </c>
      <c r="T1002" s="79" t="s">
        <v>3699</v>
      </c>
      <c r="U1002" s="40" t="str">
        <f>VLOOKUP(M1002,Table1[#All],7,FALSE)</f>
        <v>Call Ref#:</v>
      </c>
      <c r="V1002" s="79" t="s">
        <v>3790</v>
      </c>
      <c r="W1002" s="40" t="str">
        <f>VLOOKUP(M1002,Table1[#All],8,FALSE)</f>
        <v>Cust Rep:</v>
      </c>
      <c r="X1002" s="79" t="s">
        <v>3787</v>
      </c>
      <c r="Y1002" s="44" t="str">
        <f>VLOOKUP(M1002,Table1[#All],2,FALSE)</f>
        <v xml:space="preserve">Task Post Pmt Queue </v>
      </c>
      <c r="Z1002" s="59" t="str">
        <f>VLOOKUP(M1002,Table1[#All],9,FALSE)</f>
        <v>Additional Notes:</v>
      </c>
      <c r="AA1002" s="76" t="s">
        <v>3796</v>
      </c>
      <c r="AB1002" s="76" t="s">
        <v>3697</v>
      </c>
      <c r="AC1002" s="90" t="s">
        <v>115</v>
      </c>
      <c r="AD1002" s="76" t="s">
        <v>177</v>
      </c>
      <c r="AE1002" s="77" t="s">
        <v>3698</v>
      </c>
      <c r="AF1002" s="110">
        <v>44609</v>
      </c>
      <c r="AG1002" s="41" t="s">
        <v>101</v>
      </c>
    </row>
    <row r="1003" spans="1:33" ht="42" hidden="1" x14ac:dyDescent="0.55000000000000004">
      <c r="A1003" s="44" t="str">
        <f>Data!K1002</f>
        <v>United Health Care Dental</v>
      </c>
      <c r="B1003" s="44" t="str">
        <f>Data!L1002</f>
        <v>8882498833</v>
      </c>
      <c r="C1003" s="44" t="str">
        <f>Data!D1002</f>
        <v>Bautista, Nathan</v>
      </c>
      <c r="D1003" s="82" t="str">
        <f>Data!F1002</f>
        <v>113779552</v>
      </c>
      <c r="E1003" s="82" t="str">
        <f>Data!B1002</f>
        <v>2009</v>
      </c>
      <c r="F1003" s="44" t="str">
        <f>Data!A1002</f>
        <v>Bautista, Nathan</v>
      </c>
      <c r="G1003" s="55" t="str">
        <f>Data!C1002</f>
        <v>6/17/2017</v>
      </c>
      <c r="H1003" s="56">
        <f>Data!H1002</f>
        <v>44407</v>
      </c>
      <c r="I1003" s="56" t="str">
        <f>Data!I1002</f>
        <v>11/11/2021</v>
      </c>
      <c r="J1003" s="57">
        <f>Data!J1002</f>
        <v>1515.6</v>
      </c>
      <c r="K1003" s="58">
        <f t="shared" ca="1" si="17"/>
        <v>189</v>
      </c>
      <c r="L1003" s="58">
        <f>Data!M1002</f>
        <v>0</v>
      </c>
      <c r="M1003" s="37" t="s">
        <v>15</v>
      </c>
      <c r="N1003" s="43" t="str">
        <f>VLOOKUP(M1003,Table1[#All],3,FALSE)</f>
        <v>Denied due to Timely Filing Limit;</v>
      </c>
      <c r="O1003" s="40" t="str">
        <f>VLOOKUP(M1003,Table1[#All],4,FALSE)</f>
        <v>TFL in months:</v>
      </c>
      <c r="P1003" s="39" t="s">
        <v>3706</v>
      </c>
      <c r="Q1003" s="40" t="str">
        <f>VLOOKUP(M1003,Table1[#All],5,FALSE)</f>
        <v>Claim Rec'd on:</v>
      </c>
      <c r="R1003" s="112">
        <v>44880</v>
      </c>
      <c r="S1003" s="40" t="str">
        <f>VLOOKUP(M1003,Table1[#All],6,FALSE)</f>
        <v>Call Ref#:</v>
      </c>
      <c r="T1003" s="79" t="s">
        <v>3790</v>
      </c>
      <c r="U1003" s="40" t="str">
        <f>VLOOKUP(M1003,Table1[#All],7,FALSE)</f>
        <v>Cust Rep:</v>
      </c>
      <c r="V1003" s="79" t="s">
        <v>3787</v>
      </c>
      <c r="W1003" s="40">
        <f>VLOOKUP(M1003,Table1[#All],8,FALSE)</f>
        <v>0</v>
      </c>
      <c r="X1003" s="76"/>
      <c r="Y1003" s="44" t="str">
        <f>VLOOKUP(M1003,Table1[#All],2,FALSE)</f>
        <v xml:space="preserve">Task Appeals Queue </v>
      </c>
      <c r="Z1003" s="59" t="str">
        <f>VLOOKUP(M1003,Table1[#All],9,FALSE)</f>
        <v>Additional Notes:</v>
      </c>
      <c r="AA1003" s="76" t="s">
        <v>3707</v>
      </c>
      <c r="AB1003" s="76" t="s">
        <v>3697</v>
      </c>
      <c r="AC1003" s="90" t="s">
        <v>185</v>
      </c>
      <c r="AD1003" s="76" t="s">
        <v>177</v>
      </c>
      <c r="AE1003" s="77" t="s">
        <v>3698</v>
      </c>
      <c r="AF1003" s="123">
        <v>44609</v>
      </c>
      <c r="AG1003" s="41" t="s">
        <v>101</v>
      </c>
    </row>
    <row r="1004" spans="1:33" ht="33" hidden="1" x14ac:dyDescent="0.55000000000000004">
      <c r="A1004" s="44" t="str">
        <f>Data!K1003</f>
        <v>United Health Care Dental</v>
      </c>
      <c r="B1004" s="44" t="str">
        <f>Data!L1003</f>
        <v>8882498833</v>
      </c>
      <c r="C1004" s="44" t="str">
        <f>Data!D1003</f>
        <v>Pandey, Asha</v>
      </c>
      <c r="D1004" s="82" t="str">
        <f>Data!F1003</f>
        <v>102833216</v>
      </c>
      <c r="E1004" s="82" t="str">
        <f>Data!B1003</f>
        <v>5078</v>
      </c>
      <c r="F1004" s="44" t="str">
        <f>Data!A1003</f>
        <v>Pandey, Asha</v>
      </c>
      <c r="G1004" s="55" t="str">
        <f>Data!C1003</f>
        <v>9/9/1944</v>
      </c>
      <c r="H1004" s="56">
        <f>Data!H1003</f>
        <v>44453</v>
      </c>
      <c r="I1004" s="56" t="str">
        <f>Data!I1003</f>
        <v>11/11/2021</v>
      </c>
      <c r="J1004" s="57">
        <f>Data!J1003</f>
        <v>199.2</v>
      </c>
      <c r="K1004" s="58">
        <f t="shared" ca="1" si="17"/>
        <v>189</v>
      </c>
      <c r="L1004" s="58">
        <f>Data!M1003</f>
        <v>0</v>
      </c>
      <c r="M1004" s="37" t="s">
        <v>5</v>
      </c>
      <c r="N1004" s="43" t="str">
        <f>VLOOKUP(M1004,Table1[#All],3,FALSE)</f>
        <v>Claim Paid by EFT;</v>
      </c>
      <c r="O1004" s="40" t="str">
        <f>VLOOKUP(M1004,Table1[#All],4,FALSE)</f>
        <v>Issue Date:</v>
      </c>
      <c r="P1004" s="38">
        <v>44466</v>
      </c>
      <c r="Q1004" s="40" t="str">
        <f>VLOOKUP(M1004,Table1[#All],5,FALSE)</f>
        <v>EFT#</v>
      </c>
      <c r="R1004" s="79" t="s">
        <v>3794</v>
      </c>
      <c r="S1004" s="40" t="str">
        <f>VLOOKUP(M1004,Table1[#All],6,FALSE)</f>
        <v>Bulk/Sep:</v>
      </c>
      <c r="T1004" s="79" t="s">
        <v>3699</v>
      </c>
      <c r="U1004" s="40" t="str">
        <f>VLOOKUP(M1004,Table1[#All],7,FALSE)</f>
        <v>Call Ref#:</v>
      </c>
      <c r="V1004" s="79" t="s">
        <v>3790</v>
      </c>
      <c r="W1004" s="40" t="str">
        <f>VLOOKUP(M1004,Table1[#All],8,FALSE)</f>
        <v>Cust Rep:</v>
      </c>
      <c r="X1004" s="79" t="s">
        <v>3787</v>
      </c>
      <c r="Y1004" s="44" t="str">
        <f>VLOOKUP(M1004,Table1[#All],2,FALSE)</f>
        <v xml:space="preserve">Task Post Pmt Queue </v>
      </c>
      <c r="Z1004" s="59" t="str">
        <f>VLOOKUP(M1004,Table1[#All],9,FALSE)</f>
        <v>Additional Notes:</v>
      </c>
      <c r="AA1004" s="76" t="s">
        <v>3795</v>
      </c>
      <c r="AB1004" s="76" t="s">
        <v>3697</v>
      </c>
      <c r="AC1004" s="90" t="s">
        <v>115</v>
      </c>
      <c r="AD1004" s="76" t="s">
        <v>177</v>
      </c>
      <c r="AE1004" s="77" t="s">
        <v>3698</v>
      </c>
      <c r="AF1004" s="123">
        <v>44609</v>
      </c>
      <c r="AG1004" s="41" t="s">
        <v>101</v>
      </c>
    </row>
    <row r="1005" spans="1:33" ht="33" hidden="1" x14ac:dyDescent="0.55000000000000004">
      <c r="A1005" s="44" t="str">
        <f>Data!K1004</f>
        <v>United Health Care Dental</v>
      </c>
      <c r="B1005" s="44" t="str">
        <f>Data!L1004</f>
        <v>8882498833</v>
      </c>
      <c r="C1005" s="44" t="str">
        <f>Data!D1004</f>
        <v>Pandey, Asha</v>
      </c>
      <c r="D1005" s="82" t="str">
        <f>Data!F1004</f>
        <v>102833216</v>
      </c>
      <c r="E1005" s="82" t="str">
        <f>Data!B1004</f>
        <v>5078</v>
      </c>
      <c r="F1005" s="44" t="str">
        <f>Data!A1004</f>
        <v>Pandey, Asha</v>
      </c>
      <c r="G1005" s="55" t="str">
        <f>Data!C1004</f>
        <v>9/9/1944</v>
      </c>
      <c r="H1005" s="56">
        <f>Data!H1004</f>
        <v>44467</v>
      </c>
      <c r="I1005" s="56" t="str">
        <f>Data!I1004</f>
        <v>11/11/2021</v>
      </c>
      <c r="J1005" s="57">
        <f>Data!J1004</f>
        <v>138</v>
      </c>
      <c r="K1005" s="58">
        <f t="shared" ca="1" si="17"/>
        <v>189</v>
      </c>
      <c r="L1005" s="58">
        <f>Data!M1004</f>
        <v>0</v>
      </c>
      <c r="M1005" s="37" t="s">
        <v>5</v>
      </c>
      <c r="N1005" s="43" t="str">
        <f>VLOOKUP(M1005,Table1[#All],3,FALSE)</f>
        <v>Claim Paid by EFT;</v>
      </c>
      <c r="O1005" s="40" t="str">
        <f>VLOOKUP(M1005,Table1[#All],4,FALSE)</f>
        <v>Issue Date:</v>
      </c>
      <c r="P1005" s="38">
        <v>44481</v>
      </c>
      <c r="Q1005" s="40" t="str">
        <f>VLOOKUP(M1005,Table1[#All],5,FALSE)</f>
        <v>EFT#</v>
      </c>
      <c r="R1005" s="79">
        <v>7153976</v>
      </c>
      <c r="S1005" s="40" t="str">
        <f>VLOOKUP(M1005,Table1[#All],6,FALSE)</f>
        <v>Bulk/Sep:</v>
      </c>
      <c r="T1005" s="79" t="s">
        <v>3741</v>
      </c>
      <c r="U1005" s="40" t="str">
        <f>VLOOKUP(M1005,Table1[#All],7,FALSE)</f>
        <v>Call Ref#:</v>
      </c>
      <c r="V1005" s="79" t="s">
        <v>3790</v>
      </c>
      <c r="W1005" s="40" t="str">
        <f>VLOOKUP(M1005,Table1[#All],8,FALSE)</f>
        <v>Cust Rep:</v>
      </c>
      <c r="X1005" s="79" t="s">
        <v>3787</v>
      </c>
      <c r="Y1005" s="44" t="str">
        <f>VLOOKUP(M1005,Table1[#All],2,FALSE)</f>
        <v xml:space="preserve">Task Post Pmt Queue </v>
      </c>
      <c r="Z1005" s="59" t="str">
        <f>VLOOKUP(M1005,Table1[#All],9,FALSE)</f>
        <v>Additional Notes:</v>
      </c>
      <c r="AA1005" s="76" t="s">
        <v>3793</v>
      </c>
      <c r="AB1005" s="76" t="s">
        <v>3697</v>
      </c>
      <c r="AC1005" s="90" t="s">
        <v>115</v>
      </c>
      <c r="AD1005" s="76" t="s">
        <v>177</v>
      </c>
      <c r="AE1005" s="77" t="s">
        <v>3698</v>
      </c>
      <c r="AF1005" s="123">
        <v>44609</v>
      </c>
      <c r="AG1005" s="41" t="s">
        <v>101</v>
      </c>
    </row>
    <row r="1006" spans="1:33" ht="33" hidden="1" x14ac:dyDescent="0.55000000000000004">
      <c r="A1006" s="44" t="str">
        <f>Data!K1005</f>
        <v>United Health Care Dental</v>
      </c>
      <c r="B1006" s="44" t="str">
        <f>Data!L1005</f>
        <v>8882498833</v>
      </c>
      <c r="C1006" s="44" t="str">
        <f>Data!D1005</f>
        <v>Pandey, Asha</v>
      </c>
      <c r="D1006" s="82" t="str">
        <f>Data!F1005</f>
        <v>102833216</v>
      </c>
      <c r="E1006" s="82" t="str">
        <f>Data!B1005</f>
        <v>5078</v>
      </c>
      <c r="F1006" s="44" t="str">
        <f>Data!A1005</f>
        <v>Pandey, Asha</v>
      </c>
      <c r="G1006" s="55" t="str">
        <f>Data!C1005</f>
        <v>9/9/1944</v>
      </c>
      <c r="H1006" s="56">
        <f>Data!H1005</f>
        <v>44480</v>
      </c>
      <c r="I1006" s="56" t="str">
        <f>Data!I1005</f>
        <v>11/11/2021</v>
      </c>
      <c r="J1006" s="57">
        <f>Data!J1005</f>
        <v>276</v>
      </c>
      <c r="K1006" s="58">
        <f t="shared" ca="1" si="17"/>
        <v>189</v>
      </c>
      <c r="L1006" s="58">
        <f>Data!M1005</f>
        <v>0</v>
      </c>
      <c r="M1006" s="37" t="s">
        <v>5</v>
      </c>
      <c r="N1006" s="43" t="str">
        <f>VLOOKUP(M1006,Table1[#All],3,FALSE)</f>
        <v>Claim Paid by EFT;</v>
      </c>
      <c r="O1006" s="40" t="str">
        <f>VLOOKUP(M1006,Table1[#All],4,FALSE)</f>
        <v>Issue Date:</v>
      </c>
      <c r="P1006" s="38">
        <v>44488</v>
      </c>
      <c r="Q1006" s="40" t="str">
        <f>VLOOKUP(M1006,Table1[#All],5,FALSE)</f>
        <v>EFT#</v>
      </c>
      <c r="R1006" s="79">
        <v>7165073</v>
      </c>
      <c r="S1006" s="40" t="str">
        <f>VLOOKUP(M1006,Table1[#All],6,FALSE)</f>
        <v>Bulk/Sep:</v>
      </c>
      <c r="T1006" s="79" t="s">
        <v>3699</v>
      </c>
      <c r="U1006" s="40" t="str">
        <f>VLOOKUP(M1006,Table1[#All],7,FALSE)</f>
        <v>Call Ref#:</v>
      </c>
      <c r="V1006" s="79" t="s">
        <v>3790</v>
      </c>
      <c r="W1006" s="40" t="str">
        <f>VLOOKUP(M1006,Table1[#All],8,FALSE)</f>
        <v>Cust Rep:</v>
      </c>
      <c r="X1006" s="79" t="s">
        <v>3787</v>
      </c>
      <c r="Y1006" s="44" t="str">
        <f>VLOOKUP(M1006,Table1[#All],2,FALSE)</f>
        <v xml:space="preserve">Task Post Pmt Queue </v>
      </c>
      <c r="Z1006" s="59" t="str">
        <f>VLOOKUP(M1006,Table1[#All],9,FALSE)</f>
        <v>Additional Notes:</v>
      </c>
      <c r="AA1006" s="76" t="s">
        <v>3792</v>
      </c>
      <c r="AB1006" s="76" t="s">
        <v>3697</v>
      </c>
      <c r="AC1006" s="90" t="s">
        <v>115</v>
      </c>
      <c r="AD1006" s="76" t="s">
        <v>177</v>
      </c>
      <c r="AE1006" s="77" t="s">
        <v>3698</v>
      </c>
      <c r="AF1006" s="123">
        <v>44609</v>
      </c>
      <c r="AG1006" s="41" t="s">
        <v>101</v>
      </c>
    </row>
    <row r="1007" spans="1:33" ht="42" hidden="1" x14ac:dyDescent="0.55000000000000004">
      <c r="A1007" s="44" t="str">
        <f>Data!K1006</f>
        <v>United Health Care Dental</v>
      </c>
      <c r="B1007" s="44" t="str">
        <f>Data!L1006</f>
        <v>8882498833</v>
      </c>
      <c r="C1007" s="44" t="str">
        <f>Data!D1006</f>
        <v>Mason, Umar</v>
      </c>
      <c r="D1007" s="82" t="str">
        <f>Data!F1006</f>
        <v>121991478</v>
      </c>
      <c r="E1007" s="82" t="str">
        <f>Data!B1006</f>
        <v>8047</v>
      </c>
      <c r="F1007" s="44" t="str">
        <f>Data!A1006</f>
        <v>Mason, Umar</v>
      </c>
      <c r="G1007" s="55" t="str">
        <f>Data!C1006</f>
        <v>5/20/1975</v>
      </c>
      <c r="H1007" s="56">
        <f>Data!H1006</f>
        <v>44505</v>
      </c>
      <c r="I1007" s="56" t="str">
        <f>Data!I1006</f>
        <v>11/9/2021</v>
      </c>
      <c r="J1007" s="57">
        <f>Data!J1006</f>
        <v>480</v>
      </c>
      <c r="K1007" s="58">
        <f t="shared" ca="1" si="17"/>
        <v>191</v>
      </c>
      <c r="L1007" s="58">
        <f>Data!M1006</f>
        <v>0</v>
      </c>
      <c r="M1007" s="37" t="s">
        <v>20</v>
      </c>
      <c r="N1007" s="43" t="str">
        <f>VLOOKUP(M1007,Table1[#All],3,FALSE)</f>
        <v>Ins needs more info, need to submit;</v>
      </c>
      <c r="O1007" s="40" t="str">
        <f>VLOOKUP(M1007,Table1[#All],4,FALSE)</f>
        <v>Attachments/Info needed?</v>
      </c>
      <c r="P1007" s="39" t="s">
        <v>3759</v>
      </c>
      <c r="Q1007" s="40" t="str">
        <f>VLOOKUP(M1007,Table1[#All],5,FALSE)</f>
        <v>Fax # (If Fax Yes):</v>
      </c>
      <c r="R1007" s="79" t="s">
        <v>3760</v>
      </c>
      <c r="S1007" s="40" t="str">
        <f>VLOOKUP(M1007,Table1[#All],6,FALSE)</f>
        <v>Call Ref#:</v>
      </c>
      <c r="T1007" s="79" t="s">
        <v>3790</v>
      </c>
      <c r="U1007" s="40" t="str">
        <f>VLOOKUP(M1007,Table1[#All],7,FALSE)</f>
        <v>Cust Rep:</v>
      </c>
      <c r="V1007" s="79" t="s">
        <v>3787</v>
      </c>
      <c r="W1007" s="40">
        <f>VLOOKUP(M1007,Table1[#All],8,FALSE)</f>
        <v>0</v>
      </c>
      <c r="X1007" s="79"/>
      <c r="Y1007" s="44" t="str">
        <f>VLOOKUP(M1007,Table1[#All],2,FALSE)</f>
        <v xml:space="preserve">Task Sub Pending Claims Queue </v>
      </c>
      <c r="Z1007" s="59" t="str">
        <f>VLOOKUP(M1007,Table1[#All],9,FALSE)</f>
        <v>Additional Notes:</v>
      </c>
      <c r="AA1007" s="76" t="s">
        <v>3791</v>
      </c>
      <c r="AB1007" s="76" t="s">
        <v>3697</v>
      </c>
      <c r="AC1007" s="90" t="s">
        <v>115</v>
      </c>
      <c r="AD1007" s="76" t="s">
        <v>177</v>
      </c>
      <c r="AE1007" s="77" t="s">
        <v>3698</v>
      </c>
      <c r="AF1007" s="123">
        <v>44609</v>
      </c>
      <c r="AG1007" s="41" t="s">
        <v>101</v>
      </c>
    </row>
    <row r="1008" spans="1:33" ht="33" hidden="1" x14ac:dyDescent="0.55000000000000004">
      <c r="A1008" s="44" t="str">
        <f>Data!K1007</f>
        <v>United Health Care Dental</v>
      </c>
      <c r="B1008" s="44" t="str">
        <f>Data!L1007</f>
        <v>8882498833</v>
      </c>
      <c r="C1008" s="44" t="str">
        <f>Data!D1007</f>
        <v>Rojas, Emiliano</v>
      </c>
      <c r="D1008" s="82" t="str">
        <f>Data!F1007</f>
        <v>122201171</v>
      </c>
      <c r="E1008" s="82" t="str">
        <f>Data!B1007</f>
        <v>8254</v>
      </c>
      <c r="F1008" s="44" t="str">
        <f>Data!A1007</f>
        <v>Rojas, Emiliano</v>
      </c>
      <c r="G1008" s="55" t="str">
        <f>Data!C1007</f>
        <v>2/28/2018</v>
      </c>
      <c r="H1008" s="56">
        <f>Data!H1007</f>
        <v>44502</v>
      </c>
      <c r="I1008" s="56" t="str">
        <f>Data!I1007</f>
        <v>11/8/2021</v>
      </c>
      <c r="J1008" s="57">
        <f>Data!J1007</f>
        <v>158.4</v>
      </c>
      <c r="K1008" s="58">
        <f t="shared" ca="1" si="17"/>
        <v>192</v>
      </c>
      <c r="L1008" s="58">
        <f>Data!M1007</f>
        <v>0</v>
      </c>
      <c r="M1008" s="37" t="s">
        <v>5</v>
      </c>
      <c r="N1008" s="43" t="str">
        <f>VLOOKUP(M1008,Table1[#All],3,FALSE)</f>
        <v>Claim Paid by EFT;</v>
      </c>
      <c r="O1008" s="40" t="str">
        <f>VLOOKUP(M1008,Table1[#All],4,FALSE)</f>
        <v>Issue Date:</v>
      </c>
      <c r="P1008" s="38">
        <v>44510</v>
      </c>
      <c r="Q1008" s="40" t="str">
        <f>VLOOKUP(M1008,Table1[#All],5,FALSE)</f>
        <v>EFT#</v>
      </c>
      <c r="R1008" s="79">
        <v>7205926</v>
      </c>
      <c r="S1008" s="40" t="str">
        <f>VLOOKUP(M1008,Table1[#All],6,FALSE)</f>
        <v>Bulk/Sep:</v>
      </c>
      <c r="T1008" s="79" t="s">
        <v>3699</v>
      </c>
      <c r="U1008" s="40" t="str">
        <f>VLOOKUP(M1008,Table1[#All],7,FALSE)</f>
        <v>Call Ref#:</v>
      </c>
      <c r="V1008" s="79" t="s">
        <v>3786</v>
      </c>
      <c r="W1008" s="40" t="str">
        <f>VLOOKUP(M1008,Table1[#All],8,FALSE)</f>
        <v>Cust Rep:</v>
      </c>
      <c r="X1008" s="79" t="s">
        <v>3787</v>
      </c>
      <c r="Y1008" s="44" t="str">
        <f>VLOOKUP(M1008,Table1[#All],2,FALSE)</f>
        <v xml:space="preserve">Task Post Pmt Queue </v>
      </c>
      <c r="Z1008" s="59" t="str">
        <f>VLOOKUP(M1008,Table1[#All],9,FALSE)</f>
        <v>Additional Notes:</v>
      </c>
      <c r="AA1008" s="76" t="s">
        <v>3789</v>
      </c>
      <c r="AB1008" s="76" t="s">
        <v>3697</v>
      </c>
      <c r="AC1008" s="90" t="s">
        <v>115</v>
      </c>
      <c r="AD1008" s="76" t="s">
        <v>177</v>
      </c>
      <c r="AE1008" s="77" t="s">
        <v>3698</v>
      </c>
      <c r="AF1008" s="123">
        <v>44609</v>
      </c>
      <c r="AG1008" s="41" t="s">
        <v>101</v>
      </c>
    </row>
    <row r="1009" spans="1:33" ht="33" hidden="1" x14ac:dyDescent="0.55000000000000004">
      <c r="A1009" s="44" t="str">
        <f>Data!K1008</f>
        <v>United Health Care Dental</v>
      </c>
      <c r="B1009" s="44" t="str">
        <f>Data!L1008</f>
        <v>8882498833</v>
      </c>
      <c r="C1009" s="44" t="str">
        <f>Data!D1008</f>
        <v xml:space="preserve">Castillo, Maria </v>
      </c>
      <c r="D1009" s="82" t="str">
        <f>Data!F1008</f>
        <v>118509377</v>
      </c>
      <c r="E1009" s="82" t="str">
        <f>Data!B1008</f>
        <v>8377</v>
      </c>
      <c r="F1009" s="44" t="str">
        <f>Data!A1008</f>
        <v xml:space="preserve">Castillo, Maria </v>
      </c>
      <c r="G1009" s="55" t="str">
        <f>Data!C1008</f>
        <v>2/3/1958</v>
      </c>
      <c r="H1009" s="56">
        <f>Data!H1008</f>
        <v>44504</v>
      </c>
      <c r="I1009" s="56" t="str">
        <f>Data!I1008</f>
        <v>11/6/2021</v>
      </c>
      <c r="J1009" s="57">
        <f>Data!J1008</f>
        <v>816</v>
      </c>
      <c r="K1009" s="58">
        <f t="shared" ca="1" si="17"/>
        <v>194</v>
      </c>
      <c r="L1009" s="58">
        <f>Data!M1008</f>
        <v>0</v>
      </c>
      <c r="M1009" s="37" t="s">
        <v>7</v>
      </c>
      <c r="N1009" s="43" t="str">
        <f>VLOOKUP(M1009,Table1[#All],3,FALSE)</f>
        <v>Claim Paid by Check;</v>
      </c>
      <c r="O1009" s="40" t="str">
        <f>VLOOKUP(M1009,Table1[#All],4,FALSE)</f>
        <v>Issue Date:</v>
      </c>
      <c r="P1009" s="38">
        <v>44510</v>
      </c>
      <c r="Q1009" s="40" t="str">
        <f>VLOOKUP(M1009,Table1[#All],5,FALSE)</f>
        <v>CHK#</v>
      </c>
      <c r="R1009" s="79">
        <v>7205926</v>
      </c>
      <c r="S1009" s="40" t="str">
        <f>VLOOKUP(M1009,Table1[#All],6,FALSE)</f>
        <v>Bulk/Sep:</v>
      </c>
      <c r="T1009" s="79" t="s">
        <v>3699</v>
      </c>
      <c r="U1009" s="40" t="str">
        <f>VLOOKUP(M1009,Table1[#All],7,FALSE)</f>
        <v>Call Ref#:</v>
      </c>
      <c r="V1009" s="79" t="s">
        <v>3786</v>
      </c>
      <c r="W1009" s="40" t="str">
        <f>VLOOKUP(M1009,Table1[#All],8,FALSE)</f>
        <v>Cust Rep:</v>
      </c>
      <c r="X1009" s="79" t="s">
        <v>3787</v>
      </c>
      <c r="Y1009" s="44" t="str">
        <f>VLOOKUP(M1009,Table1[#All],2,FALSE)</f>
        <v xml:space="preserve">Task Cashed Chk Queue </v>
      </c>
      <c r="Z1009" s="59" t="str">
        <f>VLOOKUP(M1009,Table1[#All],9,FALSE)</f>
        <v>Additional Notes:</v>
      </c>
      <c r="AA1009" s="76" t="s">
        <v>3788</v>
      </c>
      <c r="AB1009" s="76" t="s">
        <v>3697</v>
      </c>
      <c r="AC1009" s="90" t="s">
        <v>115</v>
      </c>
      <c r="AD1009" s="76" t="s">
        <v>177</v>
      </c>
      <c r="AE1009" s="77" t="s">
        <v>3698</v>
      </c>
      <c r="AF1009" s="123">
        <v>44609</v>
      </c>
      <c r="AG1009" s="41" t="s">
        <v>101</v>
      </c>
    </row>
    <row r="1010" spans="1:33" ht="21" x14ac:dyDescent="0.55000000000000004">
      <c r="A1010" s="44" t="str">
        <f>Data!K1009</f>
        <v>United Health Care Dental</v>
      </c>
      <c r="B1010" s="44" t="str">
        <f>Data!L1009</f>
        <v>8882498833</v>
      </c>
      <c r="C1010" s="44" t="str">
        <f>Data!D1009</f>
        <v xml:space="preserve">Jackson, Kiara </v>
      </c>
      <c r="D1010" s="82" t="str">
        <f>Data!F1009</f>
        <v>116145551</v>
      </c>
      <c r="E1010" s="82" t="str">
        <f>Data!B1009</f>
        <v>8379</v>
      </c>
      <c r="F1010" s="44" t="str">
        <f>Data!A1009</f>
        <v xml:space="preserve">Jackson, Kiara </v>
      </c>
      <c r="G1010" s="55" t="str">
        <f>Data!C1009</f>
        <v>4/15/1995</v>
      </c>
      <c r="H1010" s="56">
        <f>Data!H1009</f>
        <v>44504</v>
      </c>
      <c r="I1010" s="56" t="str">
        <f>Data!I1009</f>
        <v>11/6/2021</v>
      </c>
      <c r="J1010" s="57">
        <f>Data!J1009</f>
        <v>88.8</v>
      </c>
      <c r="K1010" s="58">
        <f t="shared" ca="1" si="17"/>
        <v>194</v>
      </c>
      <c r="L1010" s="58">
        <f>Data!M1009</f>
        <v>0</v>
      </c>
      <c r="M1010" s="37" t="s">
        <v>9</v>
      </c>
      <c r="N1010" s="43" t="str">
        <f>VLOOKUP(M1010,Table1[#All],3,FALSE)</f>
        <v>Claim is in Process;</v>
      </c>
      <c r="O1010" s="40" t="str">
        <f>VLOOKUP(M1010,Table1[#All],4,FALSE)</f>
        <v>Call Ref#:</v>
      </c>
      <c r="P1010" s="39">
        <v>2175163</v>
      </c>
      <c r="Q1010" s="40" t="str">
        <f>VLOOKUP(M1010,Table1[#All],5,FALSE)</f>
        <v>Cust Rep:</v>
      </c>
      <c r="R1010" s="79" t="s">
        <v>3783</v>
      </c>
      <c r="S1010" s="40">
        <f>VLOOKUP(M1010,Table1[#All],6,FALSE)</f>
        <v>0</v>
      </c>
      <c r="T1010" s="79"/>
      <c r="U1010" s="40">
        <f>VLOOKUP(M1010,Table1[#All],7,FALSE)</f>
        <v>0</v>
      </c>
      <c r="V1010" s="79"/>
      <c r="W1010" s="40">
        <f>VLOOKUP(M1010,Table1[#All],8,FALSE)</f>
        <v>0</v>
      </c>
      <c r="X1010" s="79"/>
      <c r="Y1010" s="44" t="str">
        <f>VLOOKUP(M1010,Table1[#All],2,FALSE)</f>
        <v>No Action</v>
      </c>
      <c r="Z1010" s="59" t="str">
        <f>VLOOKUP(M1010,Table1[#All],9,FALSE)</f>
        <v>Additional Notes:</v>
      </c>
      <c r="AA1010" s="76" t="s">
        <v>4226</v>
      </c>
      <c r="AB1010" s="117">
        <v>44698</v>
      </c>
      <c r="AC1010" s="90" t="s">
        <v>185</v>
      </c>
      <c r="AD1010" s="76" t="s">
        <v>177</v>
      </c>
      <c r="AE1010" s="77" t="s">
        <v>3770</v>
      </c>
      <c r="AF1010" s="110">
        <v>44663</v>
      </c>
      <c r="AG1010" s="41" t="s">
        <v>100</v>
      </c>
    </row>
    <row r="1011" spans="1:33" ht="42" hidden="1" x14ac:dyDescent="0.55000000000000004">
      <c r="A1011" s="44" t="str">
        <f>Data!K1010</f>
        <v>United Health Care Dental</v>
      </c>
      <c r="B1011" s="44" t="str">
        <f>Data!L1010</f>
        <v>8882498833</v>
      </c>
      <c r="C1011" s="44" t="str">
        <f>Data!D1010</f>
        <v>Mason, Umar</v>
      </c>
      <c r="D1011" s="82" t="str">
        <f>Data!F1010</f>
        <v>121991478</v>
      </c>
      <c r="E1011" s="82" t="str">
        <f>Data!B1010</f>
        <v>8047</v>
      </c>
      <c r="F1011" s="44" t="str">
        <f>Data!A1010</f>
        <v>Mason, Umar</v>
      </c>
      <c r="G1011" s="55" t="str">
        <f>Data!C1010</f>
        <v>5/20/1975</v>
      </c>
      <c r="H1011" s="56">
        <f>Data!H1010</f>
        <v>44503</v>
      </c>
      <c r="I1011" s="56" t="str">
        <f>Data!I1010</f>
        <v>11/5/2021</v>
      </c>
      <c r="J1011" s="57">
        <f>Data!J1010</f>
        <v>480</v>
      </c>
      <c r="K1011" s="58">
        <f t="shared" ca="1" si="17"/>
        <v>195</v>
      </c>
      <c r="L1011" s="58">
        <f>Data!M1010</f>
        <v>0</v>
      </c>
      <c r="M1011" s="37" t="s">
        <v>20</v>
      </c>
      <c r="N1011" s="43" t="str">
        <f>VLOOKUP(M1011,Table1[#All],3,FALSE)</f>
        <v>Ins needs more info, need to submit;</v>
      </c>
      <c r="O1011" s="40" t="str">
        <f>VLOOKUP(M1011,Table1[#All],4,FALSE)</f>
        <v>Attachments/Info needed?</v>
      </c>
      <c r="P1011" s="39" t="s">
        <v>3759</v>
      </c>
      <c r="Q1011" s="40" t="str">
        <f>VLOOKUP(M1011,Table1[#All],5,FALSE)</f>
        <v>Fax # (If Fax Yes):</v>
      </c>
      <c r="R1011" s="79" t="s">
        <v>3760</v>
      </c>
      <c r="S1011" s="40" t="str">
        <f>VLOOKUP(M1011,Table1[#All],6,FALSE)</f>
        <v>Call Ref#:</v>
      </c>
      <c r="T1011" s="79">
        <v>2175163</v>
      </c>
      <c r="U1011" s="40" t="str">
        <f>VLOOKUP(M1011,Table1[#All],7,FALSE)</f>
        <v>Cust Rep:</v>
      </c>
      <c r="V1011" s="79" t="s">
        <v>3783</v>
      </c>
      <c r="W1011" s="40">
        <f>VLOOKUP(M1011,Table1[#All],8,FALSE)</f>
        <v>0</v>
      </c>
      <c r="X1011" s="79"/>
      <c r="Y1011" s="44" t="str">
        <f>VLOOKUP(M1011,Table1[#All],2,FALSE)</f>
        <v xml:space="preserve">Task Sub Pending Claims Queue </v>
      </c>
      <c r="Z1011" s="59" t="str">
        <f>VLOOKUP(M1011,Table1[#All],9,FALSE)</f>
        <v>Additional Notes:</v>
      </c>
      <c r="AA1011" s="76" t="s">
        <v>3785</v>
      </c>
      <c r="AB1011" s="76" t="s">
        <v>3697</v>
      </c>
      <c r="AC1011" s="90" t="s">
        <v>115</v>
      </c>
      <c r="AD1011" s="76" t="s">
        <v>177</v>
      </c>
      <c r="AE1011" s="77" t="s">
        <v>3698</v>
      </c>
      <c r="AF1011" s="110">
        <v>44609</v>
      </c>
      <c r="AG1011" s="41" t="s">
        <v>101</v>
      </c>
    </row>
    <row r="1012" spans="1:33" ht="21" hidden="1" x14ac:dyDescent="0.55000000000000004">
      <c r="A1012" s="44" t="str">
        <f>Data!K1011</f>
        <v>United Health Care Dental</v>
      </c>
      <c r="B1012" s="44" t="str">
        <f>Data!L1011</f>
        <v>8882498833</v>
      </c>
      <c r="C1012" s="44" t="str">
        <f>Data!D1011</f>
        <v>Golden , Elvin</v>
      </c>
      <c r="D1012" s="82" t="str">
        <f>Data!F1011</f>
        <v>105358591</v>
      </c>
      <c r="E1012" s="82" t="str">
        <f>Data!B1011</f>
        <v>8352</v>
      </c>
      <c r="F1012" s="44" t="str">
        <f>Data!A1011</f>
        <v>Golden , Elvin</v>
      </c>
      <c r="G1012" s="55" t="str">
        <f>Data!C1011</f>
        <v>10/16/1964</v>
      </c>
      <c r="H1012" s="56">
        <f>Data!H1011</f>
        <v>44502</v>
      </c>
      <c r="I1012" s="56" t="str">
        <f>Data!I1011</f>
        <v>11/5/2021</v>
      </c>
      <c r="J1012" s="57">
        <f>Data!J1011</f>
        <v>439.2</v>
      </c>
      <c r="K1012" s="58">
        <f t="shared" ca="1" si="17"/>
        <v>195</v>
      </c>
      <c r="L1012" s="58">
        <f>Data!M1011</f>
        <v>0</v>
      </c>
      <c r="M1012" s="37" t="s">
        <v>5</v>
      </c>
      <c r="N1012" s="43" t="str">
        <f>VLOOKUP(M1012,Table1[#All],3,FALSE)</f>
        <v>Claim Paid by EFT;</v>
      </c>
      <c r="O1012" s="40" t="str">
        <f>VLOOKUP(M1012,Table1[#All],4,FALSE)</f>
        <v>Issue Date:</v>
      </c>
      <c r="P1012" s="38">
        <v>44516</v>
      </c>
      <c r="Q1012" s="40" t="str">
        <f>VLOOKUP(M1012,Table1[#All],5,FALSE)</f>
        <v>EFT#</v>
      </c>
      <c r="R1012" s="79">
        <v>7205926</v>
      </c>
      <c r="S1012" s="40" t="str">
        <f>VLOOKUP(M1012,Table1[#All],6,FALSE)</f>
        <v>Bulk/Sep:</v>
      </c>
      <c r="T1012" s="79" t="s">
        <v>3699</v>
      </c>
      <c r="U1012" s="40" t="str">
        <f>VLOOKUP(M1012,Table1[#All],7,FALSE)</f>
        <v>Call Ref#:</v>
      </c>
      <c r="V1012" s="79">
        <v>2175163</v>
      </c>
      <c r="W1012" s="40" t="str">
        <f>VLOOKUP(M1012,Table1[#All],8,FALSE)</f>
        <v>Cust Rep:</v>
      </c>
      <c r="X1012" s="79" t="s">
        <v>3783</v>
      </c>
      <c r="Y1012" s="44" t="str">
        <f>VLOOKUP(M1012,Table1[#All],2,FALSE)</f>
        <v xml:space="preserve">Task Post Pmt Queue </v>
      </c>
      <c r="Z1012" s="59" t="str">
        <f>VLOOKUP(M1012,Table1[#All],9,FALSE)</f>
        <v>Additional Notes:</v>
      </c>
      <c r="AA1012" s="76" t="s">
        <v>3784</v>
      </c>
      <c r="AB1012" s="76" t="s">
        <v>3697</v>
      </c>
      <c r="AC1012" s="90" t="s">
        <v>115</v>
      </c>
      <c r="AD1012" s="76" t="s">
        <v>177</v>
      </c>
      <c r="AE1012" s="77" t="s">
        <v>3698</v>
      </c>
      <c r="AF1012" s="110">
        <v>44649</v>
      </c>
      <c r="AG1012" s="41" t="s">
        <v>101</v>
      </c>
    </row>
    <row r="1013" spans="1:33" ht="84" hidden="1" x14ac:dyDescent="0.55000000000000004">
      <c r="A1013" s="44" t="str">
        <f>Data!K1012</f>
        <v>United Health Care Dental</v>
      </c>
      <c r="B1013" s="44" t="str">
        <f>Data!L1012</f>
        <v>8882498833</v>
      </c>
      <c r="C1013" s="44" t="str">
        <f>Data!D1012</f>
        <v xml:space="preserve">Perkins, Ronald </v>
      </c>
      <c r="D1013" s="82" t="str">
        <f>Data!F1012</f>
        <v>110227269</v>
      </c>
      <c r="E1013" s="82" t="str">
        <f>Data!B1012</f>
        <v>8224</v>
      </c>
      <c r="F1013" s="44" t="str">
        <f>Data!A1012</f>
        <v xml:space="preserve">Perkins, Ronald </v>
      </c>
      <c r="G1013" s="55" t="str">
        <f>Data!C1012</f>
        <v>5/19/1985</v>
      </c>
      <c r="H1013" s="56">
        <f>Data!H1012</f>
        <v>44497</v>
      </c>
      <c r="I1013" s="56" t="str">
        <f>Data!I1012</f>
        <v>11/2/2021</v>
      </c>
      <c r="J1013" s="57">
        <f>Data!J1012</f>
        <v>516</v>
      </c>
      <c r="K1013" s="58">
        <f t="shared" ca="1" si="17"/>
        <v>198</v>
      </c>
      <c r="L1013" s="58">
        <f>Data!M1012</f>
        <v>0</v>
      </c>
      <c r="M1013" s="37" t="s">
        <v>20</v>
      </c>
      <c r="N1013" s="43" t="str">
        <f>VLOOKUP(M1013,Table1[#All],3,FALSE)</f>
        <v>Ins needs more info, need to submit;</v>
      </c>
      <c r="O1013" s="40" t="str">
        <f>VLOOKUP(M1013,Table1[#All],4,FALSE)</f>
        <v>Attachments/Info needed?</v>
      </c>
      <c r="P1013" s="39" t="s">
        <v>3778</v>
      </c>
      <c r="Q1013" s="40" t="str">
        <f>VLOOKUP(M1013,Table1[#All],5,FALSE)</f>
        <v>Fax # (If Fax Yes):</v>
      </c>
      <c r="R1013" s="79" t="s">
        <v>3779</v>
      </c>
      <c r="S1013" s="40" t="str">
        <f>VLOOKUP(M1013,Table1[#All],6,FALSE)</f>
        <v>Call Ref#:</v>
      </c>
      <c r="T1013" s="79" t="s">
        <v>3780</v>
      </c>
      <c r="U1013" s="40" t="str">
        <f>VLOOKUP(M1013,Table1[#All],7,FALSE)</f>
        <v>Cust Rep:</v>
      </c>
      <c r="V1013" s="79" t="s">
        <v>3781</v>
      </c>
      <c r="W1013" s="40">
        <f>VLOOKUP(M1013,Table1[#All],8,FALSE)</f>
        <v>0</v>
      </c>
      <c r="X1013" s="79"/>
      <c r="Y1013" s="44" t="str">
        <f>VLOOKUP(M1013,Table1[#All],2,FALSE)</f>
        <v xml:space="preserve">Task Sub Pending Claims Queue </v>
      </c>
      <c r="Z1013" s="59" t="str">
        <f>VLOOKUP(M1013,Table1[#All],9,FALSE)</f>
        <v>Additional Notes:</v>
      </c>
      <c r="AA1013" s="76" t="s">
        <v>3782</v>
      </c>
      <c r="AB1013" s="76" t="s">
        <v>3697</v>
      </c>
      <c r="AC1013" s="90" t="s">
        <v>115</v>
      </c>
      <c r="AD1013" s="76" t="s">
        <v>177</v>
      </c>
      <c r="AE1013" s="77" t="s">
        <v>3698</v>
      </c>
      <c r="AF1013" s="110">
        <v>44613</v>
      </c>
      <c r="AG1013" s="41" t="s">
        <v>101</v>
      </c>
    </row>
    <row r="1014" spans="1:33" ht="42" hidden="1" x14ac:dyDescent="0.55000000000000004">
      <c r="A1014" s="44" t="str">
        <f>Data!K1013</f>
        <v>United Health Care Dental</v>
      </c>
      <c r="B1014" s="44" t="str">
        <f>Data!L1013</f>
        <v>8882498833</v>
      </c>
      <c r="C1014" s="44" t="str">
        <f>Data!D1013</f>
        <v>Knepper, Emmalyn</v>
      </c>
      <c r="D1014" s="82" t="str">
        <f>Data!F1013</f>
        <v>116006811</v>
      </c>
      <c r="E1014" s="82" t="str">
        <f>Data!B1013</f>
        <v>2734</v>
      </c>
      <c r="F1014" s="44" t="str">
        <f>Data!A1013</f>
        <v>Knepper, Emmalyn</v>
      </c>
      <c r="G1014" s="55" t="str">
        <f>Data!C1013</f>
        <v>7/20/2011</v>
      </c>
      <c r="H1014" s="56">
        <f>Data!H1013</f>
        <v>44497</v>
      </c>
      <c r="I1014" s="56" t="str">
        <f>Data!I1013</f>
        <v>11/1/2021</v>
      </c>
      <c r="J1014" s="57">
        <f>Data!J1013</f>
        <v>61.2</v>
      </c>
      <c r="K1014" s="58">
        <f t="shared" ca="1" si="17"/>
        <v>199</v>
      </c>
      <c r="L1014" s="58">
        <f>Data!M1013</f>
        <v>0</v>
      </c>
      <c r="M1014" s="37" t="s">
        <v>20</v>
      </c>
      <c r="N1014" s="43" t="str">
        <f>VLOOKUP(M1014,Table1[#All],3,FALSE)</f>
        <v>Ins needs more info, need to submit;</v>
      </c>
      <c r="O1014" s="40" t="str">
        <f>VLOOKUP(M1014,Table1[#All],4,FALSE)</f>
        <v>Attachments/Info needed?</v>
      </c>
      <c r="P1014" s="39" t="s">
        <v>3774</v>
      </c>
      <c r="Q1014" s="40" t="str">
        <f>VLOOKUP(M1014,Table1[#All],5,FALSE)</f>
        <v>Fax # (If Fax Yes):</v>
      </c>
      <c r="R1014" s="79" t="s">
        <v>3760</v>
      </c>
      <c r="S1014" s="40" t="str">
        <f>VLOOKUP(M1014,Table1[#All],6,FALSE)</f>
        <v>Call Ref#:</v>
      </c>
      <c r="T1014" s="79" t="s">
        <v>3694</v>
      </c>
      <c r="U1014" s="40" t="str">
        <f>VLOOKUP(M1014,Table1[#All],7,FALSE)</f>
        <v>Cust Rep:</v>
      </c>
      <c r="V1014" s="79" t="s">
        <v>3695</v>
      </c>
      <c r="W1014" s="40">
        <f>VLOOKUP(M1014,Table1[#All],8,FALSE)</f>
        <v>0</v>
      </c>
      <c r="X1014" s="79"/>
      <c r="Y1014" s="44" t="str">
        <f>VLOOKUP(M1014,Table1[#All],2,FALSE)</f>
        <v xml:space="preserve">Task Sub Pending Claims Queue </v>
      </c>
      <c r="Z1014" s="59" t="str">
        <f>VLOOKUP(M1014,Table1[#All],9,FALSE)</f>
        <v>Additional Notes:</v>
      </c>
      <c r="AA1014" s="76" t="s">
        <v>3777</v>
      </c>
      <c r="AB1014" s="76" t="s">
        <v>3697</v>
      </c>
      <c r="AC1014" s="90" t="s">
        <v>185</v>
      </c>
      <c r="AD1014" s="76" t="s">
        <v>177</v>
      </c>
      <c r="AE1014" s="77" t="s">
        <v>3776</v>
      </c>
      <c r="AF1014" s="110">
        <v>44635</v>
      </c>
      <c r="AG1014" s="41" t="s">
        <v>101</v>
      </c>
    </row>
    <row r="1015" spans="1:33" ht="42" hidden="1" x14ac:dyDescent="0.55000000000000004">
      <c r="A1015" s="44" t="str">
        <f>Data!K1014</f>
        <v>United Health Care Dental</v>
      </c>
      <c r="B1015" s="44" t="str">
        <f>Data!L1014</f>
        <v>8882498833</v>
      </c>
      <c r="C1015" s="44" t="str">
        <f>Data!D1014</f>
        <v>Knepper, Bennet</v>
      </c>
      <c r="D1015" s="82" t="str">
        <f>Data!F1014</f>
        <v>116006810</v>
      </c>
      <c r="E1015" s="82" t="str">
        <f>Data!B1014</f>
        <v>2735</v>
      </c>
      <c r="F1015" s="44" t="str">
        <f>Data!A1014</f>
        <v>Knepper, Bennet</v>
      </c>
      <c r="G1015" s="55" t="str">
        <f>Data!C1014</f>
        <v>5/26/2013</v>
      </c>
      <c r="H1015" s="56">
        <f>Data!H1014</f>
        <v>44497</v>
      </c>
      <c r="I1015" s="56" t="str">
        <f>Data!I1014</f>
        <v>11/1/2021</v>
      </c>
      <c r="J1015" s="57">
        <f>Data!J1014</f>
        <v>338.4</v>
      </c>
      <c r="K1015" s="58">
        <f t="shared" ca="1" si="17"/>
        <v>199</v>
      </c>
      <c r="L1015" s="58">
        <f>Data!M1014</f>
        <v>0</v>
      </c>
      <c r="M1015" s="37" t="s">
        <v>20</v>
      </c>
      <c r="N1015" s="43" t="str">
        <f>VLOOKUP(M1015,Table1[#All],3,FALSE)</f>
        <v>Ins needs more info, need to submit;</v>
      </c>
      <c r="O1015" s="40" t="str">
        <f>VLOOKUP(M1015,Table1[#All],4,FALSE)</f>
        <v>Attachments/Info needed?</v>
      </c>
      <c r="P1015" s="39" t="s">
        <v>3774</v>
      </c>
      <c r="Q1015" s="40" t="str">
        <f>VLOOKUP(M1015,Table1[#All],5,FALSE)</f>
        <v>Fax # (If Fax Yes):</v>
      </c>
      <c r="R1015" s="79" t="s">
        <v>3760</v>
      </c>
      <c r="S1015" s="40" t="str">
        <f>VLOOKUP(M1015,Table1[#All],6,FALSE)</f>
        <v>Call Ref#:</v>
      </c>
      <c r="T1015" s="79" t="s">
        <v>3694</v>
      </c>
      <c r="U1015" s="40" t="str">
        <f>VLOOKUP(M1015,Table1[#All],7,FALSE)</f>
        <v>Cust Rep:</v>
      </c>
      <c r="V1015" s="79" t="s">
        <v>3695</v>
      </c>
      <c r="W1015" s="40">
        <f>VLOOKUP(M1015,Table1[#All],8,FALSE)</f>
        <v>0</v>
      </c>
      <c r="X1015" s="79"/>
      <c r="Y1015" s="44" t="str">
        <f>VLOOKUP(M1015,Table1[#All],2,FALSE)</f>
        <v xml:space="preserve">Task Sub Pending Claims Queue </v>
      </c>
      <c r="Z1015" s="59" t="str">
        <f>VLOOKUP(M1015,Table1[#All],9,FALSE)</f>
        <v>Additional Notes:</v>
      </c>
      <c r="AA1015" s="76" t="s">
        <v>3775</v>
      </c>
      <c r="AB1015" s="76" t="s">
        <v>3697</v>
      </c>
      <c r="AC1015" s="90" t="s">
        <v>185</v>
      </c>
      <c r="AD1015" s="76" t="s">
        <v>177</v>
      </c>
      <c r="AE1015" s="77" t="s">
        <v>3776</v>
      </c>
      <c r="AF1015" s="110">
        <v>44635</v>
      </c>
      <c r="AG1015" s="41" t="s">
        <v>101</v>
      </c>
    </row>
    <row r="1016" spans="1:33" ht="21" hidden="1" x14ac:dyDescent="0.55000000000000004">
      <c r="A1016" s="44" t="str">
        <f>Data!K1015</f>
        <v>United Health Care Dental</v>
      </c>
      <c r="B1016" s="44" t="str">
        <f>Data!L1015</f>
        <v>8882498833</v>
      </c>
      <c r="C1016" s="44" t="str">
        <f>Data!D1015</f>
        <v xml:space="preserve">Nealduncan , Charlotte </v>
      </c>
      <c r="D1016" s="82" t="str">
        <f>Data!F1015</f>
        <v>119841896</v>
      </c>
      <c r="E1016" s="82" t="str">
        <f>Data!B1015</f>
        <v>5074</v>
      </c>
      <c r="F1016" s="44" t="str">
        <f>Data!A1015</f>
        <v xml:space="preserve">Nealduncan , Charlotte </v>
      </c>
      <c r="G1016" s="55" t="str">
        <f>Data!C1015</f>
        <v>2/17/1970</v>
      </c>
      <c r="H1016" s="56">
        <f>Data!H1015</f>
        <v>44495</v>
      </c>
      <c r="I1016" s="56" t="str">
        <f>Data!I1015</f>
        <v>10/28/2021</v>
      </c>
      <c r="J1016" s="57">
        <f>Data!J1015</f>
        <v>266</v>
      </c>
      <c r="K1016" s="58">
        <f t="shared" ca="1" si="17"/>
        <v>203</v>
      </c>
      <c r="L1016" s="58">
        <f>Data!M1015</f>
        <v>0</v>
      </c>
      <c r="M1016" s="37" t="s">
        <v>5</v>
      </c>
      <c r="N1016" s="43" t="str">
        <f>VLOOKUP(M1016,Table1[#All],3,FALSE)</f>
        <v>Claim Paid by EFT;</v>
      </c>
      <c r="O1016" s="40" t="str">
        <f>VLOOKUP(M1016,Table1[#All],4,FALSE)</f>
        <v>Issue Date:</v>
      </c>
      <c r="P1016" s="38">
        <v>44502</v>
      </c>
      <c r="Q1016" s="40" t="str">
        <f>VLOOKUP(M1016,Table1[#All],5,FALSE)</f>
        <v>EFT#</v>
      </c>
      <c r="R1016" s="79">
        <v>7184971</v>
      </c>
      <c r="S1016" s="40" t="str">
        <f>VLOOKUP(M1016,Table1[#All],6,FALSE)</f>
        <v>Bulk/Sep:</v>
      </c>
      <c r="T1016" s="79" t="s">
        <v>3699</v>
      </c>
      <c r="U1016" s="40" t="str">
        <f>VLOOKUP(M1016,Table1[#All],7,FALSE)</f>
        <v>Call Ref#:</v>
      </c>
      <c r="V1016" s="79">
        <v>1262022</v>
      </c>
      <c r="W1016" s="40" t="str">
        <f>VLOOKUP(M1016,Table1[#All],8,FALSE)</f>
        <v>Cust Rep:</v>
      </c>
      <c r="X1016" s="79" t="s">
        <v>3730</v>
      </c>
      <c r="Y1016" s="44" t="str">
        <f>VLOOKUP(M1016,Table1[#All],2,FALSE)</f>
        <v xml:space="preserve">Task Post Pmt Queue </v>
      </c>
      <c r="Z1016" s="59" t="str">
        <f>VLOOKUP(M1016,Table1[#All],9,FALSE)</f>
        <v>Additional Notes:</v>
      </c>
      <c r="AA1016" s="76" t="s">
        <v>3773</v>
      </c>
      <c r="AB1016" s="76" t="s">
        <v>3697</v>
      </c>
      <c r="AC1016" s="90" t="s">
        <v>115</v>
      </c>
      <c r="AD1016" s="76" t="s">
        <v>177</v>
      </c>
      <c r="AE1016" s="77" t="s">
        <v>3698</v>
      </c>
      <c r="AF1016" s="110">
        <v>44613</v>
      </c>
      <c r="AG1016" s="41" t="s">
        <v>101</v>
      </c>
    </row>
    <row r="1017" spans="1:33" ht="82.5" hidden="1" x14ac:dyDescent="0.55000000000000004">
      <c r="A1017" s="44" t="str">
        <f>Data!K1016</f>
        <v>United Health Care Dental</v>
      </c>
      <c r="B1017" s="44" t="str">
        <f>Data!L1016</f>
        <v>8882498833</v>
      </c>
      <c r="C1017" s="44" t="str">
        <f>Data!D1016</f>
        <v xml:space="preserve">Koch, Gabriella </v>
      </c>
      <c r="D1017" s="82" t="str">
        <f>Data!F1016</f>
        <v>116825463</v>
      </c>
      <c r="E1017" s="82" t="str">
        <f>Data!B1016</f>
        <v>8222</v>
      </c>
      <c r="F1017" s="44" t="str">
        <f>Data!A1016</f>
        <v xml:space="preserve">Koch, Gabriella </v>
      </c>
      <c r="G1017" s="55" t="str">
        <f>Data!C1016</f>
        <v>10/5/2018</v>
      </c>
      <c r="H1017" s="56">
        <f>Data!H1016</f>
        <v>44495</v>
      </c>
      <c r="I1017" s="56" t="str">
        <f>Data!I1016</f>
        <v>10/26/2021</v>
      </c>
      <c r="J1017" s="57">
        <f>Data!J1016</f>
        <v>100</v>
      </c>
      <c r="K1017" s="58">
        <f t="shared" ca="1" si="17"/>
        <v>205</v>
      </c>
      <c r="L1017" s="58">
        <f>Data!M1016</f>
        <v>0</v>
      </c>
      <c r="M1017" s="37" t="s">
        <v>30</v>
      </c>
      <c r="N1017" s="43" t="str">
        <f>VLOOKUP(M1017,Table1[#All],3,FALSE)</f>
        <v>Claim not on file. Patient is active ;</v>
      </c>
      <c r="O1017" s="40" t="str">
        <f>VLOOKUP(M1017,Table1[#All],4,FALSE)</f>
        <v>Payor ID &amp; Address:</v>
      </c>
      <c r="P1017" s="39" t="s">
        <v>3704</v>
      </c>
      <c r="Q1017" s="40" t="str">
        <f>VLOOKUP(M1017,Table1[#All],5,FALSE)</f>
        <v>Fax # (If Fax Yes):</v>
      </c>
      <c r="R1017" s="79" t="s">
        <v>3767</v>
      </c>
      <c r="S1017" s="40" t="str">
        <f>VLOOKUP(M1017,Table1[#All],6,FALSE)</f>
        <v>TFL in Mnths:</v>
      </c>
      <c r="T1017" s="79" t="s">
        <v>3725</v>
      </c>
      <c r="U1017" s="40" t="str">
        <f>VLOOKUP(M1017,Table1[#All],7,FALSE)</f>
        <v>Call Ref#:</v>
      </c>
      <c r="V1017" s="79" t="s">
        <v>3768</v>
      </c>
      <c r="W1017" s="40" t="str">
        <f>VLOOKUP(M1017,Table1[#All],8,FALSE)</f>
        <v>Cust Rep:</v>
      </c>
      <c r="X1017" s="79" t="s">
        <v>3769</v>
      </c>
      <c r="Y1017" s="44" t="str">
        <f>VLOOKUP(M1017,Table1[#All],2,FALSE)</f>
        <v>Task Sub Pending Claims Queue</v>
      </c>
      <c r="Z1017" s="59" t="str">
        <f>VLOOKUP(M1017,Table1[#All],9,FALSE)</f>
        <v>Additional Notes:</v>
      </c>
      <c r="AA1017" s="76" t="s">
        <v>3707</v>
      </c>
      <c r="AB1017" s="76" t="s">
        <v>3697</v>
      </c>
      <c r="AC1017" s="90" t="s">
        <v>185</v>
      </c>
      <c r="AD1017" s="76" t="s">
        <v>177</v>
      </c>
      <c r="AE1017" s="77" t="s">
        <v>3770</v>
      </c>
      <c r="AF1017" s="110">
        <v>44587</v>
      </c>
      <c r="AG1017" s="41" t="s">
        <v>101</v>
      </c>
    </row>
    <row r="1018" spans="1:33" ht="21" hidden="1" x14ac:dyDescent="0.55000000000000004">
      <c r="A1018" s="44" t="str">
        <f>Data!K1017</f>
        <v>United Health Care Dental</v>
      </c>
      <c r="B1018" s="44" t="str">
        <f>Data!L1017</f>
        <v>8882498833</v>
      </c>
      <c r="C1018" s="44" t="str">
        <f>Data!D1017</f>
        <v>Armstrong, Linda</v>
      </c>
      <c r="D1018" s="82" t="str">
        <f>Data!F1017</f>
        <v>110732628</v>
      </c>
      <c r="E1018" s="82" t="str">
        <f>Data!B1017</f>
        <v>3643</v>
      </c>
      <c r="F1018" s="44" t="str">
        <f>Data!A1017</f>
        <v>Armstrong, Linda</v>
      </c>
      <c r="G1018" s="55" t="str">
        <f>Data!C1017</f>
        <v>5/8/1974</v>
      </c>
      <c r="H1018" s="56">
        <f>Data!H1017</f>
        <v>44480</v>
      </c>
      <c r="I1018" s="56" t="str">
        <f>Data!I1017</f>
        <v>10/21/2021</v>
      </c>
      <c r="J1018" s="57">
        <f>Data!J1017</f>
        <v>106.4</v>
      </c>
      <c r="K1018" s="58">
        <f t="shared" ca="1" si="17"/>
        <v>210</v>
      </c>
      <c r="L1018" s="58">
        <f>Data!M1017</f>
        <v>0</v>
      </c>
      <c r="M1018" s="37" t="s">
        <v>5</v>
      </c>
      <c r="N1018" s="43" t="str">
        <f>VLOOKUP(M1018,Table1[#All],3,FALSE)</f>
        <v>Claim Paid by EFT;</v>
      </c>
      <c r="O1018" s="40" t="str">
        <f>VLOOKUP(M1018,Table1[#All],4,FALSE)</f>
        <v>Issue Date:</v>
      </c>
      <c r="P1018" s="38">
        <v>44488</v>
      </c>
      <c r="Q1018" s="40" t="str">
        <f>VLOOKUP(M1018,Table1[#All],5,FALSE)</f>
        <v>EFT#</v>
      </c>
      <c r="R1018" s="79">
        <v>7167452</v>
      </c>
      <c r="S1018" s="40" t="str">
        <f>VLOOKUP(M1018,Table1[#All],6,FALSE)</f>
        <v>Bulk/Sep:</v>
      </c>
      <c r="T1018" s="79" t="s">
        <v>3699</v>
      </c>
      <c r="U1018" s="40" t="str">
        <f>VLOOKUP(M1018,Table1[#All],7,FALSE)</f>
        <v>Call Ref#:</v>
      </c>
      <c r="V1018" s="79">
        <v>65832</v>
      </c>
      <c r="W1018" s="40" t="str">
        <f>VLOOKUP(M1018,Table1[#All],8,FALSE)</f>
        <v>Cust Rep:</v>
      </c>
      <c r="X1018" s="79" t="s">
        <v>3771</v>
      </c>
      <c r="Y1018" s="44" t="str">
        <f>VLOOKUP(M1018,Table1[#All],2,FALSE)</f>
        <v xml:space="preserve">Task Post Pmt Queue </v>
      </c>
      <c r="Z1018" s="59" t="str">
        <f>VLOOKUP(M1018,Table1[#All],9,FALSE)</f>
        <v>Additional Notes:</v>
      </c>
      <c r="AA1018" s="76" t="s">
        <v>3772</v>
      </c>
      <c r="AB1018" s="76" t="s">
        <v>3697</v>
      </c>
      <c r="AC1018" s="90" t="s">
        <v>115</v>
      </c>
      <c r="AD1018" s="76" t="s">
        <v>177</v>
      </c>
      <c r="AE1018" s="77" t="s">
        <v>3698</v>
      </c>
      <c r="AF1018" s="110">
        <v>44613</v>
      </c>
      <c r="AG1018" s="41" t="s">
        <v>101</v>
      </c>
    </row>
    <row r="1019" spans="1:33" ht="82.5" hidden="1" x14ac:dyDescent="0.55000000000000004">
      <c r="A1019" s="44" t="str">
        <f>Data!K1018</f>
        <v>United Health Care Dental</v>
      </c>
      <c r="B1019" s="44" t="str">
        <f>Data!L1018</f>
        <v>8882498833</v>
      </c>
      <c r="C1019" s="44" t="str">
        <f>Data!D1018</f>
        <v>Wellhausen , William</v>
      </c>
      <c r="D1019" s="82" t="str">
        <f>Data!F1018</f>
        <v>120558499</v>
      </c>
      <c r="E1019" s="82" t="str">
        <f>Data!B1018</f>
        <v>8138</v>
      </c>
      <c r="F1019" s="44" t="str">
        <f>Data!A1018</f>
        <v>Wellhausen , William</v>
      </c>
      <c r="G1019" s="55" t="str">
        <f>Data!C1018</f>
        <v>8/23/1957</v>
      </c>
      <c r="H1019" s="56">
        <f>Data!H1018</f>
        <v>44490</v>
      </c>
      <c r="I1019" s="56" t="str">
        <f>Data!I1018</f>
        <v>10/21/2021</v>
      </c>
      <c r="J1019" s="57">
        <f>Data!J1018</f>
        <v>253.2</v>
      </c>
      <c r="K1019" s="58">
        <f t="shared" ca="1" si="17"/>
        <v>210</v>
      </c>
      <c r="L1019" s="58">
        <f>Data!M1018</f>
        <v>0</v>
      </c>
      <c r="M1019" s="37" t="s">
        <v>30</v>
      </c>
      <c r="N1019" s="43" t="str">
        <f>VLOOKUP(M1019,Table1[#All],3,FALSE)</f>
        <v>Claim not on file. Patient is active ;</v>
      </c>
      <c r="O1019" s="40" t="str">
        <f>VLOOKUP(M1019,Table1[#All],4,FALSE)</f>
        <v>Payor ID &amp; Address:</v>
      </c>
      <c r="P1019" s="39" t="s">
        <v>3704</v>
      </c>
      <c r="Q1019" s="40" t="str">
        <f>VLOOKUP(M1019,Table1[#All],5,FALSE)</f>
        <v>Fax # (If Fax Yes):</v>
      </c>
      <c r="R1019" s="79" t="s">
        <v>3767</v>
      </c>
      <c r="S1019" s="40" t="str">
        <f>VLOOKUP(M1019,Table1[#All],6,FALSE)</f>
        <v>TFL in Mnths:</v>
      </c>
      <c r="T1019" s="79" t="s">
        <v>3725</v>
      </c>
      <c r="U1019" s="40" t="str">
        <f>VLOOKUP(M1019,Table1[#All],7,FALSE)</f>
        <v>Call Ref#:</v>
      </c>
      <c r="V1019" s="79" t="s">
        <v>3768</v>
      </c>
      <c r="W1019" s="40" t="str">
        <f>VLOOKUP(M1019,Table1[#All],8,FALSE)</f>
        <v>Cust Rep:</v>
      </c>
      <c r="X1019" s="79" t="s">
        <v>3769</v>
      </c>
      <c r="Y1019" s="44" t="str">
        <f>VLOOKUP(M1019,Table1[#All],2,FALSE)</f>
        <v>Task Sub Pending Claims Queue</v>
      </c>
      <c r="Z1019" s="59" t="str">
        <f>VLOOKUP(M1019,Table1[#All],9,FALSE)</f>
        <v>Additional Notes:</v>
      </c>
      <c r="AA1019" s="76" t="s">
        <v>3707</v>
      </c>
      <c r="AB1019" s="76" t="s">
        <v>3697</v>
      </c>
      <c r="AC1019" s="90" t="s">
        <v>185</v>
      </c>
      <c r="AD1019" s="76" t="s">
        <v>177</v>
      </c>
      <c r="AE1019" s="77" t="s">
        <v>3770</v>
      </c>
      <c r="AF1019" s="110">
        <v>44587</v>
      </c>
      <c r="AG1019" s="41" t="s">
        <v>101</v>
      </c>
    </row>
    <row r="1020" spans="1:33" ht="82.5" hidden="1" x14ac:dyDescent="0.55000000000000004">
      <c r="A1020" s="44" t="str">
        <f>Data!K1019</f>
        <v>United Health Care Dental</v>
      </c>
      <c r="B1020" s="44" t="str">
        <f>Data!L1019</f>
        <v>8882498833</v>
      </c>
      <c r="C1020" s="44" t="str">
        <f>Data!D1019</f>
        <v>Deal, Michelle</v>
      </c>
      <c r="D1020" s="82" t="str">
        <f>Data!F1019</f>
        <v>115911114</v>
      </c>
      <c r="E1020" s="82" t="str">
        <f>Data!B1019</f>
        <v>8252</v>
      </c>
      <c r="F1020" s="44" t="str">
        <f>Data!A1019</f>
        <v>Deal, Michelle</v>
      </c>
      <c r="G1020" s="55" t="str">
        <f>Data!C1019</f>
        <v>5/13/1987</v>
      </c>
      <c r="H1020" s="56">
        <f>Data!H1019</f>
        <v>44487</v>
      </c>
      <c r="I1020" s="56" t="str">
        <f>Data!I1019</f>
        <v>10/21/2021</v>
      </c>
      <c r="J1020" s="57">
        <f>Data!J1019</f>
        <v>595.20000000000005</v>
      </c>
      <c r="K1020" s="58">
        <f t="shared" ca="1" si="17"/>
        <v>210</v>
      </c>
      <c r="L1020" s="58">
        <f>Data!M1019</f>
        <v>0</v>
      </c>
      <c r="M1020" s="37" t="s">
        <v>30</v>
      </c>
      <c r="N1020" s="43" t="str">
        <f>VLOOKUP(M1020,Table1[#All],3,FALSE)</f>
        <v>Claim not on file. Patient is active ;</v>
      </c>
      <c r="O1020" s="40" t="str">
        <f>VLOOKUP(M1020,Table1[#All],4,FALSE)</f>
        <v>Payor ID &amp; Address:</v>
      </c>
      <c r="P1020" s="39" t="s">
        <v>3704</v>
      </c>
      <c r="Q1020" s="40" t="str">
        <f>VLOOKUP(M1020,Table1[#All],5,FALSE)</f>
        <v>Fax # (If Fax Yes):</v>
      </c>
      <c r="R1020" s="79" t="s">
        <v>3767</v>
      </c>
      <c r="S1020" s="40" t="str">
        <f>VLOOKUP(M1020,Table1[#All],6,FALSE)</f>
        <v>TFL in Mnths:</v>
      </c>
      <c r="T1020" s="79" t="s">
        <v>3725</v>
      </c>
      <c r="U1020" s="40" t="str">
        <f>VLOOKUP(M1020,Table1[#All],7,FALSE)</f>
        <v>Call Ref#:</v>
      </c>
      <c r="V1020" s="79" t="s">
        <v>3768</v>
      </c>
      <c r="W1020" s="40" t="str">
        <f>VLOOKUP(M1020,Table1[#All],8,FALSE)</f>
        <v>Cust Rep:</v>
      </c>
      <c r="X1020" s="79" t="s">
        <v>3769</v>
      </c>
      <c r="Y1020" s="44" t="str">
        <f>VLOOKUP(M1020,Table1[#All],2,FALSE)</f>
        <v>Task Sub Pending Claims Queue</v>
      </c>
      <c r="Z1020" s="59" t="str">
        <f>VLOOKUP(M1020,Table1[#All],9,FALSE)</f>
        <v>Additional Notes:</v>
      </c>
      <c r="AA1020" s="76" t="s">
        <v>3707</v>
      </c>
      <c r="AB1020" s="76" t="s">
        <v>3697</v>
      </c>
      <c r="AC1020" s="90" t="s">
        <v>185</v>
      </c>
      <c r="AD1020" s="76" t="s">
        <v>177</v>
      </c>
      <c r="AE1020" s="77" t="s">
        <v>3770</v>
      </c>
      <c r="AF1020" s="110">
        <v>44587</v>
      </c>
      <c r="AG1020" s="41" t="s">
        <v>101</v>
      </c>
    </row>
    <row r="1021" spans="1:33" ht="82.5" hidden="1" x14ac:dyDescent="0.55000000000000004">
      <c r="A1021" s="44" t="str">
        <f>Data!K1020</f>
        <v>United Health Care Dental</v>
      </c>
      <c r="B1021" s="44" t="str">
        <f>Data!L1020</f>
        <v>8882498833</v>
      </c>
      <c r="C1021" s="44" t="str">
        <f>Data!D1020</f>
        <v>RANDLE, RACHAEL</v>
      </c>
      <c r="D1021" s="82" t="str">
        <f>Data!F1020</f>
        <v>118068673</v>
      </c>
      <c r="E1021" s="82" t="str">
        <f>Data!B1020</f>
        <v>8018</v>
      </c>
      <c r="F1021" s="44" t="str">
        <f>Data!A1020</f>
        <v>RANDLE, RACHAEL</v>
      </c>
      <c r="G1021" s="55" t="str">
        <f>Data!C1020</f>
        <v>6/17/2002</v>
      </c>
      <c r="H1021" s="56">
        <f>Data!H1020</f>
        <v>44490</v>
      </c>
      <c r="I1021" s="56" t="str">
        <f>Data!I1020</f>
        <v>10/18/2021</v>
      </c>
      <c r="J1021" s="57">
        <f>Data!J1020</f>
        <v>253.2</v>
      </c>
      <c r="K1021" s="58">
        <f t="shared" ca="1" si="17"/>
        <v>213</v>
      </c>
      <c r="L1021" s="58">
        <f>Data!M1020</f>
        <v>0</v>
      </c>
      <c r="M1021" s="37" t="s">
        <v>30</v>
      </c>
      <c r="N1021" s="43" t="str">
        <f>VLOOKUP(M1021,Table1[#All],3,FALSE)</f>
        <v>Claim not on file. Patient is active ;</v>
      </c>
      <c r="O1021" s="40" t="str">
        <f>VLOOKUP(M1021,Table1[#All],4,FALSE)</f>
        <v>Payor ID &amp; Address:</v>
      </c>
      <c r="P1021" s="39" t="s">
        <v>3704</v>
      </c>
      <c r="Q1021" s="40" t="str">
        <f>VLOOKUP(M1021,Table1[#All],5,FALSE)</f>
        <v>Fax # (If Fax Yes):</v>
      </c>
      <c r="R1021" s="79" t="s">
        <v>3767</v>
      </c>
      <c r="S1021" s="40" t="str">
        <f>VLOOKUP(M1021,Table1[#All],6,FALSE)</f>
        <v>TFL in Mnths:</v>
      </c>
      <c r="T1021" s="79" t="s">
        <v>3725</v>
      </c>
      <c r="U1021" s="40" t="str">
        <f>VLOOKUP(M1021,Table1[#All],7,FALSE)</f>
        <v>Call Ref#:</v>
      </c>
      <c r="V1021" s="79" t="s">
        <v>3768</v>
      </c>
      <c r="W1021" s="40" t="str">
        <f>VLOOKUP(M1021,Table1[#All],8,FALSE)</f>
        <v>Cust Rep:</v>
      </c>
      <c r="X1021" s="79" t="s">
        <v>3769</v>
      </c>
      <c r="Y1021" s="44" t="str">
        <f>VLOOKUP(M1021,Table1[#All],2,FALSE)</f>
        <v>Task Sub Pending Claims Queue</v>
      </c>
      <c r="Z1021" s="59" t="str">
        <f>VLOOKUP(M1021,Table1[#All],9,FALSE)</f>
        <v>Additional Notes:</v>
      </c>
      <c r="AA1021" s="76" t="s">
        <v>3707</v>
      </c>
      <c r="AB1021" s="76" t="s">
        <v>3697</v>
      </c>
      <c r="AC1021" s="90" t="s">
        <v>185</v>
      </c>
      <c r="AD1021" s="76" t="s">
        <v>177</v>
      </c>
      <c r="AE1021" s="77" t="s">
        <v>3770</v>
      </c>
      <c r="AF1021" s="110">
        <v>44618</v>
      </c>
      <c r="AG1021" s="41" t="s">
        <v>101</v>
      </c>
    </row>
    <row r="1022" spans="1:33" ht="33" hidden="1" x14ac:dyDescent="0.55000000000000004">
      <c r="A1022" s="44" t="str">
        <f>Data!K1021</f>
        <v>United Health Care Dental</v>
      </c>
      <c r="B1022" s="44" t="str">
        <f>Data!L1021</f>
        <v>8882498833</v>
      </c>
      <c r="C1022" s="44" t="str">
        <f>Data!D1021</f>
        <v xml:space="preserve">Mokry , Bianca </v>
      </c>
      <c r="D1022" s="82" t="str">
        <f>Data!F1021</f>
        <v>119167874</v>
      </c>
      <c r="E1022" s="82" t="str">
        <f>Data!B1021</f>
        <v>4531</v>
      </c>
      <c r="F1022" s="44" t="str">
        <f>Data!A1021</f>
        <v xml:space="preserve">Mokry , Bianca </v>
      </c>
      <c r="G1022" s="55" t="str">
        <f>Data!C1021</f>
        <v>8/3/1992</v>
      </c>
      <c r="H1022" s="56">
        <f>Data!H1021</f>
        <v>44484</v>
      </c>
      <c r="I1022" s="56" t="str">
        <f>Data!I1021</f>
        <v>10/21/2021</v>
      </c>
      <c r="J1022" s="57">
        <f>Data!J1021</f>
        <v>266</v>
      </c>
      <c r="K1022" s="58">
        <f t="shared" ca="1" si="17"/>
        <v>210</v>
      </c>
      <c r="L1022" s="58">
        <f>Data!M1021</f>
        <v>0</v>
      </c>
      <c r="M1022" s="37" t="s">
        <v>11</v>
      </c>
      <c r="N1022" s="43" t="str">
        <f>VLOOKUP(M1022,Table1[#All],3,FALSE)</f>
        <v>Claim denied due to Frequency;</v>
      </c>
      <c r="O1022" s="40" t="str">
        <f>VLOOKUP(M1022,Table1[#All],4,FALSE)</f>
        <v>Freq for Proc:</v>
      </c>
      <c r="P1022" s="39" t="s">
        <v>3763</v>
      </c>
      <c r="Q1022" s="40" t="str">
        <f>VLOOKUP(M1022,Table1[#All],5,FALSE)</f>
        <v>Hist dts:</v>
      </c>
      <c r="R1022" s="112">
        <v>44028</v>
      </c>
      <c r="S1022" s="40" t="str">
        <f>VLOOKUP(M1022,Table1[#All],6,FALSE)</f>
        <v>Call Ref#:</v>
      </c>
      <c r="T1022" s="79" t="s">
        <v>3764</v>
      </c>
      <c r="U1022" s="40" t="str">
        <f>VLOOKUP(M1022,Table1[#All],7,FALSE)</f>
        <v>Cust Rep:</v>
      </c>
      <c r="V1022" s="79" t="s">
        <v>3765</v>
      </c>
      <c r="W1022" s="40">
        <f>VLOOKUP(M1022,Table1[#All],8,FALSE)</f>
        <v>0</v>
      </c>
      <c r="X1022" s="76"/>
      <c r="Y1022" s="44" t="str">
        <f>VLOOKUP(M1022,Table1[#All],2,FALSE)</f>
        <v xml:space="preserve">Task Post Pmt Queue </v>
      </c>
      <c r="Z1022" s="59" t="str">
        <f>VLOOKUP(M1022,Table1[#All],9,FALSE)</f>
        <v>Additional Notes:</v>
      </c>
      <c r="AA1022" s="76" t="s">
        <v>3766</v>
      </c>
      <c r="AB1022" s="76" t="s">
        <v>3697</v>
      </c>
      <c r="AC1022" s="90" t="s">
        <v>115</v>
      </c>
      <c r="AD1022" s="76" t="s">
        <v>177</v>
      </c>
      <c r="AE1022" s="77" t="s">
        <v>3698</v>
      </c>
      <c r="AF1022" s="110">
        <v>44613</v>
      </c>
      <c r="AG1022" s="41" t="s">
        <v>101</v>
      </c>
    </row>
    <row r="1023" spans="1:33" ht="42" hidden="1" x14ac:dyDescent="0.55000000000000004">
      <c r="A1023" s="44" t="str">
        <f>Data!K1022</f>
        <v>United Health Care Dental</v>
      </c>
      <c r="B1023" s="44" t="str">
        <f>Data!L1022</f>
        <v>8882498833</v>
      </c>
      <c r="C1023" s="44" t="str">
        <f>Data!D1022</f>
        <v>Mason, Umar</v>
      </c>
      <c r="D1023" s="82" t="str">
        <f>Data!F1022</f>
        <v>121991478</v>
      </c>
      <c r="E1023" s="82" t="str">
        <f>Data!B1022</f>
        <v>8047</v>
      </c>
      <c r="F1023" s="44" t="str">
        <f>Data!A1022</f>
        <v>Mason, Umar</v>
      </c>
      <c r="G1023" s="55" t="str">
        <f>Data!C1022</f>
        <v>5/20/1975</v>
      </c>
      <c r="H1023" s="56">
        <f>Data!H1022</f>
        <v>44475</v>
      </c>
      <c r="I1023" s="56" t="str">
        <f>Data!I1022</f>
        <v>10/8/2021</v>
      </c>
      <c r="J1023" s="57">
        <f>Data!J1022</f>
        <v>216</v>
      </c>
      <c r="K1023" s="58">
        <f t="shared" ca="1" si="17"/>
        <v>223</v>
      </c>
      <c r="L1023" s="58">
        <f>Data!M1022</f>
        <v>0</v>
      </c>
      <c r="M1023" s="37" t="s">
        <v>20</v>
      </c>
      <c r="N1023" s="43" t="str">
        <f>VLOOKUP(M1023,Table1[#All],3,FALSE)</f>
        <v>Ins needs more info, need to submit;</v>
      </c>
      <c r="O1023" s="40" t="str">
        <f>VLOOKUP(M1023,Table1[#All],4,FALSE)</f>
        <v>Attachments/Info needed?</v>
      </c>
      <c r="P1023" s="39" t="s">
        <v>3759</v>
      </c>
      <c r="Q1023" s="40" t="str">
        <f>VLOOKUP(M1023,Table1[#All],5,FALSE)</f>
        <v>Fax # (If Fax Yes):</v>
      </c>
      <c r="R1023" s="79" t="s">
        <v>3760</v>
      </c>
      <c r="S1023" s="40" t="str">
        <f>VLOOKUP(M1023,Table1[#All],6,FALSE)</f>
        <v>Call Ref#:</v>
      </c>
      <c r="T1023" s="79" t="s">
        <v>3694</v>
      </c>
      <c r="U1023" s="40" t="str">
        <f>VLOOKUP(M1023,Table1[#All],7,FALSE)</f>
        <v>Cust Rep:</v>
      </c>
      <c r="V1023" s="79" t="s">
        <v>3695</v>
      </c>
      <c r="W1023" s="40">
        <f>VLOOKUP(M1023,Table1[#All],8,FALSE)</f>
        <v>0</v>
      </c>
      <c r="X1023" s="79"/>
      <c r="Y1023" s="44" t="str">
        <f>VLOOKUP(M1023,Table1[#All],2,FALSE)</f>
        <v xml:space="preserve">Task Sub Pending Claims Queue </v>
      </c>
      <c r="Z1023" s="59" t="str">
        <f>VLOOKUP(M1023,Table1[#All],9,FALSE)</f>
        <v>Additional Notes:</v>
      </c>
      <c r="AA1023" s="76" t="s">
        <v>3761</v>
      </c>
      <c r="AB1023" s="76" t="s">
        <v>3697</v>
      </c>
      <c r="AC1023" s="90" t="s">
        <v>115</v>
      </c>
      <c r="AD1023" s="76" t="s">
        <v>177</v>
      </c>
      <c r="AE1023" s="77" t="s">
        <v>3698</v>
      </c>
      <c r="AF1023" s="110">
        <v>44614</v>
      </c>
      <c r="AG1023" s="41" t="s">
        <v>101</v>
      </c>
    </row>
    <row r="1024" spans="1:33" ht="33" hidden="1" x14ac:dyDescent="0.55000000000000004">
      <c r="A1024" s="44" t="str">
        <f>Data!K1023</f>
        <v>United Health Care Dental</v>
      </c>
      <c r="B1024" s="44" t="str">
        <f>Data!L1023</f>
        <v>8882498833</v>
      </c>
      <c r="C1024" s="44" t="str">
        <f>Data!D1023</f>
        <v xml:space="preserve">Eckblad , Amanda </v>
      </c>
      <c r="D1024" s="82" t="str">
        <f>Data!F1023</f>
        <v>116006677</v>
      </c>
      <c r="E1024" s="82" t="str">
        <f>Data!B1023</f>
        <v>5867</v>
      </c>
      <c r="F1024" s="44" t="str">
        <f>Data!A1023</f>
        <v xml:space="preserve">Eckblad , Amanda </v>
      </c>
      <c r="G1024" s="55" t="str">
        <f>Data!C1023</f>
        <v>3/2/1996</v>
      </c>
      <c r="H1024" s="56">
        <f>Data!H1023</f>
        <v>44475</v>
      </c>
      <c r="I1024" s="56" t="str">
        <f>Data!I1023</f>
        <v>10/8/2021</v>
      </c>
      <c r="J1024" s="57">
        <f>Data!J1023</f>
        <v>470</v>
      </c>
      <c r="K1024" s="58">
        <f t="shared" ca="1" si="17"/>
        <v>223</v>
      </c>
      <c r="L1024" s="58">
        <f>Data!M1023</f>
        <v>0</v>
      </c>
      <c r="M1024" s="37" t="s">
        <v>5</v>
      </c>
      <c r="N1024" s="43" t="str">
        <f>VLOOKUP(M1024,Table1[#All],3,FALSE)</f>
        <v>Claim Paid by EFT;</v>
      </c>
      <c r="O1024" s="40" t="str">
        <f>VLOOKUP(M1024,Table1[#All],4,FALSE)</f>
        <v>Issue Date:</v>
      </c>
      <c r="P1024" s="38">
        <v>44488</v>
      </c>
      <c r="Q1024" s="40" t="str">
        <f>VLOOKUP(M1024,Table1[#All],5,FALSE)</f>
        <v>EFT#</v>
      </c>
      <c r="R1024" s="79">
        <v>7164752</v>
      </c>
      <c r="S1024" s="40" t="str">
        <f>VLOOKUP(M1024,Table1[#All],6,FALSE)</f>
        <v>Bulk/Sep:</v>
      </c>
      <c r="T1024" s="79" t="s">
        <v>3741</v>
      </c>
      <c r="U1024" s="40" t="str">
        <f>VLOOKUP(M1024,Table1[#All],7,FALSE)</f>
        <v>Call Ref#:</v>
      </c>
      <c r="V1024" s="79"/>
      <c r="W1024" s="40" t="str">
        <f>VLOOKUP(M1024,Table1[#All],8,FALSE)</f>
        <v>Cust Rep:</v>
      </c>
      <c r="X1024" s="79"/>
      <c r="Y1024" s="44" t="str">
        <f>VLOOKUP(M1024,Table1[#All],2,FALSE)</f>
        <v xml:space="preserve">Task Post Pmt Queue </v>
      </c>
      <c r="Z1024" s="59" t="str">
        <f>VLOOKUP(M1024,Table1[#All],9,FALSE)</f>
        <v>Additional Notes:</v>
      </c>
      <c r="AA1024" s="76" t="s">
        <v>3758</v>
      </c>
      <c r="AB1024" s="76" t="s">
        <v>3697</v>
      </c>
      <c r="AC1024" s="90" t="s">
        <v>115</v>
      </c>
      <c r="AD1024" s="76" t="s">
        <v>177</v>
      </c>
      <c r="AE1024" s="77" t="s">
        <v>3698</v>
      </c>
      <c r="AF1024" s="110">
        <v>44614</v>
      </c>
      <c r="AG1024" s="41" t="s">
        <v>101</v>
      </c>
    </row>
    <row r="1025" spans="1:33" ht="33" hidden="1" x14ac:dyDescent="0.55000000000000004">
      <c r="A1025" s="44" t="str">
        <f>Data!K1024</f>
        <v>United Health Care Dental</v>
      </c>
      <c r="B1025" s="44" t="str">
        <f>Data!L1024</f>
        <v>8882498833</v>
      </c>
      <c r="C1025" s="44" t="str">
        <f>Data!D1024</f>
        <v>Shkreli, Aleks</v>
      </c>
      <c r="D1025" s="82" t="str">
        <f>Data!F1024</f>
        <v>110572004</v>
      </c>
      <c r="E1025" s="82" t="str">
        <f>Data!B1024</f>
        <v>7735</v>
      </c>
      <c r="F1025" s="44" t="str">
        <f>Data!A1024</f>
        <v>Shkreli, Aleks</v>
      </c>
      <c r="G1025" s="55" t="str">
        <f>Data!C1024</f>
        <v>4/27/2016</v>
      </c>
      <c r="H1025" s="56">
        <f>Data!H1024</f>
        <v>44471</v>
      </c>
      <c r="I1025" s="56" t="str">
        <f>Data!I1024</f>
        <v>10/7/2021</v>
      </c>
      <c r="J1025" s="57">
        <f>Data!J1024</f>
        <v>182.8</v>
      </c>
      <c r="K1025" s="58">
        <f t="shared" ca="1" si="17"/>
        <v>224</v>
      </c>
      <c r="L1025" s="58">
        <f>Data!M1024</f>
        <v>0</v>
      </c>
      <c r="M1025" s="37" t="s">
        <v>5</v>
      </c>
      <c r="N1025" s="43" t="str">
        <f>VLOOKUP(M1025,Table1[#All],3,FALSE)</f>
        <v>Claim Paid by EFT;</v>
      </c>
      <c r="O1025" s="40" t="str">
        <f>VLOOKUP(M1025,Table1[#All],4,FALSE)</f>
        <v>Issue Date:</v>
      </c>
      <c r="P1025" s="38">
        <v>44481</v>
      </c>
      <c r="Q1025" s="40" t="str">
        <f>VLOOKUP(M1025,Table1[#All],5,FALSE)</f>
        <v>EFT#</v>
      </c>
      <c r="R1025" s="79">
        <v>7154050</v>
      </c>
      <c r="S1025" s="40" t="str">
        <f>VLOOKUP(M1025,Table1[#All],6,FALSE)</f>
        <v>Bulk/Sep:</v>
      </c>
      <c r="T1025" s="79" t="s">
        <v>3741</v>
      </c>
      <c r="U1025" s="40" t="str">
        <f>VLOOKUP(M1025,Table1[#All],7,FALSE)</f>
        <v>Call Ref#:</v>
      </c>
      <c r="V1025" s="79" t="s">
        <v>3756</v>
      </c>
      <c r="W1025" s="40" t="str">
        <f>VLOOKUP(M1025,Table1[#All],8,FALSE)</f>
        <v>Cust Rep:</v>
      </c>
      <c r="X1025" s="79" t="s">
        <v>3754</v>
      </c>
      <c r="Y1025" s="44" t="str">
        <f>VLOOKUP(M1025,Table1[#All],2,FALSE)</f>
        <v xml:space="preserve">Task Post Pmt Queue </v>
      </c>
      <c r="Z1025" s="59" t="str">
        <f>VLOOKUP(M1025,Table1[#All],9,FALSE)</f>
        <v>Additional Notes:</v>
      </c>
      <c r="AA1025" s="76" t="s">
        <v>3757</v>
      </c>
      <c r="AB1025" s="76" t="s">
        <v>3697</v>
      </c>
      <c r="AC1025" s="90" t="s">
        <v>115</v>
      </c>
      <c r="AD1025" s="76" t="s">
        <v>177</v>
      </c>
      <c r="AE1025" s="77" t="s">
        <v>3698</v>
      </c>
      <c r="AF1025" s="110">
        <v>44614</v>
      </c>
      <c r="AG1025" s="41" t="s">
        <v>101</v>
      </c>
    </row>
    <row r="1026" spans="1:33" ht="33" hidden="1" x14ac:dyDescent="0.55000000000000004">
      <c r="A1026" s="44" t="str">
        <f>Data!K1025</f>
        <v>United Health Care Dental</v>
      </c>
      <c r="B1026" s="44" t="str">
        <f>Data!L1025</f>
        <v>8882498833</v>
      </c>
      <c r="C1026" s="44" t="str">
        <f>Data!D1025</f>
        <v>Salamone Cacciotti , Kimberle</v>
      </c>
      <c r="D1026" s="82" t="str">
        <f>Data!F1025</f>
        <v>116182830</v>
      </c>
      <c r="E1026" s="82" t="str">
        <f>Data!B1025</f>
        <v>7481</v>
      </c>
      <c r="F1026" s="44" t="str">
        <f>Data!A1025</f>
        <v>Salamone Cacciotti , Kimberle</v>
      </c>
      <c r="G1026" s="55" t="str">
        <f>Data!C1025</f>
        <v>12/6/1974</v>
      </c>
      <c r="H1026" s="56">
        <f>Data!H1025</f>
        <v>44468</v>
      </c>
      <c r="I1026" s="56" t="str">
        <f>Data!I1025</f>
        <v>10/4/2021</v>
      </c>
      <c r="J1026" s="57">
        <f>Data!J1025</f>
        <v>930</v>
      </c>
      <c r="K1026" s="58">
        <f t="shared" ca="1" si="17"/>
        <v>227</v>
      </c>
      <c r="L1026" s="58">
        <f>Data!M1025</f>
        <v>0</v>
      </c>
      <c r="M1026" s="37" t="s">
        <v>5</v>
      </c>
      <c r="N1026" s="43" t="str">
        <f>VLOOKUP(M1026,Table1[#All],3,FALSE)</f>
        <v>Claim Paid by EFT;</v>
      </c>
      <c r="O1026" s="40" t="str">
        <f>VLOOKUP(M1026,Table1[#All],4,FALSE)</f>
        <v>Issue Date:</v>
      </c>
      <c r="P1026" s="38">
        <v>44488</v>
      </c>
      <c r="Q1026" s="40" t="str">
        <f>VLOOKUP(M1026,Table1[#All],5,FALSE)</f>
        <v>EFT#</v>
      </c>
      <c r="R1026" s="79">
        <v>7165073</v>
      </c>
      <c r="S1026" s="40" t="str">
        <f>VLOOKUP(M1026,Table1[#All],6,FALSE)</f>
        <v>Bulk/Sep:</v>
      </c>
      <c r="T1026" s="79" t="s">
        <v>3699</v>
      </c>
      <c r="U1026" s="40" t="str">
        <f>VLOOKUP(M1026,Table1[#All],7,FALSE)</f>
        <v>Call Ref#:</v>
      </c>
      <c r="V1026" s="79" t="s">
        <v>3753</v>
      </c>
      <c r="W1026" s="40" t="str">
        <f>VLOOKUP(M1026,Table1[#All],8,FALSE)</f>
        <v>Cust Rep:</v>
      </c>
      <c r="X1026" s="79" t="s">
        <v>3754</v>
      </c>
      <c r="Y1026" s="44" t="str">
        <f>VLOOKUP(M1026,Table1[#All],2,FALSE)</f>
        <v xml:space="preserve">Task Post Pmt Queue </v>
      </c>
      <c r="Z1026" s="59" t="str">
        <f>VLOOKUP(M1026,Table1[#All],9,FALSE)</f>
        <v>Additional Notes:</v>
      </c>
      <c r="AA1026" s="76" t="s">
        <v>3755</v>
      </c>
      <c r="AB1026" s="76" t="s">
        <v>3697</v>
      </c>
      <c r="AC1026" s="90" t="s">
        <v>115</v>
      </c>
      <c r="AD1026" s="76" t="s">
        <v>177</v>
      </c>
      <c r="AE1026" s="77" t="s">
        <v>3698</v>
      </c>
      <c r="AF1026" s="110">
        <v>44614</v>
      </c>
      <c r="AG1026" s="41" t="s">
        <v>101</v>
      </c>
    </row>
    <row r="1027" spans="1:33" ht="33" hidden="1" x14ac:dyDescent="0.55000000000000004">
      <c r="A1027" s="44" t="str">
        <f>Data!K1026</f>
        <v>United Health Care Dental</v>
      </c>
      <c r="B1027" s="44" t="str">
        <f>Data!L1026</f>
        <v>8882498833</v>
      </c>
      <c r="C1027" s="44" t="str">
        <f>Data!D1026</f>
        <v>FONK, JOLENE</v>
      </c>
      <c r="D1027" s="82" t="str">
        <f>Data!F1026</f>
        <v>119276954</v>
      </c>
      <c r="E1027" s="82" t="str">
        <f>Data!B1026</f>
        <v>7677</v>
      </c>
      <c r="F1027" s="44" t="str">
        <f>Data!A1026</f>
        <v>FONK, JOLENE</v>
      </c>
      <c r="G1027" s="55" t="str">
        <f>Data!C1026</f>
        <v>9/18/1994</v>
      </c>
      <c r="H1027" s="56">
        <f>Data!H1026</f>
        <v>44468</v>
      </c>
      <c r="I1027" s="56" t="str">
        <f>Data!I1026</f>
        <v>10/4/2021</v>
      </c>
      <c r="J1027" s="57">
        <f>Data!J1026</f>
        <v>190.8</v>
      </c>
      <c r="K1027" s="58">
        <f t="shared" ca="1" si="17"/>
        <v>227</v>
      </c>
      <c r="L1027" s="58">
        <f>Data!M1026</f>
        <v>0</v>
      </c>
      <c r="M1027" s="37" t="s">
        <v>5</v>
      </c>
      <c r="N1027" s="43" t="str">
        <f>VLOOKUP(M1027,Table1[#All],3,FALSE)</f>
        <v>Claim Paid by EFT;</v>
      </c>
      <c r="O1027" s="40" t="str">
        <f>VLOOKUP(M1027,Table1[#All],4,FALSE)</f>
        <v>Issue Date:</v>
      </c>
      <c r="P1027" s="38">
        <v>44542</v>
      </c>
      <c r="Q1027" s="40" t="str">
        <f>VLOOKUP(M1027,Table1[#All],5,FALSE)</f>
        <v>EFT#</v>
      </c>
      <c r="R1027" s="79">
        <v>7154050</v>
      </c>
      <c r="S1027" s="40" t="str">
        <f>VLOOKUP(M1027,Table1[#All],6,FALSE)</f>
        <v>Bulk/Sep:</v>
      </c>
      <c r="T1027" s="79" t="s">
        <v>3741</v>
      </c>
      <c r="U1027" s="40" t="str">
        <f>VLOOKUP(M1027,Table1[#All],7,FALSE)</f>
        <v>Call Ref#:</v>
      </c>
      <c r="V1027" s="79" t="s">
        <v>3742</v>
      </c>
      <c r="W1027" s="40" t="str">
        <f>VLOOKUP(M1027,Table1[#All],8,FALSE)</f>
        <v>Cust Rep:</v>
      </c>
      <c r="X1027" s="79" t="s">
        <v>3743</v>
      </c>
      <c r="Y1027" s="44" t="str">
        <f>VLOOKUP(M1027,Table1[#All],2,FALSE)</f>
        <v xml:space="preserve">Task Post Pmt Queue </v>
      </c>
      <c r="Z1027" s="59" t="str">
        <f>VLOOKUP(M1027,Table1[#All],9,FALSE)</f>
        <v>Additional Notes:</v>
      </c>
      <c r="AA1027" s="76" t="s">
        <v>3752</v>
      </c>
      <c r="AB1027" s="76" t="s">
        <v>3697</v>
      </c>
      <c r="AC1027" s="90" t="s">
        <v>115</v>
      </c>
      <c r="AD1027" s="76" t="s">
        <v>177</v>
      </c>
      <c r="AE1027" s="77" t="s">
        <v>3698</v>
      </c>
      <c r="AF1027" s="110">
        <v>44614</v>
      </c>
      <c r="AG1027" s="41" t="s">
        <v>101</v>
      </c>
    </row>
    <row r="1028" spans="1:33" ht="21" hidden="1" x14ac:dyDescent="0.55000000000000004">
      <c r="A1028" s="44" t="str">
        <f>Data!K1027</f>
        <v>United Health Care Dental</v>
      </c>
      <c r="B1028" s="44" t="str">
        <f>Data!L1027</f>
        <v>8882498833</v>
      </c>
      <c r="C1028" s="44" t="str">
        <f>Data!D1027</f>
        <v>BETTACK, EMBER</v>
      </c>
      <c r="D1028" s="82" t="str">
        <f>Data!F1027</f>
        <v>110879086</v>
      </c>
      <c r="E1028" s="82" t="str">
        <f>Data!B1027</f>
        <v>1245</v>
      </c>
      <c r="F1028" s="44" t="str">
        <f>Data!A1027</f>
        <v>BETTACK, EMBER</v>
      </c>
      <c r="G1028" s="55" t="str">
        <f>Data!C1027</f>
        <v>11/12/1977</v>
      </c>
      <c r="H1028" s="56">
        <f>Data!H1027</f>
        <v>44468</v>
      </c>
      <c r="I1028" s="56" t="str">
        <f>Data!I1027</f>
        <v>10/4/2021</v>
      </c>
      <c r="J1028" s="57">
        <f>Data!J1027</f>
        <v>250.8</v>
      </c>
      <c r="K1028" s="58">
        <f t="shared" ca="1" si="17"/>
        <v>227</v>
      </c>
      <c r="L1028" s="58">
        <f>Data!M1027</f>
        <v>0</v>
      </c>
      <c r="M1028" s="37" t="s">
        <v>5</v>
      </c>
      <c r="N1028" s="43" t="str">
        <f>VLOOKUP(M1028,Table1[#All],3,FALSE)</f>
        <v>Claim Paid by EFT;</v>
      </c>
      <c r="O1028" s="40" t="str">
        <f>VLOOKUP(M1028,Table1[#All],4,FALSE)</f>
        <v>Issue Date:</v>
      </c>
      <c r="P1028" s="38">
        <v>44481</v>
      </c>
      <c r="Q1028" s="40" t="str">
        <f>VLOOKUP(M1028,Table1[#All],5,FALSE)</f>
        <v>EFT#</v>
      </c>
      <c r="R1028" s="79">
        <v>7154050</v>
      </c>
      <c r="S1028" s="40" t="str">
        <f>VLOOKUP(M1028,Table1[#All],6,FALSE)</f>
        <v>Bulk/Sep:</v>
      </c>
      <c r="T1028" s="79"/>
      <c r="U1028" s="40" t="str">
        <f>VLOOKUP(M1028,Table1[#All],7,FALSE)</f>
        <v>Call Ref#:</v>
      </c>
      <c r="V1028" s="79"/>
      <c r="W1028" s="40" t="str">
        <f>VLOOKUP(M1028,Table1[#All],8,FALSE)</f>
        <v>Cust Rep:</v>
      </c>
      <c r="X1028" s="79"/>
      <c r="Y1028" s="44" t="str">
        <f>VLOOKUP(M1028,Table1[#All],2,FALSE)</f>
        <v xml:space="preserve">Task Post Pmt Queue </v>
      </c>
      <c r="Z1028" s="59" t="str">
        <f>VLOOKUP(M1028,Table1[#All],9,FALSE)</f>
        <v>Additional Notes:</v>
      </c>
      <c r="AA1028" s="76" t="s">
        <v>3751</v>
      </c>
      <c r="AB1028" s="76" t="s">
        <v>3697</v>
      </c>
      <c r="AC1028" s="90" t="s">
        <v>115</v>
      </c>
      <c r="AD1028" s="76" t="s">
        <v>177</v>
      </c>
      <c r="AE1028" s="77" t="s">
        <v>3698</v>
      </c>
      <c r="AF1028" s="110">
        <v>44614</v>
      </c>
      <c r="AG1028" s="41" t="s">
        <v>101</v>
      </c>
    </row>
    <row r="1029" spans="1:33" ht="33" hidden="1" x14ac:dyDescent="0.55000000000000004">
      <c r="A1029" s="44" t="str">
        <f>Data!K1028</f>
        <v>United Health Care Dental</v>
      </c>
      <c r="B1029" s="44" t="str">
        <f>Data!L1028</f>
        <v>8882498833</v>
      </c>
      <c r="C1029" s="44" t="str">
        <f>Data!D1028</f>
        <v xml:space="preserve">Love , Sandra </v>
      </c>
      <c r="D1029" s="82" t="str">
        <f>Data!F1028</f>
        <v>114906706</v>
      </c>
      <c r="E1029" s="82" t="str">
        <f>Data!B1028</f>
        <v>7586</v>
      </c>
      <c r="F1029" s="44" t="str">
        <f>Data!A1028</f>
        <v xml:space="preserve">Love , Sandra </v>
      </c>
      <c r="G1029" s="55" t="str">
        <f>Data!C1028</f>
        <v>6/30/1943</v>
      </c>
      <c r="H1029" s="56">
        <f>Data!H1028</f>
        <v>44467</v>
      </c>
      <c r="I1029" s="56" t="str">
        <f>Data!I1028</f>
        <v>10/1/2021</v>
      </c>
      <c r="J1029" s="57">
        <f>Data!J1028</f>
        <v>2600.4</v>
      </c>
      <c r="K1029" s="58">
        <f t="shared" ca="1" si="17"/>
        <v>230</v>
      </c>
      <c r="L1029" s="58">
        <f>Data!M1028</f>
        <v>0</v>
      </c>
      <c r="M1029" s="37" t="s">
        <v>5</v>
      </c>
      <c r="N1029" s="43" t="str">
        <f>VLOOKUP(M1029,Table1[#All],3,FALSE)</f>
        <v>Claim Paid by EFT;</v>
      </c>
      <c r="O1029" s="40" t="str">
        <f>VLOOKUP(M1029,Table1[#All],4,FALSE)</f>
        <v>Issue Date:</v>
      </c>
      <c r="P1029" s="38">
        <v>44488</v>
      </c>
      <c r="Q1029" s="40" t="str">
        <f>VLOOKUP(M1029,Table1[#All],5,FALSE)</f>
        <v>EFT#</v>
      </c>
      <c r="R1029" s="79">
        <v>7165073</v>
      </c>
      <c r="S1029" s="40" t="str">
        <f>VLOOKUP(M1029,Table1[#All],6,FALSE)</f>
        <v>Bulk/Sep:</v>
      </c>
      <c r="T1029" s="124">
        <v>3965</v>
      </c>
      <c r="U1029" s="40" t="str">
        <f>VLOOKUP(M1029,Table1[#All],7,FALSE)</f>
        <v>Call Ref#:</v>
      </c>
      <c r="V1029" s="79" t="s">
        <v>3748</v>
      </c>
      <c r="W1029" s="40" t="str">
        <f>VLOOKUP(M1029,Table1[#All],8,FALSE)</f>
        <v>Cust Rep:</v>
      </c>
      <c r="X1029" s="79" t="s">
        <v>3749</v>
      </c>
      <c r="Y1029" s="44" t="str">
        <f>VLOOKUP(M1029,Table1[#All],2,FALSE)</f>
        <v xml:space="preserve">Task Post Pmt Queue </v>
      </c>
      <c r="Z1029" s="59" t="str">
        <f>VLOOKUP(M1029,Table1[#All],9,FALSE)</f>
        <v>Additional Notes:</v>
      </c>
      <c r="AA1029" s="76" t="s">
        <v>3750</v>
      </c>
      <c r="AB1029" s="76" t="s">
        <v>3697</v>
      </c>
      <c r="AC1029" s="90" t="s">
        <v>115</v>
      </c>
      <c r="AD1029" s="76" t="s">
        <v>177</v>
      </c>
      <c r="AE1029" s="77" t="s">
        <v>3698</v>
      </c>
      <c r="AF1029" s="110">
        <v>44613</v>
      </c>
      <c r="AG1029" s="41" t="s">
        <v>101</v>
      </c>
    </row>
    <row r="1030" spans="1:33" ht="42" hidden="1" x14ac:dyDescent="0.55000000000000004">
      <c r="A1030" s="44" t="str">
        <f>Data!K1029</f>
        <v>United Health Care Dental</v>
      </c>
      <c r="B1030" s="44" t="str">
        <f>Data!L1029</f>
        <v>8882498833</v>
      </c>
      <c r="C1030" s="44" t="str">
        <f>Data!D1029</f>
        <v xml:space="preserve">Sahebi, Jahan </v>
      </c>
      <c r="D1030" s="82" t="str">
        <f>Data!F1029</f>
        <v>119615866</v>
      </c>
      <c r="E1030" s="82" t="str">
        <f>Data!B1029</f>
        <v>8071</v>
      </c>
      <c r="F1030" s="44" t="str">
        <f>Data!A1029</f>
        <v xml:space="preserve">Sahebi, Jahan </v>
      </c>
      <c r="G1030" s="55" t="str">
        <f>Data!C1029</f>
        <v>9/5/1949</v>
      </c>
      <c r="H1030" s="56">
        <f>Data!H1029</f>
        <v>44467</v>
      </c>
      <c r="I1030" s="56" t="str">
        <f>Data!I1029</f>
        <v>10/15/2021</v>
      </c>
      <c r="J1030" s="57">
        <f>Data!J1029</f>
        <v>88.8</v>
      </c>
      <c r="K1030" s="58">
        <f t="shared" ca="1" si="17"/>
        <v>216</v>
      </c>
      <c r="L1030" s="58">
        <f>Data!M1029</f>
        <v>0</v>
      </c>
      <c r="M1030" s="37" t="s">
        <v>48</v>
      </c>
      <c r="N1030" s="43" t="str">
        <f>VLOOKUP(M1030,Table1[#All],3,FALSE)</f>
        <v>Primary Ins paid Max allowable;</v>
      </c>
      <c r="O1030" s="40" t="str">
        <f>VLOOKUP(M1030,Table1[#All],4,FALSE)</f>
        <v>Call Ref#:</v>
      </c>
      <c r="P1030" s="38" t="s">
        <v>3745</v>
      </c>
      <c r="Q1030" s="40" t="str">
        <f>VLOOKUP(M1030,Table1[#All],5,FALSE)</f>
        <v>Cust Rep:</v>
      </c>
      <c r="R1030" s="79" t="s">
        <v>3746</v>
      </c>
      <c r="S1030" s="40">
        <f>VLOOKUP(M1030,Table1[#All],6,FALSE)</f>
        <v>0</v>
      </c>
      <c r="T1030" s="79"/>
      <c r="U1030" s="40">
        <f>VLOOKUP(M1030,Table1[#All],7,FALSE)</f>
        <v>0</v>
      </c>
      <c r="V1030" s="79"/>
      <c r="W1030" s="40">
        <f>VLOOKUP(M1030,Table1[#All],8,FALSE)</f>
        <v>0</v>
      </c>
      <c r="X1030" s="79"/>
      <c r="Y1030" s="44" t="str">
        <f>VLOOKUP(M1030,Table1[#All],2,FALSE)</f>
        <v xml:space="preserve">Task Post Pmt Queue </v>
      </c>
      <c r="Z1030" s="59" t="str">
        <f>VLOOKUP(M1030,Table1[#All],9,FALSE)</f>
        <v>Additional Notes:</v>
      </c>
      <c r="AA1030" s="76" t="s">
        <v>3747</v>
      </c>
      <c r="AB1030" s="76" t="s">
        <v>3697</v>
      </c>
      <c r="AC1030" s="90" t="s">
        <v>115</v>
      </c>
      <c r="AD1030" s="76" t="s">
        <v>177</v>
      </c>
      <c r="AE1030" s="77" t="s">
        <v>3698</v>
      </c>
      <c r="AF1030" s="110">
        <v>44613</v>
      </c>
      <c r="AG1030" s="41" t="s">
        <v>101</v>
      </c>
    </row>
    <row r="1031" spans="1:33" ht="33" hidden="1" x14ac:dyDescent="0.55000000000000004">
      <c r="A1031" s="44" t="str">
        <f>Data!K1030</f>
        <v>United Health Care Dental</v>
      </c>
      <c r="B1031" s="44" t="str">
        <f>Data!L1030</f>
        <v>8882498833</v>
      </c>
      <c r="C1031" s="44" t="str">
        <f>Data!D1030</f>
        <v>Shelby , David</v>
      </c>
      <c r="D1031" s="82" t="str">
        <f>Data!F1030</f>
        <v>102832926</v>
      </c>
      <c r="E1031" s="82" t="str">
        <f>Data!B1030</f>
        <v>8023</v>
      </c>
      <c r="F1031" s="44" t="str">
        <f>Data!A1030</f>
        <v>Shelby , David</v>
      </c>
      <c r="G1031" s="55" t="str">
        <f>Data!C1030</f>
        <v>3/8/1960</v>
      </c>
      <c r="H1031" s="56">
        <f>Data!H1030</f>
        <v>44467</v>
      </c>
      <c r="I1031" s="56" t="str">
        <f>Data!I1030</f>
        <v>10/1/2021</v>
      </c>
      <c r="J1031" s="57">
        <f>Data!J1030</f>
        <v>341.6</v>
      </c>
      <c r="K1031" s="58">
        <f t="shared" ca="1" si="17"/>
        <v>230</v>
      </c>
      <c r="L1031" s="58">
        <f>Data!M1030</f>
        <v>0</v>
      </c>
      <c r="M1031" s="37" t="s">
        <v>5</v>
      </c>
      <c r="N1031" s="43" t="str">
        <f>VLOOKUP(M1031,Table1[#All],3,FALSE)</f>
        <v>Claim Paid by EFT;</v>
      </c>
      <c r="O1031" s="40" t="str">
        <f>VLOOKUP(M1031,Table1[#All],4,FALSE)</f>
        <v>Issue Date:</v>
      </c>
      <c r="P1031" s="38">
        <v>44481</v>
      </c>
      <c r="Q1031" s="40" t="str">
        <f>VLOOKUP(M1031,Table1[#All],5,FALSE)</f>
        <v>EFT#</v>
      </c>
      <c r="R1031" s="79">
        <v>7154050</v>
      </c>
      <c r="S1031" s="40" t="str">
        <f>VLOOKUP(M1031,Table1[#All],6,FALSE)</f>
        <v>Bulk/Sep:</v>
      </c>
      <c r="T1031" s="79" t="s">
        <v>3741</v>
      </c>
      <c r="U1031" s="40" t="str">
        <f>VLOOKUP(M1031,Table1[#All],7,FALSE)</f>
        <v>Call Ref#:</v>
      </c>
      <c r="V1031" s="79" t="s">
        <v>3742</v>
      </c>
      <c r="W1031" s="40" t="str">
        <f>VLOOKUP(M1031,Table1[#All],8,FALSE)</f>
        <v>Cust Rep:</v>
      </c>
      <c r="X1031" s="79" t="s">
        <v>3743</v>
      </c>
      <c r="Y1031" s="44" t="str">
        <f>VLOOKUP(M1031,Table1[#All],2,FALSE)</f>
        <v xml:space="preserve">Task Post Pmt Queue </v>
      </c>
      <c r="Z1031" s="59" t="str">
        <f>VLOOKUP(M1031,Table1[#All],9,FALSE)</f>
        <v>Additional Notes:</v>
      </c>
      <c r="AA1031" s="76" t="s">
        <v>3744</v>
      </c>
      <c r="AB1031" s="76" t="s">
        <v>3697</v>
      </c>
      <c r="AC1031" s="90" t="s">
        <v>115</v>
      </c>
      <c r="AD1031" s="76" t="s">
        <v>177</v>
      </c>
      <c r="AE1031" s="77" t="s">
        <v>3698</v>
      </c>
      <c r="AF1031" s="110">
        <v>44613</v>
      </c>
      <c r="AG1031" s="41" t="s">
        <v>101</v>
      </c>
    </row>
    <row r="1032" spans="1:33" ht="33" hidden="1" x14ac:dyDescent="0.55000000000000004">
      <c r="A1032" s="44" t="str">
        <f>Data!K1031</f>
        <v>United Health Care Dental</v>
      </c>
      <c r="B1032" s="44" t="str">
        <f>Data!L1031</f>
        <v>8882498833</v>
      </c>
      <c r="C1032" s="44" t="str">
        <f>Data!D1031</f>
        <v>Cortez, Theresa</v>
      </c>
      <c r="D1032" s="82" t="str">
        <f>Data!F1031</f>
        <v>108869649</v>
      </c>
      <c r="E1032" s="82" t="str">
        <f>Data!B1031</f>
        <v>7636</v>
      </c>
      <c r="F1032" s="44" t="str">
        <f>Data!A1031</f>
        <v>Cortez, Theresa</v>
      </c>
      <c r="G1032" s="55" t="str">
        <f>Data!C1031</f>
        <v>7/14/1969</v>
      </c>
      <c r="H1032" s="56">
        <f>Data!H1031</f>
        <v>44410</v>
      </c>
      <c r="I1032" s="56" t="str">
        <f>Data!I1031</f>
        <v>10/1/2021</v>
      </c>
      <c r="J1032" s="57">
        <f>Data!J1031</f>
        <v>61.2</v>
      </c>
      <c r="K1032" s="58">
        <f t="shared" ca="1" si="17"/>
        <v>230</v>
      </c>
      <c r="L1032" s="58">
        <f>Data!M1031</f>
        <v>0</v>
      </c>
      <c r="M1032" s="37" t="s">
        <v>5</v>
      </c>
      <c r="N1032" s="43" t="str">
        <f>VLOOKUP(M1032,Table1[#All],3,FALSE)</f>
        <v>Claim Paid by EFT;</v>
      </c>
      <c r="O1032" s="40" t="str">
        <f>VLOOKUP(M1032,Table1[#All],4,FALSE)</f>
        <v>Issue Date:</v>
      </c>
      <c r="P1032" s="38">
        <v>44427</v>
      </c>
      <c r="Q1032" s="40" t="str">
        <f>VLOOKUP(M1032,Table1[#All],5,FALSE)</f>
        <v>EFT#</v>
      </c>
      <c r="R1032" s="79" t="s">
        <v>3739</v>
      </c>
      <c r="S1032" s="40" t="str">
        <f>VLOOKUP(M1032,Table1[#All],6,FALSE)</f>
        <v>Bulk/Sep:</v>
      </c>
      <c r="T1032" s="124">
        <v>1714.35</v>
      </c>
      <c r="U1032" s="40" t="str">
        <f>VLOOKUP(M1032,Table1[#All],7,FALSE)</f>
        <v>Call Ref#:</v>
      </c>
      <c r="V1032" s="79" t="s">
        <v>3726</v>
      </c>
      <c r="W1032" s="40" t="str">
        <f>VLOOKUP(M1032,Table1[#All],8,FALSE)</f>
        <v>Cust Rep:</v>
      </c>
      <c r="X1032" s="79" t="s">
        <v>3727</v>
      </c>
      <c r="Y1032" s="44" t="str">
        <f>VLOOKUP(M1032,Table1[#All],2,FALSE)</f>
        <v xml:space="preserve">Task Post Pmt Queue </v>
      </c>
      <c r="Z1032" s="59" t="str">
        <f>VLOOKUP(M1032,Table1[#All],9,FALSE)</f>
        <v>Additional Notes:</v>
      </c>
      <c r="AA1032" s="76" t="s">
        <v>3740</v>
      </c>
      <c r="AB1032" s="76" t="s">
        <v>3697</v>
      </c>
      <c r="AC1032" s="90" t="s">
        <v>115</v>
      </c>
      <c r="AD1032" s="76" t="s">
        <v>177</v>
      </c>
      <c r="AE1032" s="77" t="s">
        <v>3698</v>
      </c>
      <c r="AF1032" s="110">
        <v>44613</v>
      </c>
      <c r="AG1032" s="41" t="s">
        <v>101</v>
      </c>
    </row>
    <row r="1033" spans="1:33" ht="33" hidden="1" x14ac:dyDescent="0.55000000000000004">
      <c r="A1033" s="44" t="str">
        <f>Data!K1032</f>
        <v>United Health Care Dental</v>
      </c>
      <c r="B1033" s="44" t="str">
        <f>Data!L1032</f>
        <v>8882498833</v>
      </c>
      <c r="C1033" s="44" t="str">
        <f>Data!D1032</f>
        <v>Rattle , Loree</v>
      </c>
      <c r="D1033" s="82" t="str">
        <f>Data!F1032</f>
        <v>120963752</v>
      </c>
      <c r="E1033" s="82" t="str">
        <f>Data!B1032</f>
        <v>8016</v>
      </c>
      <c r="F1033" s="44" t="str">
        <f>Data!A1032</f>
        <v>Rattle , Loree</v>
      </c>
      <c r="G1033" s="55" t="str">
        <f>Data!C1032</f>
        <v>9/17/1961</v>
      </c>
      <c r="H1033" s="56">
        <f>Data!H1032</f>
        <v>44460</v>
      </c>
      <c r="I1033" s="56" t="str">
        <f>Data!I1032</f>
        <v>9/24/2021</v>
      </c>
      <c r="J1033" s="57">
        <f>Data!J1032</f>
        <v>200.4</v>
      </c>
      <c r="K1033" s="58">
        <f t="shared" ca="1" si="17"/>
        <v>237</v>
      </c>
      <c r="L1033" s="58">
        <f>Data!M1032</f>
        <v>0</v>
      </c>
      <c r="M1033" s="37" t="s">
        <v>5</v>
      </c>
      <c r="N1033" s="43" t="str">
        <f>VLOOKUP(M1033,Table1[#All],3,FALSE)</f>
        <v>Claim Paid by EFT;</v>
      </c>
      <c r="O1033" s="40" t="str">
        <f>VLOOKUP(M1033,Table1[#All],4,FALSE)</f>
        <v>Issue Date:</v>
      </c>
      <c r="P1033" s="38">
        <v>44484</v>
      </c>
      <c r="Q1033" s="40" t="str">
        <f>VLOOKUP(M1033,Table1[#All],5,FALSE)</f>
        <v>EFT#</v>
      </c>
      <c r="R1033" s="79">
        <v>7143997</v>
      </c>
      <c r="S1033" s="40" t="str">
        <f>VLOOKUP(M1033,Table1[#All],6,FALSE)</f>
        <v>Bulk/Sep:</v>
      </c>
      <c r="T1033" s="124">
        <v>3145</v>
      </c>
      <c r="U1033" s="40" t="str">
        <f>VLOOKUP(M1033,Table1[#All],7,FALSE)</f>
        <v>Call Ref#:</v>
      </c>
      <c r="V1033" s="79" t="s">
        <v>3736</v>
      </c>
      <c r="W1033" s="40" t="str">
        <f>VLOOKUP(M1033,Table1[#All],8,FALSE)</f>
        <v>Cust Rep:</v>
      </c>
      <c r="X1033" s="79" t="s">
        <v>3737</v>
      </c>
      <c r="Y1033" s="44" t="str">
        <f>VLOOKUP(M1033,Table1[#All],2,FALSE)</f>
        <v xml:space="preserve">Task Post Pmt Queue </v>
      </c>
      <c r="Z1033" s="59" t="str">
        <f>VLOOKUP(M1033,Table1[#All],9,FALSE)</f>
        <v>Additional Notes:</v>
      </c>
      <c r="AA1033" s="76" t="s">
        <v>3738</v>
      </c>
      <c r="AB1033" s="76" t="s">
        <v>3697</v>
      </c>
      <c r="AC1033" s="90" t="s">
        <v>115</v>
      </c>
      <c r="AD1033" s="76" t="s">
        <v>177</v>
      </c>
      <c r="AE1033" s="77" t="s">
        <v>3698</v>
      </c>
      <c r="AF1033" s="110">
        <v>44613</v>
      </c>
      <c r="AG1033" s="41" t="s">
        <v>101</v>
      </c>
    </row>
    <row r="1034" spans="1:33" ht="33" hidden="1" x14ac:dyDescent="0.55000000000000004">
      <c r="A1034" s="44" t="str">
        <f>Data!K1033</f>
        <v>United Health Care Dental</v>
      </c>
      <c r="B1034" s="44" t="str">
        <f>Data!L1033</f>
        <v>8882498833</v>
      </c>
      <c r="C1034" s="44" t="str">
        <f>Data!D1033</f>
        <v>RILEY, LONNIE</v>
      </c>
      <c r="D1034" s="82" t="str">
        <f>Data!F1033</f>
        <v>121543077</v>
      </c>
      <c r="E1034" s="82" t="str">
        <f>Data!B1033</f>
        <v>3879</v>
      </c>
      <c r="F1034" s="44" t="str">
        <f>Data!A1033</f>
        <v>RILEY, LONNIE</v>
      </c>
      <c r="G1034" s="55" t="str">
        <f>Data!C1033</f>
        <v>7/4/1956</v>
      </c>
      <c r="H1034" s="56">
        <f>Data!H1033</f>
        <v>44453</v>
      </c>
      <c r="I1034" s="56" t="str">
        <f>Data!I1033</f>
        <v>9/17/2021</v>
      </c>
      <c r="J1034" s="57">
        <f>Data!J1033</f>
        <v>1062</v>
      </c>
      <c r="K1034" s="58">
        <f t="shared" ca="1" si="17"/>
        <v>244</v>
      </c>
      <c r="L1034" s="58">
        <f>Data!M1033</f>
        <v>0</v>
      </c>
      <c r="M1034" s="37" t="s">
        <v>5</v>
      </c>
      <c r="N1034" s="43" t="str">
        <f>VLOOKUP(M1034,Table1[#All],3,FALSE)</f>
        <v>Claim Paid by EFT;</v>
      </c>
      <c r="O1034" s="40" t="str">
        <f>VLOOKUP(M1034,Table1[#All],4,FALSE)</f>
        <v>Issue Date:</v>
      </c>
      <c r="P1034" s="38">
        <v>44466</v>
      </c>
      <c r="Q1034" s="40" t="str">
        <f>VLOOKUP(M1034,Table1[#All],5,FALSE)</f>
        <v>EFT#</v>
      </c>
      <c r="R1034" s="79">
        <v>7133676</v>
      </c>
      <c r="S1034" s="40" t="str">
        <f>VLOOKUP(M1034,Table1[#All],6,FALSE)</f>
        <v>Bulk/Sep:</v>
      </c>
      <c r="T1034" s="124">
        <v>3643</v>
      </c>
      <c r="U1034" s="40" t="str">
        <f>VLOOKUP(M1034,Table1[#All],7,FALSE)</f>
        <v>Call Ref#:</v>
      </c>
      <c r="V1034" s="79" t="s">
        <v>3726</v>
      </c>
      <c r="W1034" s="40" t="str">
        <f>VLOOKUP(M1034,Table1[#All],8,FALSE)</f>
        <v>Cust Rep:</v>
      </c>
      <c r="X1034" s="79" t="s">
        <v>3727</v>
      </c>
      <c r="Y1034" s="44" t="str">
        <f>VLOOKUP(M1034,Table1[#All],2,FALSE)</f>
        <v xml:space="preserve">Task Post Pmt Queue </v>
      </c>
      <c r="Z1034" s="59" t="str">
        <f>VLOOKUP(M1034,Table1[#All],9,FALSE)</f>
        <v>Additional Notes:</v>
      </c>
      <c r="AA1034" s="76" t="s">
        <v>3735</v>
      </c>
      <c r="AB1034" s="76" t="s">
        <v>3697</v>
      </c>
      <c r="AC1034" s="90" t="s">
        <v>115</v>
      </c>
      <c r="AD1034" s="76" t="s">
        <v>177</v>
      </c>
      <c r="AE1034" s="77" t="s">
        <v>3698</v>
      </c>
      <c r="AF1034" s="110">
        <v>44613</v>
      </c>
      <c r="AG1034" s="41" t="s">
        <v>101</v>
      </c>
    </row>
    <row r="1035" spans="1:33" ht="21" hidden="1" x14ac:dyDescent="0.55000000000000004">
      <c r="A1035" s="44" t="str">
        <f>Data!K1034</f>
        <v>United Health Care Dental</v>
      </c>
      <c r="B1035" s="44" t="str">
        <f>Data!L1034</f>
        <v>8882498833</v>
      </c>
      <c r="C1035" s="44" t="str">
        <f>Data!D1034</f>
        <v>Cortez, Theresa</v>
      </c>
      <c r="D1035" s="82" t="str">
        <f>Data!F1034</f>
        <v>108869649</v>
      </c>
      <c r="E1035" s="82" t="str">
        <f>Data!B1034</f>
        <v>7636</v>
      </c>
      <c r="F1035" s="44" t="str">
        <f>Data!A1034</f>
        <v>Cortez, Theresa</v>
      </c>
      <c r="G1035" s="55" t="str">
        <f>Data!C1034</f>
        <v>7/14/1969</v>
      </c>
      <c r="H1035" s="56">
        <f>Data!H1034</f>
        <v>44452</v>
      </c>
      <c r="I1035" s="56" t="str">
        <f>Data!I1034</f>
        <v>2/22/2022</v>
      </c>
      <c r="J1035" s="57">
        <f>Data!J1034</f>
        <v>138</v>
      </c>
      <c r="K1035" s="58">
        <f t="shared" ca="1" si="17"/>
        <v>86</v>
      </c>
      <c r="L1035" s="58">
        <f>Data!M1034</f>
        <v>0</v>
      </c>
      <c r="M1035" s="37" t="s">
        <v>26</v>
      </c>
      <c r="N1035" s="43" t="str">
        <f>VLOOKUP(M1035,Table1[#All],3,FALSE)</f>
        <v>Note</v>
      </c>
      <c r="O1035" s="40" t="str">
        <f>VLOOKUP(M1035,Table1[#All],4,FALSE)</f>
        <v>Q1</v>
      </c>
      <c r="P1035" s="39"/>
      <c r="Q1035" s="40" t="str">
        <f>VLOOKUP(M1035,Table1[#All],5,FALSE)</f>
        <v>Q2</v>
      </c>
      <c r="R1035" s="79"/>
      <c r="S1035" s="40" t="str">
        <f>VLOOKUP(M1035,Table1[#All],6,FALSE)</f>
        <v>Q3</v>
      </c>
      <c r="T1035" s="79"/>
      <c r="U1035" s="40" t="str">
        <f>VLOOKUP(M1035,Table1[#All],7,FALSE)</f>
        <v>Q4</v>
      </c>
      <c r="V1035" s="79"/>
      <c r="W1035" s="40" t="str">
        <f>VLOOKUP(M1035,Table1[#All],8,FALSE)</f>
        <v>Q5</v>
      </c>
      <c r="X1035" s="79"/>
      <c r="Y1035" s="44" t="str">
        <f>VLOOKUP(M1035,Table1[#All],2,FALSE)</f>
        <v>Action</v>
      </c>
      <c r="Z1035" s="59" t="str">
        <f>VLOOKUP(M1035,Table1[#All],9,FALSE)</f>
        <v>Additional Notes:</v>
      </c>
      <c r="AA1035" s="76"/>
      <c r="AB1035" s="76"/>
      <c r="AC1035" s="90" t="s">
        <v>91</v>
      </c>
      <c r="AD1035" s="76" t="s">
        <v>91</v>
      </c>
      <c r="AE1035" s="77"/>
      <c r="AF1035" s="77"/>
      <c r="AG1035" s="41" t="s">
        <v>91</v>
      </c>
    </row>
    <row r="1036" spans="1:33" ht="33" hidden="1" x14ac:dyDescent="0.55000000000000004">
      <c r="A1036" s="44" t="str">
        <f>Data!K1035</f>
        <v>United Health Care Dental</v>
      </c>
      <c r="B1036" s="44" t="str">
        <f>Data!L1035</f>
        <v>8882498833</v>
      </c>
      <c r="C1036" s="44" t="str">
        <f>Data!D1035</f>
        <v>Perkins, Noah</v>
      </c>
      <c r="D1036" s="82" t="str">
        <f>Data!F1035</f>
        <v>110227267</v>
      </c>
      <c r="E1036" s="82" t="str">
        <f>Data!B1035</f>
        <v>2184</v>
      </c>
      <c r="F1036" s="44" t="str">
        <f>Data!A1035</f>
        <v>Perkins, Noah</v>
      </c>
      <c r="G1036" s="55" t="str">
        <f>Data!C1035</f>
        <v>9/22/2011</v>
      </c>
      <c r="H1036" s="56">
        <f>Data!H1035</f>
        <v>44441</v>
      </c>
      <c r="I1036" s="56" t="str">
        <f>Data!I1035</f>
        <v>9/7/2021</v>
      </c>
      <c r="J1036" s="57">
        <f>Data!J1035</f>
        <v>441.2</v>
      </c>
      <c r="K1036" s="58">
        <f t="shared" ca="1" si="17"/>
        <v>254</v>
      </c>
      <c r="L1036" s="58">
        <f>Data!M1035</f>
        <v>0</v>
      </c>
      <c r="M1036" s="37" t="s">
        <v>5</v>
      </c>
      <c r="N1036" s="43" t="str">
        <f>VLOOKUP(M1036,Table1[#All],3,FALSE)</f>
        <v>Claim Paid by EFT;</v>
      </c>
      <c r="O1036" s="40" t="str">
        <f>VLOOKUP(M1036,Table1[#All],4,FALSE)</f>
        <v>Issue Date:</v>
      </c>
      <c r="P1036" s="38">
        <v>44453</v>
      </c>
      <c r="Q1036" s="40" t="str">
        <f>VLOOKUP(M1036,Table1[#All],5,FALSE)</f>
        <v>EFT#</v>
      </c>
      <c r="R1036" s="79">
        <v>7114668</v>
      </c>
      <c r="S1036" s="40" t="str">
        <f>VLOOKUP(M1036,Table1[#All],6,FALSE)</f>
        <v>Bulk/Sep:</v>
      </c>
      <c r="T1036" s="124">
        <v>1563</v>
      </c>
      <c r="U1036" s="40" t="str">
        <f>VLOOKUP(M1036,Table1[#All],7,FALSE)</f>
        <v>Call Ref#:</v>
      </c>
      <c r="V1036" s="79" t="s">
        <v>3726</v>
      </c>
      <c r="W1036" s="40" t="str">
        <f>VLOOKUP(M1036,Table1[#All],8,FALSE)</f>
        <v>Cust Rep:</v>
      </c>
      <c r="X1036" s="79" t="s">
        <v>3727</v>
      </c>
      <c r="Y1036" s="44" t="str">
        <f>VLOOKUP(M1036,Table1[#All],2,FALSE)</f>
        <v xml:space="preserve">Task Post Pmt Queue </v>
      </c>
      <c r="Z1036" s="59" t="str">
        <f>VLOOKUP(M1036,Table1[#All],9,FALSE)</f>
        <v>Additional Notes:</v>
      </c>
      <c r="AA1036" s="76" t="s">
        <v>3734</v>
      </c>
      <c r="AB1036" s="76" t="s">
        <v>3697</v>
      </c>
      <c r="AC1036" s="90" t="s">
        <v>115</v>
      </c>
      <c r="AD1036" s="76" t="s">
        <v>177</v>
      </c>
      <c r="AE1036" s="77" t="s">
        <v>3698</v>
      </c>
      <c r="AF1036" s="110">
        <v>44613</v>
      </c>
      <c r="AG1036" s="41" t="s">
        <v>101</v>
      </c>
    </row>
    <row r="1037" spans="1:33" ht="33" hidden="1" x14ac:dyDescent="0.55000000000000004">
      <c r="A1037" s="44" t="str">
        <f>Data!K1036</f>
        <v>United Health Care Dental</v>
      </c>
      <c r="B1037" s="44" t="str">
        <f>Data!L1036</f>
        <v>8882498833</v>
      </c>
      <c r="C1037" s="44" t="str">
        <f>Data!D1036</f>
        <v xml:space="preserve">Brown , Norma </v>
      </c>
      <c r="D1037" s="82" t="str">
        <f>Data!F1036</f>
        <v>121542554</v>
      </c>
      <c r="E1037" s="82" t="str">
        <f>Data!B1036</f>
        <v>7402</v>
      </c>
      <c r="F1037" s="44" t="str">
        <f>Data!A1036</f>
        <v xml:space="preserve">Brown , Norma </v>
      </c>
      <c r="G1037" s="55" t="str">
        <f>Data!C1036</f>
        <v>7/31/1961</v>
      </c>
      <c r="H1037" s="56">
        <f>Data!H1036</f>
        <v>44433</v>
      </c>
      <c r="I1037" s="56" t="str">
        <f>Data!I1036</f>
        <v>8/30/2021</v>
      </c>
      <c r="J1037" s="57">
        <f>Data!J1036</f>
        <v>2600.4</v>
      </c>
      <c r="K1037" s="58">
        <f t="shared" ca="1" si="17"/>
        <v>262</v>
      </c>
      <c r="L1037" s="58">
        <f>Data!M1036</f>
        <v>0</v>
      </c>
      <c r="M1037" s="37" t="s">
        <v>5</v>
      </c>
      <c r="N1037" s="43" t="str">
        <f>VLOOKUP(M1037,Table1[#All],3,FALSE)</f>
        <v>Claim Paid by EFT;</v>
      </c>
      <c r="O1037" s="40" t="str">
        <f>VLOOKUP(M1037,Table1[#All],4,FALSE)</f>
        <v>Issue Date:</v>
      </c>
      <c r="P1037" s="38">
        <v>44466</v>
      </c>
      <c r="Q1037" s="40" t="str">
        <f>VLOOKUP(M1037,Table1[#All],5,FALSE)</f>
        <v>EFT#</v>
      </c>
      <c r="R1037" s="79">
        <v>7133676</v>
      </c>
      <c r="S1037" s="40" t="str">
        <f>VLOOKUP(M1037,Table1[#All],6,FALSE)</f>
        <v>Bulk/Sep:</v>
      </c>
      <c r="T1037" s="124">
        <v>3643</v>
      </c>
      <c r="U1037" s="40" t="str">
        <f>VLOOKUP(M1037,Table1[#All],7,FALSE)</f>
        <v>Call Ref#:</v>
      </c>
      <c r="V1037" s="79" t="s">
        <v>3726</v>
      </c>
      <c r="W1037" s="40" t="str">
        <f>VLOOKUP(M1037,Table1[#All],8,FALSE)</f>
        <v>Cust Rep:</v>
      </c>
      <c r="X1037" s="79" t="s">
        <v>3727</v>
      </c>
      <c r="Y1037" s="44" t="str">
        <f>VLOOKUP(M1037,Table1[#All],2,FALSE)</f>
        <v xml:space="preserve">Task Post Pmt Queue </v>
      </c>
      <c r="Z1037" s="59" t="str">
        <f>VLOOKUP(M1037,Table1[#All],9,FALSE)</f>
        <v>Additional Notes:</v>
      </c>
      <c r="AA1037" s="76" t="s">
        <v>3733</v>
      </c>
      <c r="AB1037" s="76" t="s">
        <v>3697</v>
      </c>
      <c r="AC1037" s="90" t="s">
        <v>115</v>
      </c>
      <c r="AD1037" s="76" t="s">
        <v>177</v>
      </c>
      <c r="AE1037" s="77" t="s">
        <v>3698</v>
      </c>
      <c r="AF1037" s="110">
        <v>44613</v>
      </c>
      <c r="AG1037" s="41" t="s">
        <v>101</v>
      </c>
    </row>
    <row r="1038" spans="1:33" ht="33" hidden="1" x14ac:dyDescent="0.55000000000000004">
      <c r="A1038" s="44" t="str">
        <f>Data!K1037</f>
        <v>United Health Care Dental</v>
      </c>
      <c r="B1038" s="44" t="str">
        <f>Data!L1037</f>
        <v>8882498833</v>
      </c>
      <c r="C1038" s="44" t="str">
        <f>Data!D1037</f>
        <v>Titone, Diane</v>
      </c>
      <c r="D1038" s="82" t="str">
        <f>Data!F1037</f>
        <v>114147751</v>
      </c>
      <c r="E1038" s="82" t="str">
        <f>Data!B1037</f>
        <v>6666</v>
      </c>
      <c r="F1038" s="44" t="str">
        <f>Data!A1037</f>
        <v>Titone, Diane</v>
      </c>
      <c r="G1038" s="55" t="str">
        <f>Data!C1037</f>
        <v>7/23/1947</v>
      </c>
      <c r="H1038" s="56">
        <f>Data!H1037</f>
        <v>44429</v>
      </c>
      <c r="I1038" s="56" t="str">
        <f>Data!I1037</f>
        <v>8/23/2021</v>
      </c>
      <c r="J1038" s="57">
        <f>Data!J1037</f>
        <v>2794.8</v>
      </c>
      <c r="K1038" s="58">
        <f t="shared" ca="1" si="17"/>
        <v>269</v>
      </c>
      <c r="L1038" s="58">
        <f>Data!M1037</f>
        <v>0</v>
      </c>
      <c r="M1038" s="37" t="s">
        <v>5</v>
      </c>
      <c r="N1038" s="43" t="str">
        <f>VLOOKUP(M1038,Table1[#All],3,FALSE)</f>
        <v>Claim Paid by EFT;</v>
      </c>
      <c r="O1038" s="40" t="str">
        <f>VLOOKUP(M1038,Table1[#All],4,FALSE)</f>
        <v>Issue Date:</v>
      </c>
      <c r="P1038" s="38">
        <v>44474</v>
      </c>
      <c r="Q1038" s="40" t="str">
        <f>VLOOKUP(M1038,Table1[#All],5,FALSE)</f>
        <v>EFT#</v>
      </c>
      <c r="R1038" s="79">
        <v>7143997</v>
      </c>
      <c r="S1038" s="40" t="str">
        <f>VLOOKUP(M1038,Table1[#All],6,FALSE)</f>
        <v>Bulk/Sep:</v>
      </c>
      <c r="T1038" s="124">
        <v>3145</v>
      </c>
      <c r="U1038" s="40" t="str">
        <f>VLOOKUP(M1038,Table1[#All],7,FALSE)</f>
        <v>Call Ref#:</v>
      </c>
      <c r="V1038" s="79" t="s">
        <v>3726</v>
      </c>
      <c r="W1038" s="40" t="str">
        <f>VLOOKUP(M1038,Table1[#All],8,FALSE)</f>
        <v>Cust Rep:</v>
      </c>
      <c r="X1038" s="79" t="s">
        <v>3727</v>
      </c>
      <c r="Y1038" s="44" t="str">
        <f>VLOOKUP(M1038,Table1[#All],2,FALSE)</f>
        <v xml:space="preserve">Task Post Pmt Queue </v>
      </c>
      <c r="Z1038" s="59" t="str">
        <f>VLOOKUP(M1038,Table1[#All],9,FALSE)</f>
        <v>Additional Notes:</v>
      </c>
      <c r="AA1038" s="76" t="s">
        <v>3732</v>
      </c>
      <c r="AB1038" s="76" t="s">
        <v>3697</v>
      </c>
      <c r="AC1038" s="90" t="s">
        <v>115</v>
      </c>
      <c r="AD1038" s="76" t="s">
        <v>177</v>
      </c>
      <c r="AE1038" s="77" t="s">
        <v>3698</v>
      </c>
      <c r="AF1038" s="110">
        <v>44613</v>
      </c>
      <c r="AG1038" s="41" t="s">
        <v>101</v>
      </c>
    </row>
    <row r="1039" spans="1:33" ht="33" hidden="1" x14ac:dyDescent="0.55000000000000004">
      <c r="A1039" s="44" t="str">
        <f>Data!K1038</f>
        <v>United Health Care Dental</v>
      </c>
      <c r="B1039" s="44" t="str">
        <f>Data!L1038</f>
        <v>8882498833</v>
      </c>
      <c r="C1039" s="44" t="str">
        <f>Data!D1038</f>
        <v xml:space="preserve">Lawrence, Jaxon </v>
      </c>
      <c r="D1039" s="82" t="str">
        <f>Data!F1038</f>
        <v>111399996</v>
      </c>
      <c r="E1039" s="82" t="str">
        <f>Data!B1038</f>
        <v>7722</v>
      </c>
      <c r="F1039" s="44" t="str">
        <f>Data!A1038</f>
        <v xml:space="preserve">Lawrence, Jaxon </v>
      </c>
      <c r="G1039" s="55" t="str">
        <f>Data!C1038</f>
        <v>4/28/2016</v>
      </c>
      <c r="H1039" s="56">
        <f>Data!H1038</f>
        <v>44427</v>
      </c>
      <c r="I1039" s="56" t="str">
        <f>Data!I1038</f>
        <v>8/23/2021</v>
      </c>
      <c r="J1039" s="57">
        <f>Data!J1038</f>
        <v>337.6</v>
      </c>
      <c r="K1039" s="58">
        <f t="shared" ca="1" si="17"/>
        <v>269</v>
      </c>
      <c r="L1039" s="58">
        <f>Data!M1038</f>
        <v>0</v>
      </c>
      <c r="M1039" s="37" t="s">
        <v>5</v>
      </c>
      <c r="N1039" s="43" t="str">
        <f>VLOOKUP(M1039,Table1[#All],3,FALSE)</f>
        <v>Claim Paid by EFT;</v>
      </c>
      <c r="O1039" s="40" t="str">
        <f>VLOOKUP(M1039,Table1[#All],4,FALSE)</f>
        <v>Issue Date:</v>
      </c>
      <c r="P1039" s="38">
        <v>44439</v>
      </c>
      <c r="Q1039" s="40" t="str">
        <f>VLOOKUP(M1039,Table1[#All],5,FALSE)</f>
        <v>EFT#</v>
      </c>
      <c r="R1039" s="79">
        <v>7095378</v>
      </c>
      <c r="S1039" s="40" t="str">
        <f>VLOOKUP(M1039,Table1[#All],6,FALSE)</f>
        <v>Bulk/Sep:</v>
      </c>
      <c r="T1039" s="79">
        <v>3393.28</v>
      </c>
      <c r="U1039" s="40" t="str">
        <f>VLOOKUP(M1039,Table1[#All],7,FALSE)</f>
        <v>Call Ref#:</v>
      </c>
      <c r="V1039" s="79" t="s">
        <v>3729</v>
      </c>
      <c r="W1039" s="40" t="str">
        <f>VLOOKUP(M1039,Table1[#All],8,FALSE)</f>
        <v>Cust Rep:</v>
      </c>
      <c r="X1039" s="79" t="s">
        <v>3730</v>
      </c>
      <c r="Y1039" s="44" t="str">
        <f>VLOOKUP(M1039,Table1[#All],2,FALSE)</f>
        <v xml:space="preserve">Task Post Pmt Queue </v>
      </c>
      <c r="Z1039" s="59" t="str">
        <f>VLOOKUP(M1039,Table1[#All],9,FALSE)</f>
        <v>Additional Notes:</v>
      </c>
      <c r="AA1039" s="76" t="s">
        <v>3731</v>
      </c>
      <c r="AB1039" s="76" t="s">
        <v>3697</v>
      </c>
      <c r="AC1039" s="90" t="s">
        <v>115</v>
      </c>
      <c r="AD1039" s="76" t="s">
        <v>177</v>
      </c>
      <c r="AE1039" s="77" t="s">
        <v>3698</v>
      </c>
      <c r="AF1039" s="110">
        <v>44613</v>
      </c>
      <c r="AG1039" s="41" t="s">
        <v>101</v>
      </c>
    </row>
    <row r="1040" spans="1:33" ht="33" hidden="1" x14ac:dyDescent="0.55000000000000004">
      <c r="A1040" s="44" t="str">
        <f>Data!K1039</f>
        <v>United Health Care Dental</v>
      </c>
      <c r="B1040" s="44" t="str">
        <f>Data!L1039</f>
        <v>8882498833</v>
      </c>
      <c r="C1040" s="44" t="str">
        <f>Data!D1039</f>
        <v>RILEY, LONNIE</v>
      </c>
      <c r="D1040" s="82" t="str">
        <f>Data!F1039</f>
        <v>121543077</v>
      </c>
      <c r="E1040" s="82" t="str">
        <f>Data!B1039</f>
        <v>3879</v>
      </c>
      <c r="F1040" s="44" t="str">
        <f>Data!A1039</f>
        <v>RILEY, LONNIE</v>
      </c>
      <c r="G1040" s="55" t="str">
        <f>Data!C1039</f>
        <v>7/4/1956</v>
      </c>
      <c r="H1040" s="56">
        <f>Data!H1039</f>
        <v>44425</v>
      </c>
      <c r="I1040" s="56" t="str">
        <f>Data!I1039</f>
        <v>8/23/2021</v>
      </c>
      <c r="J1040" s="57">
        <f>Data!J1039</f>
        <v>1009.2</v>
      </c>
      <c r="K1040" s="58">
        <f t="shared" ca="1" si="17"/>
        <v>269</v>
      </c>
      <c r="L1040" s="58">
        <f>Data!M1039</f>
        <v>0</v>
      </c>
      <c r="M1040" s="37" t="s">
        <v>5</v>
      </c>
      <c r="N1040" s="43" t="str">
        <f>VLOOKUP(M1040,Table1[#All],3,FALSE)</f>
        <v>Claim Paid by EFT;</v>
      </c>
      <c r="O1040" s="40" t="str">
        <f>VLOOKUP(M1040,Table1[#All],4,FALSE)</f>
        <v>Issue Date:</v>
      </c>
      <c r="P1040" s="38">
        <v>44439</v>
      </c>
      <c r="Q1040" s="40" t="str">
        <f>VLOOKUP(M1040,Table1[#All],5,FALSE)</f>
        <v>EFT#</v>
      </c>
      <c r="R1040" s="79">
        <v>7095865</v>
      </c>
      <c r="S1040" s="40" t="str">
        <f>VLOOKUP(M1040,Table1[#All],6,FALSE)</f>
        <v>Bulk/Sep:</v>
      </c>
      <c r="T1040" s="124">
        <v>884</v>
      </c>
      <c r="U1040" s="40" t="str">
        <f>VLOOKUP(M1040,Table1[#All],7,FALSE)</f>
        <v>Call Ref#:</v>
      </c>
      <c r="V1040" s="79" t="s">
        <v>3726</v>
      </c>
      <c r="W1040" s="40" t="str">
        <f>VLOOKUP(M1040,Table1[#All],8,FALSE)</f>
        <v>Cust Rep:</v>
      </c>
      <c r="X1040" s="79" t="s">
        <v>3727</v>
      </c>
      <c r="Y1040" s="44" t="str">
        <f>VLOOKUP(M1040,Table1[#All],2,FALSE)</f>
        <v xml:space="preserve">Task Post Pmt Queue </v>
      </c>
      <c r="Z1040" s="59" t="str">
        <f>VLOOKUP(M1040,Table1[#All],9,FALSE)</f>
        <v>Additional Notes:</v>
      </c>
      <c r="AA1040" s="76" t="s">
        <v>3728</v>
      </c>
      <c r="AB1040" s="76" t="s">
        <v>3697</v>
      </c>
      <c r="AC1040" s="90" t="s">
        <v>115</v>
      </c>
      <c r="AD1040" s="76" t="s">
        <v>177</v>
      </c>
      <c r="AE1040" s="77" t="s">
        <v>3698</v>
      </c>
      <c r="AF1040" s="110">
        <v>44613</v>
      </c>
      <c r="AG1040" s="41" t="s">
        <v>101</v>
      </c>
    </row>
    <row r="1041" spans="1:33" ht="99" hidden="1" x14ac:dyDescent="0.55000000000000004">
      <c r="A1041" s="44" t="str">
        <f>Data!K1040</f>
        <v>United Health Care Dental</v>
      </c>
      <c r="B1041" s="44" t="str">
        <f>Data!L1040</f>
        <v>8882498833</v>
      </c>
      <c r="C1041" s="44" t="str">
        <f>Data!D1040</f>
        <v>Morrison, Holly</v>
      </c>
      <c r="D1041" s="82" t="str">
        <f>Data!F1040</f>
        <v>115911493</v>
      </c>
      <c r="E1041" s="82" t="str">
        <f>Data!B1040</f>
        <v>3333</v>
      </c>
      <c r="F1041" s="44" t="str">
        <f>Data!A1040</f>
        <v>Morrison, Holly</v>
      </c>
      <c r="G1041" s="55" t="str">
        <f>Data!C1040</f>
        <v>11/7/1956</v>
      </c>
      <c r="H1041" s="56">
        <f>Data!H1040</f>
        <v>44415</v>
      </c>
      <c r="I1041" s="56" t="str">
        <f>Data!I1040</f>
        <v>8/7/2021</v>
      </c>
      <c r="J1041" s="57">
        <f>Data!J1040</f>
        <v>1142.4000000000001</v>
      </c>
      <c r="K1041" s="58">
        <f t="shared" ca="1" si="17"/>
        <v>285</v>
      </c>
      <c r="L1041" s="58">
        <f>Data!M1040</f>
        <v>0</v>
      </c>
      <c r="M1041" s="37" t="s">
        <v>30</v>
      </c>
      <c r="N1041" s="43" t="str">
        <f>VLOOKUP(M1041,Table1[#All],3,FALSE)</f>
        <v>Claim not on file. Patient is active ;</v>
      </c>
      <c r="O1041" s="40" t="str">
        <f>VLOOKUP(M1041,Table1[#All],4,FALSE)</f>
        <v>Payor ID &amp; Address:</v>
      </c>
      <c r="P1041" s="39" t="s">
        <v>3704</v>
      </c>
      <c r="Q1041" s="40" t="str">
        <f>VLOOKUP(M1041,Table1[#All],5,FALSE)</f>
        <v>Fax # (If Fax Yes):</v>
      </c>
      <c r="R1041" s="79" t="s">
        <v>3705</v>
      </c>
      <c r="S1041" s="40" t="str">
        <f>VLOOKUP(M1041,Table1[#All],6,FALSE)</f>
        <v>TFL in Mnths:</v>
      </c>
      <c r="T1041" s="79" t="s">
        <v>3725</v>
      </c>
      <c r="U1041" s="40" t="str">
        <f>VLOOKUP(M1041,Table1[#All],7,FALSE)</f>
        <v>Call Ref#:</v>
      </c>
      <c r="V1041" s="79" t="s">
        <v>3726</v>
      </c>
      <c r="W1041" s="40" t="str">
        <f>VLOOKUP(M1041,Table1[#All],8,FALSE)</f>
        <v>Cust Rep:</v>
      </c>
      <c r="X1041" s="79" t="s">
        <v>3727</v>
      </c>
      <c r="Y1041" s="44" t="str">
        <f>VLOOKUP(M1041,Table1[#All],2,FALSE)</f>
        <v>Task Sub Pending Claims Queue</v>
      </c>
      <c r="Z1041" s="59" t="str">
        <f>VLOOKUP(M1041,Table1[#All],9,FALSE)</f>
        <v>Additional Notes:</v>
      </c>
      <c r="AA1041" s="76" t="s">
        <v>3707</v>
      </c>
      <c r="AB1041" s="76" t="s">
        <v>3697</v>
      </c>
      <c r="AC1041" s="90" t="s">
        <v>185</v>
      </c>
      <c r="AD1041" s="76" t="s">
        <v>177</v>
      </c>
      <c r="AE1041" s="77" t="s">
        <v>3708</v>
      </c>
      <c r="AF1041" s="123">
        <v>44582</v>
      </c>
      <c r="AG1041" s="41" t="s">
        <v>101</v>
      </c>
    </row>
    <row r="1042" spans="1:33" ht="63" hidden="1" x14ac:dyDescent="0.55000000000000004">
      <c r="A1042" s="44" t="str">
        <f>Data!K1041</f>
        <v>United Health Care Dental</v>
      </c>
      <c r="B1042" s="44" t="str">
        <f>Data!L1041</f>
        <v>8882498833</v>
      </c>
      <c r="C1042" s="44" t="str">
        <f>Data!D1041</f>
        <v>Evangelista, Yazmin</v>
      </c>
      <c r="D1042" s="82" t="str">
        <f>Data!F1041</f>
        <v>118936006</v>
      </c>
      <c r="E1042" s="82" t="str">
        <f>Data!B1041</f>
        <v>6102</v>
      </c>
      <c r="F1042" s="44" t="str">
        <f>Data!A1041</f>
        <v>Evangelista, Yazmin</v>
      </c>
      <c r="G1042" s="55" t="str">
        <f>Data!C1041</f>
        <v>2/9/1987</v>
      </c>
      <c r="H1042" s="56">
        <f>Data!H1041</f>
        <v>44401</v>
      </c>
      <c r="I1042" s="56" t="str">
        <f>Data!I1041</f>
        <v>9/20/2021</v>
      </c>
      <c r="J1042" s="57">
        <f>Data!J1041</f>
        <v>1062</v>
      </c>
      <c r="K1042" s="58">
        <f t="shared" ca="1" si="17"/>
        <v>241</v>
      </c>
      <c r="L1042" s="58">
        <f>Data!M1041</f>
        <v>0</v>
      </c>
      <c r="M1042" s="37" t="s">
        <v>45</v>
      </c>
      <c r="N1042" s="43" t="str">
        <f>VLOOKUP(M1042,Table1[#All],3,FALSE)</f>
        <v>Procedure is not a covered benefit;</v>
      </c>
      <c r="O1042" s="40" t="str">
        <f>VLOOKUP(M1042,Table1[#All],4,FALSE)</f>
        <v xml:space="preserve">Why? </v>
      </c>
      <c r="P1042" s="39" t="s">
        <v>3723</v>
      </c>
      <c r="Q1042" s="40" t="str">
        <f>VLOOKUP(M1042,Table1[#All],5,FALSE)</f>
        <v>Call Ref#:</v>
      </c>
      <c r="R1042" s="79" t="s">
        <v>3711</v>
      </c>
      <c r="S1042" s="40" t="str">
        <f>VLOOKUP(M1042,Table1[#All],6,FALSE)</f>
        <v>Cust Rep:</v>
      </c>
      <c r="T1042" s="79" t="s">
        <v>3712</v>
      </c>
      <c r="U1042" s="40">
        <f>VLOOKUP(M1042,Table1[#All],7,FALSE)</f>
        <v>0</v>
      </c>
      <c r="V1042" s="79"/>
      <c r="W1042" s="40">
        <f>VLOOKUP(M1042,Table1[#All],8,FALSE)</f>
        <v>0</v>
      </c>
      <c r="X1042" s="79"/>
      <c r="Y1042" s="44" t="str">
        <f>VLOOKUP(M1042,Table1[#All],2,FALSE)</f>
        <v xml:space="preserve">Task Client - Denied Claim Queue </v>
      </c>
      <c r="Z1042" s="59" t="str">
        <f>VLOOKUP(M1042,Table1[#All],9,FALSE)</f>
        <v>Additional Notes:</v>
      </c>
      <c r="AA1042" s="76" t="s">
        <v>3724</v>
      </c>
      <c r="AB1042" s="76" t="s">
        <v>3697</v>
      </c>
      <c r="AC1042" s="90" t="s">
        <v>115</v>
      </c>
      <c r="AD1042" s="76" t="s">
        <v>177</v>
      </c>
      <c r="AE1042" s="77" t="s">
        <v>3698</v>
      </c>
      <c r="AF1042" s="110">
        <v>44614</v>
      </c>
      <c r="AG1042" s="41" t="s">
        <v>101</v>
      </c>
    </row>
    <row r="1043" spans="1:33" ht="49.5" hidden="1" x14ac:dyDescent="0.55000000000000004">
      <c r="A1043" s="44" t="str">
        <f>Data!K1042</f>
        <v>United Health Care Dental</v>
      </c>
      <c r="B1043" s="44" t="str">
        <f>Data!L1042</f>
        <v>8882498833</v>
      </c>
      <c r="C1043" s="44" t="str">
        <f>Data!D1042</f>
        <v xml:space="preserve">Daher, Aziza </v>
      </c>
      <c r="D1043" s="82" t="str">
        <f>Data!F1042</f>
        <v>106915962</v>
      </c>
      <c r="E1043" s="82" t="str">
        <f>Data!B1042</f>
        <v>7469</v>
      </c>
      <c r="F1043" s="44" t="str">
        <f>Data!A1042</f>
        <v xml:space="preserve">Daher, Aziza </v>
      </c>
      <c r="G1043" s="55" t="str">
        <f>Data!C1042</f>
        <v>10/22/1970</v>
      </c>
      <c r="H1043" s="56">
        <f>Data!H1042</f>
        <v>44403</v>
      </c>
      <c r="I1043" s="56" t="str">
        <f>Data!I1042</f>
        <v>7/26/2021</v>
      </c>
      <c r="J1043" s="57">
        <f>Data!J1042</f>
        <v>106.4</v>
      </c>
      <c r="K1043" s="58">
        <f t="shared" ca="1" si="17"/>
        <v>297</v>
      </c>
      <c r="L1043" s="58">
        <f>Data!M1042</f>
        <v>0</v>
      </c>
      <c r="M1043" s="37" t="s">
        <v>11</v>
      </c>
      <c r="N1043" s="43" t="str">
        <f>VLOOKUP(M1043,Table1[#All],3,FALSE)</f>
        <v>Claim denied due to Frequency;</v>
      </c>
      <c r="O1043" s="40" t="str">
        <f>VLOOKUP(M1043,Table1[#All],4,FALSE)</f>
        <v>Freq for Proc:</v>
      </c>
      <c r="P1043" s="39" t="s">
        <v>3719</v>
      </c>
      <c r="Q1043" s="40" t="str">
        <f>VLOOKUP(M1043,Table1[#All],5,FALSE)</f>
        <v>Hist dts:</v>
      </c>
      <c r="R1043" s="112">
        <v>43955</v>
      </c>
      <c r="S1043" s="40" t="str">
        <f>VLOOKUP(M1043,Table1[#All],6,FALSE)</f>
        <v>Call Ref#:</v>
      </c>
      <c r="T1043" s="79" t="s">
        <v>3720</v>
      </c>
      <c r="U1043" s="40" t="str">
        <f>VLOOKUP(M1043,Table1[#All],7,FALSE)</f>
        <v>Cust Rep:</v>
      </c>
      <c r="V1043" s="79" t="s">
        <v>3721</v>
      </c>
      <c r="W1043" s="40">
        <f>VLOOKUP(M1043,Table1[#All],8,FALSE)</f>
        <v>0</v>
      </c>
      <c r="X1043" s="79"/>
      <c r="Y1043" s="44" t="str">
        <f>VLOOKUP(M1043,Table1[#All],2,FALSE)</f>
        <v xml:space="preserve">Task Post Pmt Queue </v>
      </c>
      <c r="Z1043" s="59" t="str">
        <f>VLOOKUP(M1043,Table1[#All],9,FALSE)</f>
        <v>Additional Notes:</v>
      </c>
      <c r="AA1043" s="76" t="s">
        <v>3722</v>
      </c>
      <c r="AB1043" s="76" t="s">
        <v>3697</v>
      </c>
      <c r="AC1043" s="90" t="s">
        <v>115</v>
      </c>
      <c r="AD1043" s="76" t="s">
        <v>177</v>
      </c>
      <c r="AE1043" s="77" t="s">
        <v>3698</v>
      </c>
      <c r="AF1043" s="110">
        <v>44614</v>
      </c>
      <c r="AG1043" s="41" t="s">
        <v>101</v>
      </c>
    </row>
    <row r="1044" spans="1:33" ht="49.5" hidden="1" x14ac:dyDescent="0.55000000000000004">
      <c r="A1044" s="44" t="str">
        <f>Data!K1043</f>
        <v>United Health Care Dental</v>
      </c>
      <c r="B1044" s="44" t="str">
        <f>Data!L1043</f>
        <v>8882498833</v>
      </c>
      <c r="C1044" s="44" t="str">
        <f>Data!D1043</f>
        <v>Castor, Casandra</v>
      </c>
      <c r="D1044" s="82" t="str">
        <f>Data!F1043</f>
        <v>109545323</v>
      </c>
      <c r="E1044" s="82" t="str">
        <f>Data!B1043</f>
        <v>203</v>
      </c>
      <c r="F1044" s="44" t="str">
        <f>Data!A1043</f>
        <v>Castor, Casandra</v>
      </c>
      <c r="G1044" s="55" t="str">
        <f>Data!C1043</f>
        <v>12/29/1982</v>
      </c>
      <c r="H1044" s="56">
        <f>Data!H1043</f>
        <v>44396</v>
      </c>
      <c r="I1044" s="56" t="str">
        <f>Data!I1043</f>
        <v>7/26/2021</v>
      </c>
      <c r="J1044" s="57">
        <f>Data!J1043</f>
        <v>61.2</v>
      </c>
      <c r="K1044" s="58">
        <f t="shared" ca="1" si="17"/>
        <v>297</v>
      </c>
      <c r="L1044" s="58">
        <f>Data!M1043</f>
        <v>0</v>
      </c>
      <c r="M1044" s="37" t="s">
        <v>46</v>
      </c>
      <c r="N1044" s="43" t="str">
        <f>VLOOKUP(M1044,Table1[#All],3,FALSE)</f>
        <v>Duplicate Submission;</v>
      </c>
      <c r="O1044" s="40" t="str">
        <f>VLOOKUP(M1044,Table1[#All],4,FALSE)</f>
        <v>Dt orig. claim submitted:</v>
      </c>
      <c r="P1044" s="38">
        <v>44404</v>
      </c>
      <c r="Q1044" s="40" t="str">
        <f>VLOOKUP(M1044,Table1[#All],5,FALSE)</f>
        <v xml:space="preserve">Status of original Claim: </v>
      </c>
      <c r="R1044" s="79" t="s">
        <v>3716</v>
      </c>
      <c r="S1044" s="40" t="str">
        <f>VLOOKUP(M1044,Table1[#All],6,FALSE)</f>
        <v>Call Ref#:</v>
      </c>
      <c r="T1044" s="79" t="s">
        <v>3717</v>
      </c>
      <c r="U1044" s="40" t="str">
        <f>VLOOKUP(M1044,Table1[#All],7,FALSE)</f>
        <v>Cust Rep:</v>
      </c>
      <c r="V1044" s="79"/>
      <c r="W1044" s="40">
        <f>VLOOKUP(M1044,Table1[#All],8,FALSE)</f>
        <v>0</v>
      </c>
      <c r="X1044" s="79"/>
      <c r="Y1044" s="44" t="str">
        <f>VLOOKUP(M1044,Table1[#All],2,FALSE)</f>
        <v>No Action</v>
      </c>
      <c r="Z1044" s="59" t="str">
        <f>VLOOKUP(M1044,Table1[#All],9,FALSE)</f>
        <v>Additional Notes:</v>
      </c>
      <c r="AA1044" s="76" t="s">
        <v>3718</v>
      </c>
      <c r="AB1044" s="76" t="s">
        <v>3697</v>
      </c>
      <c r="AC1044" s="90" t="s">
        <v>115</v>
      </c>
      <c r="AD1044" s="76" t="s">
        <v>177</v>
      </c>
      <c r="AE1044" s="77" t="s">
        <v>3698</v>
      </c>
      <c r="AF1044" s="110">
        <v>44613</v>
      </c>
      <c r="AG1044" s="41" t="s">
        <v>101</v>
      </c>
    </row>
    <row r="1045" spans="1:33" ht="33" hidden="1" x14ac:dyDescent="0.55000000000000004">
      <c r="A1045" s="44" t="str">
        <f>Data!K1044</f>
        <v>United Health Care Dental</v>
      </c>
      <c r="B1045" s="44" t="str">
        <f>Data!L1044</f>
        <v>8882498833</v>
      </c>
      <c r="C1045" s="44" t="str">
        <f>Data!D1044</f>
        <v>BETTACK, EMBER</v>
      </c>
      <c r="D1045" s="82" t="str">
        <f>Data!F1044</f>
        <v>110879086</v>
      </c>
      <c r="E1045" s="82" t="str">
        <f>Data!B1044</f>
        <v>1245</v>
      </c>
      <c r="F1045" s="44" t="str">
        <f>Data!A1044</f>
        <v>BETTACK, EMBER</v>
      </c>
      <c r="G1045" s="55" t="str">
        <f>Data!C1044</f>
        <v>11/12/1977</v>
      </c>
      <c r="H1045" s="56">
        <f>Data!H1044</f>
        <v>44333</v>
      </c>
      <c r="I1045" s="56" t="str">
        <f>Data!I1044</f>
        <v>6/2/2021</v>
      </c>
      <c r="J1045" s="57">
        <f>Data!J1044</f>
        <v>98.8</v>
      </c>
      <c r="K1045" s="58">
        <f t="shared" ca="1" si="17"/>
        <v>351</v>
      </c>
      <c r="L1045" s="58">
        <f>Data!M1044</f>
        <v>0</v>
      </c>
      <c r="M1045" s="37" t="s">
        <v>11</v>
      </c>
      <c r="N1045" s="43" t="str">
        <f>VLOOKUP(M1045,Table1[#All],3,FALSE)</f>
        <v>Claim denied due to Frequency;</v>
      </c>
      <c r="O1045" s="40" t="str">
        <f>VLOOKUP(M1045,Table1[#All],4,FALSE)</f>
        <v>Freq for Proc:</v>
      </c>
      <c r="P1045" s="39" t="s">
        <v>3714</v>
      </c>
      <c r="Q1045" s="40" t="str">
        <f>VLOOKUP(M1045,Table1[#All],5,FALSE)</f>
        <v>Hist dts:</v>
      </c>
      <c r="R1045" s="112">
        <v>43566</v>
      </c>
      <c r="S1045" s="40" t="str">
        <f>VLOOKUP(M1045,Table1[#All],6,FALSE)</f>
        <v>Call Ref#:</v>
      </c>
      <c r="T1045" s="79" t="s">
        <v>3711</v>
      </c>
      <c r="U1045" s="40" t="str">
        <f>VLOOKUP(M1045,Table1[#All],7,FALSE)</f>
        <v>Cust Rep:</v>
      </c>
      <c r="V1045" s="79" t="s">
        <v>3712</v>
      </c>
      <c r="W1045" s="40">
        <f>VLOOKUP(M1045,Table1[#All],8,FALSE)</f>
        <v>0</v>
      </c>
      <c r="X1045" s="79"/>
      <c r="Y1045" s="44" t="str">
        <f>VLOOKUP(M1045,Table1[#All],2,FALSE)</f>
        <v xml:space="preserve">Task Post Pmt Queue </v>
      </c>
      <c r="Z1045" s="59" t="str">
        <f>VLOOKUP(M1045,Table1[#All],9,FALSE)</f>
        <v>Additional Notes:</v>
      </c>
      <c r="AA1045" s="76" t="s">
        <v>3715</v>
      </c>
      <c r="AB1045" s="76" t="s">
        <v>3697</v>
      </c>
      <c r="AC1045" s="90" t="s">
        <v>115</v>
      </c>
      <c r="AD1045" s="76" t="s">
        <v>177</v>
      </c>
      <c r="AE1045" s="77" t="s">
        <v>3698</v>
      </c>
      <c r="AF1045" s="110">
        <v>44613</v>
      </c>
      <c r="AG1045" s="41" t="s">
        <v>101</v>
      </c>
    </row>
    <row r="1046" spans="1:33" ht="99" hidden="1" x14ac:dyDescent="0.55000000000000004">
      <c r="A1046" s="44" t="str">
        <f>Data!K1045</f>
        <v>United Health Care Dental</v>
      </c>
      <c r="B1046" s="44" t="str">
        <f>Data!L1045</f>
        <v>8882498833</v>
      </c>
      <c r="C1046" s="44" t="str">
        <f>Data!D1045</f>
        <v xml:space="preserve">Tutaj, Rylee </v>
      </c>
      <c r="D1046" s="82" t="str">
        <f>Data!F1045</f>
        <v>116006372</v>
      </c>
      <c r="E1046" s="82" t="str">
        <f>Data!B1045</f>
        <v>6923</v>
      </c>
      <c r="F1046" s="44" t="str">
        <f>Data!A1045</f>
        <v xml:space="preserve">Tutaj, Rylee </v>
      </c>
      <c r="G1046" s="55" t="str">
        <f>Data!C1045</f>
        <v>10/27/2011</v>
      </c>
      <c r="H1046" s="56">
        <f>Data!H1045</f>
        <v>44340</v>
      </c>
      <c r="I1046" s="56" t="str">
        <f>Data!I1045</f>
        <v>6/1/2021</v>
      </c>
      <c r="J1046" s="57">
        <f>Data!J1045</f>
        <v>960</v>
      </c>
      <c r="K1046" s="58">
        <f t="shared" ca="1" si="17"/>
        <v>352</v>
      </c>
      <c r="L1046" s="58">
        <f>Data!M1045</f>
        <v>0</v>
      </c>
      <c r="M1046" s="37" t="s">
        <v>20</v>
      </c>
      <c r="N1046" s="43" t="str">
        <f>VLOOKUP(M1046,Table1[#All],3,FALSE)</f>
        <v>Ins needs more info, need to submit;</v>
      </c>
      <c r="O1046" s="40" t="str">
        <f>VLOOKUP(M1046,Table1[#All],4,FALSE)</f>
        <v>Attachments/Info needed?</v>
      </c>
      <c r="P1046" s="39" t="s">
        <v>3710</v>
      </c>
      <c r="Q1046" s="40" t="str">
        <f>VLOOKUP(M1046,Table1[#All],5,FALSE)</f>
        <v>Fax # (If Fax Yes):</v>
      </c>
      <c r="R1046" s="79" t="s">
        <v>3705</v>
      </c>
      <c r="S1046" s="40" t="str">
        <f>VLOOKUP(M1046,Table1[#All],6,FALSE)</f>
        <v>Call Ref#:</v>
      </c>
      <c r="T1046" s="79" t="s">
        <v>3711</v>
      </c>
      <c r="U1046" s="40" t="str">
        <f>VLOOKUP(M1046,Table1[#All],7,FALSE)</f>
        <v>Cust Rep:</v>
      </c>
      <c r="V1046" s="79" t="s">
        <v>3712</v>
      </c>
      <c r="W1046" s="40">
        <f>VLOOKUP(M1046,Table1[#All],8,FALSE)</f>
        <v>0</v>
      </c>
      <c r="X1046" s="79"/>
      <c r="Y1046" s="44" t="str">
        <f>VLOOKUP(M1046,Table1[#All],2,FALSE)</f>
        <v xml:space="preserve">Task Sub Pending Claims Queue </v>
      </c>
      <c r="Z1046" s="59" t="str">
        <f>VLOOKUP(M1046,Table1[#All],9,FALSE)</f>
        <v>Additional Notes:</v>
      </c>
      <c r="AA1046" s="76" t="s">
        <v>3713</v>
      </c>
      <c r="AB1046" s="76" t="s">
        <v>3697</v>
      </c>
      <c r="AC1046" s="90" t="s">
        <v>185</v>
      </c>
      <c r="AD1046" s="76" t="s">
        <v>177</v>
      </c>
      <c r="AE1046" s="77" t="s">
        <v>3708</v>
      </c>
      <c r="AF1046" s="110">
        <v>44582</v>
      </c>
      <c r="AG1046" s="41" t="s">
        <v>101</v>
      </c>
    </row>
    <row r="1047" spans="1:33" ht="33" hidden="1" x14ac:dyDescent="0.55000000000000004">
      <c r="A1047" s="44" t="str">
        <f>Data!K1046</f>
        <v>United Health Care Dental</v>
      </c>
      <c r="B1047" s="44" t="str">
        <f>Data!L1046</f>
        <v>8882498833</v>
      </c>
      <c r="C1047" s="44" t="str">
        <f>Data!D1046</f>
        <v xml:space="preserve">Turcios , Maribel </v>
      </c>
      <c r="D1047" s="82" t="str">
        <f>Data!F1046</f>
        <v>103757705</v>
      </c>
      <c r="E1047" s="82" t="str">
        <f>Data!B1046</f>
        <v>7009</v>
      </c>
      <c r="F1047" s="44" t="str">
        <f>Data!A1046</f>
        <v xml:space="preserve">Turcios , Maribel </v>
      </c>
      <c r="G1047" s="55" t="str">
        <f>Data!C1046</f>
        <v>7/30/1966</v>
      </c>
      <c r="H1047" s="56">
        <f>Data!H1046</f>
        <v>44327</v>
      </c>
      <c r="I1047" s="56" t="str">
        <f>Data!I1046</f>
        <v>5/18/2021</v>
      </c>
      <c r="J1047" s="57">
        <f>Data!J1046</f>
        <v>302.39999999999998</v>
      </c>
      <c r="K1047" s="58">
        <f t="shared" ca="1" si="17"/>
        <v>366</v>
      </c>
      <c r="L1047" s="58">
        <f>Data!M1046</f>
        <v>0</v>
      </c>
      <c r="M1047" s="37" t="s">
        <v>5</v>
      </c>
      <c r="N1047" s="43" t="str">
        <f>VLOOKUP(M1047,Table1[#All],3,FALSE)</f>
        <v>Claim Paid by EFT;</v>
      </c>
      <c r="O1047" s="40" t="str">
        <f>VLOOKUP(M1047,Table1[#All],4,FALSE)</f>
        <v>Issue Date:</v>
      </c>
      <c r="P1047" s="38">
        <v>44344</v>
      </c>
      <c r="Q1047" s="40" t="str">
        <f>VLOOKUP(M1047,Table1[#All],5,FALSE)</f>
        <v>EFT#</v>
      </c>
      <c r="R1047" s="79">
        <v>10064031</v>
      </c>
      <c r="S1047" s="40" t="str">
        <f>VLOOKUP(M1047,Table1[#All],6,FALSE)</f>
        <v>Bulk/Sep:</v>
      </c>
      <c r="T1047" s="124">
        <v>1316.84</v>
      </c>
      <c r="U1047" s="40" t="str">
        <f>VLOOKUP(M1047,Table1[#All],7,FALSE)</f>
        <v>Call Ref#:</v>
      </c>
      <c r="V1047" s="79" t="s">
        <v>3701</v>
      </c>
      <c r="W1047" s="40" t="str">
        <f>VLOOKUP(M1047,Table1[#All],8,FALSE)</f>
        <v>Cust Rep:</v>
      </c>
      <c r="X1047" s="79" t="s">
        <v>3702</v>
      </c>
      <c r="Y1047" s="44" t="str">
        <f>VLOOKUP(M1047,Table1[#All],2,FALSE)</f>
        <v xml:space="preserve">Task Post Pmt Queue </v>
      </c>
      <c r="Z1047" s="59" t="str">
        <f>VLOOKUP(M1047,Table1[#All],9,FALSE)</f>
        <v>Additional Notes:</v>
      </c>
      <c r="AA1047" s="76" t="s">
        <v>3709</v>
      </c>
      <c r="AB1047" s="76" t="s">
        <v>3697</v>
      </c>
      <c r="AC1047" s="90" t="s">
        <v>115</v>
      </c>
      <c r="AD1047" s="76" t="s">
        <v>177</v>
      </c>
      <c r="AE1047" s="77" t="s">
        <v>3698</v>
      </c>
      <c r="AF1047" s="110">
        <v>44613</v>
      </c>
      <c r="AG1047" s="41" t="s">
        <v>101</v>
      </c>
    </row>
    <row r="1048" spans="1:33" ht="99" hidden="1" x14ac:dyDescent="0.55000000000000004">
      <c r="A1048" s="44" t="str">
        <f>Data!K1047</f>
        <v>United Health Care Dental</v>
      </c>
      <c r="B1048" s="44" t="str">
        <f>Data!L1047</f>
        <v>8882498833</v>
      </c>
      <c r="C1048" s="44" t="str">
        <f>Data!D1047</f>
        <v xml:space="preserve">Love , Rebecca </v>
      </c>
      <c r="D1048" s="82" t="str">
        <f>Data!F1047</f>
        <v>114908264</v>
      </c>
      <c r="E1048" s="82" t="str">
        <f>Data!B1047</f>
        <v>5588</v>
      </c>
      <c r="F1048" s="44" t="str">
        <f>Data!A1047</f>
        <v xml:space="preserve">Love , Rebecca </v>
      </c>
      <c r="G1048" s="55" t="str">
        <f>Data!C1047</f>
        <v>3/10/1960</v>
      </c>
      <c r="H1048" s="56">
        <f>Data!H1047</f>
        <v>44312</v>
      </c>
      <c r="I1048" s="56" t="str">
        <f>Data!I1047</f>
        <v>4/26/2021</v>
      </c>
      <c r="J1048" s="57">
        <f>Data!J1047</f>
        <v>1032</v>
      </c>
      <c r="K1048" s="58">
        <f t="shared" ca="1" si="17"/>
        <v>388</v>
      </c>
      <c r="L1048" s="58">
        <f>Data!M1047</f>
        <v>0</v>
      </c>
      <c r="M1048" s="37" t="s">
        <v>30</v>
      </c>
      <c r="N1048" s="43" t="str">
        <f>VLOOKUP(M1048,Table1[#All],3,FALSE)</f>
        <v>Claim not on file. Patient is active ;</v>
      </c>
      <c r="O1048" s="40" t="str">
        <f>VLOOKUP(M1048,Table1[#All],4,FALSE)</f>
        <v>Payor ID &amp; Address:</v>
      </c>
      <c r="P1048" s="39" t="s">
        <v>3704</v>
      </c>
      <c r="Q1048" s="40" t="str">
        <f>VLOOKUP(M1048,Table1[#All],5,FALSE)</f>
        <v>Fax # (If Fax Yes):</v>
      </c>
      <c r="R1048" s="79" t="s">
        <v>3705</v>
      </c>
      <c r="S1048" s="40" t="str">
        <f>VLOOKUP(M1048,Table1[#All],6,FALSE)</f>
        <v>TFL in Mnths:</v>
      </c>
      <c r="T1048" s="79" t="s">
        <v>3706</v>
      </c>
      <c r="U1048" s="40" t="str">
        <f>VLOOKUP(M1048,Table1[#All],7,FALSE)</f>
        <v>Call Ref#:</v>
      </c>
      <c r="V1048" s="79" t="s">
        <v>3701</v>
      </c>
      <c r="W1048" s="40" t="str">
        <f>VLOOKUP(M1048,Table1[#All],8,FALSE)</f>
        <v>Cust Rep:</v>
      </c>
      <c r="X1048" s="79" t="s">
        <v>3702</v>
      </c>
      <c r="Y1048" s="44" t="str">
        <f>VLOOKUP(M1048,Table1[#All],2,FALSE)</f>
        <v>Task Sub Pending Claims Queue</v>
      </c>
      <c r="Z1048" s="59" t="str">
        <f>VLOOKUP(M1048,Table1[#All],9,FALSE)</f>
        <v>Additional Notes:</v>
      </c>
      <c r="AA1048" s="76" t="s">
        <v>3707</v>
      </c>
      <c r="AB1048" s="76" t="s">
        <v>3697</v>
      </c>
      <c r="AC1048" s="90" t="s">
        <v>185</v>
      </c>
      <c r="AD1048" s="76" t="s">
        <v>177</v>
      </c>
      <c r="AE1048" s="77" t="s">
        <v>3708</v>
      </c>
      <c r="AF1048" s="110">
        <v>44582</v>
      </c>
      <c r="AG1048" s="41" t="s">
        <v>101</v>
      </c>
    </row>
    <row r="1049" spans="1:33" ht="99" hidden="1" x14ac:dyDescent="0.55000000000000004">
      <c r="A1049" s="44" t="str">
        <f>Data!K1048</f>
        <v>United Health Care Dental</v>
      </c>
      <c r="B1049" s="44" t="str">
        <f>Data!L1048</f>
        <v>8882498833</v>
      </c>
      <c r="C1049" s="44" t="str">
        <f>Data!D1048</f>
        <v xml:space="preserve">Love , Rebecca </v>
      </c>
      <c r="D1049" s="82" t="str">
        <f>Data!F1048</f>
        <v>105561068</v>
      </c>
      <c r="E1049" s="82" t="str">
        <f>Data!B1048</f>
        <v>5588</v>
      </c>
      <c r="F1049" s="44" t="str">
        <f>Data!A1048</f>
        <v xml:space="preserve">Love , Rebecca </v>
      </c>
      <c r="G1049" s="55" t="str">
        <f>Data!C1048</f>
        <v>3/10/1960</v>
      </c>
      <c r="H1049" s="56">
        <f>Data!H1048</f>
        <v>44307</v>
      </c>
      <c r="I1049" s="56" t="str">
        <f>Data!I1048</f>
        <v>5/11/2021</v>
      </c>
      <c r="J1049" s="57">
        <f>Data!J1048</f>
        <v>290</v>
      </c>
      <c r="K1049" s="58">
        <f t="shared" ca="1" si="17"/>
        <v>373</v>
      </c>
      <c r="L1049" s="58">
        <f>Data!M1048</f>
        <v>0</v>
      </c>
      <c r="M1049" s="37" t="s">
        <v>30</v>
      </c>
      <c r="N1049" s="43" t="str">
        <f>VLOOKUP(M1049,Table1[#All],3,FALSE)</f>
        <v>Claim not on file. Patient is active ;</v>
      </c>
      <c r="O1049" s="40" t="str">
        <f>VLOOKUP(M1049,Table1[#All],4,FALSE)</f>
        <v>Payor ID &amp; Address:</v>
      </c>
      <c r="P1049" s="39" t="s">
        <v>3704</v>
      </c>
      <c r="Q1049" s="40" t="str">
        <f>VLOOKUP(M1049,Table1[#All],5,FALSE)</f>
        <v>Fax # (If Fax Yes):</v>
      </c>
      <c r="R1049" s="79" t="s">
        <v>3705</v>
      </c>
      <c r="S1049" s="40" t="str">
        <f>VLOOKUP(M1049,Table1[#All],6,FALSE)</f>
        <v>TFL in Mnths:</v>
      </c>
      <c r="T1049" s="79" t="s">
        <v>3706</v>
      </c>
      <c r="U1049" s="40" t="str">
        <f>VLOOKUP(M1049,Table1[#All],7,FALSE)</f>
        <v>Call Ref#:</v>
      </c>
      <c r="V1049" s="79" t="s">
        <v>3701</v>
      </c>
      <c r="W1049" s="40" t="str">
        <f>VLOOKUP(M1049,Table1[#All],8,FALSE)</f>
        <v>Cust Rep:</v>
      </c>
      <c r="X1049" s="79" t="s">
        <v>3702</v>
      </c>
      <c r="Y1049" s="44" t="str">
        <f>VLOOKUP(M1049,Table1[#All],2,FALSE)</f>
        <v>Task Sub Pending Claims Queue</v>
      </c>
      <c r="Z1049" s="59" t="str">
        <f>VLOOKUP(M1049,Table1[#All],9,FALSE)</f>
        <v>Additional Notes:</v>
      </c>
      <c r="AA1049" s="76" t="s">
        <v>3707</v>
      </c>
      <c r="AB1049" s="76" t="s">
        <v>3697</v>
      </c>
      <c r="AC1049" s="90" t="s">
        <v>185</v>
      </c>
      <c r="AD1049" s="76" t="s">
        <v>177</v>
      </c>
      <c r="AE1049" s="77" t="s">
        <v>3708</v>
      </c>
      <c r="AF1049" s="110">
        <v>44582</v>
      </c>
      <c r="AG1049" s="41" t="s">
        <v>101</v>
      </c>
    </row>
    <row r="1050" spans="1:33" ht="33" hidden="1" x14ac:dyDescent="0.55000000000000004">
      <c r="A1050" s="44" t="str">
        <f>Data!K1049</f>
        <v>United Health Care Dental</v>
      </c>
      <c r="B1050" s="44" t="str">
        <f>Data!L1049</f>
        <v>8882498833</v>
      </c>
      <c r="C1050" s="44" t="str">
        <f>Data!D1049</f>
        <v>Capol , Joseph</v>
      </c>
      <c r="D1050" s="82" t="str">
        <f>Data!F1049</f>
        <v>119208384</v>
      </c>
      <c r="E1050" s="82" t="str">
        <f>Data!B1049</f>
        <v>6589</v>
      </c>
      <c r="F1050" s="44" t="str">
        <f>Data!A1049</f>
        <v>Capol , Joseph</v>
      </c>
      <c r="G1050" s="55" t="str">
        <f>Data!C1049</f>
        <v>2/17/2013</v>
      </c>
      <c r="H1050" s="56">
        <f>Data!H1049</f>
        <v>44286</v>
      </c>
      <c r="I1050" s="56" t="str">
        <f>Data!I1049</f>
        <v>4/1/2021</v>
      </c>
      <c r="J1050" s="57">
        <f>Data!J1049</f>
        <v>238</v>
      </c>
      <c r="K1050" s="58">
        <f t="shared" ca="1" si="17"/>
        <v>413</v>
      </c>
      <c r="L1050" s="58">
        <f>Data!M1049</f>
        <v>0</v>
      </c>
      <c r="M1050" s="37" t="s">
        <v>5</v>
      </c>
      <c r="N1050" s="43" t="str">
        <f>VLOOKUP(M1050,Table1[#All],3,FALSE)</f>
        <v>Claim Paid by EFT;</v>
      </c>
      <c r="O1050" s="40" t="str">
        <f>VLOOKUP(M1050,Table1[#All],4,FALSE)</f>
        <v>Issue Date:</v>
      </c>
      <c r="P1050" s="38">
        <v>44295</v>
      </c>
      <c r="Q1050" s="40" t="str">
        <f>VLOOKUP(M1050,Table1[#All],5,FALSE)</f>
        <v>EFT#</v>
      </c>
      <c r="R1050" s="79">
        <v>10041576</v>
      </c>
      <c r="S1050" s="40" t="str">
        <f>VLOOKUP(M1050,Table1[#All],6,FALSE)</f>
        <v>Bulk/Sep:</v>
      </c>
      <c r="T1050" s="124">
        <v>5220</v>
      </c>
      <c r="U1050" s="40" t="str">
        <f>VLOOKUP(M1050,Table1[#All],7,FALSE)</f>
        <v>Call Ref#:</v>
      </c>
      <c r="V1050" s="79" t="s">
        <v>3701</v>
      </c>
      <c r="W1050" s="40" t="str">
        <f>VLOOKUP(M1050,Table1[#All],8,FALSE)</f>
        <v>Cust Rep:</v>
      </c>
      <c r="X1050" s="79" t="s">
        <v>3702</v>
      </c>
      <c r="Y1050" s="44" t="str">
        <f>VLOOKUP(M1050,Table1[#All],2,FALSE)</f>
        <v xml:space="preserve">Task Post Pmt Queue </v>
      </c>
      <c r="Z1050" s="59" t="str">
        <f>VLOOKUP(M1050,Table1[#All],9,FALSE)</f>
        <v>Additional Notes:</v>
      </c>
      <c r="AA1050" s="76" t="s">
        <v>3703</v>
      </c>
      <c r="AB1050" s="76" t="s">
        <v>3697</v>
      </c>
      <c r="AC1050" s="90" t="s">
        <v>115</v>
      </c>
      <c r="AD1050" s="76" t="s">
        <v>177</v>
      </c>
      <c r="AE1050" s="77" t="s">
        <v>3698</v>
      </c>
      <c r="AF1050" s="110">
        <v>44613</v>
      </c>
      <c r="AG1050" s="41" t="s">
        <v>101</v>
      </c>
    </row>
    <row r="1051" spans="1:33" ht="21" hidden="1" x14ac:dyDescent="0.55000000000000004">
      <c r="A1051" s="44" t="str">
        <f>Data!K1050</f>
        <v>United Health Care Dental</v>
      </c>
      <c r="B1051" s="44" t="str">
        <f>Data!L1050</f>
        <v>8882498833</v>
      </c>
      <c r="C1051" s="44" t="str">
        <f>Data!D1050</f>
        <v>Alioto , Rose</v>
      </c>
      <c r="D1051" s="82" t="str">
        <f>Data!F1050</f>
        <v>105140148</v>
      </c>
      <c r="E1051" s="82" t="str">
        <f>Data!B1050</f>
        <v>6737</v>
      </c>
      <c r="F1051" s="44" t="str">
        <f>Data!A1050</f>
        <v>Alioto , Rose</v>
      </c>
      <c r="G1051" s="55" t="str">
        <f>Data!C1050</f>
        <v>6/17/1987</v>
      </c>
      <c r="H1051" s="56">
        <f>Data!H1050</f>
        <v>44286</v>
      </c>
      <c r="I1051" s="56" t="str">
        <f>Data!I1050</f>
        <v>4/1/2021</v>
      </c>
      <c r="J1051" s="57">
        <f>Data!J1050</f>
        <v>178.4</v>
      </c>
      <c r="K1051" s="58">
        <f t="shared" ca="1" si="17"/>
        <v>413</v>
      </c>
      <c r="L1051" s="58">
        <f>Data!M1050</f>
        <v>0</v>
      </c>
      <c r="M1051" s="37" t="s">
        <v>5</v>
      </c>
      <c r="N1051" s="43" t="str">
        <f>VLOOKUP(M1051,Table1[#All],3,FALSE)</f>
        <v>Claim Paid by EFT;</v>
      </c>
      <c r="O1051" s="40" t="str">
        <f>VLOOKUP(M1051,Table1[#All],4,FALSE)</f>
        <v>Issue Date:</v>
      </c>
      <c r="P1051" s="38">
        <v>44295</v>
      </c>
      <c r="Q1051" s="40" t="str">
        <f>VLOOKUP(M1051,Table1[#All],5,FALSE)</f>
        <v>EFT#</v>
      </c>
      <c r="R1051" s="79">
        <v>10041576</v>
      </c>
      <c r="S1051" s="40" t="str">
        <f>VLOOKUP(M1051,Table1[#All],6,FALSE)</f>
        <v>Bulk/Sep:</v>
      </c>
      <c r="T1051" s="79" t="s">
        <v>3699</v>
      </c>
      <c r="U1051" s="40" t="str">
        <f>VLOOKUP(M1051,Table1[#All],7,FALSE)</f>
        <v>Call Ref#:</v>
      </c>
      <c r="V1051" s="79"/>
      <c r="W1051" s="40" t="str">
        <f>VLOOKUP(M1051,Table1[#All],8,FALSE)</f>
        <v>Cust Rep:</v>
      </c>
      <c r="X1051" s="79"/>
      <c r="Y1051" s="44" t="str">
        <f>VLOOKUP(M1051,Table1[#All],2,FALSE)</f>
        <v xml:space="preserve">Task Post Pmt Queue </v>
      </c>
      <c r="Z1051" s="59" t="str">
        <f>VLOOKUP(M1051,Table1[#All],9,FALSE)</f>
        <v>Additional Notes:</v>
      </c>
      <c r="AA1051" s="76" t="s">
        <v>3700</v>
      </c>
      <c r="AB1051" s="76" t="s">
        <v>3697</v>
      </c>
      <c r="AC1051" s="90" t="s">
        <v>115</v>
      </c>
      <c r="AD1051" s="76" t="s">
        <v>177</v>
      </c>
      <c r="AE1051" s="77" t="s">
        <v>3698</v>
      </c>
      <c r="AF1051" s="123">
        <v>44614</v>
      </c>
      <c r="AG1051" s="41" t="s">
        <v>101</v>
      </c>
    </row>
    <row r="1052" spans="1:33" ht="21" hidden="1" x14ac:dyDescent="0.55000000000000004">
      <c r="A1052" s="44" t="str">
        <f>Data!K1051</f>
        <v>United Health Care Dental</v>
      </c>
      <c r="B1052" s="44" t="str">
        <f>Data!L1051</f>
        <v>8882498833</v>
      </c>
      <c r="C1052" s="44" t="str">
        <f>Data!D1051</f>
        <v>Nunez, Gema</v>
      </c>
      <c r="D1052" s="82" t="str">
        <f>Data!F1051</f>
        <v>106912078</v>
      </c>
      <c r="E1052" s="82" t="str">
        <f>Data!B1051</f>
        <v>5668</v>
      </c>
      <c r="F1052" s="44" t="str">
        <f>Data!A1051</f>
        <v>Nunez, Gema</v>
      </c>
      <c r="G1052" s="55" t="str">
        <f>Data!C1051</f>
        <v>6/7/2013</v>
      </c>
      <c r="H1052" s="56">
        <f>Data!H1051</f>
        <v>44181</v>
      </c>
      <c r="I1052" s="56" t="str">
        <f>Data!I1051</f>
        <v>1/11/2021</v>
      </c>
      <c r="J1052" s="57">
        <f>Data!J1051</f>
        <v>532</v>
      </c>
      <c r="K1052" s="58">
        <f t="shared" ca="1" si="17"/>
        <v>493</v>
      </c>
      <c r="L1052" s="58">
        <f>Data!M1051</f>
        <v>0</v>
      </c>
      <c r="M1052" s="37" t="s">
        <v>48</v>
      </c>
      <c r="N1052" s="43" t="str">
        <f>VLOOKUP(M1052,Table1[#All],3,FALSE)</f>
        <v>Primary Ins paid Max allowable;</v>
      </c>
      <c r="O1052" s="40" t="str">
        <f>VLOOKUP(M1052,Table1[#All],4,FALSE)</f>
        <v>Call Ref#:</v>
      </c>
      <c r="P1052" s="39" t="s">
        <v>3694</v>
      </c>
      <c r="Q1052" s="40" t="str">
        <f>VLOOKUP(M1052,Table1[#All],5,FALSE)</f>
        <v>Cust Rep:</v>
      </c>
      <c r="R1052" s="79" t="s">
        <v>3695</v>
      </c>
      <c r="S1052" s="40">
        <f>VLOOKUP(M1052,Table1[#All],6,FALSE)</f>
        <v>0</v>
      </c>
      <c r="T1052" s="79"/>
      <c r="U1052" s="40">
        <f>VLOOKUP(M1052,Table1[#All],7,FALSE)</f>
        <v>0</v>
      </c>
      <c r="V1052" s="79"/>
      <c r="W1052" s="40">
        <f>VLOOKUP(M1052,Table1[#All],8,FALSE)</f>
        <v>0</v>
      </c>
      <c r="X1052" s="79"/>
      <c r="Y1052" s="44" t="str">
        <f>VLOOKUP(M1052,Table1[#All],2,FALSE)</f>
        <v xml:space="preserve">Task Post Pmt Queue </v>
      </c>
      <c r="Z1052" s="59" t="str">
        <f>VLOOKUP(M1052,Table1[#All],9,FALSE)</f>
        <v>Additional Notes:</v>
      </c>
      <c r="AA1052" s="76" t="s">
        <v>3696</v>
      </c>
      <c r="AB1052" s="76" t="s">
        <v>3697</v>
      </c>
      <c r="AC1052" s="90" t="s">
        <v>115</v>
      </c>
      <c r="AD1052" s="76" t="s">
        <v>177</v>
      </c>
      <c r="AE1052" s="77" t="s">
        <v>3698</v>
      </c>
      <c r="AF1052" s="110">
        <v>44614</v>
      </c>
      <c r="AG1052" s="41" t="s">
        <v>101</v>
      </c>
    </row>
    <row r="1053" spans="1:33" ht="21" hidden="1" x14ac:dyDescent="0.55000000000000004">
      <c r="A1053" s="44">
        <f>Data!K1052</f>
        <v>0</v>
      </c>
      <c r="B1053" s="44">
        <f>Data!L1052</f>
        <v>0</v>
      </c>
      <c r="C1053" s="44">
        <f>Data!D1052</f>
        <v>0</v>
      </c>
      <c r="D1053" s="82">
        <f>Data!F1052</f>
        <v>0</v>
      </c>
      <c r="E1053" s="82">
        <f>Data!B1052</f>
        <v>0</v>
      </c>
      <c r="F1053" s="44">
        <f>Data!A1052</f>
        <v>0</v>
      </c>
      <c r="G1053" s="55">
        <f>Data!C1052</f>
        <v>0</v>
      </c>
      <c r="H1053" s="56">
        <f>Data!H1052</f>
        <v>0</v>
      </c>
      <c r="I1053" s="56">
        <f>Data!I1052</f>
        <v>0</v>
      </c>
      <c r="J1053" s="57">
        <f>Data!J1052</f>
        <v>0</v>
      </c>
      <c r="K1053" s="58">
        <f t="shared" ca="1" si="17"/>
        <v>44700</v>
      </c>
      <c r="L1053" s="58">
        <f>Data!M1052</f>
        <v>0</v>
      </c>
      <c r="M1053" s="37" t="s">
        <v>26</v>
      </c>
      <c r="N1053" s="43" t="str">
        <f>VLOOKUP(M1053,Table1[#All],3,FALSE)</f>
        <v>Note</v>
      </c>
      <c r="O1053" s="40" t="str">
        <f>VLOOKUP(M1053,Table1[#All],4,FALSE)</f>
        <v>Q1</v>
      </c>
      <c r="P1053" s="39"/>
      <c r="Q1053" s="40" t="str">
        <f>VLOOKUP(M1053,Table1[#All],5,FALSE)</f>
        <v>Q2</v>
      </c>
      <c r="R1053" s="79"/>
      <c r="S1053" s="40" t="str">
        <f>VLOOKUP(M1053,Table1[#All],6,FALSE)</f>
        <v>Q3</v>
      </c>
      <c r="T1053" s="79"/>
      <c r="U1053" s="40" t="str">
        <f>VLOOKUP(M1053,Table1[#All],7,FALSE)</f>
        <v>Q4</v>
      </c>
      <c r="V1053" s="79"/>
      <c r="W1053" s="40" t="str">
        <f>VLOOKUP(M1053,Table1[#All],8,FALSE)</f>
        <v>Q5</v>
      </c>
      <c r="X1053" s="79"/>
      <c r="Y1053" s="44" t="str">
        <f>VLOOKUP(M1053,Table1[#All],2,FALSE)</f>
        <v>Action</v>
      </c>
      <c r="Z1053" s="59" t="str">
        <f>VLOOKUP(M1053,Table1[#All],9,FALSE)</f>
        <v>Additional Notes:</v>
      </c>
      <c r="AA1053" s="76"/>
      <c r="AB1053" s="76"/>
      <c r="AC1053" s="90" t="s">
        <v>91</v>
      </c>
      <c r="AD1053" s="76" t="s">
        <v>91</v>
      </c>
      <c r="AE1053" s="77"/>
      <c r="AF1053" s="77"/>
      <c r="AG1053" s="41" t="s">
        <v>91</v>
      </c>
    </row>
    <row r="1054" spans="1:33" ht="21" hidden="1" x14ac:dyDescent="0.55000000000000004">
      <c r="A1054" s="44">
        <f>Data!K1053</f>
        <v>0</v>
      </c>
      <c r="B1054" s="44">
        <f>Data!L1053</f>
        <v>0</v>
      </c>
      <c r="C1054" s="44">
        <f>Data!D1053</f>
        <v>0</v>
      </c>
      <c r="D1054" s="82">
        <f>Data!F1053</f>
        <v>0</v>
      </c>
      <c r="E1054" s="82">
        <f>Data!B1053</f>
        <v>0</v>
      </c>
      <c r="F1054" s="44">
        <f>Data!A1053</f>
        <v>0</v>
      </c>
      <c r="G1054" s="55">
        <f>Data!C1053</f>
        <v>0</v>
      </c>
      <c r="H1054" s="56">
        <f>Data!H1053</f>
        <v>0</v>
      </c>
      <c r="I1054" s="56">
        <f>Data!I1053</f>
        <v>0</v>
      </c>
      <c r="J1054" s="57">
        <f>Data!J1053</f>
        <v>0</v>
      </c>
      <c r="K1054" s="58">
        <f t="shared" ca="1" si="17"/>
        <v>44700</v>
      </c>
      <c r="L1054" s="58">
        <f>Data!M1053</f>
        <v>0</v>
      </c>
      <c r="M1054" s="37" t="s">
        <v>26</v>
      </c>
      <c r="N1054" s="43" t="str">
        <f>VLOOKUP(M1054,Table1[#All],3,FALSE)</f>
        <v>Note</v>
      </c>
      <c r="O1054" s="40" t="str">
        <f>VLOOKUP(M1054,Table1[#All],4,FALSE)</f>
        <v>Q1</v>
      </c>
      <c r="P1054" s="39"/>
      <c r="Q1054" s="40" t="str">
        <f>VLOOKUP(M1054,Table1[#All],5,FALSE)</f>
        <v>Q2</v>
      </c>
      <c r="R1054" s="79"/>
      <c r="S1054" s="40" t="str">
        <f>VLOOKUP(M1054,Table1[#All],6,FALSE)</f>
        <v>Q3</v>
      </c>
      <c r="T1054" s="79"/>
      <c r="U1054" s="40" t="str">
        <f>VLOOKUP(M1054,Table1[#All],7,FALSE)</f>
        <v>Q4</v>
      </c>
      <c r="V1054" s="79"/>
      <c r="W1054" s="40" t="str">
        <f>VLOOKUP(M1054,Table1[#All],8,FALSE)</f>
        <v>Q5</v>
      </c>
      <c r="X1054" s="79"/>
      <c r="Y1054" s="44" t="str">
        <f>VLOOKUP(M1054,Table1[#All],2,FALSE)</f>
        <v>Action</v>
      </c>
      <c r="Z1054" s="59" t="str">
        <f>VLOOKUP(M1054,Table1[#All],9,FALSE)</f>
        <v>Additional Notes:</v>
      </c>
      <c r="AA1054" s="76"/>
      <c r="AB1054" s="76"/>
      <c r="AC1054" s="90" t="s">
        <v>91</v>
      </c>
      <c r="AD1054" s="76" t="s">
        <v>91</v>
      </c>
      <c r="AE1054" s="77"/>
      <c r="AF1054" s="77"/>
      <c r="AG1054" s="41" t="s">
        <v>91</v>
      </c>
    </row>
    <row r="1055" spans="1:33" ht="21" hidden="1" x14ac:dyDescent="0.55000000000000004">
      <c r="A1055" s="44">
        <f>Data!K1054</f>
        <v>0</v>
      </c>
      <c r="B1055" s="44">
        <f>Data!L1054</f>
        <v>0</v>
      </c>
      <c r="C1055" s="44">
        <f>Data!D1054</f>
        <v>0</v>
      </c>
      <c r="D1055" s="82">
        <f>Data!F1054</f>
        <v>0</v>
      </c>
      <c r="E1055" s="82">
        <f>Data!B1054</f>
        <v>0</v>
      </c>
      <c r="F1055" s="44">
        <f>Data!A1054</f>
        <v>0</v>
      </c>
      <c r="G1055" s="55">
        <f>Data!C1054</f>
        <v>0</v>
      </c>
      <c r="H1055" s="56">
        <f>Data!H1054</f>
        <v>0</v>
      </c>
      <c r="I1055" s="56">
        <f>Data!I1054</f>
        <v>0</v>
      </c>
      <c r="J1055" s="57">
        <f>Data!J1054</f>
        <v>0</v>
      </c>
      <c r="K1055" s="58">
        <f t="shared" ca="1" si="17"/>
        <v>44700</v>
      </c>
      <c r="L1055" s="58">
        <f>Data!M1054</f>
        <v>0</v>
      </c>
      <c r="M1055" s="37" t="s">
        <v>26</v>
      </c>
      <c r="N1055" s="43" t="str">
        <f>VLOOKUP(M1055,Table1[#All],3,FALSE)</f>
        <v>Note</v>
      </c>
      <c r="O1055" s="40" t="str">
        <f>VLOOKUP(M1055,Table1[#All],4,FALSE)</f>
        <v>Q1</v>
      </c>
      <c r="P1055" s="39"/>
      <c r="Q1055" s="40" t="str">
        <f>VLOOKUP(M1055,Table1[#All],5,FALSE)</f>
        <v>Q2</v>
      </c>
      <c r="R1055" s="79"/>
      <c r="S1055" s="40" t="str">
        <f>VLOOKUP(M1055,Table1[#All],6,FALSE)</f>
        <v>Q3</v>
      </c>
      <c r="T1055" s="79"/>
      <c r="U1055" s="40" t="str">
        <f>VLOOKUP(M1055,Table1[#All],7,FALSE)</f>
        <v>Q4</v>
      </c>
      <c r="V1055" s="79"/>
      <c r="W1055" s="40" t="str">
        <f>VLOOKUP(M1055,Table1[#All],8,FALSE)</f>
        <v>Q5</v>
      </c>
      <c r="X1055" s="79"/>
      <c r="Y1055" s="44" t="str">
        <f>VLOOKUP(M1055,Table1[#All],2,FALSE)</f>
        <v>Action</v>
      </c>
      <c r="Z1055" s="59" t="str">
        <f>VLOOKUP(M1055,Table1[#All],9,FALSE)</f>
        <v>Additional Notes:</v>
      </c>
      <c r="AA1055" s="76"/>
      <c r="AB1055" s="76"/>
      <c r="AC1055" s="90" t="s">
        <v>91</v>
      </c>
      <c r="AD1055" s="76" t="s">
        <v>91</v>
      </c>
      <c r="AE1055" s="77"/>
      <c r="AF1055" s="77"/>
      <c r="AG1055" s="41" t="s">
        <v>91</v>
      </c>
    </row>
    <row r="1056" spans="1:33" ht="21" hidden="1" x14ac:dyDescent="0.55000000000000004">
      <c r="A1056" s="44">
        <f>Data!K1055</f>
        <v>0</v>
      </c>
      <c r="B1056" s="44">
        <f>Data!L1055</f>
        <v>0</v>
      </c>
      <c r="C1056" s="44">
        <f>Data!D1055</f>
        <v>0</v>
      </c>
      <c r="D1056" s="82">
        <f>Data!F1055</f>
        <v>0</v>
      </c>
      <c r="E1056" s="82">
        <f>Data!B1055</f>
        <v>0</v>
      </c>
      <c r="F1056" s="44">
        <f>Data!A1055</f>
        <v>0</v>
      </c>
      <c r="G1056" s="55">
        <f>Data!C1055</f>
        <v>0</v>
      </c>
      <c r="H1056" s="56">
        <f>Data!H1055</f>
        <v>0</v>
      </c>
      <c r="I1056" s="56">
        <f>Data!I1055</f>
        <v>0</v>
      </c>
      <c r="J1056" s="57">
        <f>Data!J1055</f>
        <v>0</v>
      </c>
      <c r="K1056" s="58">
        <f t="shared" ca="1" si="17"/>
        <v>44700</v>
      </c>
      <c r="L1056" s="58">
        <f>Data!M1055</f>
        <v>0</v>
      </c>
      <c r="M1056" s="37" t="s">
        <v>26</v>
      </c>
      <c r="N1056" s="43" t="str">
        <f>VLOOKUP(M1056,Table1[#All],3,FALSE)</f>
        <v>Note</v>
      </c>
      <c r="O1056" s="40" t="str">
        <f>VLOOKUP(M1056,Table1[#All],4,FALSE)</f>
        <v>Q1</v>
      </c>
      <c r="P1056" s="39"/>
      <c r="Q1056" s="40" t="str">
        <f>VLOOKUP(M1056,Table1[#All],5,FALSE)</f>
        <v>Q2</v>
      </c>
      <c r="R1056" s="79"/>
      <c r="S1056" s="40" t="str">
        <f>VLOOKUP(M1056,Table1[#All],6,FALSE)</f>
        <v>Q3</v>
      </c>
      <c r="T1056" s="79"/>
      <c r="U1056" s="40" t="str">
        <f>VLOOKUP(M1056,Table1[#All],7,FALSE)</f>
        <v>Q4</v>
      </c>
      <c r="V1056" s="79"/>
      <c r="W1056" s="40" t="str">
        <f>VLOOKUP(M1056,Table1[#All],8,FALSE)</f>
        <v>Q5</v>
      </c>
      <c r="X1056" s="79"/>
      <c r="Y1056" s="44" t="str">
        <f>VLOOKUP(M1056,Table1[#All],2,FALSE)</f>
        <v>Action</v>
      </c>
      <c r="Z1056" s="59" t="str">
        <f>VLOOKUP(M1056,Table1[#All],9,FALSE)</f>
        <v>Additional Notes:</v>
      </c>
      <c r="AA1056" s="76"/>
      <c r="AB1056" s="76"/>
      <c r="AC1056" s="90" t="s">
        <v>91</v>
      </c>
      <c r="AD1056" s="76" t="s">
        <v>91</v>
      </c>
      <c r="AE1056" s="77"/>
      <c r="AF1056" s="77"/>
      <c r="AG1056" s="41" t="s">
        <v>91</v>
      </c>
    </row>
    <row r="1057" spans="1:33" ht="21" hidden="1" x14ac:dyDescent="0.55000000000000004">
      <c r="A1057" s="44">
        <f>Data!K1056</f>
        <v>0</v>
      </c>
      <c r="B1057" s="44">
        <f>Data!L1056</f>
        <v>0</v>
      </c>
      <c r="C1057" s="44">
        <f>Data!D1056</f>
        <v>0</v>
      </c>
      <c r="D1057" s="82">
        <f>Data!F1056</f>
        <v>0</v>
      </c>
      <c r="E1057" s="82">
        <f>Data!B1056</f>
        <v>0</v>
      </c>
      <c r="F1057" s="44">
        <f>Data!A1056</f>
        <v>0</v>
      </c>
      <c r="G1057" s="55">
        <f>Data!C1056</f>
        <v>0</v>
      </c>
      <c r="H1057" s="56">
        <f>Data!H1056</f>
        <v>0</v>
      </c>
      <c r="I1057" s="56">
        <f>Data!I1056</f>
        <v>0</v>
      </c>
      <c r="J1057" s="57">
        <f>Data!J1056</f>
        <v>0</v>
      </c>
      <c r="K1057" s="58">
        <f t="shared" ca="1" si="17"/>
        <v>44700</v>
      </c>
      <c r="L1057" s="58">
        <f>Data!M1056</f>
        <v>0</v>
      </c>
      <c r="M1057" s="37" t="s">
        <v>26</v>
      </c>
      <c r="N1057" s="43" t="str">
        <f>VLOOKUP(M1057,Table1[#All],3,FALSE)</f>
        <v>Note</v>
      </c>
      <c r="O1057" s="40" t="str">
        <f>VLOOKUP(M1057,Table1[#All],4,FALSE)</f>
        <v>Q1</v>
      </c>
      <c r="P1057" s="39"/>
      <c r="Q1057" s="40" t="str">
        <f>VLOOKUP(M1057,Table1[#All],5,FALSE)</f>
        <v>Q2</v>
      </c>
      <c r="R1057" s="79"/>
      <c r="S1057" s="40" t="str">
        <f>VLOOKUP(M1057,Table1[#All],6,FALSE)</f>
        <v>Q3</v>
      </c>
      <c r="T1057" s="79"/>
      <c r="U1057" s="40" t="str">
        <f>VLOOKUP(M1057,Table1[#All],7,FALSE)</f>
        <v>Q4</v>
      </c>
      <c r="V1057" s="79"/>
      <c r="W1057" s="40" t="str">
        <f>VLOOKUP(M1057,Table1[#All],8,FALSE)</f>
        <v>Q5</v>
      </c>
      <c r="X1057" s="79"/>
      <c r="Y1057" s="44" t="str">
        <f>VLOOKUP(M1057,Table1[#All],2,FALSE)</f>
        <v>Action</v>
      </c>
      <c r="Z1057" s="59" t="str">
        <f>VLOOKUP(M1057,Table1[#All],9,FALSE)</f>
        <v>Additional Notes:</v>
      </c>
      <c r="AA1057" s="76"/>
      <c r="AB1057" s="76"/>
      <c r="AC1057" s="90" t="s">
        <v>91</v>
      </c>
      <c r="AD1057" s="76" t="s">
        <v>91</v>
      </c>
      <c r="AE1057" s="77"/>
      <c r="AF1057" s="77"/>
      <c r="AG1057" s="41" t="s">
        <v>91</v>
      </c>
    </row>
    <row r="1058" spans="1:33" ht="21" hidden="1" x14ac:dyDescent="0.55000000000000004">
      <c r="A1058" s="44">
        <f>Data!K1057</f>
        <v>0</v>
      </c>
      <c r="B1058" s="44">
        <f>Data!L1057</f>
        <v>0</v>
      </c>
      <c r="C1058" s="44">
        <f>Data!D1057</f>
        <v>0</v>
      </c>
      <c r="D1058" s="82">
        <f>Data!F1057</f>
        <v>0</v>
      </c>
      <c r="E1058" s="82">
        <f>Data!B1057</f>
        <v>0</v>
      </c>
      <c r="F1058" s="44">
        <f>Data!A1057</f>
        <v>0</v>
      </c>
      <c r="G1058" s="55">
        <f>Data!C1057</f>
        <v>0</v>
      </c>
      <c r="H1058" s="56">
        <f>Data!H1057</f>
        <v>0</v>
      </c>
      <c r="I1058" s="56">
        <f>Data!I1057</f>
        <v>0</v>
      </c>
      <c r="J1058" s="57">
        <f>Data!J1057</f>
        <v>0</v>
      </c>
      <c r="K1058" s="58">
        <f t="shared" ca="1" si="17"/>
        <v>44700</v>
      </c>
      <c r="L1058" s="58">
        <f>Data!M1057</f>
        <v>0</v>
      </c>
      <c r="M1058" s="37" t="s">
        <v>26</v>
      </c>
      <c r="N1058" s="43" t="str">
        <f>VLOOKUP(M1058,Table1[#All],3,FALSE)</f>
        <v>Note</v>
      </c>
      <c r="O1058" s="40" t="str">
        <f>VLOOKUP(M1058,Table1[#All],4,FALSE)</f>
        <v>Q1</v>
      </c>
      <c r="P1058" s="39"/>
      <c r="Q1058" s="40" t="str">
        <f>VLOOKUP(M1058,Table1[#All],5,FALSE)</f>
        <v>Q2</v>
      </c>
      <c r="R1058" s="79"/>
      <c r="S1058" s="40" t="str">
        <f>VLOOKUP(M1058,Table1[#All],6,FALSE)</f>
        <v>Q3</v>
      </c>
      <c r="T1058" s="79"/>
      <c r="U1058" s="40" t="str">
        <f>VLOOKUP(M1058,Table1[#All],7,FALSE)</f>
        <v>Q4</v>
      </c>
      <c r="V1058" s="79"/>
      <c r="W1058" s="40" t="str">
        <f>VLOOKUP(M1058,Table1[#All],8,FALSE)</f>
        <v>Q5</v>
      </c>
      <c r="X1058" s="79"/>
      <c r="Y1058" s="44" t="str">
        <f>VLOOKUP(M1058,Table1[#All],2,FALSE)</f>
        <v>Action</v>
      </c>
      <c r="Z1058" s="59" t="str">
        <f>VLOOKUP(M1058,Table1[#All],9,FALSE)</f>
        <v>Additional Notes:</v>
      </c>
      <c r="AA1058" s="76"/>
      <c r="AB1058" s="76"/>
      <c r="AC1058" s="90" t="s">
        <v>91</v>
      </c>
      <c r="AD1058" s="76" t="s">
        <v>91</v>
      </c>
      <c r="AE1058" s="77"/>
      <c r="AF1058" s="77"/>
      <c r="AG1058" s="41" t="s">
        <v>91</v>
      </c>
    </row>
    <row r="1059" spans="1:33" ht="21" hidden="1" x14ac:dyDescent="0.55000000000000004">
      <c r="A1059" s="44">
        <f>Data!K1058</f>
        <v>0</v>
      </c>
      <c r="B1059" s="44">
        <f>Data!L1058</f>
        <v>0</v>
      </c>
      <c r="C1059" s="44">
        <f>Data!D1058</f>
        <v>0</v>
      </c>
      <c r="D1059" s="82">
        <f>Data!F1058</f>
        <v>0</v>
      </c>
      <c r="E1059" s="82">
        <f>Data!B1058</f>
        <v>0</v>
      </c>
      <c r="F1059" s="44">
        <f>Data!A1058</f>
        <v>0</v>
      </c>
      <c r="G1059" s="55">
        <f>Data!C1058</f>
        <v>0</v>
      </c>
      <c r="H1059" s="56">
        <f>Data!H1058</f>
        <v>0</v>
      </c>
      <c r="I1059" s="56">
        <f>Data!I1058</f>
        <v>0</v>
      </c>
      <c r="J1059" s="57">
        <f>Data!J1058</f>
        <v>0</v>
      </c>
      <c r="K1059" s="58">
        <f t="shared" ca="1" si="17"/>
        <v>44700</v>
      </c>
      <c r="L1059" s="58">
        <f>Data!M1058</f>
        <v>0</v>
      </c>
      <c r="M1059" s="37" t="s">
        <v>26</v>
      </c>
      <c r="N1059" s="43" t="str">
        <f>VLOOKUP(M1059,Table1[#All],3,FALSE)</f>
        <v>Note</v>
      </c>
      <c r="O1059" s="40" t="str">
        <f>VLOOKUP(M1059,Table1[#All],4,FALSE)</f>
        <v>Q1</v>
      </c>
      <c r="P1059" s="39"/>
      <c r="Q1059" s="40" t="str">
        <f>VLOOKUP(M1059,Table1[#All],5,FALSE)</f>
        <v>Q2</v>
      </c>
      <c r="R1059" s="79"/>
      <c r="S1059" s="40" t="str">
        <f>VLOOKUP(M1059,Table1[#All],6,FALSE)</f>
        <v>Q3</v>
      </c>
      <c r="T1059" s="79"/>
      <c r="U1059" s="40" t="str">
        <f>VLOOKUP(M1059,Table1[#All],7,FALSE)</f>
        <v>Q4</v>
      </c>
      <c r="V1059" s="79"/>
      <c r="W1059" s="40" t="str">
        <f>VLOOKUP(M1059,Table1[#All],8,FALSE)</f>
        <v>Q5</v>
      </c>
      <c r="X1059" s="79"/>
      <c r="Y1059" s="44" t="str">
        <f>VLOOKUP(M1059,Table1[#All],2,FALSE)</f>
        <v>Action</v>
      </c>
      <c r="Z1059" s="59" t="str">
        <f>VLOOKUP(M1059,Table1[#All],9,FALSE)</f>
        <v>Additional Notes:</v>
      </c>
      <c r="AA1059" s="76"/>
      <c r="AB1059" s="76"/>
      <c r="AC1059" s="90" t="s">
        <v>91</v>
      </c>
      <c r="AD1059" s="76" t="s">
        <v>91</v>
      </c>
      <c r="AE1059" s="77"/>
      <c r="AF1059" s="77"/>
      <c r="AG1059" s="41" t="s">
        <v>91</v>
      </c>
    </row>
    <row r="1060" spans="1:33" ht="21" hidden="1" x14ac:dyDescent="0.55000000000000004">
      <c r="A1060" s="44">
        <f>Data!K1059</f>
        <v>0</v>
      </c>
      <c r="B1060" s="44">
        <f>Data!L1059</f>
        <v>0</v>
      </c>
      <c r="C1060" s="44">
        <f>Data!D1059</f>
        <v>0</v>
      </c>
      <c r="D1060" s="82">
        <f>Data!F1059</f>
        <v>0</v>
      </c>
      <c r="E1060" s="82">
        <f>Data!B1059</f>
        <v>0</v>
      </c>
      <c r="F1060" s="44">
        <f>Data!A1059</f>
        <v>0</v>
      </c>
      <c r="G1060" s="55">
        <f>Data!C1059</f>
        <v>0</v>
      </c>
      <c r="H1060" s="56">
        <f>Data!H1059</f>
        <v>0</v>
      </c>
      <c r="I1060" s="56">
        <f>Data!I1059</f>
        <v>0</v>
      </c>
      <c r="J1060" s="57">
        <f>Data!J1059</f>
        <v>0</v>
      </c>
      <c r="K1060" s="58">
        <f t="shared" ca="1" si="17"/>
        <v>44700</v>
      </c>
      <c r="L1060" s="58">
        <f>Data!M1059</f>
        <v>0</v>
      </c>
      <c r="M1060" s="37" t="s">
        <v>26</v>
      </c>
      <c r="N1060" s="43" t="str">
        <f>VLOOKUP(M1060,Table1[#All],3,FALSE)</f>
        <v>Note</v>
      </c>
      <c r="O1060" s="40" t="str">
        <f>VLOOKUP(M1060,Table1[#All],4,FALSE)</f>
        <v>Q1</v>
      </c>
      <c r="P1060" s="39"/>
      <c r="Q1060" s="40" t="str">
        <f>VLOOKUP(M1060,Table1[#All],5,FALSE)</f>
        <v>Q2</v>
      </c>
      <c r="R1060" s="79"/>
      <c r="S1060" s="40" t="str">
        <f>VLOOKUP(M1060,Table1[#All],6,FALSE)</f>
        <v>Q3</v>
      </c>
      <c r="T1060" s="79"/>
      <c r="U1060" s="40" t="str">
        <f>VLOOKUP(M1060,Table1[#All],7,FALSE)</f>
        <v>Q4</v>
      </c>
      <c r="V1060" s="79"/>
      <c r="W1060" s="40" t="str">
        <f>VLOOKUP(M1060,Table1[#All],8,FALSE)</f>
        <v>Q5</v>
      </c>
      <c r="X1060" s="79"/>
      <c r="Y1060" s="44" t="str">
        <f>VLOOKUP(M1060,Table1[#All],2,FALSE)</f>
        <v>Action</v>
      </c>
      <c r="Z1060" s="59" t="str">
        <f>VLOOKUP(M1060,Table1[#All],9,FALSE)</f>
        <v>Additional Notes:</v>
      </c>
      <c r="AA1060" s="76"/>
      <c r="AB1060" s="76"/>
      <c r="AC1060" s="90" t="s">
        <v>91</v>
      </c>
      <c r="AD1060" s="76" t="s">
        <v>91</v>
      </c>
      <c r="AE1060" s="77"/>
      <c r="AF1060" s="77"/>
      <c r="AG1060" s="41" t="s">
        <v>91</v>
      </c>
    </row>
    <row r="1061" spans="1:33" ht="21" hidden="1" x14ac:dyDescent="0.55000000000000004">
      <c r="A1061" s="44">
        <f>Data!K1060</f>
        <v>0</v>
      </c>
      <c r="B1061" s="44">
        <f>Data!L1060</f>
        <v>0</v>
      </c>
      <c r="C1061" s="44">
        <f>Data!D1060</f>
        <v>0</v>
      </c>
      <c r="D1061" s="82">
        <f>Data!F1060</f>
        <v>0</v>
      </c>
      <c r="E1061" s="82">
        <f>Data!B1060</f>
        <v>0</v>
      </c>
      <c r="F1061" s="44">
        <f>Data!A1060</f>
        <v>0</v>
      </c>
      <c r="G1061" s="55">
        <f>Data!C1060</f>
        <v>0</v>
      </c>
      <c r="H1061" s="56">
        <f>Data!H1060</f>
        <v>0</v>
      </c>
      <c r="I1061" s="56">
        <f>Data!I1060</f>
        <v>0</v>
      </c>
      <c r="J1061" s="57">
        <f>Data!J1060</f>
        <v>0</v>
      </c>
      <c r="K1061" s="58">
        <f t="shared" ca="1" si="17"/>
        <v>44700</v>
      </c>
      <c r="L1061" s="58">
        <f>Data!M1060</f>
        <v>0</v>
      </c>
      <c r="M1061" s="37" t="s">
        <v>26</v>
      </c>
      <c r="N1061" s="43" t="str">
        <f>VLOOKUP(M1061,Table1[#All],3,FALSE)</f>
        <v>Note</v>
      </c>
      <c r="O1061" s="40" t="str">
        <f>VLOOKUP(M1061,Table1[#All],4,FALSE)</f>
        <v>Q1</v>
      </c>
      <c r="P1061" s="39"/>
      <c r="Q1061" s="40" t="str">
        <f>VLOOKUP(M1061,Table1[#All],5,FALSE)</f>
        <v>Q2</v>
      </c>
      <c r="R1061" s="79"/>
      <c r="S1061" s="40" t="str">
        <f>VLOOKUP(M1061,Table1[#All],6,FALSE)</f>
        <v>Q3</v>
      </c>
      <c r="T1061" s="79"/>
      <c r="U1061" s="40" t="str">
        <f>VLOOKUP(M1061,Table1[#All],7,FALSE)</f>
        <v>Q4</v>
      </c>
      <c r="V1061" s="79"/>
      <c r="W1061" s="40" t="str">
        <f>VLOOKUP(M1061,Table1[#All],8,FALSE)</f>
        <v>Q5</v>
      </c>
      <c r="X1061" s="79"/>
      <c r="Y1061" s="44" t="str">
        <f>VLOOKUP(M1061,Table1[#All],2,FALSE)</f>
        <v>Action</v>
      </c>
      <c r="Z1061" s="59" t="str">
        <f>VLOOKUP(M1061,Table1[#All],9,FALSE)</f>
        <v>Additional Notes:</v>
      </c>
      <c r="AA1061" s="76"/>
      <c r="AB1061" s="76"/>
      <c r="AC1061" s="90" t="s">
        <v>91</v>
      </c>
      <c r="AD1061" s="76" t="s">
        <v>91</v>
      </c>
      <c r="AE1061" s="77"/>
      <c r="AF1061" s="77"/>
      <c r="AG1061" s="41" t="s">
        <v>91</v>
      </c>
    </row>
    <row r="1062" spans="1:33" ht="21" hidden="1" x14ac:dyDescent="0.55000000000000004">
      <c r="A1062" s="44">
        <f>Data!K1061</f>
        <v>0</v>
      </c>
      <c r="B1062" s="44">
        <f>Data!L1061</f>
        <v>0</v>
      </c>
      <c r="C1062" s="44">
        <f>Data!D1061</f>
        <v>0</v>
      </c>
      <c r="D1062" s="82">
        <f>Data!F1061</f>
        <v>0</v>
      </c>
      <c r="E1062" s="82">
        <f>Data!B1061</f>
        <v>0</v>
      </c>
      <c r="F1062" s="44">
        <f>Data!A1061</f>
        <v>0</v>
      </c>
      <c r="G1062" s="55">
        <f>Data!C1061</f>
        <v>0</v>
      </c>
      <c r="H1062" s="56">
        <f>Data!H1061</f>
        <v>0</v>
      </c>
      <c r="I1062" s="56">
        <f>Data!I1061</f>
        <v>0</v>
      </c>
      <c r="J1062" s="57">
        <f>Data!J1061</f>
        <v>0</v>
      </c>
      <c r="K1062" s="58">
        <f t="shared" ca="1" si="17"/>
        <v>44700</v>
      </c>
      <c r="L1062" s="58">
        <f>Data!M1061</f>
        <v>0</v>
      </c>
      <c r="M1062" s="37" t="s">
        <v>26</v>
      </c>
      <c r="N1062" s="43" t="str">
        <f>VLOOKUP(M1062,Table1[#All],3,FALSE)</f>
        <v>Note</v>
      </c>
      <c r="O1062" s="40" t="str">
        <f>VLOOKUP(M1062,Table1[#All],4,FALSE)</f>
        <v>Q1</v>
      </c>
      <c r="P1062" s="39"/>
      <c r="Q1062" s="40" t="str">
        <f>VLOOKUP(M1062,Table1[#All],5,FALSE)</f>
        <v>Q2</v>
      </c>
      <c r="R1062" s="79"/>
      <c r="S1062" s="40" t="str">
        <f>VLOOKUP(M1062,Table1[#All],6,FALSE)</f>
        <v>Q3</v>
      </c>
      <c r="T1062" s="79"/>
      <c r="U1062" s="40" t="str">
        <f>VLOOKUP(M1062,Table1[#All],7,FALSE)</f>
        <v>Q4</v>
      </c>
      <c r="V1062" s="79"/>
      <c r="W1062" s="40" t="str">
        <f>VLOOKUP(M1062,Table1[#All],8,FALSE)</f>
        <v>Q5</v>
      </c>
      <c r="X1062" s="79"/>
      <c r="Y1062" s="44" t="str">
        <f>VLOOKUP(M1062,Table1[#All],2,FALSE)</f>
        <v>Action</v>
      </c>
      <c r="Z1062" s="59" t="str">
        <f>VLOOKUP(M1062,Table1[#All],9,FALSE)</f>
        <v>Additional Notes:</v>
      </c>
      <c r="AA1062" s="76"/>
      <c r="AB1062" s="76"/>
      <c r="AC1062" s="90" t="s">
        <v>91</v>
      </c>
      <c r="AD1062" s="76" t="s">
        <v>91</v>
      </c>
      <c r="AE1062" s="77"/>
      <c r="AF1062" s="77"/>
      <c r="AG1062" s="41" t="s">
        <v>91</v>
      </c>
    </row>
    <row r="1063" spans="1:33" ht="21" hidden="1" x14ac:dyDescent="0.55000000000000004">
      <c r="A1063" s="44">
        <f>Data!K1062</f>
        <v>0</v>
      </c>
      <c r="B1063" s="44">
        <f>Data!L1062</f>
        <v>0</v>
      </c>
      <c r="C1063" s="44">
        <f>Data!D1062</f>
        <v>0</v>
      </c>
      <c r="D1063" s="82">
        <f>Data!F1062</f>
        <v>0</v>
      </c>
      <c r="E1063" s="82">
        <f>Data!B1062</f>
        <v>0</v>
      </c>
      <c r="F1063" s="44">
        <f>Data!A1062</f>
        <v>0</v>
      </c>
      <c r="G1063" s="55">
        <f>Data!C1062</f>
        <v>0</v>
      </c>
      <c r="H1063" s="56">
        <f>Data!H1062</f>
        <v>0</v>
      </c>
      <c r="I1063" s="56">
        <f>Data!I1062</f>
        <v>0</v>
      </c>
      <c r="J1063" s="57">
        <f>Data!J1062</f>
        <v>0</v>
      </c>
      <c r="K1063" s="58">
        <f t="shared" ca="1" si="17"/>
        <v>44700</v>
      </c>
      <c r="L1063" s="58">
        <f>Data!M1062</f>
        <v>0</v>
      </c>
      <c r="M1063" s="37" t="s">
        <v>26</v>
      </c>
      <c r="N1063" s="43" t="str">
        <f>VLOOKUP(M1063,Table1[#All],3,FALSE)</f>
        <v>Note</v>
      </c>
      <c r="O1063" s="40" t="str">
        <f>VLOOKUP(M1063,Table1[#All],4,FALSE)</f>
        <v>Q1</v>
      </c>
      <c r="P1063" s="39"/>
      <c r="Q1063" s="40" t="str">
        <f>VLOOKUP(M1063,Table1[#All],5,FALSE)</f>
        <v>Q2</v>
      </c>
      <c r="R1063" s="79"/>
      <c r="S1063" s="40" t="str">
        <f>VLOOKUP(M1063,Table1[#All],6,FALSE)</f>
        <v>Q3</v>
      </c>
      <c r="T1063" s="79"/>
      <c r="U1063" s="40" t="str">
        <f>VLOOKUP(M1063,Table1[#All],7,FALSE)</f>
        <v>Q4</v>
      </c>
      <c r="V1063" s="79"/>
      <c r="W1063" s="40" t="str">
        <f>VLOOKUP(M1063,Table1[#All],8,FALSE)</f>
        <v>Q5</v>
      </c>
      <c r="X1063" s="79"/>
      <c r="Y1063" s="44" t="str">
        <f>VLOOKUP(M1063,Table1[#All],2,FALSE)</f>
        <v>Action</v>
      </c>
      <c r="Z1063" s="59" t="str">
        <f>VLOOKUP(M1063,Table1[#All],9,FALSE)</f>
        <v>Additional Notes:</v>
      </c>
      <c r="AA1063" s="76"/>
      <c r="AB1063" s="76"/>
      <c r="AC1063" s="90" t="s">
        <v>91</v>
      </c>
      <c r="AD1063" s="76" t="s">
        <v>91</v>
      </c>
      <c r="AE1063" s="77"/>
      <c r="AF1063" s="77"/>
      <c r="AG1063" s="41" t="s">
        <v>91</v>
      </c>
    </row>
    <row r="1064" spans="1:33" ht="21" hidden="1" x14ac:dyDescent="0.55000000000000004">
      <c r="A1064" s="44">
        <f>Data!K1063</f>
        <v>0</v>
      </c>
      <c r="B1064" s="44">
        <f>Data!L1063</f>
        <v>0</v>
      </c>
      <c r="C1064" s="44">
        <f>Data!D1063</f>
        <v>0</v>
      </c>
      <c r="D1064" s="82">
        <f>Data!F1063</f>
        <v>0</v>
      </c>
      <c r="E1064" s="82">
        <f>Data!B1063</f>
        <v>0</v>
      </c>
      <c r="F1064" s="44">
        <f>Data!A1063</f>
        <v>0</v>
      </c>
      <c r="G1064" s="55">
        <f>Data!C1063</f>
        <v>0</v>
      </c>
      <c r="H1064" s="56">
        <f>Data!H1063</f>
        <v>0</v>
      </c>
      <c r="I1064" s="56">
        <f>Data!I1063</f>
        <v>0</v>
      </c>
      <c r="J1064" s="57">
        <f>Data!J1063</f>
        <v>0</v>
      </c>
      <c r="K1064" s="58">
        <f t="shared" ref="K1064:K1127" ca="1" si="18">TODAY()-I1064</f>
        <v>44700</v>
      </c>
      <c r="L1064" s="58">
        <f>Data!M1063</f>
        <v>0</v>
      </c>
      <c r="M1064" s="37" t="s">
        <v>26</v>
      </c>
      <c r="N1064" s="43" t="str">
        <f>VLOOKUP(M1064,Table1[#All],3,FALSE)</f>
        <v>Note</v>
      </c>
      <c r="O1064" s="40" t="str">
        <f>VLOOKUP(M1064,Table1[#All],4,FALSE)</f>
        <v>Q1</v>
      </c>
      <c r="P1064" s="39"/>
      <c r="Q1064" s="40" t="str">
        <f>VLOOKUP(M1064,Table1[#All],5,FALSE)</f>
        <v>Q2</v>
      </c>
      <c r="R1064" s="79"/>
      <c r="S1064" s="40" t="str">
        <f>VLOOKUP(M1064,Table1[#All],6,FALSE)</f>
        <v>Q3</v>
      </c>
      <c r="T1064" s="79"/>
      <c r="U1064" s="40" t="str">
        <f>VLOOKUP(M1064,Table1[#All],7,FALSE)</f>
        <v>Q4</v>
      </c>
      <c r="V1064" s="79"/>
      <c r="W1064" s="40" t="str">
        <f>VLOOKUP(M1064,Table1[#All],8,FALSE)</f>
        <v>Q5</v>
      </c>
      <c r="X1064" s="79"/>
      <c r="Y1064" s="44" t="str">
        <f>VLOOKUP(M1064,Table1[#All],2,FALSE)</f>
        <v>Action</v>
      </c>
      <c r="Z1064" s="59" t="str">
        <f>VLOOKUP(M1064,Table1[#All],9,FALSE)</f>
        <v>Additional Notes:</v>
      </c>
      <c r="AA1064" s="76"/>
      <c r="AB1064" s="76"/>
      <c r="AC1064" s="90" t="s">
        <v>91</v>
      </c>
      <c r="AD1064" s="76" t="s">
        <v>91</v>
      </c>
      <c r="AE1064" s="77"/>
      <c r="AF1064" s="77"/>
      <c r="AG1064" s="41" t="s">
        <v>91</v>
      </c>
    </row>
    <row r="1065" spans="1:33" ht="21" hidden="1" x14ac:dyDescent="0.55000000000000004">
      <c r="A1065" s="44">
        <f>Data!K1064</f>
        <v>0</v>
      </c>
      <c r="B1065" s="44">
        <f>Data!L1064</f>
        <v>0</v>
      </c>
      <c r="C1065" s="44">
        <f>Data!D1064</f>
        <v>0</v>
      </c>
      <c r="D1065" s="82">
        <f>Data!F1064</f>
        <v>0</v>
      </c>
      <c r="E1065" s="82">
        <f>Data!B1064</f>
        <v>0</v>
      </c>
      <c r="F1065" s="44">
        <f>Data!A1064</f>
        <v>0</v>
      </c>
      <c r="G1065" s="55">
        <f>Data!C1064</f>
        <v>0</v>
      </c>
      <c r="H1065" s="56">
        <f>Data!H1064</f>
        <v>0</v>
      </c>
      <c r="I1065" s="56">
        <f>Data!I1064</f>
        <v>0</v>
      </c>
      <c r="J1065" s="57">
        <f>Data!J1064</f>
        <v>0</v>
      </c>
      <c r="K1065" s="58">
        <f t="shared" ca="1" si="18"/>
        <v>44700</v>
      </c>
      <c r="L1065" s="58">
        <f>Data!M1064</f>
        <v>0</v>
      </c>
      <c r="M1065" s="37" t="s">
        <v>26</v>
      </c>
      <c r="N1065" s="43" t="str">
        <f>VLOOKUP(M1065,Table1[#All],3,FALSE)</f>
        <v>Note</v>
      </c>
      <c r="O1065" s="40" t="str">
        <f>VLOOKUP(M1065,Table1[#All],4,FALSE)</f>
        <v>Q1</v>
      </c>
      <c r="P1065" s="39"/>
      <c r="Q1065" s="40" t="str">
        <f>VLOOKUP(M1065,Table1[#All],5,FALSE)</f>
        <v>Q2</v>
      </c>
      <c r="R1065" s="79"/>
      <c r="S1065" s="40" t="str">
        <f>VLOOKUP(M1065,Table1[#All],6,FALSE)</f>
        <v>Q3</v>
      </c>
      <c r="T1065" s="79"/>
      <c r="U1065" s="40" t="str">
        <f>VLOOKUP(M1065,Table1[#All],7,FALSE)</f>
        <v>Q4</v>
      </c>
      <c r="V1065" s="79"/>
      <c r="W1065" s="40" t="str">
        <f>VLOOKUP(M1065,Table1[#All],8,FALSE)</f>
        <v>Q5</v>
      </c>
      <c r="X1065" s="79"/>
      <c r="Y1065" s="44" t="str">
        <f>VLOOKUP(M1065,Table1[#All],2,FALSE)</f>
        <v>Action</v>
      </c>
      <c r="Z1065" s="59" t="str">
        <f>VLOOKUP(M1065,Table1[#All],9,FALSE)</f>
        <v>Additional Notes:</v>
      </c>
      <c r="AA1065" s="76"/>
      <c r="AB1065" s="76"/>
      <c r="AC1065" s="90" t="s">
        <v>91</v>
      </c>
      <c r="AD1065" s="76" t="s">
        <v>91</v>
      </c>
      <c r="AE1065" s="77"/>
      <c r="AF1065" s="77"/>
      <c r="AG1065" s="41" t="s">
        <v>91</v>
      </c>
    </row>
    <row r="1066" spans="1:33" ht="21" hidden="1" x14ac:dyDescent="0.55000000000000004">
      <c r="A1066" s="44">
        <f>Data!K1065</f>
        <v>0</v>
      </c>
      <c r="B1066" s="44">
        <f>Data!L1065</f>
        <v>0</v>
      </c>
      <c r="C1066" s="44">
        <f>Data!D1065</f>
        <v>0</v>
      </c>
      <c r="D1066" s="82">
        <f>Data!F1065</f>
        <v>0</v>
      </c>
      <c r="E1066" s="82">
        <f>Data!B1065</f>
        <v>0</v>
      </c>
      <c r="F1066" s="44">
        <f>Data!A1065</f>
        <v>0</v>
      </c>
      <c r="G1066" s="55">
        <f>Data!C1065</f>
        <v>0</v>
      </c>
      <c r="H1066" s="56">
        <f>Data!H1065</f>
        <v>0</v>
      </c>
      <c r="I1066" s="56">
        <f>Data!I1065</f>
        <v>0</v>
      </c>
      <c r="J1066" s="57">
        <f>Data!J1065</f>
        <v>0</v>
      </c>
      <c r="K1066" s="58">
        <f t="shared" ca="1" si="18"/>
        <v>44700</v>
      </c>
      <c r="L1066" s="58">
        <f>Data!M1065</f>
        <v>0</v>
      </c>
      <c r="M1066" s="37" t="s">
        <v>26</v>
      </c>
      <c r="N1066" s="43" t="str">
        <f>VLOOKUP(M1066,Table1[#All],3,FALSE)</f>
        <v>Note</v>
      </c>
      <c r="O1066" s="40" t="str">
        <f>VLOOKUP(M1066,Table1[#All],4,FALSE)</f>
        <v>Q1</v>
      </c>
      <c r="P1066" s="39"/>
      <c r="Q1066" s="40" t="str">
        <f>VLOOKUP(M1066,Table1[#All],5,FALSE)</f>
        <v>Q2</v>
      </c>
      <c r="R1066" s="79"/>
      <c r="S1066" s="40" t="str">
        <f>VLOOKUP(M1066,Table1[#All],6,FALSE)</f>
        <v>Q3</v>
      </c>
      <c r="T1066" s="79"/>
      <c r="U1066" s="40" t="str">
        <f>VLOOKUP(M1066,Table1[#All],7,FALSE)</f>
        <v>Q4</v>
      </c>
      <c r="V1066" s="79"/>
      <c r="W1066" s="40" t="str">
        <f>VLOOKUP(M1066,Table1[#All],8,FALSE)</f>
        <v>Q5</v>
      </c>
      <c r="X1066" s="79"/>
      <c r="Y1066" s="44" t="str">
        <f>VLOOKUP(M1066,Table1[#All],2,FALSE)</f>
        <v>Action</v>
      </c>
      <c r="Z1066" s="59" t="str">
        <f>VLOOKUP(M1066,Table1[#All],9,FALSE)</f>
        <v>Additional Notes:</v>
      </c>
      <c r="AA1066" s="76"/>
      <c r="AB1066" s="76"/>
      <c r="AC1066" s="90" t="s">
        <v>91</v>
      </c>
      <c r="AD1066" s="76" t="s">
        <v>91</v>
      </c>
      <c r="AE1066" s="77"/>
      <c r="AF1066" s="77"/>
      <c r="AG1066" s="41" t="s">
        <v>91</v>
      </c>
    </row>
    <row r="1067" spans="1:33" ht="21" hidden="1" x14ac:dyDescent="0.55000000000000004">
      <c r="A1067" s="44">
        <f>Data!K1066</f>
        <v>0</v>
      </c>
      <c r="B1067" s="44">
        <f>Data!L1066</f>
        <v>0</v>
      </c>
      <c r="C1067" s="44">
        <f>Data!D1066</f>
        <v>0</v>
      </c>
      <c r="D1067" s="82">
        <f>Data!F1066</f>
        <v>0</v>
      </c>
      <c r="E1067" s="82">
        <f>Data!B1066</f>
        <v>0</v>
      </c>
      <c r="F1067" s="44">
        <f>Data!A1066</f>
        <v>0</v>
      </c>
      <c r="G1067" s="55">
        <f>Data!C1066</f>
        <v>0</v>
      </c>
      <c r="H1067" s="56">
        <f>Data!H1066</f>
        <v>0</v>
      </c>
      <c r="I1067" s="56">
        <f>Data!I1066</f>
        <v>0</v>
      </c>
      <c r="J1067" s="57">
        <f>Data!J1066</f>
        <v>0</v>
      </c>
      <c r="K1067" s="58">
        <f t="shared" ca="1" si="18"/>
        <v>44700</v>
      </c>
      <c r="L1067" s="58">
        <f>Data!M1066</f>
        <v>0</v>
      </c>
      <c r="M1067" s="37" t="s">
        <v>26</v>
      </c>
      <c r="N1067" s="43" t="str">
        <f>VLOOKUP(M1067,Table1[#All],3,FALSE)</f>
        <v>Note</v>
      </c>
      <c r="O1067" s="40" t="str">
        <f>VLOOKUP(M1067,Table1[#All],4,FALSE)</f>
        <v>Q1</v>
      </c>
      <c r="P1067" s="39"/>
      <c r="Q1067" s="40" t="str">
        <f>VLOOKUP(M1067,Table1[#All],5,FALSE)</f>
        <v>Q2</v>
      </c>
      <c r="R1067" s="79"/>
      <c r="S1067" s="40" t="str">
        <f>VLOOKUP(M1067,Table1[#All],6,FALSE)</f>
        <v>Q3</v>
      </c>
      <c r="T1067" s="79"/>
      <c r="U1067" s="40" t="str">
        <f>VLOOKUP(M1067,Table1[#All],7,FALSE)</f>
        <v>Q4</v>
      </c>
      <c r="V1067" s="79"/>
      <c r="W1067" s="40" t="str">
        <f>VLOOKUP(M1067,Table1[#All],8,FALSE)</f>
        <v>Q5</v>
      </c>
      <c r="X1067" s="79"/>
      <c r="Y1067" s="44" t="str">
        <f>VLOOKUP(M1067,Table1[#All],2,FALSE)</f>
        <v>Action</v>
      </c>
      <c r="Z1067" s="59" t="str">
        <f>VLOOKUP(M1067,Table1[#All],9,FALSE)</f>
        <v>Additional Notes:</v>
      </c>
      <c r="AA1067" s="76"/>
      <c r="AB1067" s="76"/>
      <c r="AC1067" s="90" t="s">
        <v>91</v>
      </c>
      <c r="AD1067" s="76" t="s">
        <v>91</v>
      </c>
      <c r="AE1067" s="77"/>
      <c r="AF1067" s="77"/>
      <c r="AG1067" s="41" t="s">
        <v>91</v>
      </c>
    </row>
    <row r="1068" spans="1:33" ht="21" hidden="1" x14ac:dyDescent="0.55000000000000004">
      <c r="A1068" s="44">
        <f>Data!K1067</f>
        <v>0</v>
      </c>
      <c r="B1068" s="44">
        <f>Data!L1067</f>
        <v>0</v>
      </c>
      <c r="C1068" s="44">
        <f>Data!D1067</f>
        <v>0</v>
      </c>
      <c r="D1068" s="82">
        <f>Data!F1067</f>
        <v>0</v>
      </c>
      <c r="E1068" s="82">
        <f>Data!B1067</f>
        <v>0</v>
      </c>
      <c r="F1068" s="44">
        <f>Data!A1067</f>
        <v>0</v>
      </c>
      <c r="G1068" s="55">
        <f>Data!C1067</f>
        <v>0</v>
      </c>
      <c r="H1068" s="56">
        <f>Data!H1067</f>
        <v>0</v>
      </c>
      <c r="I1068" s="56">
        <f>Data!I1067</f>
        <v>0</v>
      </c>
      <c r="J1068" s="57">
        <f>Data!J1067</f>
        <v>0</v>
      </c>
      <c r="K1068" s="58">
        <f t="shared" ca="1" si="18"/>
        <v>44700</v>
      </c>
      <c r="L1068" s="58">
        <f>Data!M1067</f>
        <v>0</v>
      </c>
      <c r="M1068" s="37" t="s">
        <v>26</v>
      </c>
      <c r="N1068" s="43" t="str">
        <f>VLOOKUP(M1068,Table1[#All],3,FALSE)</f>
        <v>Note</v>
      </c>
      <c r="O1068" s="40" t="str">
        <f>VLOOKUP(M1068,Table1[#All],4,FALSE)</f>
        <v>Q1</v>
      </c>
      <c r="P1068" s="39"/>
      <c r="Q1068" s="40" t="str">
        <f>VLOOKUP(M1068,Table1[#All],5,FALSE)</f>
        <v>Q2</v>
      </c>
      <c r="R1068" s="79"/>
      <c r="S1068" s="40" t="str">
        <f>VLOOKUP(M1068,Table1[#All],6,FALSE)</f>
        <v>Q3</v>
      </c>
      <c r="T1068" s="79"/>
      <c r="U1068" s="40" t="str">
        <f>VLOOKUP(M1068,Table1[#All],7,FALSE)</f>
        <v>Q4</v>
      </c>
      <c r="V1068" s="79"/>
      <c r="W1068" s="40" t="str">
        <f>VLOOKUP(M1068,Table1[#All],8,FALSE)</f>
        <v>Q5</v>
      </c>
      <c r="X1068" s="79"/>
      <c r="Y1068" s="44" t="str">
        <f>VLOOKUP(M1068,Table1[#All],2,FALSE)</f>
        <v>Action</v>
      </c>
      <c r="Z1068" s="59" t="str">
        <f>VLOOKUP(M1068,Table1[#All],9,FALSE)</f>
        <v>Additional Notes:</v>
      </c>
      <c r="AA1068" s="76"/>
      <c r="AB1068" s="76"/>
      <c r="AC1068" s="90" t="s">
        <v>91</v>
      </c>
      <c r="AD1068" s="76" t="s">
        <v>91</v>
      </c>
      <c r="AE1068" s="77"/>
      <c r="AF1068" s="77"/>
      <c r="AG1068" s="41" t="s">
        <v>91</v>
      </c>
    </row>
    <row r="1069" spans="1:33" ht="21" hidden="1" x14ac:dyDescent="0.55000000000000004">
      <c r="A1069" s="44">
        <f>Data!K1068</f>
        <v>0</v>
      </c>
      <c r="B1069" s="44">
        <f>Data!L1068</f>
        <v>0</v>
      </c>
      <c r="C1069" s="44">
        <f>Data!D1068</f>
        <v>0</v>
      </c>
      <c r="D1069" s="82">
        <f>Data!F1068</f>
        <v>0</v>
      </c>
      <c r="E1069" s="82">
        <f>Data!B1068</f>
        <v>0</v>
      </c>
      <c r="F1069" s="44">
        <f>Data!A1068</f>
        <v>0</v>
      </c>
      <c r="G1069" s="55">
        <f>Data!C1068</f>
        <v>0</v>
      </c>
      <c r="H1069" s="56">
        <f>Data!H1068</f>
        <v>0</v>
      </c>
      <c r="I1069" s="56">
        <f>Data!I1068</f>
        <v>0</v>
      </c>
      <c r="J1069" s="57">
        <f>Data!J1068</f>
        <v>0</v>
      </c>
      <c r="K1069" s="58">
        <f t="shared" ca="1" si="18"/>
        <v>44700</v>
      </c>
      <c r="L1069" s="58">
        <f>Data!M1068</f>
        <v>0</v>
      </c>
      <c r="M1069" s="37" t="s">
        <v>26</v>
      </c>
      <c r="N1069" s="43" t="str">
        <f>VLOOKUP(M1069,Table1[#All],3,FALSE)</f>
        <v>Note</v>
      </c>
      <c r="O1069" s="40" t="str">
        <f>VLOOKUP(M1069,Table1[#All],4,FALSE)</f>
        <v>Q1</v>
      </c>
      <c r="P1069" s="39"/>
      <c r="Q1069" s="40" t="str">
        <f>VLOOKUP(M1069,Table1[#All],5,FALSE)</f>
        <v>Q2</v>
      </c>
      <c r="R1069" s="79"/>
      <c r="S1069" s="40" t="str">
        <f>VLOOKUP(M1069,Table1[#All],6,FALSE)</f>
        <v>Q3</v>
      </c>
      <c r="T1069" s="79"/>
      <c r="U1069" s="40" t="str">
        <f>VLOOKUP(M1069,Table1[#All],7,FALSE)</f>
        <v>Q4</v>
      </c>
      <c r="V1069" s="79"/>
      <c r="W1069" s="40" t="str">
        <f>VLOOKUP(M1069,Table1[#All],8,FALSE)</f>
        <v>Q5</v>
      </c>
      <c r="X1069" s="79"/>
      <c r="Y1069" s="44" t="str">
        <f>VLOOKUP(M1069,Table1[#All],2,FALSE)</f>
        <v>Action</v>
      </c>
      <c r="Z1069" s="59" t="str">
        <f>VLOOKUP(M1069,Table1[#All],9,FALSE)</f>
        <v>Additional Notes:</v>
      </c>
      <c r="AA1069" s="76"/>
      <c r="AB1069" s="76"/>
      <c r="AC1069" s="90" t="s">
        <v>91</v>
      </c>
      <c r="AD1069" s="76" t="s">
        <v>91</v>
      </c>
      <c r="AE1069" s="77"/>
      <c r="AF1069" s="77"/>
      <c r="AG1069" s="41" t="s">
        <v>91</v>
      </c>
    </row>
    <row r="1070" spans="1:33" ht="21" hidden="1" x14ac:dyDescent="0.55000000000000004">
      <c r="A1070" s="44">
        <f>Data!K1069</f>
        <v>0</v>
      </c>
      <c r="B1070" s="44">
        <f>Data!L1069</f>
        <v>0</v>
      </c>
      <c r="C1070" s="44">
        <f>Data!D1069</f>
        <v>0</v>
      </c>
      <c r="D1070" s="82">
        <f>Data!F1069</f>
        <v>0</v>
      </c>
      <c r="E1070" s="82">
        <f>Data!B1069</f>
        <v>0</v>
      </c>
      <c r="F1070" s="44">
        <f>Data!A1069</f>
        <v>0</v>
      </c>
      <c r="G1070" s="55">
        <f>Data!C1069</f>
        <v>0</v>
      </c>
      <c r="H1070" s="56">
        <f>Data!H1069</f>
        <v>0</v>
      </c>
      <c r="I1070" s="56">
        <f>Data!I1069</f>
        <v>0</v>
      </c>
      <c r="J1070" s="57">
        <f>Data!J1069</f>
        <v>0</v>
      </c>
      <c r="K1070" s="58">
        <f t="shared" ca="1" si="18"/>
        <v>44700</v>
      </c>
      <c r="L1070" s="58">
        <f>Data!M1069</f>
        <v>0</v>
      </c>
      <c r="M1070" s="37" t="s">
        <v>26</v>
      </c>
      <c r="N1070" s="43" t="str">
        <f>VLOOKUP(M1070,Table1[#All],3,FALSE)</f>
        <v>Note</v>
      </c>
      <c r="O1070" s="40" t="str">
        <f>VLOOKUP(M1070,Table1[#All],4,FALSE)</f>
        <v>Q1</v>
      </c>
      <c r="P1070" s="39"/>
      <c r="Q1070" s="40" t="str">
        <f>VLOOKUP(M1070,Table1[#All],5,FALSE)</f>
        <v>Q2</v>
      </c>
      <c r="R1070" s="79"/>
      <c r="S1070" s="40" t="str">
        <f>VLOOKUP(M1070,Table1[#All],6,FALSE)</f>
        <v>Q3</v>
      </c>
      <c r="T1070" s="79"/>
      <c r="U1070" s="40" t="str">
        <f>VLOOKUP(M1070,Table1[#All],7,FALSE)</f>
        <v>Q4</v>
      </c>
      <c r="V1070" s="79"/>
      <c r="W1070" s="40" t="str">
        <f>VLOOKUP(M1070,Table1[#All],8,FALSE)</f>
        <v>Q5</v>
      </c>
      <c r="X1070" s="79"/>
      <c r="Y1070" s="44" t="str">
        <f>VLOOKUP(M1070,Table1[#All],2,FALSE)</f>
        <v>Action</v>
      </c>
      <c r="Z1070" s="59" t="str">
        <f>VLOOKUP(M1070,Table1[#All],9,FALSE)</f>
        <v>Additional Notes:</v>
      </c>
      <c r="AA1070" s="76"/>
      <c r="AB1070" s="76"/>
      <c r="AC1070" s="90" t="s">
        <v>91</v>
      </c>
      <c r="AD1070" s="76" t="s">
        <v>91</v>
      </c>
      <c r="AE1070" s="77"/>
      <c r="AF1070" s="77"/>
      <c r="AG1070" s="41" t="s">
        <v>91</v>
      </c>
    </row>
    <row r="1071" spans="1:33" ht="21" hidden="1" x14ac:dyDescent="0.55000000000000004">
      <c r="A1071" s="44">
        <f>Data!K1070</f>
        <v>0</v>
      </c>
      <c r="B1071" s="44">
        <f>Data!L1070</f>
        <v>0</v>
      </c>
      <c r="C1071" s="44">
        <f>Data!D1070</f>
        <v>0</v>
      </c>
      <c r="D1071" s="82">
        <f>Data!F1070</f>
        <v>0</v>
      </c>
      <c r="E1071" s="82">
        <f>Data!B1070</f>
        <v>0</v>
      </c>
      <c r="F1071" s="44">
        <f>Data!A1070</f>
        <v>0</v>
      </c>
      <c r="G1071" s="55">
        <f>Data!C1070</f>
        <v>0</v>
      </c>
      <c r="H1071" s="56">
        <f>Data!H1070</f>
        <v>0</v>
      </c>
      <c r="I1071" s="56">
        <f>Data!I1070</f>
        <v>0</v>
      </c>
      <c r="J1071" s="57">
        <f>Data!J1070</f>
        <v>0</v>
      </c>
      <c r="K1071" s="58">
        <f t="shared" ca="1" si="18"/>
        <v>44700</v>
      </c>
      <c r="L1071" s="58">
        <f>Data!M1070</f>
        <v>0</v>
      </c>
      <c r="M1071" s="37" t="s">
        <v>26</v>
      </c>
      <c r="N1071" s="43" t="str">
        <f>VLOOKUP(M1071,Table1[#All],3,FALSE)</f>
        <v>Note</v>
      </c>
      <c r="O1071" s="40" t="str">
        <f>VLOOKUP(M1071,Table1[#All],4,FALSE)</f>
        <v>Q1</v>
      </c>
      <c r="P1071" s="39"/>
      <c r="Q1071" s="40" t="str">
        <f>VLOOKUP(M1071,Table1[#All],5,FALSE)</f>
        <v>Q2</v>
      </c>
      <c r="R1071" s="79"/>
      <c r="S1071" s="40" t="str">
        <f>VLOOKUP(M1071,Table1[#All],6,FALSE)</f>
        <v>Q3</v>
      </c>
      <c r="T1071" s="79"/>
      <c r="U1071" s="40" t="str">
        <f>VLOOKUP(M1071,Table1[#All],7,FALSE)</f>
        <v>Q4</v>
      </c>
      <c r="V1071" s="79"/>
      <c r="W1071" s="40" t="str">
        <f>VLOOKUP(M1071,Table1[#All],8,FALSE)</f>
        <v>Q5</v>
      </c>
      <c r="X1071" s="79"/>
      <c r="Y1071" s="44" t="str">
        <f>VLOOKUP(M1071,Table1[#All],2,FALSE)</f>
        <v>Action</v>
      </c>
      <c r="Z1071" s="59" t="str">
        <f>VLOOKUP(M1071,Table1[#All],9,FALSE)</f>
        <v>Additional Notes:</v>
      </c>
      <c r="AA1071" s="76"/>
      <c r="AB1071" s="76"/>
      <c r="AC1071" s="90" t="s">
        <v>91</v>
      </c>
      <c r="AD1071" s="76" t="s">
        <v>91</v>
      </c>
      <c r="AE1071" s="77"/>
      <c r="AF1071" s="77"/>
      <c r="AG1071" s="41" t="s">
        <v>91</v>
      </c>
    </row>
    <row r="1072" spans="1:33" ht="21" hidden="1" x14ac:dyDescent="0.55000000000000004">
      <c r="A1072" s="44">
        <f>Data!K1071</f>
        <v>0</v>
      </c>
      <c r="B1072" s="44">
        <f>Data!L1071</f>
        <v>0</v>
      </c>
      <c r="C1072" s="44">
        <f>Data!D1071</f>
        <v>0</v>
      </c>
      <c r="D1072" s="82">
        <f>Data!F1071</f>
        <v>0</v>
      </c>
      <c r="E1072" s="82">
        <f>Data!B1071</f>
        <v>0</v>
      </c>
      <c r="F1072" s="44">
        <f>Data!A1071</f>
        <v>0</v>
      </c>
      <c r="G1072" s="55">
        <f>Data!C1071</f>
        <v>0</v>
      </c>
      <c r="H1072" s="56">
        <f>Data!H1071</f>
        <v>0</v>
      </c>
      <c r="I1072" s="56">
        <f>Data!I1071</f>
        <v>0</v>
      </c>
      <c r="J1072" s="57">
        <f>Data!J1071</f>
        <v>0</v>
      </c>
      <c r="K1072" s="58">
        <f t="shared" ca="1" si="18"/>
        <v>44700</v>
      </c>
      <c r="L1072" s="58">
        <f>Data!M1071</f>
        <v>0</v>
      </c>
      <c r="M1072" s="37" t="s">
        <v>26</v>
      </c>
      <c r="N1072" s="43" t="str">
        <f>VLOOKUP(M1072,Table1[#All],3,FALSE)</f>
        <v>Note</v>
      </c>
      <c r="O1072" s="40" t="str">
        <f>VLOOKUP(M1072,Table1[#All],4,FALSE)</f>
        <v>Q1</v>
      </c>
      <c r="P1072" s="39"/>
      <c r="Q1072" s="40" t="str">
        <f>VLOOKUP(M1072,Table1[#All],5,FALSE)</f>
        <v>Q2</v>
      </c>
      <c r="R1072" s="79"/>
      <c r="S1072" s="40" t="str">
        <f>VLOOKUP(M1072,Table1[#All],6,FALSE)</f>
        <v>Q3</v>
      </c>
      <c r="T1072" s="79"/>
      <c r="U1072" s="40" t="str">
        <f>VLOOKUP(M1072,Table1[#All],7,FALSE)</f>
        <v>Q4</v>
      </c>
      <c r="V1072" s="79"/>
      <c r="W1072" s="40" t="str">
        <f>VLOOKUP(M1072,Table1[#All],8,FALSE)</f>
        <v>Q5</v>
      </c>
      <c r="X1072" s="79"/>
      <c r="Y1072" s="44" t="str">
        <f>VLOOKUP(M1072,Table1[#All],2,FALSE)</f>
        <v>Action</v>
      </c>
      <c r="Z1072" s="59" t="str">
        <f>VLOOKUP(M1072,Table1[#All],9,FALSE)</f>
        <v>Additional Notes:</v>
      </c>
      <c r="AA1072" s="76"/>
      <c r="AB1072" s="76"/>
      <c r="AC1072" s="90" t="s">
        <v>91</v>
      </c>
      <c r="AD1072" s="76" t="s">
        <v>91</v>
      </c>
      <c r="AE1072" s="77"/>
      <c r="AF1072" s="77"/>
      <c r="AG1072" s="41" t="s">
        <v>91</v>
      </c>
    </row>
    <row r="1073" spans="1:33" ht="21" hidden="1" x14ac:dyDescent="0.55000000000000004">
      <c r="A1073" s="44">
        <f>Data!K1072</f>
        <v>0</v>
      </c>
      <c r="B1073" s="44">
        <f>Data!L1072</f>
        <v>0</v>
      </c>
      <c r="C1073" s="44">
        <f>Data!D1072</f>
        <v>0</v>
      </c>
      <c r="D1073" s="82">
        <f>Data!F1072</f>
        <v>0</v>
      </c>
      <c r="E1073" s="82">
        <f>Data!B1072</f>
        <v>0</v>
      </c>
      <c r="F1073" s="44">
        <f>Data!A1072</f>
        <v>0</v>
      </c>
      <c r="G1073" s="55">
        <f>Data!C1072</f>
        <v>0</v>
      </c>
      <c r="H1073" s="56">
        <f>Data!H1072</f>
        <v>0</v>
      </c>
      <c r="I1073" s="56">
        <f>Data!I1072</f>
        <v>0</v>
      </c>
      <c r="J1073" s="57">
        <f>Data!J1072</f>
        <v>0</v>
      </c>
      <c r="K1073" s="58">
        <f t="shared" ca="1" si="18"/>
        <v>44700</v>
      </c>
      <c r="L1073" s="58">
        <f>Data!M1072</f>
        <v>0</v>
      </c>
      <c r="M1073" s="37" t="s">
        <v>26</v>
      </c>
      <c r="N1073" s="43" t="str">
        <f>VLOOKUP(M1073,Table1[#All],3,FALSE)</f>
        <v>Note</v>
      </c>
      <c r="O1073" s="40" t="str">
        <f>VLOOKUP(M1073,Table1[#All],4,FALSE)</f>
        <v>Q1</v>
      </c>
      <c r="P1073" s="39"/>
      <c r="Q1073" s="40" t="str">
        <f>VLOOKUP(M1073,Table1[#All],5,FALSE)</f>
        <v>Q2</v>
      </c>
      <c r="R1073" s="79"/>
      <c r="S1073" s="40" t="str">
        <f>VLOOKUP(M1073,Table1[#All],6,FALSE)</f>
        <v>Q3</v>
      </c>
      <c r="T1073" s="79"/>
      <c r="U1073" s="40" t="str">
        <f>VLOOKUP(M1073,Table1[#All],7,FALSE)</f>
        <v>Q4</v>
      </c>
      <c r="V1073" s="79"/>
      <c r="W1073" s="40" t="str">
        <f>VLOOKUP(M1073,Table1[#All],8,FALSE)</f>
        <v>Q5</v>
      </c>
      <c r="X1073" s="79"/>
      <c r="Y1073" s="44" t="str">
        <f>VLOOKUP(M1073,Table1[#All],2,FALSE)</f>
        <v>Action</v>
      </c>
      <c r="Z1073" s="59" t="str">
        <f>VLOOKUP(M1073,Table1[#All],9,FALSE)</f>
        <v>Additional Notes:</v>
      </c>
      <c r="AA1073" s="76"/>
      <c r="AB1073" s="76"/>
      <c r="AC1073" s="90" t="s">
        <v>91</v>
      </c>
      <c r="AD1073" s="76" t="s">
        <v>91</v>
      </c>
      <c r="AE1073" s="77"/>
      <c r="AF1073" s="77"/>
      <c r="AG1073" s="41" t="s">
        <v>91</v>
      </c>
    </row>
    <row r="1074" spans="1:33" ht="21" hidden="1" x14ac:dyDescent="0.55000000000000004">
      <c r="A1074" s="44">
        <f>Data!K1073</f>
        <v>0</v>
      </c>
      <c r="B1074" s="44">
        <f>Data!L1073</f>
        <v>0</v>
      </c>
      <c r="C1074" s="44">
        <f>Data!D1073</f>
        <v>0</v>
      </c>
      <c r="D1074" s="82">
        <f>Data!F1073</f>
        <v>0</v>
      </c>
      <c r="E1074" s="82">
        <f>Data!B1073</f>
        <v>0</v>
      </c>
      <c r="F1074" s="44">
        <f>Data!A1073</f>
        <v>0</v>
      </c>
      <c r="G1074" s="55">
        <f>Data!C1073</f>
        <v>0</v>
      </c>
      <c r="H1074" s="56">
        <f>Data!H1073</f>
        <v>0</v>
      </c>
      <c r="I1074" s="56">
        <f>Data!I1073</f>
        <v>0</v>
      </c>
      <c r="J1074" s="57">
        <f>Data!J1073</f>
        <v>0</v>
      </c>
      <c r="K1074" s="58">
        <f t="shared" ca="1" si="18"/>
        <v>44700</v>
      </c>
      <c r="L1074" s="58">
        <f>Data!M1073</f>
        <v>0</v>
      </c>
      <c r="M1074" s="37" t="s">
        <v>26</v>
      </c>
      <c r="N1074" s="43" t="str">
        <f>VLOOKUP(M1074,Table1[#All],3,FALSE)</f>
        <v>Note</v>
      </c>
      <c r="O1074" s="40" t="str">
        <f>VLOOKUP(M1074,Table1[#All],4,FALSE)</f>
        <v>Q1</v>
      </c>
      <c r="P1074" s="39"/>
      <c r="Q1074" s="40" t="str">
        <f>VLOOKUP(M1074,Table1[#All],5,FALSE)</f>
        <v>Q2</v>
      </c>
      <c r="R1074" s="79"/>
      <c r="S1074" s="40" t="str">
        <f>VLOOKUP(M1074,Table1[#All],6,FALSE)</f>
        <v>Q3</v>
      </c>
      <c r="T1074" s="79"/>
      <c r="U1074" s="40" t="str">
        <f>VLOOKUP(M1074,Table1[#All],7,FALSE)</f>
        <v>Q4</v>
      </c>
      <c r="V1074" s="79"/>
      <c r="W1074" s="40" t="str">
        <f>VLOOKUP(M1074,Table1[#All],8,FALSE)</f>
        <v>Q5</v>
      </c>
      <c r="X1074" s="79"/>
      <c r="Y1074" s="44" t="str">
        <f>VLOOKUP(M1074,Table1[#All],2,FALSE)</f>
        <v>Action</v>
      </c>
      <c r="Z1074" s="59" t="str">
        <f>VLOOKUP(M1074,Table1[#All],9,FALSE)</f>
        <v>Additional Notes:</v>
      </c>
      <c r="AA1074" s="76"/>
      <c r="AB1074" s="76"/>
      <c r="AC1074" s="90" t="s">
        <v>91</v>
      </c>
      <c r="AD1074" s="76" t="s">
        <v>91</v>
      </c>
      <c r="AE1074" s="77"/>
      <c r="AF1074" s="77"/>
      <c r="AG1074" s="41" t="s">
        <v>91</v>
      </c>
    </row>
    <row r="1075" spans="1:33" ht="21" hidden="1" x14ac:dyDescent="0.55000000000000004">
      <c r="A1075" s="44">
        <f>Data!K1074</f>
        <v>0</v>
      </c>
      <c r="B1075" s="44">
        <f>Data!L1074</f>
        <v>0</v>
      </c>
      <c r="C1075" s="44">
        <f>Data!D1074</f>
        <v>0</v>
      </c>
      <c r="D1075" s="82">
        <f>Data!F1074</f>
        <v>0</v>
      </c>
      <c r="E1075" s="82">
        <f>Data!B1074</f>
        <v>0</v>
      </c>
      <c r="F1075" s="44">
        <f>Data!A1074</f>
        <v>0</v>
      </c>
      <c r="G1075" s="55">
        <f>Data!C1074</f>
        <v>0</v>
      </c>
      <c r="H1075" s="56">
        <f>Data!H1074</f>
        <v>0</v>
      </c>
      <c r="I1075" s="56">
        <f>Data!I1074</f>
        <v>0</v>
      </c>
      <c r="J1075" s="57">
        <f>Data!J1074</f>
        <v>0</v>
      </c>
      <c r="K1075" s="58">
        <f t="shared" ca="1" si="18"/>
        <v>44700</v>
      </c>
      <c r="L1075" s="58">
        <f>Data!M1074</f>
        <v>0</v>
      </c>
      <c r="M1075" s="37" t="s">
        <v>26</v>
      </c>
      <c r="N1075" s="43" t="str">
        <f>VLOOKUP(M1075,Table1[#All],3,FALSE)</f>
        <v>Note</v>
      </c>
      <c r="O1075" s="40" t="str">
        <f>VLOOKUP(M1075,Table1[#All],4,FALSE)</f>
        <v>Q1</v>
      </c>
      <c r="P1075" s="39"/>
      <c r="Q1075" s="40" t="str">
        <f>VLOOKUP(M1075,Table1[#All],5,FALSE)</f>
        <v>Q2</v>
      </c>
      <c r="R1075" s="79"/>
      <c r="S1075" s="40" t="str">
        <f>VLOOKUP(M1075,Table1[#All],6,FALSE)</f>
        <v>Q3</v>
      </c>
      <c r="T1075" s="79"/>
      <c r="U1075" s="40" t="str">
        <f>VLOOKUP(M1075,Table1[#All],7,FALSE)</f>
        <v>Q4</v>
      </c>
      <c r="V1075" s="79"/>
      <c r="W1075" s="40" t="str">
        <f>VLOOKUP(M1075,Table1[#All],8,FALSE)</f>
        <v>Q5</v>
      </c>
      <c r="X1075" s="79"/>
      <c r="Y1075" s="44" t="str">
        <f>VLOOKUP(M1075,Table1[#All],2,FALSE)</f>
        <v>Action</v>
      </c>
      <c r="Z1075" s="59" t="str">
        <f>VLOOKUP(M1075,Table1[#All],9,FALSE)</f>
        <v>Additional Notes:</v>
      </c>
      <c r="AA1075" s="76"/>
      <c r="AB1075" s="76"/>
      <c r="AC1075" s="90" t="s">
        <v>91</v>
      </c>
      <c r="AD1075" s="76" t="s">
        <v>91</v>
      </c>
      <c r="AE1075" s="77"/>
      <c r="AF1075" s="77"/>
      <c r="AG1075" s="41" t="s">
        <v>91</v>
      </c>
    </row>
    <row r="1076" spans="1:33" ht="21" hidden="1" x14ac:dyDescent="0.55000000000000004">
      <c r="A1076" s="44">
        <f>Data!K1075</f>
        <v>0</v>
      </c>
      <c r="B1076" s="44">
        <f>Data!L1075</f>
        <v>0</v>
      </c>
      <c r="C1076" s="44">
        <f>Data!D1075</f>
        <v>0</v>
      </c>
      <c r="D1076" s="82">
        <f>Data!F1075</f>
        <v>0</v>
      </c>
      <c r="E1076" s="82">
        <f>Data!B1075</f>
        <v>0</v>
      </c>
      <c r="F1076" s="44">
        <f>Data!A1075</f>
        <v>0</v>
      </c>
      <c r="G1076" s="55">
        <f>Data!C1075</f>
        <v>0</v>
      </c>
      <c r="H1076" s="56">
        <f>Data!H1075</f>
        <v>0</v>
      </c>
      <c r="I1076" s="56">
        <f>Data!I1075</f>
        <v>0</v>
      </c>
      <c r="J1076" s="57">
        <f>Data!J1075</f>
        <v>0</v>
      </c>
      <c r="K1076" s="58">
        <f t="shared" ca="1" si="18"/>
        <v>44700</v>
      </c>
      <c r="L1076" s="58">
        <f>Data!M1075</f>
        <v>0</v>
      </c>
      <c r="M1076" s="37" t="s">
        <v>26</v>
      </c>
      <c r="N1076" s="43" t="str">
        <f>VLOOKUP(M1076,Table1[#All],3,FALSE)</f>
        <v>Note</v>
      </c>
      <c r="O1076" s="40" t="str">
        <f>VLOOKUP(M1076,Table1[#All],4,FALSE)</f>
        <v>Q1</v>
      </c>
      <c r="P1076" s="39"/>
      <c r="Q1076" s="40" t="str">
        <f>VLOOKUP(M1076,Table1[#All],5,FALSE)</f>
        <v>Q2</v>
      </c>
      <c r="R1076" s="79"/>
      <c r="S1076" s="40" t="str">
        <f>VLOOKUP(M1076,Table1[#All],6,FALSE)</f>
        <v>Q3</v>
      </c>
      <c r="T1076" s="79"/>
      <c r="U1076" s="40" t="str">
        <f>VLOOKUP(M1076,Table1[#All],7,FALSE)</f>
        <v>Q4</v>
      </c>
      <c r="V1076" s="79"/>
      <c r="W1076" s="40" t="str">
        <f>VLOOKUP(M1076,Table1[#All],8,FALSE)</f>
        <v>Q5</v>
      </c>
      <c r="X1076" s="79"/>
      <c r="Y1076" s="44" t="str">
        <f>VLOOKUP(M1076,Table1[#All],2,FALSE)</f>
        <v>Action</v>
      </c>
      <c r="Z1076" s="59" t="str">
        <f>VLOOKUP(M1076,Table1[#All],9,FALSE)</f>
        <v>Additional Notes:</v>
      </c>
      <c r="AA1076" s="76"/>
      <c r="AB1076" s="76"/>
      <c r="AC1076" s="90" t="s">
        <v>91</v>
      </c>
      <c r="AD1076" s="76" t="s">
        <v>91</v>
      </c>
      <c r="AE1076" s="77"/>
      <c r="AF1076" s="77"/>
      <c r="AG1076" s="41" t="s">
        <v>91</v>
      </c>
    </row>
    <row r="1077" spans="1:33" ht="21" hidden="1" x14ac:dyDescent="0.55000000000000004">
      <c r="A1077" s="44">
        <f>Data!K1076</f>
        <v>0</v>
      </c>
      <c r="B1077" s="44">
        <f>Data!L1076</f>
        <v>0</v>
      </c>
      <c r="C1077" s="44">
        <f>Data!D1076</f>
        <v>0</v>
      </c>
      <c r="D1077" s="82">
        <f>Data!F1076</f>
        <v>0</v>
      </c>
      <c r="E1077" s="82">
        <f>Data!B1076</f>
        <v>0</v>
      </c>
      <c r="F1077" s="44">
        <f>Data!A1076</f>
        <v>0</v>
      </c>
      <c r="G1077" s="55">
        <f>Data!C1076</f>
        <v>0</v>
      </c>
      <c r="H1077" s="56">
        <f>Data!H1076</f>
        <v>0</v>
      </c>
      <c r="I1077" s="56">
        <f>Data!I1076</f>
        <v>0</v>
      </c>
      <c r="J1077" s="57">
        <f>Data!J1076</f>
        <v>0</v>
      </c>
      <c r="K1077" s="58">
        <f t="shared" ca="1" si="18"/>
        <v>44700</v>
      </c>
      <c r="L1077" s="58">
        <f>Data!M1076</f>
        <v>0</v>
      </c>
      <c r="M1077" s="37" t="s">
        <v>26</v>
      </c>
      <c r="N1077" s="43" t="str">
        <f>VLOOKUP(M1077,Table1[#All],3,FALSE)</f>
        <v>Note</v>
      </c>
      <c r="O1077" s="40" t="str">
        <f>VLOOKUP(M1077,Table1[#All],4,FALSE)</f>
        <v>Q1</v>
      </c>
      <c r="P1077" s="39"/>
      <c r="Q1077" s="40" t="str">
        <f>VLOOKUP(M1077,Table1[#All],5,FALSE)</f>
        <v>Q2</v>
      </c>
      <c r="R1077" s="79"/>
      <c r="S1077" s="40" t="str">
        <f>VLOOKUP(M1077,Table1[#All],6,FALSE)</f>
        <v>Q3</v>
      </c>
      <c r="T1077" s="79"/>
      <c r="U1077" s="40" t="str">
        <f>VLOOKUP(M1077,Table1[#All],7,FALSE)</f>
        <v>Q4</v>
      </c>
      <c r="V1077" s="79"/>
      <c r="W1077" s="40" t="str">
        <f>VLOOKUP(M1077,Table1[#All],8,FALSE)</f>
        <v>Q5</v>
      </c>
      <c r="X1077" s="79"/>
      <c r="Y1077" s="44" t="str">
        <f>VLOOKUP(M1077,Table1[#All],2,FALSE)</f>
        <v>Action</v>
      </c>
      <c r="Z1077" s="59" t="str">
        <f>VLOOKUP(M1077,Table1[#All],9,FALSE)</f>
        <v>Additional Notes:</v>
      </c>
      <c r="AA1077" s="76"/>
      <c r="AB1077" s="76"/>
      <c r="AC1077" s="90" t="s">
        <v>91</v>
      </c>
      <c r="AD1077" s="76" t="s">
        <v>91</v>
      </c>
      <c r="AE1077" s="77"/>
      <c r="AF1077" s="77"/>
      <c r="AG1077" s="41" t="s">
        <v>91</v>
      </c>
    </row>
    <row r="1078" spans="1:33" ht="21" hidden="1" x14ac:dyDescent="0.55000000000000004">
      <c r="A1078" s="44">
        <f>Data!K1077</f>
        <v>0</v>
      </c>
      <c r="B1078" s="44">
        <f>Data!L1077</f>
        <v>0</v>
      </c>
      <c r="C1078" s="44">
        <f>Data!D1077</f>
        <v>0</v>
      </c>
      <c r="D1078" s="82">
        <f>Data!F1077</f>
        <v>0</v>
      </c>
      <c r="E1078" s="82">
        <f>Data!B1077</f>
        <v>0</v>
      </c>
      <c r="F1078" s="44">
        <f>Data!A1077</f>
        <v>0</v>
      </c>
      <c r="G1078" s="55">
        <f>Data!C1077</f>
        <v>0</v>
      </c>
      <c r="H1078" s="56">
        <f>Data!H1077</f>
        <v>0</v>
      </c>
      <c r="I1078" s="56">
        <f>Data!I1077</f>
        <v>0</v>
      </c>
      <c r="J1078" s="57">
        <f>Data!J1077</f>
        <v>0</v>
      </c>
      <c r="K1078" s="58">
        <f t="shared" ca="1" si="18"/>
        <v>44700</v>
      </c>
      <c r="L1078" s="58">
        <f>Data!M1077</f>
        <v>0</v>
      </c>
      <c r="M1078" s="37" t="s">
        <v>26</v>
      </c>
      <c r="N1078" s="43" t="str">
        <f>VLOOKUP(M1078,Table1[#All],3,FALSE)</f>
        <v>Note</v>
      </c>
      <c r="O1078" s="40" t="str">
        <f>VLOOKUP(M1078,Table1[#All],4,FALSE)</f>
        <v>Q1</v>
      </c>
      <c r="P1078" s="39"/>
      <c r="Q1078" s="40" t="str">
        <f>VLOOKUP(M1078,Table1[#All],5,FALSE)</f>
        <v>Q2</v>
      </c>
      <c r="R1078" s="79"/>
      <c r="S1078" s="40" t="str">
        <f>VLOOKUP(M1078,Table1[#All],6,FALSE)</f>
        <v>Q3</v>
      </c>
      <c r="T1078" s="79"/>
      <c r="U1078" s="40" t="str">
        <f>VLOOKUP(M1078,Table1[#All],7,FALSE)</f>
        <v>Q4</v>
      </c>
      <c r="V1078" s="79"/>
      <c r="W1078" s="40" t="str">
        <f>VLOOKUP(M1078,Table1[#All],8,FALSE)</f>
        <v>Q5</v>
      </c>
      <c r="X1078" s="79"/>
      <c r="Y1078" s="44" t="str">
        <f>VLOOKUP(M1078,Table1[#All],2,FALSE)</f>
        <v>Action</v>
      </c>
      <c r="Z1078" s="59" t="str">
        <f>VLOOKUP(M1078,Table1[#All],9,FALSE)</f>
        <v>Additional Notes:</v>
      </c>
      <c r="AA1078" s="76"/>
      <c r="AB1078" s="76"/>
      <c r="AC1078" s="90" t="s">
        <v>91</v>
      </c>
      <c r="AD1078" s="76" t="s">
        <v>91</v>
      </c>
      <c r="AE1078" s="77"/>
      <c r="AF1078" s="77"/>
      <c r="AG1078" s="41" t="s">
        <v>91</v>
      </c>
    </row>
    <row r="1079" spans="1:33" ht="21" hidden="1" x14ac:dyDescent="0.55000000000000004">
      <c r="A1079" s="44">
        <f>Data!K1078</f>
        <v>0</v>
      </c>
      <c r="B1079" s="44">
        <f>Data!L1078</f>
        <v>0</v>
      </c>
      <c r="C1079" s="44">
        <f>Data!D1078</f>
        <v>0</v>
      </c>
      <c r="D1079" s="82">
        <f>Data!F1078</f>
        <v>0</v>
      </c>
      <c r="E1079" s="82">
        <f>Data!B1078</f>
        <v>0</v>
      </c>
      <c r="F1079" s="44">
        <f>Data!A1078</f>
        <v>0</v>
      </c>
      <c r="G1079" s="55">
        <f>Data!C1078</f>
        <v>0</v>
      </c>
      <c r="H1079" s="56">
        <f>Data!H1078</f>
        <v>0</v>
      </c>
      <c r="I1079" s="56">
        <f>Data!I1078</f>
        <v>0</v>
      </c>
      <c r="J1079" s="57">
        <f>Data!J1078</f>
        <v>0</v>
      </c>
      <c r="K1079" s="58">
        <f t="shared" ca="1" si="18"/>
        <v>44700</v>
      </c>
      <c r="L1079" s="58">
        <f>Data!M1078</f>
        <v>0</v>
      </c>
      <c r="M1079" s="37" t="s">
        <v>26</v>
      </c>
      <c r="N1079" s="43" t="str">
        <f>VLOOKUP(M1079,Table1[#All],3,FALSE)</f>
        <v>Note</v>
      </c>
      <c r="O1079" s="40" t="str">
        <f>VLOOKUP(M1079,Table1[#All],4,FALSE)</f>
        <v>Q1</v>
      </c>
      <c r="P1079" s="39"/>
      <c r="Q1079" s="40" t="str">
        <f>VLOOKUP(M1079,Table1[#All],5,FALSE)</f>
        <v>Q2</v>
      </c>
      <c r="R1079" s="79"/>
      <c r="S1079" s="40" t="str">
        <f>VLOOKUP(M1079,Table1[#All],6,FALSE)</f>
        <v>Q3</v>
      </c>
      <c r="T1079" s="79"/>
      <c r="U1079" s="40" t="str">
        <f>VLOOKUP(M1079,Table1[#All],7,FALSE)</f>
        <v>Q4</v>
      </c>
      <c r="V1079" s="79"/>
      <c r="W1079" s="40" t="str">
        <f>VLOOKUP(M1079,Table1[#All],8,FALSE)</f>
        <v>Q5</v>
      </c>
      <c r="X1079" s="79"/>
      <c r="Y1079" s="44" t="str">
        <f>VLOOKUP(M1079,Table1[#All],2,FALSE)</f>
        <v>Action</v>
      </c>
      <c r="Z1079" s="59" t="str">
        <f>VLOOKUP(M1079,Table1[#All],9,FALSE)</f>
        <v>Additional Notes:</v>
      </c>
      <c r="AA1079" s="76"/>
      <c r="AB1079" s="76"/>
      <c r="AC1079" s="90" t="s">
        <v>91</v>
      </c>
      <c r="AD1079" s="76" t="s">
        <v>91</v>
      </c>
      <c r="AE1079" s="77"/>
      <c r="AF1079" s="77"/>
      <c r="AG1079" s="41" t="s">
        <v>91</v>
      </c>
    </row>
    <row r="1080" spans="1:33" ht="21" hidden="1" x14ac:dyDescent="0.55000000000000004">
      <c r="A1080" s="44">
        <f>Data!K1079</f>
        <v>0</v>
      </c>
      <c r="B1080" s="44">
        <f>Data!L1079</f>
        <v>0</v>
      </c>
      <c r="C1080" s="44">
        <f>Data!D1079</f>
        <v>0</v>
      </c>
      <c r="D1080" s="82">
        <f>Data!F1079</f>
        <v>0</v>
      </c>
      <c r="E1080" s="82">
        <f>Data!B1079</f>
        <v>0</v>
      </c>
      <c r="F1080" s="44">
        <f>Data!A1079</f>
        <v>0</v>
      </c>
      <c r="G1080" s="55">
        <f>Data!C1079</f>
        <v>0</v>
      </c>
      <c r="H1080" s="56">
        <f>Data!H1079</f>
        <v>0</v>
      </c>
      <c r="I1080" s="56">
        <f>Data!I1079</f>
        <v>0</v>
      </c>
      <c r="J1080" s="57">
        <f>Data!J1079</f>
        <v>0</v>
      </c>
      <c r="K1080" s="58">
        <f t="shared" ca="1" si="18"/>
        <v>44700</v>
      </c>
      <c r="L1080" s="58">
        <f>Data!M1079</f>
        <v>0</v>
      </c>
      <c r="M1080" s="37" t="s">
        <v>26</v>
      </c>
      <c r="N1080" s="43" t="str">
        <f>VLOOKUP(M1080,Table1[#All],3,FALSE)</f>
        <v>Note</v>
      </c>
      <c r="O1080" s="40" t="str">
        <f>VLOOKUP(M1080,Table1[#All],4,FALSE)</f>
        <v>Q1</v>
      </c>
      <c r="P1080" s="39"/>
      <c r="Q1080" s="40" t="str">
        <f>VLOOKUP(M1080,Table1[#All],5,FALSE)</f>
        <v>Q2</v>
      </c>
      <c r="R1080" s="79"/>
      <c r="S1080" s="40" t="str">
        <f>VLOOKUP(M1080,Table1[#All],6,FALSE)</f>
        <v>Q3</v>
      </c>
      <c r="T1080" s="79"/>
      <c r="U1080" s="40" t="str">
        <f>VLOOKUP(M1080,Table1[#All],7,FALSE)</f>
        <v>Q4</v>
      </c>
      <c r="V1080" s="79"/>
      <c r="W1080" s="40" t="str">
        <f>VLOOKUP(M1080,Table1[#All],8,FALSE)</f>
        <v>Q5</v>
      </c>
      <c r="X1080" s="79"/>
      <c r="Y1080" s="44" t="str">
        <f>VLOOKUP(M1080,Table1[#All],2,FALSE)</f>
        <v>Action</v>
      </c>
      <c r="Z1080" s="59" t="str">
        <f>VLOOKUP(M1080,Table1[#All],9,FALSE)</f>
        <v>Additional Notes:</v>
      </c>
      <c r="AA1080" s="76"/>
      <c r="AB1080" s="76"/>
      <c r="AC1080" s="90" t="s">
        <v>91</v>
      </c>
      <c r="AD1080" s="76" t="s">
        <v>91</v>
      </c>
      <c r="AE1080" s="77"/>
      <c r="AF1080" s="77"/>
      <c r="AG1080" s="41" t="s">
        <v>91</v>
      </c>
    </row>
    <row r="1081" spans="1:33" ht="21" hidden="1" x14ac:dyDescent="0.55000000000000004">
      <c r="A1081" s="44">
        <f>Data!K1080</f>
        <v>0</v>
      </c>
      <c r="B1081" s="44">
        <f>Data!L1080</f>
        <v>0</v>
      </c>
      <c r="C1081" s="44">
        <f>Data!D1080</f>
        <v>0</v>
      </c>
      <c r="D1081" s="82">
        <f>Data!F1080</f>
        <v>0</v>
      </c>
      <c r="E1081" s="82">
        <f>Data!B1080</f>
        <v>0</v>
      </c>
      <c r="F1081" s="44">
        <f>Data!A1080</f>
        <v>0</v>
      </c>
      <c r="G1081" s="55">
        <f>Data!C1080</f>
        <v>0</v>
      </c>
      <c r="H1081" s="56">
        <f>Data!H1080</f>
        <v>0</v>
      </c>
      <c r="I1081" s="56">
        <f>Data!I1080</f>
        <v>0</v>
      </c>
      <c r="J1081" s="57">
        <f>Data!J1080</f>
        <v>0</v>
      </c>
      <c r="K1081" s="58">
        <f t="shared" ca="1" si="18"/>
        <v>44700</v>
      </c>
      <c r="L1081" s="58">
        <f>Data!M1080</f>
        <v>0</v>
      </c>
      <c r="M1081" s="37" t="s">
        <v>26</v>
      </c>
      <c r="N1081" s="43" t="str">
        <f>VLOOKUP(M1081,Table1[#All],3,FALSE)</f>
        <v>Note</v>
      </c>
      <c r="O1081" s="40" t="str">
        <f>VLOOKUP(M1081,Table1[#All],4,FALSE)</f>
        <v>Q1</v>
      </c>
      <c r="P1081" s="39"/>
      <c r="Q1081" s="40" t="str">
        <f>VLOOKUP(M1081,Table1[#All],5,FALSE)</f>
        <v>Q2</v>
      </c>
      <c r="R1081" s="79"/>
      <c r="S1081" s="40" t="str">
        <f>VLOOKUP(M1081,Table1[#All],6,FALSE)</f>
        <v>Q3</v>
      </c>
      <c r="T1081" s="79"/>
      <c r="U1081" s="40" t="str">
        <f>VLOOKUP(M1081,Table1[#All],7,FALSE)</f>
        <v>Q4</v>
      </c>
      <c r="V1081" s="79"/>
      <c r="W1081" s="40" t="str">
        <f>VLOOKUP(M1081,Table1[#All],8,FALSE)</f>
        <v>Q5</v>
      </c>
      <c r="X1081" s="79"/>
      <c r="Y1081" s="44" t="str">
        <f>VLOOKUP(M1081,Table1[#All],2,FALSE)</f>
        <v>Action</v>
      </c>
      <c r="Z1081" s="59" t="str">
        <f>VLOOKUP(M1081,Table1[#All],9,FALSE)</f>
        <v>Additional Notes:</v>
      </c>
      <c r="AA1081" s="76"/>
      <c r="AB1081" s="76"/>
      <c r="AC1081" s="90" t="s">
        <v>91</v>
      </c>
      <c r="AD1081" s="76" t="s">
        <v>91</v>
      </c>
      <c r="AE1081" s="77"/>
      <c r="AF1081" s="77"/>
      <c r="AG1081" s="41" t="s">
        <v>91</v>
      </c>
    </row>
    <row r="1082" spans="1:33" ht="21" hidden="1" x14ac:dyDescent="0.55000000000000004">
      <c r="A1082" s="44">
        <f>Data!K1081</f>
        <v>0</v>
      </c>
      <c r="B1082" s="44">
        <f>Data!L1081</f>
        <v>0</v>
      </c>
      <c r="C1082" s="44">
        <f>Data!D1081</f>
        <v>0</v>
      </c>
      <c r="D1082" s="82">
        <f>Data!F1081</f>
        <v>0</v>
      </c>
      <c r="E1082" s="82">
        <f>Data!B1081</f>
        <v>0</v>
      </c>
      <c r="F1082" s="44">
        <f>Data!A1081</f>
        <v>0</v>
      </c>
      <c r="G1082" s="55">
        <f>Data!C1081</f>
        <v>0</v>
      </c>
      <c r="H1082" s="56">
        <f>Data!H1081</f>
        <v>0</v>
      </c>
      <c r="I1082" s="56">
        <f>Data!I1081</f>
        <v>0</v>
      </c>
      <c r="J1082" s="57">
        <f>Data!J1081</f>
        <v>0</v>
      </c>
      <c r="K1082" s="58">
        <f t="shared" ca="1" si="18"/>
        <v>44700</v>
      </c>
      <c r="L1082" s="58">
        <f>Data!M1081</f>
        <v>0</v>
      </c>
      <c r="M1082" s="37" t="s">
        <v>26</v>
      </c>
      <c r="N1082" s="43" t="str">
        <f>VLOOKUP(M1082,Table1[#All],3,FALSE)</f>
        <v>Note</v>
      </c>
      <c r="O1082" s="40" t="str">
        <f>VLOOKUP(M1082,Table1[#All],4,FALSE)</f>
        <v>Q1</v>
      </c>
      <c r="P1082" s="39"/>
      <c r="Q1082" s="40" t="str">
        <f>VLOOKUP(M1082,Table1[#All],5,FALSE)</f>
        <v>Q2</v>
      </c>
      <c r="R1082" s="79"/>
      <c r="S1082" s="40" t="str">
        <f>VLOOKUP(M1082,Table1[#All],6,FALSE)</f>
        <v>Q3</v>
      </c>
      <c r="T1082" s="79"/>
      <c r="U1082" s="40" t="str">
        <f>VLOOKUP(M1082,Table1[#All],7,FALSE)</f>
        <v>Q4</v>
      </c>
      <c r="V1082" s="79"/>
      <c r="W1082" s="40" t="str">
        <f>VLOOKUP(M1082,Table1[#All],8,FALSE)</f>
        <v>Q5</v>
      </c>
      <c r="X1082" s="79"/>
      <c r="Y1082" s="44" t="str">
        <f>VLOOKUP(M1082,Table1[#All],2,FALSE)</f>
        <v>Action</v>
      </c>
      <c r="Z1082" s="59" t="str">
        <f>VLOOKUP(M1082,Table1[#All],9,FALSE)</f>
        <v>Additional Notes:</v>
      </c>
      <c r="AA1082" s="76"/>
      <c r="AB1082" s="76"/>
      <c r="AC1082" s="90" t="s">
        <v>91</v>
      </c>
      <c r="AD1082" s="76" t="s">
        <v>91</v>
      </c>
      <c r="AE1082" s="77"/>
      <c r="AF1082" s="77"/>
      <c r="AG1082" s="41" t="s">
        <v>91</v>
      </c>
    </row>
    <row r="1083" spans="1:33" ht="21" hidden="1" x14ac:dyDescent="0.55000000000000004">
      <c r="A1083" s="44">
        <f>Data!K1082</f>
        <v>0</v>
      </c>
      <c r="B1083" s="44">
        <f>Data!L1082</f>
        <v>0</v>
      </c>
      <c r="C1083" s="44">
        <f>Data!D1082</f>
        <v>0</v>
      </c>
      <c r="D1083" s="82">
        <f>Data!F1082</f>
        <v>0</v>
      </c>
      <c r="E1083" s="82">
        <f>Data!B1082</f>
        <v>0</v>
      </c>
      <c r="F1083" s="44">
        <f>Data!A1082</f>
        <v>0</v>
      </c>
      <c r="G1083" s="55">
        <f>Data!C1082</f>
        <v>0</v>
      </c>
      <c r="H1083" s="56">
        <f>Data!H1082</f>
        <v>0</v>
      </c>
      <c r="I1083" s="56">
        <f>Data!I1082</f>
        <v>0</v>
      </c>
      <c r="J1083" s="57">
        <f>Data!J1082</f>
        <v>0</v>
      </c>
      <c r="K1083" s="58">
        <f t="shared" ca="1" si="18"/>
        <v>44700</v>
      </c>
      <c r="L1083" s="58">
        <f>Data!M1082</f>
        <v>0</v>
      </c>
      <c r="M1083" s="37" t="s">
        <v>26</v>
      </c>
      <c r="N1083" s="43" t="str">
        <f>VLOOKUP(M1083,Table1[#All],3,FALSE)</f>
        <v>Note</v>
      </c>
      <c r="O1083" s="40" t="str">
        <f>VLOOKUP(M1083,Table1[#All],4,FALSE)</f>
        <v>Q1</v>
      </c>
      <c r="P1083" s="39"/>
      <c r="Q1083" s="40" t="str">
        <f>VLOOKUP(M1083,Table1[#All],5,FALSE)</f>
        <v>Q2</v>
      </c>
      <c r="R1083" s="79"/>
      <c r="S1083" s="40" t="str">
        <f>VLOOKUP(M1083,Table1[#All],6,FALSE)</f>
        <v>Q3</v>
      </c>
      <c r="T1083" s="79"/>
      <c r="U1083" s="40" t="str">
        <f>VLOOKUP(M1083,Table1[#All],7,FALSE)</f>
        <v>Q4</v>
      </c>
      <c r="V1083" s="79"/>
      <c r="W1083" s="40" t="str">
        <f>VLOOKUP(M1083,Table1[#All],8,FALSE)</f>
        <v>Q5</v>
      </c>
      <c r="X1083" s="79"/>
      <c r="Y1083" s="44" t="str">
        <f>VLOOKUP(M1083,Table1[#All],2,FALSE)</f>
        <v>Action</v>
      </c>
      <c r="Z1083" s="59" t="str">
        <f>VLOOKUP(M1083,Table1[#All],9,FALSE)</f>
        <v>Additional Notes:</v>
      </c>
      <c r="AA1083" s="76"/>
      <c r="AB1083" s="76"/>
      <c r="AC1083" s="90" t="s">
        <v>91</v>
      </c>
      <c r="AD1083" s="76" t="s">
        <v>91</v>
      </c>
      <c r="AE1083" s="77"/>
      <c r="AF1083" s="77"/>
      <c r="AG1083" s="41" t="s">
        <v>91</v>
      </c>
    </row>
    <row r="1084" spans="1:33" ht="21" hidden="1" x14ac:dyDescent="0.55000000000000004">
      <c r="A1084" s="44">
        <f>Data!K1083</f>
        <v>0</v>
      </c>
      <c r="B1084" s="44">
        <f>Data!L1083</f>
        <v>0</v>
      </c>
      <c r="C1084" s="44">
        <f>Data!D1083</f>
        <v>0</v>
      </c>
      <c r="D1084" s="82">
        <f>Data!F1083</f>
        <v>0</v>
      </c>
      <c r="E1084" s="82">
        <f>Data!B1083</f>
        <v>0</v>
      </c>
      <c r="F1084" s="44">
        <f>Data!A1083</f>
        <v>0</v>
      </c>
      <c r="G1084" s="55">
        <f>Data!C1083</f>
        <v>0</v>
      </c>
      <c r="H1084" s="56">
        <f>Data!H1083</f>
        <v>0</v>
      </c>
      <c r="I1084" s="56">
        <f>Data!I1083</f>
        <v>0</v>
      </c>
      <c r="J1084" s="57">
        <f>Data!J1083</f>
        <v>0</v>
      </c>
      <c r="K1084" s="58">
        <f t="shared" ca="1" si="18"/>
        <v>44700</v>
      </c>
      <c r="L1084" s="58">
        <f>Data!M1083</f>
        <v>0</v>
      </c>
      <c r="M1084" s="37" t="s">
        <v>26</v>
      </c>
      <c r="N1084" s="43" t="str">
        <f>VLOOKUP(M1084,Table1[#All],3,FALSE)</f>
        <v>Note</v>
      </c>
      <c r="O1084" s="40" t="str">
        <f>VLOOKUP(M1084,Table1[#All],4,FALSE)</f>
        <v>Q1</v>
      </c>
      <c r="P1084" s="39"/>
      <c r="Q1084" s="40" t="str">
        <f>VLOOKUP(M1084,Table1[#All],5,FALSE)</f>
        <v>Q2</v>
      </c>
      <c r="R1084" s="79"/>
      <c r="S1084" s="40" t="str">
        <f>VLOOKUP(M1084,Table1[#All],6,FALSE)</f>
        <v>Q3</v>
      </c>
      <c r="T1084" s="79"/>
      <c r="U1084" s="40" t="str">
        <f>VLOOKUP(M1084,Table1[#All],7,FALSE)</f>
        <v>Q4</v>
      </c>
      <c r="V1084" s="79"/>
      <c r="W1084" s="40" t="str">
        <f>VLOOKUP(M1084,Table1[#All],8,FALSE)</f>
        <v>Q5</v>
      </c>
      <c r="X1084" s="79"/>
      <c r="Y1084" s="44" t="str">
        <f>VLOOKUP(M1084,Table1[#All],2,FALSE)</f>
        <v>Action</v>
      </c>
      <c r="Z1084" s="59" t="str">
        <f>VLOOKUP(M1084,Table1[#All],9,FALSE)</f>
        <v>Additional Notes:</v>
      </c>
      <c r="AA1084" s="76"/>
      <c r="AB1084" s="76"/>
      <c r="AC1084" s="90" t="s">
        <v>91</v>
      </c>
      <c r="AD1084" s="76" t="s">
        <v>91</v>
      </c>
      <c r="AE1084" s="77"/>
      <c r="AF1084" s="77"/>
      <c r="AG1084" s="41" t="s">
        <v>91</v>
      </c>
    </row>
    <row r="1085" spans="1:33" ht="21" hidden="1" x14ac:dyDescent="0.55000000000000004">
      <c r="A1085" s="44">
        <f>Data!K1084</f>
        <v>0</v>
      </c>
      <c r="B1085" s="44">
        <f>Data!L1084</f>
        <v>0</v>
      </c>
      <c r="C1085" s="44">
        <f>Data!D1084</f>
        <v>0</v>
      </c>
      <c r="D1085" s="82">
        <f>Data!F1084</f>
        <v>0</v>
      </c>
      <c r="E1085" s="82">
        <f>Data!B1084</f>
        <v>0</v>
      </c>
      <c r="F1085" s="44">
        <f>Data!A1084</f>
        <v>0</v>
      </c>
      <c r="G1085" s="55">
        <f>Data!C1084</f>
        <v>0</v>
      </c>
      <c r="H1085" s="56">
        <f>Data!H1084</f>
        <v>0</v>
      </c>
      <c r="I1085" s="56">
        <f>Data!I1084</f>
        <v>0</v>
      </c>
      <c r="J1085" s="57">
        <f>Data!J1084</f>
        <v>0</v>
      </c>
      <c r="K1085" s="58">
        <f t="shared" ca="1" si="18"/>
        <v>44700</v>
      </c>
      <c r="L1085" s="58">
        <f>Data!M1084</f>
        <v>0</v>
      </c>
      <c r="M1085" s="37" t="s">
        <v>26</v>
      </c>
      <c r="N1085" s="43" t="str">
        <f>VLOOKUP(M1085,Table1[#All],3,FALSE)</f>
        <v>Note</v>
      </c>
      <c r="O1085" s="40" t="str">
        <f>VLOOKUP(M1085,Table1[#All],4,FALSE)</f>
        <v>Q1</v>
      </c>
      <c r="P1085" s="39"/>
      <c r="Q1085" s="40" t="str">
        <f>VLOOKUP(M1085,Table1[#All],5,FALSE)</f>
        <v>Q2</v>
      </c>
      <c r="R1085" s="79"/>
      <c r="S1085" s="40" t="str">
        <f>VLOOKUP(M1085,Table1[#All],6,FALSE)</f>
        <v>Q3</v>
      </c>
      <c r="T1085" s="79"/>
      <c r="U1085" s="40" t="str">
        <f>VLOOKUP(M1085,Table1[#All],7,FALSE)</f>
        <v>Q4</v>
      </c>
      <c r="V1085" s="79"/>
      <c r="W1085" s="40" t="str">
        <f>VLOOKUP(M1085,Table1[#All],8,FALSE)</f>
        <v>Q5</v>
      </c>
      <c r="X1085" s="79"/>
      <c r="Y1085" s="44" t="str">
        <f>VLOOKUP(M1085,Table1[#All],2,FALSE)</f>
        <v>Action</v>
      </c>
      <c r="Z1085" s="59" t="str">
        <f>VLOOKUP(M1085,Table1[#All],9,FALSE)</f>
        <v>Additional Notes:</v>
      </c>
      <c r="AA1085" s="76"/>
      <c r="AB1085" s="76"/>
      <c r="AC1085" s="90" t="s">
        <v>91</v>
      </c>
      <c r="AD1085" s="76" t="s">
        <v>91</v>
      </c>
      <c r="AE1085" s="77"/>
      <c r="AF1085" s="77"/>
      <c r="AG1085" s="41" t="s">
        <v>91</v>
      </c>
    </row>
    <row r="1086" spans="1:33" ht="21" hidden="1" x14ac:dyDescent="0.55000000000000004">
      <c r="A1086" s="44">
        <f>Data!K1085</f>
        <v>0</v>
      </c>
      <c r="B1086" s="44">
        <f>Data!L1085</f>
        <v>0</v>
      </c>
      <c r="C1086" s="44">
        <f>Data!D1085</f>
        <v>0</v>
      </c>
      <c r="D1086" s="82">
        <f>Data!F1085</f>
        <v>0</v>
      </c>
      <c r="E1086" s="82">
        <f>Data!B1085</f>
        <v>0</v>
      </c>
      <c r="F1086" s="44">
        <f>Data!A1085</f>
        <v>0</v>
      </c>
      <c r="G1086" s="55">
        <f>Data!C1085</f>
        <v>0</v>
      </c>
      <c r="H1086" s="56">
        <f>Data!H1085</f>
        <v>0</v>
      </c>
      <c r="I1086" s="56">
        <f>Data!I1085</f>
        <v>0</v>
      </c>
      <c r="J1086" s="57">
        <f>Data!J1085</f>
        <v>0</v>
      </c>
      <c r="K1086" s="58">
        <f t="shared" ca="1" si="18"/>
        <v>44700</v>
      </c>
      <c r="L1086" s="58">
        <f>Data!M1085</f>
        <v>0</v>
      </c>
      <c r="M1086" s="37" t="s">
        <v>26</v>
      </c>
      <c r="N1086" s="43" t="str">
        <f>VLOOKUP(M1086,Table1[#All],3,FALSE)</f>
        <v>Note</v>
      </c>
      <c r="O1086" s="40" t="str">
        <f>VLOOKUP(M1086,Table1[#All],4,FALSE)</f>
        <v>Q1</v>
      </c>
      <c r="P1086" s="39"/>
      <c r="Q1086" s="40" t="str">
        <f>VLOOKUP(M1086,Table1[#All],5,FALSE)</f>
        <v>Q2</v>
      </c>
      <c r="R1086" s="79"/>
      <c r="S1086" s="40" t="str">
        <f>VLOOKUP(M1086,Table1[#All],6,FALSE)</f>
        <v>Q3</v>
      </c>
      <c r="T1086" s="79"/>
      <c r="U1086" s="40" t="str">
        <f>VLOOKUP(M1086,Table1[#All],7,FALSE)</f>
        <v>Q4</v>
      </c>
      <c r="V1086" s="79"/>
      <c r="W1086" s="40" t="str">
        <f>VLOOKUP(M1086,Table1[#All],8,FALSE)</f>
        <v>Q5</v>
      </c>
      <c r="X1086" s="79"/>
      <c r="Y1086" s="44" t="str">
        <f>VLOOKUP(M1086,Table1[#All],2,FALSE)</f>
        <v>Action</v>
      </c>
      <c r="Z1086" s="59" t="str">
        <f>VLOOKUP(M1086,Table1[#All],9,FALSE)</f>
        <v>Additional Notes:</v>
      </c>
      <c r="AA1086" s="76"/>
      <c r="AB1086" s="76"/>
      <c r="AC1086" s="90" t="s">
        <v>91</v>
      </c>
      <c r="AD1086" s="76" t="s">
        <v>91</v>
      </c>
      <c r="AE1086" s="77"/>
      <c r="AF1086" s="77"/>
      <c r="AG1086" s="41" t="s">
        <v>91</v>
      </c>
    </row>
    <row r="1087" spans="1:33" ht="21" hidden="1" x14ac:dyDescent="0.55000000000000004">
      <c r="A1087" s="44">
        <f>Data!K1086</f>
        <v>0</v>
      </c>
      <c r="B1087" s="44">
        <f>Data!L1086</f>
        <v>0</v>
      </c>
      <c r="C1087" s="44">
        <f>Data!D1086</f>
        <v>0</v>
      </c>
      <c r="D1087" s="82">
        <f>Data!F1086</f>
        <v>0</v>
      </c>
      <c r="E1087" s="82">
        <f>Data!B1086</f>
        <v>0</v>
      </c>
      <c r="F1087" s="44">
        <f>Data!A1086</f>
        <v>0</v>
      </c>
      <c r="G1087" s="55">
        <f>Data!C1086</f>
        <v>0</v>
      </c>
      <c r="H1087" s="56">
        <f>Data!H1086</f>
        <v>0</v>
      </c>
      <c r="I1087" s="56">
        <f>Data!I1086</f>
        <v>0</v>
      </c>
      <c r="J1087" s="57">
        <f>Data!J1086</f>
        <v>0</v>
      </c>
      <c r="K1087" s="58">
        <f t="shared" ca="1" si="18"/>
        <v>44700</v>
      </c>
      <c r="L1087" s="58">
        <f>Data!M1086</f>
        <v>0</v>
      </c>
      <c r="M1087" s="37" t="s">
        <v>26</v>
      </c>
      <c r="N1087" s="43" t="str">
        <f>VLOOKUP(M1087,Table1[#All],3,FALSE)</f>
        <v>Note</v>
      </c>
      <c r="O1087" s="40" t="str">
        <f>VLOOKUP(M1087,Table1[#All],4,FALSE)</f>
        <v>Q1</v>
      </c>
      <c r="P1087" s="39"/>
      <c r="Q1087" s="40" t="str">
        <f>VLOOKUP(M1087,Table1[#All],5,FALSE)</f>
        <v>Q2</v>
      </c>
      <c r="R1087" s="79"/>
      <c r="S1087" s="40" t="str">
        <f>VLOOKUP(M1087,Table1[#All],6,FALSE)</f>
        <v>Q3</v>
      </c>
      <c r="T1087" s="79"/>
      <c r="U1087" s="40" t="str">
        <f>VLOOKUP(M1087,Table1[#All],7,FALSE)</f>
        <v>Q4</v>
      </c>
      <c r="V1087" s="79"/>
      <c r="W1087" s="40" t="str">
        <f>VLOOKUP(M1087,Table1[#All],8,FALSE)</f>
        <v>Q5</v>
      </c>
      <c r="X1087" s="79"/>
      <c r="Y1087" s="44" t="str">
        <f>VLOOKUP(M1087,Table1[#All],2,FALSE)</f>
        <v>Action</v>
      </c>
      <c r="Z1087" s="59" t="str">
        <f>VLOOKUP(M1087,Table1[#All],9,FALSE)</f>
        <v>Additional Notes:</v>
      </c>
      <c r="AA1087" s="76"/>
      <c r="AB1087" s="76"/>
      <c r="AC1087" s="90" t="s">
        <v>91</v>
      </c>
      <c r="AD1087" s="76" t="s">
        <v>91</v>
      </c>
      <c r="AE1087" s="77"/>
      <c r="AF1087" s="77"/>
      <c r="AG1087" s="41" t="s">
        <v>91</v>
      </c>
    </row>
    <row r="1088" spans="1:33" ht="21" hidden="1" x14ac:dyDescent="0.55000000000000004">
      <c r="A1088" s="44">
        <f>Data!K1087</f>
        <v>0</v>
      </c>
      <c r="B1088" s="44">
        <f>Data!L1087</f>
        <v>0</v>
      </c>
      <c r="C1088" s="44">
        <f>Data!D1087</f>
        <v>0</v>
      </c>
      <c r="D1088" s="82">
        <f>Data!F1087</f>
        <v>0</v>
      </c>
      <c r="E1088" s="82">
        <f>Data!B1087</f>
        <v>0</v>
      </c>
      <c r="F1088" s="44">
        <f>Data!A1087</f>
        <v>0</v>
      </c>
      <c r="G1088" s="55">
        <f>Data!C1087</f>
        <v>0</v>
      </c>
      <c r="H1088" s="56">
        <f>Data!H1087</f>
        <v>0</v>
      </c>
      <c r="I1088" s="56">
        <f>Data!I1087</f>
        <v>0</v>
      </c>
      <c r="J1088" s="57">
        <f>Data!J1087</f>
        <v>0</v>
      </c>
      <c r="K1088" s="58">
        <f t="shared" ca="1" si="18"/>
        <v>44700</v>
      </c>
      <c r="L1088" s="58">
        <f>Data!M1087</f>
        <v>0</v>
      </c>
      <c r="M1088" s="37" t="s">
        <v>26</v>
      </c>
      <c r="N1088" s="43" t="str">
        <f>VLOOKUP(M1088,Table1[#All],3,FALSE)</f>
        <v>Note</v>
      </c>
      <c r="O1088" s="40" t="str">
        <f>VLOOKUP(M1088,Table1[#All],4,FALSE)</f>
        <v>Q1</v>
      </c>
      <c r="P1088" s="39"/>
      <c r="Q1088" s="40" t="str">
        <f>VLOOKUP(M1088,Table1[#All],5,FALSE)</f>
        <v>Q2</v>
      </c>
      <c r="R1088" s="79"/>
      <c r="S1088" s="40" t="str">
        <f>VLOOKUP(M1088,Table1[#All],6,FALSE)</f>
        <v>Q3</v>
      </c>
      <c r="T1088" s="79"/>
      <c r="U1088" s="40" t="str">
        <f>VLOOKUP(M1088,Table1[#All],7,FALSE)</f>
        <v>Q4</v>
      </c>
      <c r="V1088" s="79"/>
      <c r="W1088" s="40" t="str">
        <f>VLOOKUP(M1088,Table1[#All],8,FALSE)</f>
        <v>Q5</v>
      </c>
      <c r="X1088" s="79"/>
      <c r="Y1088" s="44" t="str">
        <f>VLOOKUP(M1088,Table1[#All],2,FALSE)</f>
        <v>Action</v>
      </c>
      <c r="Z1088" s="59" t="str">
        <f>VLOOKUP(M1088,Table1[#All],9,FALSE)</f>
        <v>Additional Notes:</v>
      </c>
      <c r="AA1088" s="76"/>
      <c r="AB1088" s="76"/>
      <c r="AC1088" s="90" t="s">
        <v>91</v>
      </c>
      <c r="AD1088" s="76" t="s">
        <v>91</v>
      </c>
      <c r="AE1088" s="77"/>
      <c r="AF1088" s="77"/>
      <c r="AG1088" s="41" t="s">
        <v>91</v>
      </c>
    </row>
    <row r="1089" spans="1:33" ht="21" hidden="1" x14ac:dyDescent="0.55000000000000004">
      <c r="A1089" s="44">
        <f>Data!K1088</f>
        <v>0</v>
      </c>
      <c r="B1089" s="44">
        <f>Data!L1088</f>
        <v>0</v>
      </c>
      <c r="C1089" s="44">
        <f>Data!D1088</f>
        <v>0</v>
      </c>
      <c r="D1089" s="82">
        <f>Data!F1088</f>
        <v>0</v>
      </c>
      <c r="E1089" s="82">
        <f>Data!B1088</f>
        <v>0</v>
      </c>
      <c r="F1089" s="44">
        <f>Data!A1088</f>
        <v>0</v>
      </c>
      <c r="G1089" s="55">
        <f>Data!C1088</f>
        <v>0</v>
      </c>
      <c r="H1089" s="56">
        <f>Data!H1088</f>
        <v>0</v>
      </c>
      <c r="I1089" s="56">
        <f>Data!I1088</f>
        <v>0</v>
      </c>
      <c r="J1089" s="57">
        <f>Data!J1088</f>
        <v>0</v>
      </c>
      <c r="K1089" s="58">
        <f t="shared" ca="1" si="18"/>
        <v>44700</v>
      </c>
      <c r="L1089" s="58">
        <f>Data!M1088</f>
        <v>0</v>
      </c>
      <c r="M1089" s="37" t="s">
        <v>26</v>
      </c>
      <c r="N1089" s="43" t="str">
        <f>VLOOKUP(M1089,Table1[#All],3,FALSE)</f>
        <v>Note</v>
      </c>
      <c r="O1089" s="40" t="str">
        <f>VLOOKUP(M1089,Table1[#All],4,FALSE)</f>
        <v>Q1</v>
      </c>
      <c r="P1089" s="39"/>
      <c r="Q1089" s="40" t="str">
        <f>VLOOKUP(M1089,Table1[#All],5,FALSE)</f>
        <v>Q2</v>
      </c>
      <c r="R1089" s="79"/>
      <c r="S1089" s="40" t="str">
        <f>VLOOKUP(M1089,Table1[#All],6,FALSE)</f>
        <v>Q3</v>
      </c>
      <c r="T1089" s="79"/>
      <c r="U1089" s="40" t="str">
        <f>VLOOKUP(M1089,Table1[#All],7,FALSE)</f>
        <v>Q4</v>
      </c>
      <c r="V1089" s="79"/>
      <c r="W1089" s="40" t="str">
        <f>VLOOKUP(M1089,Table1[#All],8,FALSE)</f>
        <v>Q5</v>
      </c>
      <c r="X1089" s="79"/>
      <c r="Y1089" s="44" t="str">
        <f>VLOOKUP(M1089,Table1[#All],2,FALSE)</f>
        <v>Action</v>
      </c>
      <c r="Z1089" s="59" t="str">
        <f>VLOOKUP(M1089,Table1[#All],9,FALSE)</f>
        <v>Additional Notes:</v>
      </c>
      <c r="AA1089" s="76"/>
      <c r="AB1089" s="76"/>
      <c r="AC1089" s="90" t="s">
        <v>91</v>
      </c>
      <c r="AD1089" s="76" t="s">
        <v>91</v>
      </c>
      <c r="AE1089" s="77"/>
      <c r="AF1089" s="77"/>
      <c r="AG1089" s="41" t="s">
        <v>91</v>
      </c>
    </row>
    <row r="1090" spans="1:33" ht="21" hidden="1" x14ac:dyDescent="0.55000000000000004">
      <c r="A1090" s="44">
        <f>Data!K1089</f>
        <v>0</v>
      </c>
      <c r="B1090" s="44">
        <f>Data!L1089</f>
        <v>0</v>
      </c>
      <c r="C1090" s="44">
        <f>Data!D1089</f>
        <v>0</v>
      </c>
      <c r="D1090" s="82">
        <f>Data!F1089</f>
        <v>0</v>
      </c>
      <c r="E1090" s="82">
        <f>Data!B1089</f>
        <v>0</v>
      </c>
      <c r="F1090" s="44">
        <f>Data!A1089</f>
        <v>0</v>
      </c>
      <c r="G1090" s="55">
        <f>Data!C1089</f>
        <v>0</v>
      </c>
      <c r="H1090" s="56">
        <f>Data!H1089</f>
        <v>0</v>
      </c>
      <c r="I1090" s="56">
        <f>Data!I1089</f>
        <v>0</v>
      </c>
      <c r="J1090" s="57">
        <f>Data!J1089</f>
        <v>0</v>
      </c>
      <c r="K1090" s="58">
        <f t="shared" ca="1" si="18"/>
        <v>44700</v>
      </c>
      <c r="L1090" s="58">
        <f>Data!M1089</f>
        <v>0</v>
      </c>
      <c r="M1090" s="37" t="s">
        <v>26</v>
      </c>
      <c r="N1090" s="43" t="str">
        <f>VLOOKUP(M1090,Table1[#All],3,FALSE)</f>
        <v>Note</v>
      </c>
      <c r="O1090" s="40" t="str">
        <f>VLOOKUP(M1090,Table1[#All],4,FALSE)</f>
        <v>Q1</v>
      </c>
      <c r="P1090" s="39"/>
      <c r="Q1090" s="40" t="str">
        <f>VLOOKUP(M1090,Table1[#All],5,FALSE)</f>
        <v>Q2</v>
      </c>
      <c r="R1090" s="79"/>
      <c r="S1090" s="40" t="str">
        <f>VLOOKUP(M1090,Table1[#All],6,FALSE)</f>
        <v>Q3</v>
      </c>
      <c r="T1090" s="79"/>
      <c r="U1090" s="40" t="str">
        <f>VLOOKUP(M1090,Table1[#All],7,FALSE)</f>
        <v>Q4</v>
      </c>
      <c r="V1090" s="79"/>
      <c r="W1090" s="40" t="str">
        <f>VLOOKUP(M1090,Table1[#All],8,FALSE)</f>
        <v>Q5</v>
      </c>
      <c r="X1090" s="79"/>
      <c r="Y1090" s="44" t="str">
        <f>VLOOKUP(M1090,Table1[#All],2,FALSE)</f>
        <v>Action</v>
      </c>
      <c r="Z1090" s="59" t="str">
        <f>VLOOKUP(M1090,Table1[#All],9,FALSE)</f>
        <v>Additional Notes:</v>
      </c>
      <c r="AA1090" s="76"/>
      <c r="AB1090" s="76"/>
      <c r="AC1090" s="90" t="s">
        <v>91</v>
      </c>
      <c r="AD1090" s="76" t="s">
        <v>91</v>
      </c>
      <c r="AE1090" s="77"/>
      <c r="AF1090" s="77"/>
      <c r="AG1090" s="41" t="s">
        <v>91</v>
      </c>
    </row>
    <row r="1091" spans="1:33" ht="21" hidden="1" x14ac:dyDescent="0.55000000000000004">
      <c r="A1091" s="44">
        <f>Data!K1090</f>
        <v>0</v>
      </c>
      <c r="B1091" s="44">
        <f>Data!L1090</f>
        <v>0</v>
      </c>
      <c r="C1091" s="44">
        <f>Data!D1090</f>
        <v>0</v>
      </c>
      <c r="D1091" s="82">
        <f>Data!F1090</f>
        <v>0</v>
      </c>
      <c r="E1091" s="82">
        <f>Data!B1090</f>
        <v>0</v>
      </c>
      <c r="F1091" s="44">
        <f>Data!A1090</f>
        <v>0</v>
      </c>
      <c r="G1091" s="55">
        <f>Data!C1090</f>
        <v>0</v>
      </c>
      <c r="H1091" s="56">
        <f>Data!H1090</f>
        <v>0</v>
      </c>
      <c r="I1091" s="56">
        <f>Data!I1090</f>
        <v>0</v>
      </c>
      <c r="J1091" s="57">
        <f>Data!J1090</f>
        <v>0</v>
      </c>
      <c r="K1091" s="58">
        <f t="shared" ca="1" si="18"/>
        <v>44700</v>
      </c>
      <c r="L1091" s="58">
        <f>Data!M1090</f>
        <v>0</v>
      </c>
      <c r="M1091" s="37" t="s">
        <v>26</v>
      </c>
      <c r="N1091" s="43" t="str">
        <f>VLOOKUP(M1091,Table1[#All],3,FALSE)</f>
        <v>Note</v>
      </c>
      <c r="O1091" s="40" t="str">
        <f>VLOOKUP(M1091,Table1[#All],4,FALSE)</f>
        <v>Q1</v>
      </c>
      <c r="P1091" s="39"/>
      <c r="Q1091" s="40" t="str">
        <f>VLOOKUP(M1091,Table1[#All],5,FALSE)</f>
        <v>Q2</v>
      </c>
      <c r="R1091" s="79"/>
      <c r="S1091" s="40" t="str">
        <f>VLOOKUP(M1091,Table1[#All],6,FALSE)</f>
        <v>Q3</v>
      </c>
      <c r="T1091" s="79"/>
      <c r="U1091" s="40" t="str">
        <f>VLOOKUP(M1091,Table1[#All],7,FALSE)</f>
        <v>Q4</v>
      </c>
      <c r="V1091" s="79"/>
      <c r="W1091" s="40" t="str">
        <f>VLOOKUP(M1091,Table1[#All],8,FALSE)</f>
        <v>Q5</v>
      </c>
      <c r="X1091" s="79"/>
      <c r="Y1091" s="44" t="str">
        <f>VLOOKUP(M1091,Table1[#All],2,FALSE)</f>
        <v>Action</v>
      </c>
      <c r="Z1091" s="59" t="str">
        <f>VLOOKUP(M1091,Table1[#All],9,FALSE)</f>
        <v>Additional Notes:</v>
      </c>
      <c r="AA1091" s="76"/>
      <c r="AB1091" s="76"/>
      <c r="AC1091" s="90" t="s">
        <v>91</v>
      </c>
      <c r="AD1091" s="76" t="s">
        <v>91</v>
      </c>
      <c r="AE1091" s="77"/>
      <c r="AF1091" s="77"/>
      <c r="AG1091" s="41" t="s">
        <v>91</v>
      </c>
    </row>
    <row r="1092" spans="1:33" ht="21" hidden="1" x14ac:dyDescent="0.55000000000000004">
      <c r="A1092" s="44">
        <f>Data!K1091</f>
        <v>0</v>
      </c>
      <c r="B1092" s="44">
        <f>Data!L1091</f>
        <v>0</v>
      </c>
      <c r="C1092" s="44">
        <f>Data!D1091</f>
        <v>0</v>
      </c>
      <c r="D1092" s="82">
        <f>Data!F1091</f>
        <v>0</v>
      </c>
      <c r="E1092" s="82">
        <f>Data!B1091</f>
        <v>0</v>
      </c>
      <c r="F1092" s="44">
        <f>Data!A1091</f>
        <v>0</v>
      </c>
      <c r="G1092" s="55">
        <f>Data!C1091</f>
        <v>0</v>
      </c>
      <c r="H1092" s="56">
        <f>Data!H1091</f>
        <v>0</v>
      </c>
      <c r="I1092" s="56">
        <f>Data!I1091</f>
        <v>0</v>
      </c>
      <c r="J1092" s="57">
        <f>Data!J1091</f>
        <v>0</v>
      </c>
      <c r="K1092" s="58">
        <f t="shared" ca="1" si="18"/>
        <v>44700</v>
      </c>
      <c r="L1092" s="58">
        <f>Data!M1091</f>
        <v>0</v>
      </c>
      <c r="M1092" s="37" t="s">
        <v>26</v>
      </c>
      <c r="N1092" s="43" t="str">
        <f>VLOOKUP(M1092,Table1[#All],3,FALSE)</f>
        <v>Note</v>
      </c>
      <c r="O1092" s="40" t="str">
        <f>VLOOKUP(M1092,Table1[#All],4,FALSE)</f>
        <v>Q1</v>
      </c>
      <c r="P1092" s="39"/>
      <c r="Q1092" s="40" t="str">
        <f>VLOOKUP(M1092,Table1[#All],5,FALSE)</f>
        <v>Q2</v>
      </c>
      <c r="R1092" s="79"/>
      <c r="S1092" s="40" t="str">
        <f>VLOOKUP(M1092,Table1[#All],6,FALSE)</f>
        <v>Q3</v>
      </c>
      <c r="T1092" s="79"/>
      <c r="U1092" s="40" t="str">
        <f>VLOOKUP(M1092,Table1[#All],7,FALSE)</f>
        <v>Q4</v>
      </c>
      <c r="V1092" s="79"/>
      <c r="W1092" s="40" t="str">
        <f>VLOOKUP(M1092,Table1[#All],8,FALSE)</f>
        <v>Q5</v>
      </c>
      <c r="X1092" s="79"/>
      <c r="Y1092" s="44" t="str">
        <f>VLOOKUP(M1092,Table1[#All],2,FALSE)</f>
        <v>Action</v>
      </c>
      <c r="Z1092" s="59" t="str">
        <f>VLOOKUP(M1092,Table1[#All],9,FALSE)</f>
        <v>Additional Notes:</v>
      </c>
      <c r="AA1092" s="76"/>
      <c r="AB1092" s="76"/>
      <c r="AC1092" s="90" t="s">
        <v>91</v>
      </c>
      <c r="AD1092" s="76" t="s">
        <v>91</v>
      </c>
      <c r="AE1092" s="77"/>
      <c r="AF1092" s="77"/>
      <c r="AG1092" s="41" t="s">
        <v>91</v>
      </c>
    </row>
    <row r="1093" spans="1:33" ht="21" hidden="1" x14ac:dyDescent="0.55000000000000004">
      <c r="A1093" s="44">
        <f>Data!K1092</f>
        <v>0</v>
      </c>
      <c r="B1093" s="44">
        <f>Data!L1092</f>
        <v>0</v>
      </c>
      <c r="C1093" s="44">
        <f>Data!D1092</f>
        <v>0</v>
      </c>
      <c r="D1093" s="82">
        <f>Data!F1092</f>
        <v>0</v>
      </c>
      <c r="E1093" s="82">
        <f>Data!B1092</f>
        <v>0</v>
      </c>
      <c r="F1093" s="44">
        <f>Data!A1092</f>
        <v>0</v>
      </c>
      <c r="G1093" s="55">
        <f>Data!C1092</f>
        <v>0</v>
      </c>
      <c r="H1093" s="56">
        <f>Data!H1092</f>
        <v>0</v>
      </c>
      <c r="I1093" s="56">
        <f>Data!I1092</f>
        <v>0</v>
      </c>
      <c r="J1093" s="57">
        <f>Data!J1092</f>
        <v>0</v>
      </c>
      <c r="K1093" s="58">
        <f t="shared" ca="1" si="18"/>
        <v>44700</v>
      </c>
      <c r="L1093" s="58">
        <f>Data!M1092</f>
        <v>0</v>
      </c>
      <c r="M1093" s="37" t="s">
        <v>26</v>
      </c>
      <c r="N1093" s="43" t="str">
        <f>VLOOKUP(M1093,Table1[#All],3,FALSE)</f>
        <v>Note</v>
      </c>
      <c r="O1093" s="40" t="str">
        <f>VLOOKUP(M1093,Table1[#All],4,FALSE)</f>
        <v>Q1</v>
      </c>
      <c r="P1093" s="39"/>
      <c r="Q1093" s="40" t="str">
        <f>VLOOKUP(M1093,Table1[#All],5,FALSE)</f>
        <v>Q2</v>
      </c>
      <c r="R1093" s="79"/>
      <c r="S1093" s="40" t="str">
        <f>VLOOKUP(M1093,Table1[#All],6,FALSE)</f>
        <v>Q3</v>
      </c>
      <c r="T1093" s="79"/>
      <c r="U1093" s="40" t="str">
        <f>VLOOKUP(M1093,Table1[#All],7,FALSE)</f>
        <v>Q4</v>
      </c>
      <c r="V1093" s="79"/>
      <c r="W1093" s="40" t="str">
        <f>VLOOKUP(M1093,Table1[#All],8,FALSE)</f>
        <v>Q5</v>
      </c>
      <c r="X1093" s="79"/>
      <c r="Y1093" s="44" t="str">
        <f>VLOOKUP(M1093,Table1[#All],2,FALSE)</f>
        <v>Action</v>
      </c>
      <c r="Z1093" s="59" t="str">
        <f>VLOOKUP(M1093,Table1[#All],9,FALSE)</f>
        <v>Additional Notes:</v>
      </c>
      <c r="AA1093" s="76"/>
      <c r="AB1093" s="76"/>
      <c r="AC1093" s="90" t="s">
        <v>91</v>
      </c>
      <c r="AD1093" s="76" t="s">
        <v>91</v>
      </c>
      <c r="AE1093" s="77"/>
      <c r="AF1093" s="77"/>
      <c r="AG1093" s="41" t="s">
        <v>91</v>
      </c>
    </row>
    <row r="1094" spans="1:33" ht="21" hidden="1" x14ac:dyDescent="0.55000000000000004">
      <c r="A1094" s="44">
        <f>Data!K1093</f>
        <v>0</v>
      </c>
      <c r="B1094" s="44">
        <f>Data!L1093</f>
        <v>0</v>
      </c>
      <c r="C1094" s="44">
        <f>Data!D1093</f>
        <v>0</v>
      </c>
      <c r="D1094" s="82">
        <f>Data!F1093</f>
        <v>0</v>
      </c>
      <c r="E1094" s="82">
        <f>Data!B1093</f>
        <v>0</v>
      </c>
      <c r="F1094" s="44">
        <f>Data!A1093</f>
        <v>0</v>
      </c>
      <c r="G1094" s="55">
        <f>Data!C1093</f>
        <v>0</v>
      </c>
      <c r="H1094" s="56">
        <f>Data!H1093</f>
        <v>0</v>
      </c>
      <c r="I1094" s="56">
        <f>Data!I1093</f>
        <v>0</v>
      </c>
      <c r="J1094" s="57">
        <f>Data!J1093</f>
        <v>0</v>
      </c>
      <c r="K1094" s="58">
        <f t="shared" ca="1" si="18"/>
        <v>44700</v>
      </c>
      <c r="L1094" s="58">
        <f>Data!M1093</f>
        <v>0</v>
      </c>
      <c r="M1094" s="37" t="s">
        <v>26</v>
      </c>
      <c r="N1094" s="43" t="str">
        <f>VLOOKUP(M1094,Table1[#All],3,FALSE)</f>
        <v>Note</v>
      </c>
      <c r="O1094" s="40" t="str">
        <f>VLOOKUP(M1094,Table1[#All],4,FALSE)</f>
        <v>Q1</v>
      </c>
      <c r="P1094" s="39"/>
      <c r="Q1094" s="40" t="str">
        <f>VLOOKUP(M1094,Table1[#All],5,FALSE)</f>
        <v>Q2</v>
      </c>
      <c r="R1094" s="79"/>
      <c r="S1094" s="40" t="str">
        <f>VLOOKUP(M1094,Table1[#All],6,FALSE)</f>
        <v>Q3</v>
      </c>
      <c r="T1094" s="79"/>
      <c r="U1094" s="40" t="str">
        <f>VLOOKUP(M1094,Table1[#All],7,FALSE)</f>
        <v>Q4</v>
      </c>
      <c r="V1094" s="79"/>
      <c r="W1094" s="40" t="str">
        <f>VLOOKUP(M1094,Table1[#All],8,FALSE)</f>
        <v>Q5</v>
      </c>
      <c r="X1094" s="79"/>
      <c r="Y1094" s="44" t="str">
        <f>VLOOKUP(M1094,Table1[#All],2,FALSE)</f>
        <v>Action</v>
      </c>
      <c r="Z1094" s="59" t="str">
        <f>VLOOKUP(M1094,Table1[#All],9,FALSE)</f>
        <v>Additional Notes:</v>
      </c>
      <c r="AA1094" s="76"/>
      <c r="AB1094" s="76"/>
      <c r="AC1094" s="90" t="s">
        <v>91</v>
      </c>
      <c r="AD1094" s="76" t="s">
        <v>91</v>
      </c>
      <c r="AE1094" s="77"/>
      <c r="AF1094" s="77"/>
      <c r="AG1094" s="41" t="s">
        <v>91</v>
      </c>
    </row>
    <row r="1095" spans="1:33" ht="21" hidden="1" x14ac:dyDescent="0.55000000000000004">
      <c r="A1095" s="44">
        <f>Data!K1094</f>
        <v>0</v>
      </c>
      <c r="B1095" s="44">
        <f>Data!L1094</f>
        <v>0</v>
      </c>
      <c r="C1095" s="44">
        <f>Data!D1094</f>
        <v>0</v>
      </c>
      <c r="D1095" s="82">
        <f>Data!F1094</f>
        <v>0</v>
      </c>
      <c r="E1095" s="82">
        <f>Data!B1094</f>
        <v>0</v>
      </c>
      <c r="F1095" s="44">
        <f>Data!A1094</f>
        <v>0</v>
      </c>
      <c r="G1095" s="55">
        <f>Data!C1094</f>
        <v>0</v>
      </c>
      <c r="H1095" s="56">
        <f>Data!H1094</f>
        <v>0</v>
      </c>
      <c r="I1095" s="56">
        <f>Data!I1094</f>
        <v>0</v>
      </c>
      <c r="J1095" s="57">
        <f>Data!J1094</f>
        <v>0</v>
      </c>
      <c r="K1095" s="58">
        <f t="shared" ca="1" si="18"/>
        <v>44700</v>
      </c>
      <c r="L1095" s="58">
        <f>Data!M1094</f>
        <v>0</v>
      </c>
      <c r="M1095" s="37" t="s">
        <v>26</v>
      </c>
      <c r="N1095" s="43" t="str">
        <f>VLOOKUP(M1095,Table1[#All],3,FALSE)</f>
        <v>Note</v>
      </c>
      <c r="O1095" s="40" t="str">
        <f>VLOOKUP(M1095,Table1[#All],4,FALSE)</f>
        <v>Q1</v>
      </c>
      <c r="P1095" s="39"/>
      <c r="Q1095" s="40" t="str">
        <f>VLOOKUP(M1095,Table1[#All],5,FALSE)</f>
        <v>Q2</v>
      </c>
      <c r="R1095" s="79"/>
      <c r="S1095" s="40" t="str">
        <f>VLOOKUP(M1095,Table1[#All],6,FALSE)</f>
        <v>Q3</v>
      </c>
      <c r="T1095" s="79"/>
      <c r="U1095" s="40" t="str">
        <f>VLOOKUP(M1095,Table1[#All],7,FALSE)</f>
        <v>Q4</v>
      </c>
      <c r="V1095" s="79"/>
      <c r="W1095" s="40" t="str">
        <f>VLOOKUP(M1095,Table1[#All],8,FALSE)</f>
        <v>Q5</v>
      </c>
      <c r="X1095" s="79"/>
      <c r="Y1095" s="44" t="str">
        <f>VLOOKUP(M1095,Table1[#All],2,FALSE)</f>
        <v>Action</v>
      </c>
      <c r="Z1095" s="59" t="str">
        <f>VLOOKUP(M1095,Table1[#All],9,FALSE)</f>
        <v>Additional Notes:</v>
      </c>
      <c r="AA1095" s="76"/>
      <c r="AB1095" s="76"/>
      <c r="AC1095" s="90" t="s">
        <v>91</v>
      </c>
      <c r="AD1095" s="76" t="s">
        <v>91</v>
      </c>
      <c r="AE1095" s="77"/>
      <c r="AF1095" s="77"/>
      <c r="AG1095" s="41" t="s">
        <v>91</v>
      </c>
    </row>
    <row r="1096" spans="1:33" ht="21" hidden="1" x14ac:dyDescent="0.55000000000000004">
      <c r="A1096" s="44">
        <f>Data!K1095</f>
        <v>0</v>
      </c>
      <c r="B1096" s="44">
        <f>Data!L1095</f>
        <v>0</v>
      </c>
      <c r="C1096" s="44">
        <f>Data!D1095</f>
        <v>0</v>
      </c>
      <c r="D1096" s="82">
        <f>Data!F1095</f>
        <v>0</v>
      </c>
      <c r="E1096" s="82">
        <f>Data!B1095</f>
        <v>0</v>
      </c>
      <c r="F1096" s="44">
        <f>Data!A1095</f>
        <v>0</v>
      </c>
      <c r="G1096" s="55">
        <f>Data!C1095</f>
        <v>0</v>
      </c>
      <c r="H1096" s="56">
        <f>Data!H1095</f>
        <v>0</v>
      </c>
      <c r="I1096" s="56">
        <f>Data!I1095</f>
        <v>0</v>
      </c>
      <c r="J1096" s="57">
        <f>Data!J1095</f>
        <v>0</v>
      </c>
      <c r="K1096" s="58">
        <f t="shared" ca="1" si="18"/>
        <v>44700</v>
      </c>
      <c r="L1096" s="58">
        <f>Data!M1095</f>
        <v>0</v>
      </c>
      <c r="M1096" s="37" t="s">
        <v>26</v>
      </c>
      <c r="N1096" s="43" t="str">
        <f>VLOOKUP(M1096,Table1[#All],3,FALSE)</f>
        <v>Note</v>
      </c>
      <c r="O1096" s="40" t="str">
        <f>VLOOKUP(M1096,Table1[#All],4,FALSE)</f>
        <v>Q1</v>
      </c>
      <c r="P1096" s="39"/>
      <c r="Q1096" s="40" t="str">
        <f>VLOOKUP(M1096,Table1[#All],5,FALSE)</f>
        <v>Q2</v>
      </c>
      <c r="R1096" s="79"/>
      <c r="S1096" s="40" t="str">
        <f>VLOOKUP(M1096,Table1[#All],6,FALSE)</f>
        <v>Q3</v>
      </c>
      <c r="T1096" s="79"/>
      <c r="U1096" s="40" t="str">
        <f>VLOOKUP(M1096,Table1[#All],7,FALSE)</f>
        <v>Q4</v>
      </c>
      <c r="V1096" s="79"/>
      <c r="W1096" s="40" t="str">
        <f>VLOOKUP(M1096,Table1[#All],8,FALSE)</f>
        <v>Q5</v>
      </c>
      <c r="X1096" s="79"/>
      <c r="Y1096" s="44" t="str">
        <f>VLOOKUP(M1096,Table1[#All],2,FALSE)</f>
        <v>Action</v>
      </c>
      <c r="Z1096" s="59" t="str">
        <f>VLOOKUP(M1096,Table1[#All],9,FALSE)</f>
        <v>Additional Notes:</v>
      </c>
      <c r="AA1096" s="76"/>
      <c r="AB1096" s="76"/>
      <c r="AC1096" s="90" t="s">
        <v>91</v>
      </c>
      <c r="AD1096" s="76" t="s">
        <v>91</v>
      </c>
      <c r="AE1096" s="77"/>
      <c r="AF1096" s="77"/>
      <c r="AG1096" s="41" t="s">
        <v>91</v>
      </c>
    </row>
    <row r="1097" spans="1:33" ht="21" hidden="1" x14ac:dyDescent="0.55000000000000004">
      <c r="A1097" s="44">
        <f>Data!K1096</f>
        <v>0</v>
      </c>
      <c r="B1097" s="44">
        <f>Data!L1096</f>
        <v>0</v>
      </c>
      <c r="C1097" s="44">
        <f>Data!D1096</f>
        <v>0</v>
      </c>
      <c r="D1097" s="82">
        <f>Data!F1096</f>
        <v>0</v>
      </c>
      <c r="E1097" s="82">
        <f>Data!B1096</f>
        <v>0</v>
      </c>
      <c r="F1097" s="44">
        <f>Data!A1096</f>
        <v>0</v>
      </c>
      <c r="G1097" s="55">
        <f>Data!C1096</f>
        <v>0</v>
      </c>
      <c r="H1097" s="56">
        <f>Data!H1096</f>
        <v>0</v>
      </c>
      <c r="I1097" s="56">
        <f>Data!I1096</f>
        <v>0</v>
      </c>
      <c r="J1097" s="57">
        <f>Data!J1096</f>
        <v>0</v>
      </c>
      <c r="K1097" s="58">
        <f t="shared" ca="1" si="18"/>
        <v>44700</v>
      </c>
      <c r="L1097" s="58">
        <f>Data!M1096</f>
        <v>0</v>
      </c>
      <c r="M1097" s="37" t="s">
        <v>26</v>
      </c>
      <c r="N1097" s="43" t="str">
        <f>VLOOKUP(M1097,Table1[#All],3,FALSE)</f>
        <v>Note</v>
      </c>
      <c r="O1097" s="40" t="str">
        <f>VLOOKUP(M1097,Table1[#All],4,FALSE)</f>
        <v>Q1</v>
      </c>
      <c r="P1097" s="39"/>
      <c r="Q1097" s="40" t="str">
        <f>VLOOKUP(M1097,Table1[#All],5,FALSE)</f>
        <v>Q2</v>
      </c>
      <c r="R1097" s="79"/>
      <c r="S1097" s="40" t="str">
        <f>VLOOKUP(M1097,Table1[#All],6,FALSE)</f>
        <v>Q3</v>
      </c>
      <c r="T1097" s="79"/>
      <c r="U1097" s="40" t="str">
        <f>VLOOKUP(M1097,Table1[#All],7,FALSE)</f>
        <v>Q4</v>
      </c>
      <c r="V1097" s="79"/>
      <c r="W1097" s="40" t="str">
        <f>VLOOKUP(M1097,Table1[#All],8,FALSE)</f>
        <v>Q5</v>
      </c>
      <c r="X1097" s="79"/>
      <c r="Y1097" s="44" t="str">
        <f>VLOOKUP(M1097,Table1[#All],2,FALSE)</f>
        <v>Action</v>
      </c>
      <c r="Z1097" s="59" t="str">
        <f>VLOOKUP(M1097,Table1[#All],9,FALSE)</f>
        <v>Additional Notes:</v>
      </c>
      <c r="AA1097" s="76"/>
      <c r="AB1097" s="76"/>
      <c r="AC1097" s="90" t="s">
        <v>91</v>
      </c>
      <c r="AD1097" s="76" t="s">
        <v>91</v>
      </c>
      <c r="AE1097" s="77"/>
      <c r="AF1097" s="77"/>
      <c r="AG1097" s="41" t="s">
        <v>91</v>
      </c>
    </row>
    <row r="1098" spans="1:33" ht="21" hidden="1" x14ac:dyDescent="0.55000000000000004">
      <c r="A1098" s="44">
        <f>Data!K1097</f>
        <v>0</v>
      </c>
      <c r="B1098" s="44">
        <f>Data!L1097</f>
        <v>0</v>
      </c>
      <c r="C1098" s="44">
        <f>Data!D1097</f>
        <v>0</v>
      </c>
      <c r="D1098" s="82">
        <f>Data!F1097</f>
        <v>0</v>
      </c>
      <c r="E1098" s="82">
        <f>Data!B1097</f>
        <v>0</v>
      </c>
      <c r="F1098" s="44">
        <f>Data!A1097</f>
        <v>0</v>
      </c>
      <c r="G1098" s="55">
        <f>Data!C1097</f>
        <v>0</v>
      </c>
      <c r="H1098" s="56">
        <f>Data!H1097</f>
        <v>0</v>
      </c>
      <c r="I1098" s="56">
        <f>Data!I1097</f>
        <v>0</v>
      </c>
      <c r="J1098" s="57">
        <f>Data!J1097</f>
        <v>0</v>
      </c>
      <c r="K1098" s="58">
        <f t="shared" ca="1" si="18"/>
        <v>44700</v>
      </c>
      <c r="L1098" s="58">
        <f>Data!M1097</f>
        <v>0</v>
      </c>
      <c r="M1098" s="37" t="s">
        <v>26</v>
      </c>
      <c r="N1098" s="43" t="str">
        <f>VLOOKUP(M1098,Table1[#All],3,FALSE)</f>
        <v>Note</v>
      </c>
      <c r="O1098" s="40" t="str">
        <f>VLOOKUP(M1098,Table1[#All],4,FALSE)</f>
        <v>Q1</v>
      </c>
      <c r="P1098" s="39"/>
      <c r="Q1098" s="40" t="str">
        <f>VLOOKUP(M1098,Table1[#All],5,FALSE)</f>
        <v>Q2</v>
      </c>
      <c r="R1098" s="79"/>
      <c r="S1098" s="40" t="str">
        <f>VLOOKUP(M1098,Table1[#All],6,FALSE)</f>
        <v>Q3</v>
      </c>
      <c r="T1098" s="79"/>
      <c r="U1098" s="40" t="str">
        <f>VLOOKUP(M1098,Table1[#All],7,FALSE)</f>
        <v>Q4</v>
      </c>
      <c r="V1098" s="79"/>
      <c r="W1098" s="40" t="str">
        <f>VLOOKUP(M1098,Table1[#All],8,FALSE)</f>
        <v>Q5</v>
      </c>
      <c r="X1098" s="79"/>
      <c r="Y1098" s="44" t="str">
        <f>VLOOKUP(M1098,Table1[#All],2,FALSE)</f>
        <v>Action</v>
      </c>
      <c r="Z1098" s="59" t="str">
        <f>VLOOKUP(M1098,Table1[#All],9,FALSE)</f>
        <v>Additional Notes:</v>
      </c>
      <c r="AA1098" s="76"/>
      <c r="AB1098" s="76"/>
      <c r="AC1098" s="90" t="s">
        <v>91</v>
      </c>
      <c r="AD1098" s="76" t="s">
        <v>91</v>
      </c>
      <c r="AE1098" s="77"/>
      <c r="AF1098" s="77"/>
      <c r="AG1098" s="41" t="s">
        <v>91</v>
      </c>
    </row>
    <row r="1099" spans="1:33" ht="21" hidden="1" x14ac:dyDescent="0.55000000000000004">
      <c r="A1099" s="44">
        <f>Data!K1098</f>
        <v>0</v>
      </c>
      <c r="B1099" s="44">
        <f>Data!L1098</f>
        <v>0</v>
      </c>
      <c r="C1099" s="44">
        <f>Data!D1098</f>
        <v>0</v>
      </c>
      <c r="D1099" s="82">
        <f>Data!F1098</f>
        <v>0</v>
      </c>
      <c r="E1099" s="82">
        <f>Data!B1098</f>
        <v>0</v>
      </c>
      <c r="F1099" s="44">
        <f>Data!A1098</f>
        <v>0</v>
      </c>
      <c r="G1099" s="55">
        <f>Data!C1098</f>
        <v>0</v>
      </c>
      <c r="H1099" s="56">
        <f>Data!H1098</f>
        <v>0</v>
      </c>
      <c r="I1099" s="56">
        <f>Data!I1098</f>
        <v>0</v>
      </c>
      <c r="J1099" s="57">
        <f>Data!J1098</f>
        <v>0</v>
      </c>
      <c r="K1099" s="58">
        <f t="shared" ca="1" si="18"/>
        <v>44700</v>
      </c>
      <c r="L1099" s="58">
        <f>Data!M1098</f>
        <v>0</v>
      </c>
      <c r="M1099" s="37" t="s">
        <v>26</v>
      </c>
      <c r="N1099" s="43" t="str">
        <f>VLOOKUP(M1099,Table1[#All],3,FALSE)</f>
        <v>Note</v>
      </c>
      <c r="O1099" s="40" t="str">
        <f>VLOOKUP(M1099,Table1[#All],4,FALSE)</f>
        <v>Q1</v>
      </c>
      <c r="P1099" s="39"/>
      <c r="Q1099" s="40" t="str">
        <f>VLOOKUP(M1099,Table1[#All],5,FALSE)</f>
        <v>Q2</v>
      </c>
      <c r="R1099" s="79"/>
      <c r="S1099" s="40" t="str">
        <f>VLOOKUP(M1099,Table1[#All],6,FALSE)</f>
        <v>Q3</v>
      </c>
      <c r="T1099" s="79"/>
      <c r="U1099" s="40" t="str">
        <f>VLOOKUP(M1099,Table1[#All],7,FALSE)</f>
        <v>Q4</v>
      </c>
      <c r="V1099" s="79"/>
      <c r="W1099" s="40" t="str">
        <f>VLOOKUP(M1099,Table1[#All],8,FALSE)</f>
        <v>Q5</v>
      </c>
      <c r="X1099" s="79"/>
      <c r="Y1099" s="44" t="str">
        <f>VLOOKUP(M1099,Table1[#All],2,FALSE)</f>
        <v>Action</v>
      </c>
      <c r="Z1099" s="59" t="str">
        <f>VLOOKUP(M1099,Table1[#All],9,FALSE)</f>
        <v>Additional Notes:</v>
      </c>
      <c r="AA1099" s="76"/>
      <c r="AB1099" s="76"/>
      <c r="AC1099" s="90" t="s">
        <v>91</v>
      </c>
      <c r="AD1099" s="76" t="s">
        <v>91</v>
      </c>
      <c r="AE1099" s="77"/>
      <c r="AF1099" s="77"/>
      <c r="AG1099" s="41" t="s">
        <v>91</v>
      </c>
    </row>
    <row r="1100" spans="1:33" ht="21" hidden="1" x14ac:dyDescent="0.55000000000000004">
      <c r="A1100" s="44">
        <f>Data!K1099</f>
        <v>0</v>
      </c>
      <c r="B1100" s="44">
        <f>Data!L1099</f>
        <v>0</v>
      </c>
      <c r="C1100" s="44">
        <f>Data!D1099</f>
        <v>0</v>
      </c>
      <c r="D1100" s="82">
        <f>Data!F1099</f>
        <v>0</v>
      </c>
      <c r="E1100" s="82">
        <f>Data!B1099</f>
        <v>0</v>
      </c>
      <c r="F1100" s="44">
        <f>Data!A1099</f>
        <v>0</v>
      </c>
      <c r="G1100" s="55">
        <f>Data!C1099</f>
        <v>0</v>
      </c>
      <c r="H1100" s="56">
        <f>Data!H1099</f>
        <v>0</v>
      </c>
      <c r="I1100" s="56">
        <f>Data!I1099</f>
        <v>0</v>
      </c>
      <c r="J1100" s="57">
        <f>Data!J1099</f>
        <v>0</v>
      </c>
      <c r="K1100" s="58">
        <f t="shared" ca="1" si="18"/>
        <v>44700</v>
      </c>
      <c r="L1100" s="58">
        <f>Data!M1099</f>
        <v>0</v>
      </c>
      <c r="M1100" s="37" t="s">
        <v>26</v>
      </c>
      <c r="N1100" s="43" t="str">
        <f>VLOOKUP(M1100,Table1[#All],3,FALSE)</f>
        <v>Note</v>
      </c>
      <c r="O1100" s="40" t="str">
        <f>VLOOKUP(M1100,Table1[#All],4,FALSE)</f>
        <v>Q1</v>
      </c>
      <c r="P1100" s="39"/>
      <c r="Q1100" s="40" t="str">
        <f>VLOOKUP(M1100,Table1[#All],5,FALSE)</f>
        <v>Q2</v>
      </c>
      <c r="R1100" s="79"/>
      <c r="S1100" s="40" t="str">
        <f>VLOOKUP(M1100,Table1[#All],6,FALSE)</f>
        <v>Q3</v>
      </c>
      <c r="T1100" s="79"/>
      <c r="U1100" s="40" t="str">
        <f>VLOOKUP(M1100,Table1[#All],7,FALSE)</f>
        <v>Q4</v>
      </c>
      <c r="V1100" s="79"/>
      <c r="W1100" s="40" t="str">
        <f>VLOOKUP(M1100,Table1[#All],8,FALSE)</f>
        <v>Q5</v>
      </c>
      <c r="X1100" s="79"/>
      <c r="Y1100" s="44" t="str">
        <f>VLOOKUP(M1100,Table1[#All],2,FALSE)</f>
        <v>Action</v>
      </c>
      <c r="Z1100" s="59" t="str">
        <f>VLOOKUP(M1100,Table1[#All],9,FALSE)</f>
        <v>Additional Notes:</v>
      </c>
      <c r="AA1100" s="76"/>
      <c r="AB1100" s="76"/>
      <c r="AC1100" s="90" t="s">
        <v>91</v>
      </c>
      <c r="AD1100" s="76" t="s">
        <v>91</v>
      </c>
      <c r="AE1100" s="77"/>
      <c r="AF1100" s="77"/>
      <c r="AG1100" s="41" t="s">
        <v>91</v>
      </c>
    </row>
    <row r="1101" spans="1:33" ht="21" hidden="1" x14ac:dyDescent="0.55000000000000004">
      <c r="A1101" s="44">
        <f>Data!K1100</f>
        <v>0</v>
      </c>
      <c r="B1101" s="44">
        <f>Data!L1100</f>
        <v>0</v>
      </c>
      <c r="C1101" s="44">
        <f>Data!D1100</f>
        <v>0</v>
      </c>
      <c r="D1101" s="82">
        <f>Data!F1100</f>
        <v>0</v>
      </c>
      <c r="E1101" s="82">
        <f>Data!B1100</f>
        <v>0</v>
      </c>
      <c r="F1101" s="44">
        <f>Data!A1100</f>
        <v>0</v>
      </c>
      <c r="G1101" s="55">
        <f>Data!C1100</f>
        <v>0</v>
      </c>
      <c r="H1101" s="56">
        <f>Data!H1100</f>
        <v>0</v>
      </c>
      <c r="I1101" s="56">
        <f>Data!I1100</f>
        <v>0</v>
      </c>
      <c r="J1101" s="57">
        <f>Data!J1100</f>
        <v>0</v>
      </c>
      <c r="K1101" s="58">
        <f t="shared" ca="1" si="18"/>
        <v>44700</v>
      </c>
      <c r="L1101" s="58">
        <f>Data!M1100</f>
        <v>0</v>
      </c>
      <c r="M1101" s="37" t="s">
        <v>26</v>
      </c>
      <c r="N1101" s="43" t="str">
        <f>VLOOKUP(M1101,Table1[#All],3,FALSE)</f>
        <v>Note</v>
      </c>
      <c r="O1101" s="40" t="str">
        <f>VLOOKUP(M1101,Table1[#All],4,FALSE)</f>
        <v>Q1</v>
      </c>
      <c r="P1101" s="39"/>
      <c r="Q1101" s="40" t="str">
        <f>VLOOKUP(M1101,Table1[#All],5,FALSE)</f>
        <v>Q2</v>
      </c>
      <c r="R1101" s="79"/>
      <c r="S1101" s="40" t="str">
        <f>VLOOKUP(M1101,Table1[#All],6,FALSE)</f>
        <v>Q3</v>
      </c>
      <c r="T1101" s="79"/>
      <c r="U1101" s="40" t="str">
        <f>VLOOKUP(M1101,Table1[#All],7,FALSE)</f>
        <v>Q4</v>
      </c>
      <c r="V1101" s="79"/>
      <c r="W1101" s="40" t="str">
        <f>VLOOKUP(M1101,Table1[#All],8,FALSE)</f>
        <v>Q5</v>
      </c>
      <c r="X1101" s="79"/>
      <c r="Y1101" s="44" t="str">
        <f>VLOOKUP(M1101,Table1[#All],2,FALSE)</f>
        <v>Action</v>
      </c>
      <c r="Z1101" s="59" t="str">
        <f>VLOOKUP(M1101,Table1[#All],9,FALSE)</f>
        <v>Additional Notes:</v>
      </c>
      <c r="AA1101" s="76"/>
      <c r="AB1101" s="76"/>
      <c r="AC1101" s="90" t="s">
        <v>91</v>
      </c>
      <c r="AD1101" s="76" t="s">
        <v>91</v>
      </c>
      <c r="AE1101" s="77"/>
      <c r="AF1101" s="77"/>
      <c r="AG1101" s="41" t="s">
        <v>91</v>
      </c>
    </row>
    <row r="1102" spans="1:33" ht="21" hidden="1" x14ac:dyDescent="0.55000000000000004">
      <c r="A1102" s="44">
        <f>Data!K1101</f>
        <v>0</v>
      </c>
      <c r="B1102" s="44">
        <f>Data!L1101</f>
        <v>0</v>
      </c>
      <c r="C1102" s="44">
        <f>Data!D1101</f>
        <v>0</v>
      </c>
      <c r="D1102" s="82">
        <f>Data!F1101</f>
        <v>0</v>
      </c>
      <c r="E1102" s="82">
        <f>Data!B1101</f>
        <v>0</v>
      </c>
      <c r="F1102" s="44">
        <f>Data!A1101</f>
        <v>0</v>
      </c>
      <c r="G1102" s="55">
        <f>Data!C1101</f>
        <v>0</v>
      </c>
      <c r="H1102" s="56">
        <f>Data!H1101</f>
        <v>0</v>
      </c>
      <c r="I1102" s="56">
        <f>Data!I1101</f>
        <v>0</v>
      </c>
      <c r="J1102" s="57">
        <f>Data!J1101</f>
        <v>0</v>
      </c>
      <c r="K1102" s="58">
        <f t="shared" ca="1" si="18"/>
        <v>44700</v>
      </c>
      <c r="L1102" s="58">
        <f>Data!M1101</f>
        <v>0</v>
      </c>
      <c r="M1102" s="37" t="s">
        <v>26</v>
      </c>
      <c r="N1102" s="43" t="str">
        <f>VLOOKUP(M1102,Table1[#All],3,FALSE)</f>
        <v>Note</v>
      </c>
      <c r="O1102" s="40" t="str">
        <f>VLOOKUP(M1102,Table1[#All],4,FALSE)</f>
        <v>Q1</v>
      </c>
      <c r="P1102" s="39"/>
      <c r="Q1102" s="40" t="str">
        <f>VLOOKUP(M1102,Table1[#All],5,FALSE)</f>
        <v>Q2</v>
      </c>
      <c r="R1102" s="79"/>
      <c r="S1102" s="40" t="str">
        <f>VLOOKUP(M1102,Table1[#All],6,FALSE)</f>
        <v>Q3</v>
      </c>
      <c r="T1102" s="79"/>
      <c r="U1102" s="40" t="str">
        <f>VLOOKUP(M1102,Table1[#All],7,FALSE)</f>
        <v>Q4</v>
      </c>
      <c r="V1102" s="79"/>
      <c r="W1102" s="40" t="str">
        <f>VLOOKUP(M1102,Table1[#All],8,FALSE)</f>
        <v>Q5</v>
      </c>
      <c r="X1102" s="79"/>
      <c r="Y1102" s="44" t="str">
        <f>VLOOKUP(M1102,Table1[#All],2,FALSE)</f>
        <v>Action</v>
      </c>
      <c r="Z1102" s="59" t="str">
        <f>VLOOKUP(M1102,Table1[#All],9,FALSE)</f>
        <v>Additional Notes:</v>
      </c>
      <c r="AA1102" s="76"/>
      <c r="AB1102" s="76"/>
      <c r="AC1102" s="90" t="s">
        <v>91</v>
      </c>
      <c r="AD1102" s="76" t="s">
        <v>91</v>
      </c>
      <c r="AE1102" s="77"/>
      <c r="AF1102" s="77"/>
      <c r="AG1102" s="41" t="s">
        <v>91</v>
      </c>
    </row>
    <row r="1103" spans="1:33" ht="21" hidden="1" x14ac:dyDescent="0.55000000000000004">
      <c r="A1103" s="44">
        <f>Data!K1102</f>
        <v>0</v>
      </c>
      <c r="B1103" s="44">
        <f>Data!L1102</f>
        <v>0</v>
      </c>
      <c r="C1103" s="44">
        <f>Data!D1102</f>
        <v>0</v>
      </c>
      <c r="D1103" s="82">
        <f>Data!F1102</f>
        <v>0</v>
      </c>
      <c r="E1103" s="82">
        <f>Data!B1102</f>
        <v>0</v>
      </c>
      <c r="F1103" s="44">
        <f>Data!A1102</f>
        <v>0</v>
      </c>
      <c r="G1103" s="55">
        <f>Data!C1102</f>
        <v>0</v>
      </c>
      <c r="H1103" s="56">
        <f>Data!H1102</f>
        <v>0</v>
      </c>
      <c r="I1103" s="56">
        <f>Data!I1102</f>
        <v>0</v>
      </c>
      <c r="J1103" s="57">
        <f>Data!J1102</f>
        <v>0</v>
      </c>
      <c r="K1103" s="58">
        <f t="shared" ca="1" si="18"/>
        <v>44700</v>
      </c>
      <c r="L1103" s="58">
        <f>Data!M1102</f>
        <v>0</v>
      </c>
      <c r="M1103" s="37" t="s">
        <v>26</v>
      </c>
      <c r="N1103" s="43" t="str">
        <f>VLOOKUP(M1103,Table1[#All],3,FALSE)</f>
        <v>Note</v>
      </c>
      <c r="O1103" s="40" t="str">
        <f>VLOOKUP(M1103,Table1[#All],4,FALSE)</f>
        <v>Q1</v>
      </c>
      <c r="P1103" s="39"/>
      <c r="Q1103" s="40" t="str">
        <f>VLOOKUP(M1103,Table1[#All],5,FALSE)</f>
        <v>Q2</v>
      </c>
      <c r="R1103" s="79"/>
      <c r="S1103" s="40" t="str">
        <f>VLOOKUP(M1103,Table1[#All],6,FALSE)</f>
        <v>Q3</v>
      </c>
      <c r="T1103" s="79"/>
      <c r="U1103" s="40" t="str">
        <f>VLOOKUP(M1103,Table1[#All],7,FALSE)</f>
        <v>Q4</v>
      </c>
      <c r="V1103" s="79"/>
      <c r="W1103" s="40" t="str">
        <f>VLOOKUP(M1103,Table1[#All],8,FALSE)</f>
        <v>Q5</v>
      </c>
      <c r="X1103" s="79"/>
      <c r="Y1103" s="44" t="str">
        <f>VLOOKUP(M1103,Table1[#All],2,FALSE)</f>
        <v>Action</v>
      </c>
      <c r="Z1103" s="59" t="str">
        <f>VLOOKUP(M1103,Table1[#All],9,FALSE)</f>
        <v>Additional Notes:</v>
      </c>
      <c r="AA1103" s="76"/>
      <c r="AB1103" s="76"/>
      <c r="AC1103" s="90" t="s">
        <v>91</v>
      </c>
      <c r="AD1103" s="76" t="s">
        <v>91</v>
      </c>
      <c r="AE1103" s="77"/>
      <c r="AF1103" s="77"/>
      <c r="AG1103" s="41" t="s">
        <v>91</v>
      </c>
    </row>
    <row r="1104" spans="1:33" ht="21" hidden="1" x14ac:dyDescent="0.55000000000000004">
      <c r="A1104" s="44">
        <f>Data!K1103</f>
        <v>0</v>
      </c>
      <c r="B1104" s="44">
        <f>Data!L1103</f>
        <v>0</v>
      </c>
      <c r="C1104" s="44">
        <f>Data!D1103</f>
        <v>0</v>
      </c>
      <c r="D1104" s="82">
        <f>Data!F1103</f>
        <v>0</v>
      </c>
      <c r="E1104" s="82">
        <f>Data!B1103</f>
        <v>0</v>
      </c>
      <c r="F1104" s="44">
        <f>Data!A1103</f>
        <v>0</v>
      </c>
      <c r="G1104" s="55">
        <f>Data!C1103</f>
        <v>0</v>
      </c>
      <c r="H1104" s="56">
        <f>Data!H1103</f>
        <v>0</v>
      </c>
      <c r="I1104" s="56">
        <f>Data!I1103</f>
        <v>0</v>
      </c>
      <c r="J1104" s="57">
        <f>Data!J1103</f>
        <v>0</v>
      </c>
      <c r="K1104" s="58">
        <f t="shared" ca="1" si="18"/>
        <v>44700</v>
      </c>
      <c r="L1104" s="58">
        <f>Data!M1103</f>
        <v>0</v>
      </c>
      <c r="M1104" s="37" t="s">
        <v>26</v>
      </c>
      <c r="N1104" s="43" t="str">
        <f>VLOOKUP(M1104,Table1[#All],3,FALSE)</f>
        <v>Note</v>
      </c>
      <c r="O1104" s="40" t="str">
        <f>VLOOKUP(M1104,Table1[#All],4,FALSE)</f>
        <v>Q1</v>
      </c>
      <c r="P1104" s="39"/>
      <c r="Q1104" s="40" t="str">
        <f>VLOOKUP(M1104,Table1[#All],5,FALSE)</f>
        <v>Q2</v>
      </c>
      <c r="R1104" s="79"/>
      <c r="S1104" s="40" t="str">
        <f>VLOOKUP(M1104,Table1[#All],6,FALSE)</f>
        <v>Q3</v>
      </c>
      <c r="T1104" s="79"/>
      <c r="U1104" s="40" t="str">
        <f>VLOOKUP(M1104,Table1[#All],7,FALSE)</f>
        <v>Q4</v>
      </c>
      <c r="V1104" s="79"/>
      <c r="W1104" s="40" t="str">
        <f>VLOOKUP(M1104,Table1[#All],8,FALSE)</f>
        <v>Q5</v>
      </c>
      <c r="X1104" s="79"/>
      <c r="Y1104" s="44" t="str">
        <f>VLOOKUP(M1104,Table1[#All],2,FALSE)</f>
        <v>Action</v>
      </c>
      <c r="Z1104" s="59" t="str">
        <f>VLOOKUP(M1104,Table1[#All],9,FALSE)</f>
        <v>Additional Notes:</v>
      </c>
      <c r="AA1104" s="76"/>
      <c r="AB1104" s="76"/>
      <c r="AC1104" s="90" t="s">
        <v>91</v>
      </c>
      <c r="AD1104" s="76" t="s">
        <v>91</v>
      </c>
      <c r="AE1104" s="77"/>
      <c r="AF1104" s="77"/>
      <c r="AG1104" s="41" t="s">
        <v>91</v>
      </c>
    </row>
    <row r="1105" spans="1:33" ht="21" hidden="1" x14ac:dyDescent="0.55000000000000004">
      <c r="A1105" s="44">
        <f>Data!K1104</f>
        <v>0</v>
      </c>
      <c r="B1105" s="44">
        <f>Data!L1104</f>
        <v>0</v>
      </c>
      <c r="C1105" s="44">
        <f>Data!D1104</f>
        <v>0</v>
      </c>
      <c r="D1105" s="82">
        <f>Data!F1104</f>
        <v>0</v>
      </c>
      <c r="E1105" s="82">
        <f>Data!B1104</f>
        <v>0</v>
      </c>
      <c r="F1105" s="44">
        <f>Data!A1104</f>
        <v>0</v>
      </c>
      <c r="G1105" s="55">
        <f>Data!C1104</f>
        <v>0</v>
      </c>
      <c r="H1105" s="56">
        <f>Data!H1104</f>
        <v>0</v>
      </c>
      <c r="I1105" s="56">
        <f>Data!I1104</f>
        <v>0</v>
      </c>
      <c r="J1105" s="57">
        <f>Data!J1104</f>
        <v>0</v>
      </c>
      <c r="K1105" s="58">
        <f t="shared" ca="1" si="18"/>
        <v>44700</v>
      </c>
      <c r="L1105" s="58">
        <f>Data!M1104</f>
        <v>0</v>
      </c>
      <c r="M1105" s="37" t="s">
        <v>26</v>
      </c>
      <c r="N1105" s="43" t="str">
        <f>VLOOKUP(M1105,Table1[#All],3,FALSE)</f>
        <v>Note</v>
      </c>
      <c r="O1105" s="40" t="str">
        <f>VLOOKUP(M1105,Table1[#All],4,FALSE)</f>
        <v>Q1</v>
      </c>
      <c r="P1105" s="39"/>
      <c r="Q1105" s="40" t="str">
        <f>VLOOKUP(M1105,Table1[#All],5,FALSE)</f>
        <v>Q2</v>
      </c>
      <c r="R1105" s="79"/>
      <c r="S1105" s="40" t="str">
        <f>VLOOKUP(M1105,Table1[#All],6,FALSE)</f>
        <v>Q3</v>
      </c>
      <c r="T1105" s="79"/>
      <c r="U1105" s="40" t="str">
        <f>VLOOKUP(M1105,Table1[#All],7,FALSE)</f>
        <v>Q4</v>
      </c>
      <c r="V1105" s="79"/>
      <c r="W1105" s="40" t="str">
        <f>VLOOKUP(M1105,Table1[#All],8,FALSE)</f>
        <v>Q5</v>
      </c>
      <c r="X1105" s="79"/>
      <c r="Y1105" s="44" t="str">
        <f>VLOOKUP(M1105,Table1[#All],2,FALSE)</f>
        <v>Action</v>
      </c>
      <c r="Z1105" s="59" t="str">
        <f>VLOOKUP(M1105,Table1[#All],9,FALSE)</f>
        <v>Additional Notes:</v>
      </c>
      <c r="AA1105" s="76"/>
      <c r="AB1105" s="76"/>
      <c r="AC1105" s="90" t="s">
        <v>91</v>
      </c>
      <c r="AD1105" s="76" t="s">
        <v>91</v>
      </c>
      <c r="AE1105" s="77"/>
      <c r="AF1105" s="77"/>
      <c r="AG1105" s="41" t="s">
        <v>91</v>
      </c>
    </row>
    <row r="1106" spans="1:33" ht="21" hidden="1" x14ac:dyDescent="0.55000000000000004">
      <c r="A1106" s="44">
        <f>Data!K1105</f>
        <v>0</v>
      </c>
      <c r="B1106" s="44">
        <f>Data!L1105</f>
        <v>0</v>
      </c>
      <c r="C1106" s="44">
        <f>Data!D1105</f>
        <v>0</v>
      </c>
      <c r="D1106" s="82">
        <f>Data!F1105</f>
        <v>0</v>
      </c>
      <c r="E1106" s="82">
        <f>Data!B1105</f>
        <v>0</v>
      </c>
      <c r="F1106" s="44">
        <f>Data!A1105</f>
        <v>0</v>
      </c>
      <c r="G1106" s="55">
        <f>Data!C1105</f>
        <v>0</v>
      </c>
      <c r="H1106" s="56">
        <f>Data!H1105</f>
        <v>0</v>
      </c>
      <c r="I1106" s="56">
        <f>Data!I1105</f>
        <v>0</v>
      </c>
      <c r="J1106" s="57">
        <f>Data!J1105</f>
        <v>0</v>
      </c>
      <c r="K1106" s="58">
        <f t="shared" ca="1" si="18"/>
        <v>44700</v>
      </c>
      <c r="L1106" s="58">
        <f>Data!M1105</f>
        <v>0</v>
      </c>
      <c r="M1106" s="37" t="s">
        <v>26</v>
      </c>
      <c r="N1106" s="43" t="str">
        <f>VLOOKUP(M1106,Table1[#All],3,FALSE)</f>
        <v>Note</v>
      </c>
      <c r="O1106" s="40" t="str">
        <f>VLOOKUP(M1106,Table1[#All],4,FALSE)</f>
        <v>Q1</v>
      </c>
      <c r="P1106" s="39"/>
      <c r="Q1106" s="40" t="str">
        <f>VLOOKUP(M1106,Table1[#All],5,FALSE)</f>
        <v>Q2</v>
      </c>
      <c r="R1106" s="79"/>
      <c r="S1106" s="40" t="str">
        <f>VLOOKUP(M1106,Table1[#All],6,FALSE)</f>
        <v>Q3</v>
      </c>
      <c r="T1106" s="79"/>
      <c r="U1106" s="40" t="str">
        <f>VLOOKUP(M1106,Table1[#All],7,FALSE)</f>
        <v>Q4</v>
      </c>
      <c r="V1106" s="79"/>
      <c r="W1106" s="40" t="str">
        <f>VLOOKUP(M1106,Table1[#All],8,FALSE)</f>
        <v>Q5</v>
      </c>
      <c r="X1106" s="79"/>
      <c r="Y1106" s="44" t="str">
        <f>VLOOKUP(M1106,Table1[#All],2,FALSE)</f>
        <v>Action</v>
      </c>
      <c r="Z1106" s="59" t="str">
        <f>VLOOKUP(M1106,Table1[#All],9,FALSE)</f>
        <v>Additional Notes:</v>
      </c>
      <c r="AA1106" s="76"/>
      <c r="AB1106" s="76"/>
      <c r="AC1106" s="90" t="s">
        <v>91</v>
      </c>
      <c r="AD1106" s="76" t="s">
        <v>91</v>
      </c>
      <c r="AE1106" s="77"/>
      <c r="AF1106" s="77"/>
      <c r="AG1106" s="41" t="s">
        <v>91</v>
      </c>
    </row>
    <row r="1107" spans="1:33" ht="21" hidden="1" x14ac:dyDescent="0.55000000000000004">
      <c r="A1107" s="44">
        <f>Data!K1106</f>
        <v>0</v>
      </c>
      <c r="B1107" s="44">
        <f>Data!L1106</f>
        <v>0</v>
      </c>
      <c r="C1107" s="44">
        <f>Data!D1106</f>
        <v>0</v>
      </c>
      <c r="D1107" s="82">
        <f>Data!F1106</f>
        <v>0</v>
      </c>
      <c r="E1107" s="82">
        <f>Data!B1106</f>
        <v>0</v>
      </c>
      <c r="F1107" s="44">
        <f>Data!A1106</f>
        <v>0</v>
      </c>
      <c r="G1107" s="55">
        <f>Data!C1106</f>
        <v>0</v>
      </c>
      <c r="H1107" s="56">
        <f>Data!H1106</f>
        <v>0</v>
      </c>
      <c r="I1107" s="56">
        <f>Data!I1106</f>
        <v>0</v>
      </c>
      <c r="J1107" s="57">
        <f>Data!J1106</f>
        <v>0</v>
      </c>
      <c r="K1107" s="58">
        <f t="shared" ca="1" si="18"/>
        <v>44700</v>
      </c>
      <c r="L1107" s="58">
        <f>Data!M1106</f>
        <v>0</v>
      </c>
      <c r="M1107" s="37" t="s">
        <v>26</v>
      </c>
      <c r="N1107" s="43" t="str">
        <f>VLOOKUP(M1107,Table1[#All],3,FALSE)</f>
        <v>Note</v>
      </c>
      <c r="O1107" s="40" t="str">
        <f>VLOOKUP(M1107,Table1[#All],4,FALSE)</f>
        <v>Q1</v>
      </c>
      <c r="P1107" s="39"/>
      <c r="Q1107" s="40" t="str">
        <f>VLOOKUP(M1107,Table1[#All],5,FALSE)</f>
        <v>Q2</v>
      </c>
      <c r="R1107" s="79"/>
      <c r="S1107" s="40" t="str">
        <f>VLOOKUP(M1107,Table1[#All],6,FALSE)</f>
        <v>Q3</v>
      </c>
      <c r="T1107" s="79"/>
      <c r="U1107" s="40" t="str">
        <f>VLOOKUP(M1107,Table1[#All],7,FALSE)</f>
        <v>Q4</v>
      </c>
      <c r="V1107" s="79"/>
      <c r="W1107" s="40" t="str">
        <f>VLOOKUP(M1107,Table1[#All],8,FALSE)</f>
        <v>Q5</v>
      </c>
      <c r="X1107" s="79"/>
      <c r="Y1107" s="44" t="str">
        <f>VLOOKUP(M1107,Table1[#All],2,FALSE)</f>
        <v>Action</v>
      </c>
      <c r="Z1107" s="59" t="str">
        <f>VLOOKUP(M1107,Table1[#All],9,FALSE)</f>
        <v>Additional Notes:</v>
      </c>
      <c r="AA1107" s="76"/>
      <c r="AB1107" s="76"/>
      <c r="AC1107" s="90" t="s">
        <v>91</v>
      </c>
      <c r="AD1107" s="76" t="s">
        <v>91</v>
      </c>
      <c r="AE1107" s="77"/>
      <c r="AF1107" s="77"/>
      <c r="AG1107" s="41" t="s">
        <v>91</v>
      </c>
    </row>
    <row r="1108" spans="1:33" ht="21" hidden="1" x14ac:dyDescent="0.55000000000000004">
      <c r="A1108" s="44">
        <f>Data!K1107</f>
        <v>0</v>
      </c>
      <c r="B1108" s="44">
        <f>Data!L1107</f>
        <v>0</v>
      </c>
      <c r="C1108" s="44">
        <f>Data!D1107</f>
        <v>0</v>
      </c>
      <c r="D1108" s="82">
        <f>Data!F1107</f>
        <v>0</v>
      </c>
      <c r="E1108" s="82">
        <f>Data!B1107</f>
        <v>0</v>
      </c>
      <c r="F1108" s="44">
        <f>Data!A1107</f>
        <v>0</v>
      </c>
      <c r="G1108" s="55">
        <f>Data!C1107</f>
        <v>0</v>
      </c>
      <c r="H1108" s="56">
        <f>Data!H1107</f>
        <v>0</v>
      </c>
      <c r="I1108" s="56">
        <f>Data!I1107</f>
        <v>0</v>
      </c>
      <c r="J1108" s="57">
        <f>Data!J1107</f>
        <v>0</v>
      </c>
      <c r="K1108" s="58">
        <f t="shared" ca="1" si="18"/>
        <v>44700</v>
      </c>
      <c r="L1108" s="58">
        <f>Data!M1107</f>
        <v>0</v>
      </c>
      <c r="M1108" s="37" t="s">
        <v>26</v>
      </c>
      <c r="N1108" s="43" t="str">
        <f>VLOOKUP(M1108,Table1[#All],3,FALSE)</f>
        <v>Note</v>
      </c>
      <c r="O1108" s="40" t="str">
        <f>VLOOKUP(M1108,Table1[#All],4,FALSE)</f>
        <v>Q1</v>
      </c>
      <c r="P1108" s="39"/>
      <c r="Q1108" s="40" t="str">
        <f>VLOOKUP(M1108,Table1[#All],5,FALSE)</f>
        <v>Q2</v>
      </c>
      <c r="R1108" s="79"/>
      <c r="S1108" s="40" t="str">
        <f>VLOOKUP(M1108,Table1[#All],6,FALSE)</f>
        <v>Q3</v>
      </c>
      <c r="T1108" s="79"/>
      <c r="U1108" s="40" t="str">
        <f>VLOOKUP(M1108,Table1[#All],7,FALSE)</f>
        <v>Q4</v>
      </c>
      <c r="V1108" s="79"/>
      <c r="W1108" s="40" t="str">
        <f>VLOOKUP(M1108,Table1[#All],8,FALSE)</f>
        <v>Q5</v>
      </c>
      <c r="X1108" s="79"/>
      <c r="Y1108" s="44" t="str">
        <f>VLOOKUP(M1108,Table1[#All],2,FALSE)</f>
        <v>Action</v>
      </c>
      <c r="Z1108" s="59" t="str">
        <f>VLOOKUP(M1108,Table1[#All],9,FALSE)</f>
        <v>Additional Notes:</v>
      </c>
      <c r="AA1108" s="76"/>
      <c r="AB1108" s="76"/>
      <c r="AC1108" s="90" t="s">
        <v>91</v>
      </c>
      <c r="AD1108" s="76" t="s">
        <v>91</v>
      </c>
      <c r="AE1108" s="77"/>
      <c r="AF1108" s="77"/>
      <c r="AG1108" s="41" t="s">
        <v>91</v>
      </c>
    </row>
    <row r="1109" spans="1:33" ht="21" hidden="1" x14ac:dyDescent="0.55000000000000004">
      <c r="A1109" s="44">
        <f>Data!K1108</f>
        <v>0</v>
      </c>
      <c r="B1109" s="44">
        <f>Data!L1108</f>
        <v>0</v>
      </c>
      <c r="C1109" s="44">
        <f>Data!D1108</f>
        <v>0</v>
      </c>
      <c r="D1109" s="82">
        <f>Data!F1108</f>
        <v>0</v>
      </c>
      <c r="E1109" s="82">
        <f>Data!B1108</f>
        <v>0</v>
      </c>
      <c r="F1109" s="44">
        <f>Data!A1108</f>
        <v>0</v>
      </c>
      <c r="G1109" s="55">
        <f>Data!C1108</f>
        <v>0</v>
      </c>
      <c r="H1109" s="56">
        <f>Data!H1108</f>
        <v>0</v>
      </c>
      <c r="I1109" s="56">
        <f>Data!I1108</f>
        <v>0</v>
      </c>
      <c r="J1109" s="57">
        <f>Data!J1108</f>
        <v>0</v>
      </c>
      <c r="K1109" s="58">
        <f t="shared" ca="1" si="18"/>
        <v>44700</v>
      </c>
      <c r="L1109" s="58">
        <f>Data!M1108</f>
        <v>0</v>
      </c>
      <c r="M1109" s="37" t="s">
        <v>26</v>
      </c>
      <c r="N1109" s="43" t="str">
        <f>VLOOKUP(M1109,Table1[#All],3,FALSE)</f>
        <v>Note</v>
      </c>
      <c r="O1109" s="40" t="str">
        <f>VLOOKUP(M1109,Table1[#All],4,FALSE)</f>
        <v>Q1</v>
      </c>
      <c r="P1109" s="39"/>
      <c r="Q1109" s="40" t="str">
        <f>VLOOKUP(M1109,Table1[#All],5,FALSE)</f>
        <v>Q2</v>
      </c>
      <c r="R1109" s="79"/>
      <c r="S1109" s="40" t="str">
        <f>VLOOKUP(M1109,Table1[#All],6,FALSE)</f>
        <v>Q3</v>
      </c>
      <c r="T1109" s="79"/>
      <c r="U1109" s="40" t="str">
        <f>VLOOKUP(M1109,Table1[#All],7,FALSE)</f>
        <v>Q4</v>
      </c>
      <c r="V1109" s="79"/>
      <c r="W1109" s="40" t="str">
        <f>VLOOKUP(M1109,Table1[#All],8,FALSE)</f>
        <v>Q5</v>
      </c>
      <c r="X1109" s="79"/>
      <c r="Y1109" s="44" t="str">
        <f>VLOOKUP(M1109,Table1[#All],2,FALSE)</f>
        <v>Action</v>
      </c>
      <c r="Z1109" s="59" t="str">
        <f>VLOOKUP(M1109,Table1[#All],9,FALSE)</f>
        <v>Additional Notes:</v>
      </c>
      <c r="AA1109" s="76"/>
      <c r="AB1109" s="76"/>
      <c r="AC1109" s="90" t="s">
        <v>91</v>
      </c>
      <c r="AD1109" s="76" t="s">
        <v>91</v>
      </c>
      <c r="AE1109" s="77"/>
      <c r="AF1109" s="77"/>
      <c r="AG1109" s="41" t="s">
        <v>91</v>
      </c>
    </row>
    <row r="1110" spans="1:33" ht="21" hidden="1" x14ac:dyDescent="0.55000000000000004">
      <c r="A1110" s="44">
        <f>Data!K1109</f>
        <v>0</v>
      </c>
      <c r="B1110" s="44">
        <f>Data!L1109</f>
        <v>0</v>
      </c>
      <c r="C1110" s="44">
        <f>Data!D1109</f>
        <v>0</v>
      </c>
      <c r="D1110" s="82">
        <f>Data!F1109</f>
        <v>0</v>
      </c>
      <c r="E1110" s="82">
        <f>Data!B1109</f>
        <v>0</v>
      </c>
      <c r="F1110" s="44">
        <f>Data!A1109</f>
        <v>0</v>
      </c>
      <c r="G1110" s="55">
        <f>Data!C1109</f>
        <v>0</v>
      </c>
      <c r="H1110" s="56">
        <f>Data!H1109</f>
        <v>0</v>
      </c>
      <c r="I1110" s="56">
        <f>Data!I1109</f>
        <v>0</v>
      </c>
      <c r="J1110" s="57">
        <f>Data!J1109</f>
        <v>0</v>
      </c>
      <c r="K1110" s="58">
        <f t="shared" ca="1" si="18"/>
        <v>44700</v>
      </c>
      <c r="L1110" s="58">
        <f>Data!M1109</f>
        <v>0</v>
      </c>
      <c r="M1110" s="37" t="s">
        <v>26</v>
      </c>
      <c r="N1110" s="43" t="str">
        <f>VLOOKUP(M1110,Table1[#All],3,FALSE)</f>
        <v>Note</v>
      </c>
      <c r="O1110" s="40" t="str">
        <f>VLOOKUP(M1110,Table1[#All],4,FALSE)</f>
        <v>Q1</v>
      </c>
      <c r="P1110" s="39"/>
      <c r="Q1110" s="40" t="str">
        <f>VLOOKUP(M1110,Table1[#All],5,FALSE)</f>
        <v>Q2</v>
      </c>
      <c r="R1110" s="79"/>
      <c r="S1110" s="40" t="str">
        <f>VLOOKUP(M1110,Table1[#All],6,FALSE)</f>
        <v>Q3</v>
      </c>
      <c r="T1110" s="79"/>
      <c r="U1110" s="40" t="str">
        <f>VLOOKUP(M1110,Table1[#All],7,FALSE)</f>
        <v>Q4</v>
      </c>
      <c r="V1110" s="79"/>
      <c r="W1110" s="40" t="str">
        <f>VLOOKUP(M1110,Table1[#All],8,FALSE)</f>
        <v>Q5</v>
      </c>
      <c r="X1110" s="79"/>
      <c r="Y1110" s="44" t="str">
        <f>VLOOKUP(M1110,Table1[#All],2,FALSE)</f>
        <v>Action</v>
      </c>
      <c r="Z1110" s="59" t="str">
        <f>VLOOKUP(M1110,Table1[#All],9,FALSE)</f>
        <v>Additional Notes:</v>
      </c>
      <c r="AA1110" s="76"/>
      <c r="AB1110" s="76"/>
      <c r="AC1110" s="90" t="s">
        <v>91</v>
      </c>
      <c r="AD1110" s="76" t="s">
        <v>91</v>
      </c>
      <c r="AE1110" s="77"/>
      <c r="AF1110" s="77"/>
      <c r="AG1110" s="41" t="s">
        <v>91</v>
      </c>
    </row>
    <row r="1111" spans="1:33" ht="21" hidden="1" x14ac:dyDescent="0.55000000000000004">
      <c r="A1111" s="44">
        <f>Data!K1110</f>
        <v>0</v>
      </c>
      <c r="B1111" s="44">
        <f>Data!L1110</f>
        <v>0</v>
      </c>
      <c r="C1111" s="44">
        <f>Data!D1110</f>
        <v>0</v>
      </c>
      <c r="D1111" s="82">
        <f>Data!F1110</f>
        <v>0</v>
      </c>
      <c r="E1111" s="82">
        <f>Data!B1110</f>
        <v>0</v>
      </c>
      <c r="F1111" s="44">
        <f>Data!A1110</f>
        <v>0</v>
      </c>
      <c r="G1111" s="55">
        <f>Data!C1110</f>
        <v>0</v>
      </c>
      <c r="H1111" s="56">
        <f>Data!H1110</f>
        <v>0</v>
      </c>
      <c r="I1111" s="56">
        <f>Data!I1110</f>
        <v>0</v>
      </c>
      <c r="J1111" s="57">
        <f>Data!J1110</f>
        <v>0</v>
      </c>
      <c r="K1111" s="58">
        <f t="shared" ca="1" si="18"/>
        <v>44700</v>
      </c>
      <c r="L1111" s="58">
        <f>Data!M1110</f>
        <v>0</v>
      </c>
      <c r="M1111" s="37" t="s">
        <v>26</v>
      </c>
      <c r="N1111" s="43" t="str">
        <f>VLOOKUP(M1111,Table1[#All],3,FALSE)</f>
        <v>Note</v>
      </c>
      <c r="O1111" s="40" t="str">
        <f>VLOOKUP(M1111,Table1[#All],4,FALSE)</f>
        <v>Q1</v>
      </c>
      <c r="P1111" s="39"/>
      <c r="Q1111" s="40" t="str">
        <f>VLOOKUP(M1111,Table1[#All],5,FALSE)</f>
        <v>Q2</v>
      </c>
      <c r="R1111" s="79"/>
      <c r="S1111" s="40" t="str">
        <f>VLOOKUP(M1111,Table1[#All],6,FALSE)</f>
        <v>Q3</v>
      </c>
      <c r="T1111" s="79"/>
      <c r="U1111" s="40" t="str">
        <f>VLOOKUP(M1111,Table1[#All],7,FALSE)</f>
        <v>Q4</v>
      </c>
      <c r="V1111" s="79"/>
      <c r="W1111" s="40" t="str">
        <f>VLOOKUP(M1111,Table1[#All],8,FALSE)</f>
        <v>Q5</v>
      </c>
      <c r="X1111" s="79"/>
      <c r="Y1111" s="44" t="str">
        <f>VLOOKUP(M1111,Table1[#All],2,FALSE)</f>
        <v>Action</v>
      </c>
      <c r="Z1111" s="59" t="str">
        <f>VLOOKUP(M1111,Table1[#All],9,FALSE)</f>
        <v>Additional Notes:</v>
      </c>
      <c r="AA1111" s="76"/>
      <c r="AB1111" s="76"/>
      <c r="AC1111" s="90" t="s">
        <v>91</v>
      </c>
      <c r="AD1111" s="76" t="s">
        <v>91</v>
      </c>
      <c r="AE1111" s="77"/>
      <c r="AF1111" s="77"/>
      <c r="AG1111" s="41" t="s">
        <v>91</v>
      </c>
    </row>
    <row r="1112" spans="1:33" ht="21" hidden="1" x14ac:dyDescent="0.55000000000000004">
      <c r="A1112" s="44">
        <f>Data!K1111</f>
        <v>0</v>
      </c>
      <c r="B1112" s="44">
        <f>Data!L1111</f>
        <v>0</v>
      </c>
      <c r="C1112" s="44">
        <f>Data!D1111</f>
        <v>0</v>
      </c>
      <c r="D1112" s="82">
        <f>Data!F1111</f>
        <v>0</v>
      </c>
      <c r="E1112" s="82">
        <f>Data!B1111</f>
        <v>0</v>
      </c>
      <c r="F1112" s="44">
        <f>Data!A1111</f>
        <v>0</v>
      </c>
      <c r="G1112" s="55">
        <f>Data!C1111</f>
        <v>0</v>
      </c>
      <c r="H1112" s="56">
        <f>Data!H1111</f>
        <v>0</v>
      </c>
      <c r="I1112" s="56">
        <f>Data!I1111</f>
        <v>0</v>
      </c>
      <c r="J1112" s="57">
        <f>Data!J1111</f>
        <v>0</v>
      </c>
      <c r="K1112" s="58">
        <f t="shared" ca="1" si="18"/>
        <v>44700</v>
      </c>
      <c r="L1112" s="58">
        <f>Data!M1111</f>
        <v>0</v>
      </c>
      <c r="M1112" s="37" t="s">
        <v>26</v>
      </c>
      <c r="N1112" s="43" t="str">
        <f>VLOOKUP(M1112,Table1[#All],3,FALSE)</f>
        <v>Note</v>
      </c>
      <c r="O1112" s="40" t="str">
        <f>VLOOKUP(M1112,Table1[#All],4,FALSE)</f>
        <v>Q1</v>
      </c>
      <c r="P1112" s="39"/>
      <c r="Q1112" s="40" t="str">
        <f>VLOOKUP(M1112,Table1[#All],5,FALSE)</f>
        <v>Q2</v>
      </c>
      <c r="R1112" s="79"/>
      <c r="S1112" s="40" t="str">
        <f>VLOOKUP(M1112,Table1[#All],6,FALSE)</f>
        <v>Q3</v>
      </c>
      <c r="T1112" s="79"/>
      <c r="U1112" s="40" t="str">
        <f>VLOOKUP(M1112,Table1[#All],7,FALSE)</f>
        <v>Q4</v>
      </c>
      <c r="V1112" s="79"/>
      <c r="W1112" s="40" t="str">
        <f>VLOOKUP(M1112,Table1[#All],8,FALSE)</f>
        <v>Q5</v>
      </c>
      <c r="X1112" s="79"/>
      <c r="Y1112" s="44" t="str">
        <f>VLOOKUP(M1112,Table1[#All],2,FALSE)</f>
        <v>Action</v>
      </c>
      <c r="Z1112" s="59" t="str">
        <f>VLOOKUP(M1112,Table1[#All],9,FALSE)</f>
        <v>Additional Notes:</v>
      </c>
      <c r="AA1112" s="76"/>
      <c r="AB1112" s="76"/>
      <c r="AC1112" s="90" t="s">
        <v>91</v>
      </c>
      <c r="AD1112" s="76" t="s">
        <v>91</v>
      </c>
      <c r="AE1112" s="77"/>
      <c r="AF1112" s="77"/>
      <c r="AG1112" s="41" t="s">
        <v>91</v>
      </c>
    </row>
    <row r="1113" spans="1:33" ht="21" hidden="1" x14ac:dyDescent="0.55000000000000004">
      <c r="A1113" s="44">
        <f>Data!K1112</f>
        <v>0</v>
      </c>
      <c r="B1113" s="44">
        <f>Data!L1112</f>
        <v>0</v>
      </c>
      <c r="C1113" s="44">
        <f>Data!D1112</f>
        <v>0</v>
      </c>
      <c r="D1113" s="82">
        <f>Data!F1112</f>
        <v>0</v>
      </c>
      <c r="E1113" s="82">
        <f>Data!B1112</f>
        <v>0</v>
      </c>
      <c r="F1113" s="44">
        <f>Data!A1112</f>
        <v>0</v>
      </c>
      <c r="G1113" s="55">
        <f>Data!C1112</f>
        <v>0</v>
      </c>
      <c r="H1113" s="56">
        <f>Data!H1112</f>
        <v>0</v>
      </c>
      <c r="I1113" s="56">
        <f>Data!I1112</f>
        <v>0</v>
      </c>
      <c r="J1113" s="57">
        <f>Data!J1112</f>
        <v>0</v>
      </c>
      <c r="K1113" s="58">
        <f t="shared" ca="1" si="18"/>
        <v>44700</v>
      </c>
      <c r="L1113" s="58">
        <f>Data!M1112</f>
        <v>0</v>
      </c>
      <c r="M1113" s="37" t="s">
        <v>26</v>
      </c>
      <c r="N1113" s="43" t="str">
        <f>VLOOKUP(M1113,Table1[#All],3,FALSE)</f>
        <v>Note</v>
      </c>
      <c r="O1113" s="40" t="str">
        <f>VLOOKUP(M1113,Table1[#All],4,FALSE)</f>
        <v>Q1</v>
      </c>
      <c r="P1113" s="39"/>
      <c r="Q1113" s="40" t="str">
        <f>VLOOKUP(M1113,Table1[#All],5,FALSE)</f>
        <v>Q2</v>
      </c>
      <c r="R1113" s="79"/>
      <c r="S1113" s="40" t="str">
        <f>VLOOKUP(M1113,Table1[#All],6,FALSE)</f>
        <v>Q3</v>
      </c>
      <c r="T1113" s="79"/>
      <c r="U1113" s="40" t="str">
        <f>VLOOKUP(M1113,Table1[#All],7,FALSE)</f>
        <v>Q4</v>
      </c>
      <c r="V1113" s="79"/>
      <c r="W1113" s="40" t="str">
        <f>VLOOKUP(M1113,Table1[#All],8,FALSE)</f>
        <v>Q5</v>
      </c>
      <c r="X1113" s="79"/>
      <c r="Y1113" s="44" t="str">
        <f>VLOOKUP(M1113,Table1[#All],2,FALSE)</f>
        <v>Action</v>
      </c>
      <c r="Z1113" s="59" t="str">
        <f>VLOOKUP(M1113,Table1[#All],9,FALSE)</f>
        <v>Additional Notes:</v>
      </c>
      <c r="AA1113" s="76"/>
      <c r="AB1113" s="76"/>
      <c r="AC1113" s="90" t="s">
        <v>91</v>
      </c>
      <c r="AD1113" s="76" t="s">
        <v>91</v>
      </c>
      <c r="AE1113" s="77"/>
      <c r="AF1113" s="77"/>
      <c r="AG1113" s="41" t="s">
        <v>91</v>
      </c>
    </row>
    <row r="1114" spans="1:33" ht="21" hidden="1" x14ac:dyDescent="0.55000000000000004">
      <c r="A1114" s="44">
        <f>Data!K1113</f>
        <v>0</v>
      </c>
      <c r="B1114" s="44">
        <f>Data!L1113</f>
        <v>0</v>
      </c>
      <c r="C1114" s="44">
        <f>Data!D1113</f>
        <v>0</v>
      </c>
      <c r="D1114" s="82">
        <f>Data!F1113</f>
        <v>0</v>
      </c>
      <c r="E1114" s="82">
        <f>Data!B1113</f>
        <v>0</v>
      </c>
      <c r="F1114" s="44">
        <f>Data!A1113</f>
        <v>0</v>
      </c>
      <c r="G1114" s="55">
        <f>Data!C1113</f>
        <v>0</v>
      </c>
      <c r="H1114" s="56">
        <f>Data!H1113</f>
        <v>0</v>
      </c>
      <c r="I1114" s="56">
        <f>Data!I1113</f>
        <v>0</v>
      </c>
      <c r="J1114" s="57">
        <f>Data!J1113</f>
        <v>0</v>
      </c>
      <c r="K1114" s="58">
        <f t="shared" ca="1" si="18"/>
        <v>44700</v>
      </c>
      <c r="L1114" s="58">
        <f>Data!M1113</f>
        <v>0</v>
      </c>
      <c r="M1114" s="37" t="s">
        <v>26</v>
      </c>
      <c r="N1114" s="43" t="str">
        <f>VLOOKUP(M1114,Table1[#All],3,FALSE)</f>
        <v>Note</v>
      </c>
      <c r="O1114" s="40" t="str">
        <f>VLOOKUP(M1114,Table1[#All],4,FALSE)</f>
        <v>Q1</v>
      </c>
      <c r="P1114" s="39"/>
      <c r="Q1114" s="40" t="str">
        <f>VLOOKUP(M1114,Table1[#All],5,FALSE)</f>
        <v>Q2</v>
      </c>
      <c r="R1114" s="79"/>
      <c r="S1114" s="40" t="str">
        <f>VLOOKUP(M1114,Table1[#All],6,FALSE)</f>
        <v>Q3</v>
      </c>
      <c r="T1114" s="79"/>
      <c r="U1114" s="40" t="str">
        <f>VLOOKUP(M1114,Table1[#All],7,FALSE)</f>
        <v>Q4</v>
      </c>
      <c r="V1114" s="79"/>
      <c r="W1114" s="40" t="str">
        <f>VLOOKUP(M1114,Table1[#All],8,FALSE)</f>
        <v>Q5</v>
      </c>
      <c r="X1114" s="79"/>
      <c r="Y1114" s="44" t="str">
        <f>VLOOKUP(M1114,Table1[#All],2,FALSE)</f>
        <v>Action</v>
      </c>
      <c r="Z1114" s="59" t="str">
        <f>VLOOKUP(M1114,Table1[#All],9,FALSE)</f>
        <v>Additional Notes:</v>
      </c>
      <c r="AA1114" s="76"/>
      <c r="AB1114" s="76"/>
      <c r="AC1114" s="90" t="s">
        <v>91</v>
      </c>
      <c r="AD1114" s="76" t="s">
        <v>91</v>
      </c>
      <c r="AE1114" s="77"/>
      <c r="AF1114" s="77"/>
      <c r="AG1114" s="41" t="s">
        <v>91</v>
      </c>
    </row>
    <row r="1115" spans="1:33" ht="21" hidden="1" x14ac:dyDescent="0.55000000000000004">
      <c r="A1115" s="44">
        <f>Data!K1114</f>
        <v>0</v>
      </c>
      <c r="B1115" s="44">
        <f>Data!L1114</f>
        <v>0</v>
      </c>
      <c r="C1115" s="44">
        <f>Data!D1114</f>
        <v>0</v>
      </c>
      <c r="D1115" s="82">
        <f>Data!F1114</f>
        <v>0</v>
      </c>
      <c r="E1115" s="82">
        <f>Data!B1114</f>
        <v>0</v>
      </c>
      <c r="F1115" s="44">
        <f>Data!A1114</f>
        <v>0</v>
      </c>
      <c r="G1115" s="55">
        <f>Data!C1114</f>
        <v>0</v>
      </c>
      <c r="H1115" s="56">
        <f>Data!H1114</f>
        <v>0</v>
      </c>
      <c r="I1115" s="56">
        <f>Data!I1114</f>
        <v>0</v>
      </c>
      <c r="J1115" s="57">
        <f>Data!J1114</f>
        <v>0</v>
      </c>
      <c r="K1115" s="58">
        <f t="shared" ca="1" si="18"/>
        <v>44700</v>
      </c>
      <c r="L1115" s="58">
        <f>Data!M1114</f>
        <v>0</v>
      </c>
      <c r="M1115" s="37" t="s">
        <v>26</v>
      </c>
      <c r="N1115" s="43" t="str">
        <f>VLOOKUP(M1115,Table1[#All],3,FALSE)</f>
        <v>Note</v>
      </c>
      <c r="O1115" s="40" t="str">
        <f>VLOOKUP(M1115,Table1[#All],4,FALSE)</f>
        <v>Q1</v>
      </c>
      <c r="P1115" s="39"/>
      <c r="Q1115" s="40" t="str">
        <f>VLOOKUP(M1115,Table1[#All],5,FALSE)</f>
        <v>Q2</v>
      </c>
      <c r="R1115" s="79"/>
      <c r="S1115" s="40" t="str">
        <f>VLOOKUP(M1115,Table1[#All],6,FALSE)</f>
        <v>Q3</v>
      </c>
      <c r="T1115" s="79"/>
      <c r="U1115" s="40" t="str">
        <f>VLOOKUP(M1115,Table1[#All],7,FALSE)</f>
        <v>Q4</v>
      </c>
      <c r="V1115" s="79"/>
      <c r="W1115" s="40" t="str">
        <f>VLOOKUP(M1115,Table1[#All],8,FALSE)</f>
        <v>Q5</v>
      </c>
      <c r="X1115" s="79"/>
      <c r="Y1115" s="44" t="str">
        <f>VLOOKUP(M1115,Table1[#All],2,FALSE)</f>
        <v>Action</v>
      </c>
      <c r="Z1115" s="59" t="str">
        <f>VLOOKUP(M1115,Table1[#All],9,FALSE)</f>
        <v>Additional Notes:</v>
      </c>
      <c r="AA1115" s="76"/>
      <c r="AB1115" s="76"/>
      <c r="AC1115" s="90" t="s">
        <v>91</v>
      </c>
      <c r="AD1115" s="76" t="s">
        <v>91</v>
      </c>
      <c r="AE1115" s="77"/>
      <c r="AF1115" s="77"/>
      <c r="AG1115" s="41" t="s">
        <v>91</v>
      </c>
    </row>
    <row r="1116" spans="1:33" ht="21" hidden="1" x14ac:dyDescent="0.55000000000000004">
      <c r="A1116" s="44">
        <f>Data!K1115</f>
        <v>0</v>
      </c>
      <c r="B1116" s="44">
        <f>Data!L1115</f>
        <v>0</v>
      </c>
      <c r="C1116" s="44">
        <f>Data!D1115</f>
        <v>0</v>
      </c>
      <c r="D1116" s="82">
        <f>Data!F1115</f>
        <v>0</v>
      </c>
      <c r="E1116" s="82">
        <f>Data!B1115</f>
        <v>0</v>
      </c>
      <c r="F1116" s="44">
        <f>Data!A1115</f>
        <v>0</v>
      </c>
      <c r="G1116" s="55">
        <f>Data!C1115</f>
        <v>0</v>
      </c>
      <c r="H1116" s="56">
        <f>Data!H1115</f>
        <v>0</v>
      </c>
      <c r="I1116" s="56">
        <f>Data!I1115</f>
        <v>0</v>
      </c>
      <c r="J1116" s="57">
        <f>Data!J1115</f>
        <v>0</v>
      </c>
      <c r="K1116" s="58">
        <f t="shared" ca="1" si="18"/>
        <v>44700</v>
      </c>
      <c r="L1116" s="58">
        <f>Data!M1115</f>
        <v>0</v>
      </c>
      <c r="M1116" s="37" t="s">
        <v>26</v>
      </c>
      <c r="N1116" s="43" t="str">
        <f>VLOOKUP(M1116,Table1[#All],3,FALSE)</f>
        <v>Note</v>
      </c>
      <c r="O1116" s="40" t="str">
        <f>VLOOKUP(M1116,Table1[#All],4,FALSE)</f>
        <v>Q1</v>
      </c>
      <c r="P1116" s="39"/>
      <c r="Q1116" s="40" t="str">
        <f>VLOOKUP(M1116,Table1[#All],5,FALSE)</f>
        <v>Q2</v>
      </c>
      <c r="R1116" s="79"/>
      <c r="S1116" s="40" t="str">
        <f>VLOOKUP(M1116,Table1[#All],6,FALSE)</f>
        <v>Q3</v>
      </c>
      <c r="T1116" s="79"/>
      <c r="U1116" s="40" t="str">
        <f>VLOOKUP(M1116,Table1[#All],7,FALSE)</f>
        <v>Q4</v>
      </c>
      <c r="V1116" s="79"/>
      <c r="W1116" s="40" t="str">
        <f>VLOOKUP(M1116,Table1[#All],8,FALSE)</f>
        <v>Q5</v>
      </c>
      <c r="X1116" s="79"/>
      <c r="Y1116" s="44" t="str">
        <f>VLOOKUP(M1116,Table1[#All],2,FALSE)</f>
        <v>Action</v>
      </c>
      <c r="Z1116" s="59" t="str">
        <f>VLOOKUP(M1116,Table1[#All],9,FALSE)</f>
        <v>Additional Notes:</v>
      </c>
      <c r="AA1116" s="76"/>
      <c r="AB1116" s="76"/>
      <c r="AC1116" s="90" t="s">
        <v>91</v>
      </c>
      <c r="AD1116" s="76" t="s">
        <v>91</v>
      </c>
      <c r="AE1116" s="77"/>
      <c r="AF1116" s="77"/>
      <c r="AG1116" s="41" t="s">
        <v>91</v>
      </c>
    </row>
    <row r="1117" spans="1:33" ht="21" hidden="1" x14ac:dyDescent="0.55000000000000004">
      <c r="A1117" s="44">
        <f>Data!K1116</f>
        <v>0</v>
      </c>
      <c r="B1117" s="44">
        <f>Data!L1116</f>
        <v>0</v>
      </c>
      <c r="C1117" s="44">
        <f>Data!D1116</f>
        <v>0</v>
      </c>
      <c r="D1117" s="82">
        <f>Data!F1116</f>
        <v>0</v>
      </c>
      <c r="E1117" s="82">
        <f>Data!B1116</f>
        <v>0</v>
      </c>
      <c r="F1117" s="44">
        <f>Data!A1116</f>
        <v>0</v>
      </c>
      <c r="G1117" s="55">
        <f>Data!C1116</f>
        <v>0</v>
      </c>
      <c r="H1117" s="56">
        <f>Data!H1116</f>
        <v>0</v>
      </c>
      <c r="I1117" s="56">
        <f>Data!I1116</f>
        <v>0</v>
      </c>
      <c r="J1117" s="57">
        <f>Data!J1116</f>
        <v>0</v>
      </c>
      <c r="K1117" s="58">
        <f t="shared" ca="1" si="18"/>
        <v>44700</v>
      </c>
      <c r="L1117" s="58">
        <f>Data!M1116</f>
        <v>0</v>
      </c>
      <c r="M1117" s="37" t="s">
        <v>26</v>
      </c>
      <c r="N1117" s="43" t="str">
        <f>VLOOKUP(M1117,Table1[#All],3,FALSE)</f>
        <v>Note</v>
      </c>
      <c r="O1117" s="40" t="str">
        <f>VLOOKUP(M1117,Table1[#All],4,FALSE)</f>
        <v>Q1</v>
      </c>
      <c r="P1117" s="39"/>
      <c r="Q1117" s="40" t="str">
        <f>VLOOKUP(M1117,Table1[#All],5,FALSE)</f>
        <v>Q2</v>
      </c>
      <c r="R1117" s="79"/>
      <c r="S1117" s="40" t="str">
        <f>VLOOKUP(M1117,Table1[#All],6,FALSE)</f>
        <v>Q3</v>
      </c>
      <c r="T1117" s="79"/>
      <c r="U1117" s="40" t="str">
        <f>VLOOKUP(M1117,Table1[#All],7,FALSE)</f>
        <v>Q4</v>
      </c>
      <c r="V1117" s="79"/>
      <c r="W1117" s="40" t="str">
        <f>VLOOKUP(M1117,Table1[#All],8,FALSE)</f>
        <v>Q5</v>
      </c>
      <c r="X1117" s="79"/>
      <c r="Y1117" s="44" t="str">
        <f>VLOOKUP(M1117,Table1[#All],2,FALSE)</f>
        <v>Action</v>
      </c>
      <c r="Z1117" s="59" t="str">
        <f>VLOOKUP(M1117,Table1[#All],9,FALSE)</f>
        <v>Additional Notes:</v>
      </c>
      <c r="AA1117" s="76"/>
      <c r="AB1117" s="76"/>
      <c r="AC1117" s="90" t="s">
        <v>91</v>
      </c>
      <c r="AD1117" s="76" t="s">
        <v>91</v>
      </c>
      <c r="AE1117" s="77"/>
      <c r="AF1117" s="77"/>
      <c r="AG1117" s="41" t="s">
        <v>91</v>
      </c>
    </row>
    <row r="1118" spans="1:33" ht="21" hidden="1" x14ac:dyDescent="0.55000000000000004">
      <c r="A1118" s="44">
        <f>Data!K1117</f>
        <v>0</v>
      </c>
      <c r="B1118" s="44">
        <f>Data!L1117</f>
        <v>0</v>
      </c>
      <c r="C1118" s="44">
        <f>Data!D1117</f>
        <v>0</v>
      </c>
      <c r="D1118" s="82">
        <f>Data!F1117</f>
        <v>0</v>
      </c>
      <c r="E1118" s="82">
        <f>Data!B1117</f>
        <v>0</v>
      </c>
      <c r="F1118" s="44">
        <f>Data!A1117</f>
        <v>0</v>
      </c>
      <c r="G1118" s="55">
        <f>Data!C1117</f>
        <v>0</v>
      </c>
      <c r="H1118" s="56">
        <f>Data!H1117</f>
        <v>0</v>
      </c>
      <c r="I1118" s="56">
        <f>Data!I1117</f>
        <v>0</v>
      </c>
      <c r="J1118" s="57">
        <f>Data!J1117</f>
        <v>0</v>
      </c>
      <c r="K1118" s="58">
        <f t="shared" ca="1" si="18"/>
        <v>44700</v>
      </c>
      <c r="L1118" s="58">
        <f>Data!M1117</f>
        <v>0</v>
      </c>
      <c r="M1118" s="37" t="s">
        <v>26</v>
      </c>
      <c r="N1118" s="43" t="str">
        <f>VLOOKUP(M1118,Table1[#All],3,FALSE)</f>
        <v>Note</v>
      </c>
      <c r="O1118" s="40" t="str">
        <f>VLOOKUP(M1118,Table1[#All],4,FALSE)</f>
        <v>Q1</v>
      </c>
      <c r="P1118" s="39"/>
      <c r="Q1118" s="40" t="str">
        <f>VLOOKUP(M1118,Table1[#All],5,FALSE)</f>
        <v>Q2</v>
      </c>
      <c r="R1118" s="79"/>
      <c r="S1118" s="40" t="str">
        <f>VLOOKUP(M1118,Table1[#All],6,FALSE)</f>
        <v>Q3</v>
      </c>
      <c r="T1118" s="79"/>
      <c r="U1118" s="40" t="str">
        <f>VLOOKUP(M1118,Table1[#All],7,FALSE)</f>
        <v>Q4</v>
      </c>
      <c r="V1118" s="79"/>
      <c r="W1118" s="40" t="str">
        <f>VLOOKUP(M1118,Table1[#All],8,FALSE)</f>
        <v>Q5</v>
      </c>
      <c r="X1118" s="79"/>
      <c r="Y1118" s="44" t="str">
        <f>VLOOKUP(M1118,Table1[#All],2,FALSE)</f>
        <v>Action</v>
      </c>
      <c r="Z1118" s="59" t="str">
        <f>VLOOKUP(M1118,Table1[#All],9,FALSE)</f>
        <v>Additional Notes:</v>
      </c>
      <c r="AA1118" s="76"/>
      <c r="AB1118" s="76"/>
      <c r="AC1118" s="90" t="s">
        <v>91</v>
      </c>
      <c r="AD1118" s="76" t="s">
        <v>91</v>
      </c>
      <c r="AE1118" s="77"/>
      <c r="AF1118" s="77"/>
      <c r="AG1118" s="41" t="s">
        <v>91</v>
      </c>
    </row>
    <row r="1119" spans="1:33" ht="21" hidden="1" x14ac:dyDescent="0.55000000000000004">
      <c r="A1119" s="44">
        <f>Data!K1118</f>
        <v>0</v>
      </c>
      <c r="B1119" s="44">
        <f>Data!L1118</f>
        <v>0</v>
      </c>
      <c r="C1119" s="44">
        <f>Data!D1118</f>
        <v>0</v>
      </c>
      <c r="D1119" s="82">
        <f>Data!F1118</f>
        <v>0</v>
      </c>
      <c r="E1119" s="82">
        <f>Data!B1118</f>
        <v>0</v>
      </c>
      <c r="F1119" s="44">
        <f>Data!A1118</f>
        <v>0</v>
      </c>
      <c r="G1119" s="55">
        <f>Data!C1118</f>
        <v>0</v>
      </c>
      <c r="H1119" s="56">
        <f>Data!H1118</f>
        <v>0</v>
      </c>
      <c r="I1119" s="56">
        <f>Data!I1118</f>
        <v>0</v>
      </c>
      <c r="J1119" s="57">
        <f>Data!J1118</f>
        <v>0</v>
      </c>
      <c r="K1119" s="58">
        <f t="shared" ca="1" si="18"/>
        <v>44700</v>
      </c>
      <c r="L1119" s="58">
        <f>Data!M1118</f>
        <v>0</v>
      </c>
      <c r="M1119" s="37" t="s">
        <v>26</v>
      </c>
      <c r="N1119" s="43" t="str">
        <f>VLOOKUP(M1119,Table1[#All],3,FALSE)</f>
        <v>Note</v>
      </c>
      <c r="O1119" s="40" t="str">
        <f>VLOOKUP(M1119,Table1[#All],4,FALSE)</f>
        <v>Q1</v>
      </c>
      <c r="P1119" s="39"/>
      <c r="Q1119" s="40" t="str">
        <f>VLOOKUP(M1119,Table1[#All],5,FALSE)</f>
        <v>Q2</v>
      </c>
      <c r="R1119" s="79"/>
      <c r="S1119" s="40" t="str">
        <f>VLOOKUP(M1119,Table1[#All],6,FALSE)</f>
        <v>Q3</v>
      </c>
      <c r="T1119" s="79"/>
      <c r="U1119" s="40" t="str">
        <f>VLOOKUP(M1119,Table1[#All],7,FALSE)</f>
        <v>Q4</v>
      </c>
      <c r="V1119" s="79"/>
      <c r="W1119" s="40" t="str">
        <f>VLOOKUP(M1119,Table1[#All],8,FALSE)</f>
        <v>Q5</v>
      </c>
      <c r="X1119" s="79"/>
      <c r="Y1119" s="44" t="str">
        <f>VLOOKUP(M1119,Table1[#All],2,FALSE)</f>
        <v>Action</v>
      </c>
      <c r="Z1119" s="59" t="str">
        <f>VLOOKUP(M1119,Table1[#All],9,FALSE)</f>
        <v>Additional Notes:</v>
      </c>
      <c r="AA1119" s="76"/>
      <c r="AB1119" s="76"/>
      <c r="AC1119" s="90" t="s">
        <v>91</v>
      </c>
      <c r="AD1119" s="76" t="s">
        <v>91</v>
      </c>
      <c r="AE1119" s="77"/>
      <c r="AF1119" s="77"/>
      <c r="AG1119" s="41" t="s">
        <v>91</v>
      </c>
    </row>
    <row r="1120" spans="1:33" ht="21" hidden="1" x14ac:dyDescent="0.55000000000000004">
      <c r="A1120" s="44">
        <f>Data!K1119</f>
        <v>0</v>
      </c>
      <c r="B1120" s="44">
        <f>Data!L1119</f>
        <v>0</v>
      </c>
      <c r="C1120" s="44">
        <f>Data!D1119</f>
        <v>0</v>
      </c>
      <c r="D1120" s="82">
        <f>Data!F1119</f>
        <v>0</v>
      </c>
      <c r="E1120" s="82">
        <f>Data!B1119</f>
        <v>0</v>
      </c>
      <c r="F1120" s="44">
        <f>Data!A1119</f>
        <v>0</v>
      </c>
      <c r="G1120" s="55">
        <f>Data!C1119</f>
        <v>0</v>
      </c>
      <c r="H1120" s="56">
        <f>Data!H1119</f>
        <v>0</v>
      </c>
      <c r="I1120" s="56">
        <f>Data!I1119</f>
        <v>0</v>
      </c>
      <c r="J1120" s="57">
        <f>Data!J1119</f>
        <v>0</v>
      </c>
      <c r="K1120" s="58">
        <f t="shared" ca="1" si="18"/>
        <v>44700</v>
      </c>
      <c r="L1120" s="58">
        <f>Data!M1119</f>
        <v>0</v>
      </c>
      <c r="M1120" s="37" t="s">
        <v>26</v>
      </c>
      <c r="N1120" s="43" t="str">
        <f>VLOOKUP(M1120,Table1[#All],3,FALSE)</f>
        <v>Note</v>
      </c>
      <c r="O1120" s="40" t="str">
        <f>VLOOKUP(M1120,Table1[#All],4,FALSE)</f>
        <v>Q1</v>
      </c>
      <c r="P1120" s="39"/>
      <c r="Q1120" s="40" t="str">
        <f>VLOOKUP(M1120,Table1[#All],5,FALSE)</f>
        <v>Q2</v>
      </c>
      <c r="R1120" s="79"/>
      <c r="S1120" s="40" t="str">
        <f>VLOOKUP(M1120,Table1[#All],6,FALSE)</f>
        <v>Q3</v>
      </c>
      <c r="T1120" s="79"/>
      <c r="U1120" s="40" t="str">
        <f>VLOOKUP(M1120,Table1[#All],7,FALSE)</f>
        <v>Q4</v>
      </c>
      <c r="V1120" s="79"/>
      <c r="W1120" s="40" t="str">
        <f>VLOOKUP(M1120,Table1[#All],8,FALSE)</f>
        <v>Q5</v>
      </c>
      <c r="X1120" s="79"/>
      <c r="Y1120" s="44" t="str">
        <f>VLOOKUP(M1120,Table1[#All],2,FALSE)</f>
        <v>Action</v>
      </c>
      <c r="Z1120" s="59" t="str">
        <f>VLOOKUP(M1120,Table1[#All],9,FALSE)</f>
        <v>Additional Notes:</v>
      </c>
      <c r="AA1120" s="76"/>
      <c r="AB1120" s="76"/>
      <c r="AC1120" s="90" t="s">
        <v>91</v>
      </c>
      <c r="AD1120" s="76" t="s">
        <v>91</v>
      </c>
      <c r="AE1120" s="77"/>
      <c r="AF1120" s="77"/>
      <c r="AG1120" s="41" t="s">
        <v>91</v>
      </c>
    </row>
    <row r="1121" spans="1:33" ht="21" hidden="1" x14ac:dyDescent="0.55000000000000004">
      <c r="A1121" s="44">
        <f>Data!K1120</f>
        <v>0</v>
      </c>
      <c r="B1121" s="44">
        <f>Data!L1120</f>
        <v>0</v>
      </c>
      <c r="C1121" s="44">
        <f>Data!D1120</f>
        <v>0</v>
      </c>
      <c r="D1121" s="82">
        <f>Data!F1120</f>
        <v>0</v>
      </c>
      <c r="E1121" s="82">
        <f>Data!B1120</f>
        <v>0</v>
      </c>
      <c r="F1121" s="44">
        <f>Data!A1120</f>
        <v>0</v>
      </c>
      <c r="G1121" s="55">
        <f>Data!C1120</f>
        <v>0</v>
      </c>
      <c r="H1121" s="56">
        <f>Data!H1120</f>
        <v>0</v>
      </c>
      <c r="I1121" s="56">
        <f>Data!I1120</f>
        <v>0</v>
      </c>
      <c r="J1121" s="57">
        <f>Data!J1120</f>
        <v>0</v>
      </c>
      <c r="K1121" s="58">
        <f t="shared" ca="1" si="18"/>
        <v>44700</v>
      </c>
      <c r="L1121" s="58">
        <f>Data!M1120</f>
        <v>0</v>
      </c>
      <c r="M1121" s="37" t="s">
        <v>26</v>
      </c>
      <c r="N1121" s="43" t="str">
        <f>VLOOKUP(M1121,Table1[#All],3,FALSE)</f>
        <v>Note</v>
      </c>
      <c r="O1121" s="40" t="str">
        <f>VLOOKUP(M1121,Table1[#All],4,FALSE)</f>
        <v>Q1</v>
      </c>
      <c r="P1121" s="39"/>
      <c r="Q1121" s="40" t="str">
        <f>VLOOKUP(M1121,Table1[#All],5,FALSE)</f>
        <v>Q2</v>
      </c>
      <c r="R1121" s="79"/>
      <c r="S1121" s="40" t="str">
        <f>VLOOKUP(M1121,Table1[#All],6,FALSE)</f>
        <v>Q3</v>
      </c>
      <c r="T1121" s="79"/>
      <c r="U1121" s="40" t="str">
        <f>VLOOKUP(M1121,Table1[#All],7,FALSE)</f>
        <v>Q4</v>
      </c>
      <c r="V1121" s="79"/>
      <c r="W1121" s="40" t="str">
        <f>VLOOKUP(M1121,Table1[#All],8,FALSE)</f>
        <v>Q5</v>
      </c>
      <c r="X1121" s="79"/>
      <c r="Y1121" s="44" t="str">
        <f>VLOOKUP(M1121,Table1[#All],2,FALSE)</f>
        <v>Action</v>
      </c>
      <c r="Z1121" s="59" t="str">
        <f>VLOOKUP(M1121,Table1[#All],9,FALSE)</f>
        <v>Additional Notes:</v>
      </c>
      <c r="AA1121" s="76"/>
      <c r="AB1121" s="76"/>
      <c r="AC1121" s="90" t="s">
        <v>91</v>
      </c>
      <c r="AD1121" s="76" t="s">
        <v>91</v>
      </c>
      <c r="AE1121" s="77"/>
      <c r="AF1121" s="77"/>
      <c r="AG1121" s="41" t="s">
        <v>91</v>
      </c>
    </row>
    <row r="1122" spans="1:33" ht="21" hidden="1" x14ac:dyDescent="0.55000000000000004">
      <c r="A1122" s="44">
        <f>Data!K1121</f>
        <v>0</v>
      </c>
      <c r="B1122" s="44">
        <f>Data!L1121</f>
        <v>0</v>
      </c>
      <c r="C1122" s="44">
        <f>Data!D1121</f>
        <v>0</v>
      </c>
      <c r="D1122" s="82">
        <f>Data!F1121</f>
        <v>0</v>
      </c>
      <c r="E1122" s="82">
        <f>Data!B1121</f>
        <v>0</v>
      </c>
      <c r="F1122" s="44">
        <f>Data!A1121</f>
        <v>0</v>
      </c>
      <c r="G1122" s="55">
        <f>Data!C1121</f>
        <v>0</v>
      </c>
      <c r="H1122" s="56">
        <f>Data!H1121</f>
        <v>0</v>
      </c>
      <c r="I1122" s="56">
        <f>Data!I1121</f>
        <v>0</v>
      </c>
      <c r="J1122" s="57">
        <f>Data!J1121</f>
        <v>0</v>
      </c>
      <c r="K1122" s="58">
        <f t="shared" ca="1" si="18"/>
        <v>44700</v>
      </c>
      <c r="L1122" s="58">
        <f>Data!M1121</f>
        <v>0</v>
      </c>
      <c r="M1122" s="37" t="s">
        <v>26</v>
      </c>
      <c r="N1122" s="43" t="str">
        <f>VLOOKUP(M1122,Table1[#All],3,FALSE)</f>
        <v>Note</v>
      </c>
      <c r="O1122" s="40" t="str">
        <f>VLOOKUP(M1122,Table1[#All],4,FALSE)</f>
        <v>Q1</v>
      </c>
      <c r="P1122" s="39"/>
      <c r="Q1122" s="40" t="str">
        <f>VLOOKUP(M1122,Table1[#All],5,FALSE)</f>
        <v>Q2</v>
      </c>
      <c r="R1122" s="79"/>
      <c r="S1122" s="40" t="str">
        <f>VLOOKUP(M1122,Table1[#All],6,FALSE)</f>
        <v>Q3</v>
      </c>
      <c r="T1122" s="79"/>
      <c r="U1122" s="40" t="str">
        <f>VLOOKUP(M1122,Table1[#All],7,FALSE)</f>
        <v>Q4</v>
      </c>
      <c r="V1122" s="79"/>
      <c r="W1122" s="40" t="str">
        <f>VLOOKUP(M1122,Table1[#All],8,FALSE)</f>
        <v>Q5</v>
      </c>
      <c r="X1122" s="79"/>
      <c r="Y1122" s="44" t="str">
        <f>VLOOKUP(M1122,Table1[#All],2,FALSE)</f>
        <v>Action</v>
      </c>
      <c r="Z1122" s="59" t="str">
        <f>VLOOKUP(M1122,Table1[#All],9,FALSE)</f>
        <v>Additional Notes:</v>
      </c>
      <c r="AA1122" s="76"/>
      <c r="AB1122" s="76"/>
      <c r="AC1122" s="90" t="s">
        <v>91</v>
      </c>
      <c r="AD1122" s="76" t="s">
        <v>91</v>
      </c>
      <c r="AE1122" s="77"/>
      <c r="AF1122" s="77"/>
      <c r="AG1122" s="41" t="s">
        <v>91</v>
      </c>
    </row>
    <row r="1123" spans="1:33" ht="21" hidden="1" x14ac:dyDescent="0.55000000000000004">
      <c r="A1123" s="44">
        <f>Data!K1122</f>
        <v>0</v>
      </c>
      <c r="B1123" s="44">
        <f>Data!L1122</f>
        <v>0</v>
      </c>
      <c r="C1123" s="44">
        <f>Data!D1122</f>
        <v>0</v>
      </c>
      <c r="D1123" s="82">
        <f>Data!F1122</f>
        <v>0</v>
      </c>
      <c r="E1123" s="82">
        <f>Data!B1122</f>
        <v>0</v>
      </c>
      <c r="F1123" s="44">
        <f>Data!A1122</f>
        <v>0</v>
      </c>
      <c r="G1123" s="55">
        <f>Data!C1122</f>
        <v>0</v>
      </c>
      <c r="H1123" s="56">
        <f>Data!H1122</f>
        <v>0</v>
      </c>
      <c r="I1123" s="56">
        <f>Data!I1122</f>
        <v>0</v>
      </c>
      <c r="J1123" s="57">
        <f>Data!J1122</f>
        <v>0</v>
      </c>
      <c r="K1123" s="58">
        <f t="shared" ca="1" si="18"/>
        <v>44700</v>
      </c>
      <c r="L1123" s="58">
        <f>Data!M1122</f>
        <v>0</v>
      </c>
      <c r="M1123" s="37" t="s">
        <v>26</v>
      </c>
      <c r="N1123" s="43" t="str">
        <f>VLOOKUP(M1123,Table1[#All],3,FALSE)</f>
        <v>Note</v>
      </c>
      <c r="O1123" s="40" t="str">
        <f>VLOOKUP(M1123,Table1[#All],4,FALSE)</f>
        <v>Q1</v>
      </c>
      <c r="P1123" s="39"/>
      <c r="Q1123" s="40" t="str">
        <f>VLOOKUP(M1123,Table1[#All],5,FALSE)</f>
        <v>Q2</v>
      </c>
      <c r="R1123" s="79"/>
      <c r="S1123" s="40" t="str">
        <f>VLOOKUP(M1123,Table1[#All],6,FALSE)</f>
        <v>Q3</v>
      </c>
      <c r="T1123" s="79"/>
      <c r="U1123" s="40" t="str">
        <f>VLOOKUP(M1123,Table1[#All],7,FALSE)</f>
        <v>Q4</v>
      </c>
      <c r="V1123" s="79"/>
      <c r="W1123" s="40" t="str">
        <f>VLOOKUP(M1123,Table1[#All],8,FALSE)</f>
        <v>Q5</v>
      </c>
      <c r="X1123" s="79"/>
      <c r="Y1123" s="44" t="str">
        <f>VLOOKUP(M1123,Table1[#All],2,FALSE)</f>
        <v>Action</v>
      </c>
      <c r="Z1123" s="59" t="str">
        <f>VLOOKUP(M1123,Table1[#All],9,FALSE)</f>
        <v>Additional Notes:</v>
      </c>
      <c r="AA1123" s="76"/>
      <c r="AB1123" s="76"/>
      <c r="AC1123" s="90" t="s">
        <v>91</v>
      </c>
      <c r="AD1123" s="76" t="s">
        <v>91</v>
      </c>
      <c r="AE1123" s="77"/>
      <c r="AF1123" s="77"/>
      <c r="AG1123" s="41" t="s">
        <v>91</v>
      </c>
    </row>
    <row r="1124" spans="1:33" ht="21" hidden="1" x14ac:dyDescent="0.55000000000000004">
      <c r="A1124" s="44">
        <f>Data!K1123</f>
        <v>0</v>
      </c>
      <c r="B1124" s="44">
        <f>Data!L1123</f>
        <v>0</v>
      </c>
      <c r="C1124" s="44">
        <f>Data!D1123</f>
        <v>0</v>
      </c>
      <c r="D1124" s="82">
        <f>Data!F1123</f>
        <v>0</v>
      </c>
      <c r="E1124" s="82">
        <f>Data!B1123</f>
        <v>0</v>
      </c>
      <c r="F1124" s="44">
        <f>Data!A1123</f>
        <v>0</v>
      </c>
      <c r="G1124" s="55">
        <f>Data!C1123</f>
        <v>0</v>
      </c>
      <c r="H1124" s="56">
        <f>Data!H1123</f>
        <v>0</v>
      </c>
      <c r="I1124" s="56">
        <f>Data!I1123</f>
        <v>0</v>
      </c>
      <c r="J1124" s="57">
        <f>Data!J1123</f>
        <v>0</v>
      </c>
      <c r="K1124" s="58">
        <f t="shared" ca="1" si="18"/>
        <v>44700</v>
      </c>
      <c r="L1124" s="58">
        <f>Data!M1123</f>
        <v>0</v>
      </c>
      <c r="M1124" s="37" t="s">
        <v>26</v>
      </c>
      <c r="N1124" s="43" t="str">
        <f>VLOOKUP(M1124,Table1[#All],3,FALSE)</f>
        <v>Note</v>
      </c>
      <c r="O1124" s="40" t="str">
        <f>VLOOKUP(M1124,Table1[#All],4,FALSE)</f>
        <v>Q1</v>
      </c>
      <c r="P1124" s="39"/>
      <c r="Q1124" s="40" t="str">
        <f>VLOOKUP(M1124,Table1[#All],5,FALSE)</f>
        <v>Q2</v>
      </c>
      <c r="R1124" s="79"/>
      <c r="S1124" s="40" t="str">
        <f>VLOOKUP(M1124,Table1[#All],6,FALSE)</f>
        <v>Q3</v>
      </c>
      <c r="T1124" s="79"/>
      <c r="U1124" s="40" t="str">
        <f>VLOOKUP(M1124,Table1[#All],7,FALSE)</f>
        <v>Q4</v>
      </c>
      <c r="V1124" s="79"/>
      <c r="W1124" s="40" t="str">
        <f>VLOOKUP(M1124,Table1[#All],8,FALSE)</f>
        <v>Q5</v>
      </c>
      <c r="X1124" s="79"/>
      <c r="Y1124" s="44" t="str">
        <f>VLOOKUP(M1124,Table1[#All],2,FALSE)</f>
        <v>Action</v>
      </c>
      <c r="Z1124" s="59" t="str">
        <f>VLOOKUP(M1124,Table1[#All],9,FALSE)</f>
        <v>Additional Notes:</v>
      </c>
      <c r="AA1124" s="76"/>
      <c r="AB1124" s="76"/>
      <c r="AC1124" s="90" t="s">
        <v>91</v>
      </c>
      <c r="AD1124" s="76" t="s">
        <v>91</v>
      </c>
      <c r="AE1124" s="77"/>
      <c r="AF1124" s="77"/>
      <c r="AG1124" s="41" t="s">
        <v>91</v>
      </c>
    </row>
    <row r="1125" spans="1:33" ht="21" hidden="1" x14ac:dyDescent="0.55000000000000004">
      <c r="A1125" s="44">
        <f>Data!K1124</f>
        <v>0</v>
      </c>
      <c r="B1125" s="44">
        <f>Data!L1124</f>
        <v>0</v>
      </c>
      <c r="C1125" s="44">
        <f>Data!D1124</f>
        <v>0</v>
      </c>
      <c r="D1125" s="82">
        <f>Data!F1124</f>
        <v>0</v>
      </c>
      <c r="E1125" s="82">
        <f>Data!B1124</f>
        <v>0</v>
      </c>
      <c r="F1125" s="44">
        <f>Data!A1124</f>
        <v>0</v>
      </c>
      <c r="G1125" s="55">
        <f>Data!C1124</f>
        <v>0</v>
      </c>
      <c r="H1125" s="56">
        <f>Data!H1124</f>
        <v>0</v>
      </c>
      <c r="I1125" s="56">
        <f>Data!I1124</f>
        <v>0</v>
      </c>
      <c r="J1125" s="57">
        <f>Data!J1124</f>
        <v>0</v>
      </c>
      <c r="K1125" s="58">
        <f t="shared" ca="1" si="18"/>
        <v>44700</v>
      </c>
      <c r="L1125" s="58">
        <f>Data!M1124</f>
        <v>0</v>
      </c>
      <c r="M1125" s="37" t="s">
        <v>26</v>
      </c>
      <c r="N1125" s="43" t="str">
        <f>VLOOKUP(M1125,Table1[#All],3,FALSE)</f>
        <v>Note</v>
      </c>
      <c r="O1125" s="40" t="str">
        <f>VLOOKUP(M1125,Table1[#All],4,FALSE)</f>
        <v>Q1</v>
      </c>
      <c r="P1125" s="39"/>
      <c r="Q1125" s="40" t="str">
        <f>VLOOKUP(M1125,Table1[#All],5,FALSE)</f>
        <v>Q2</v>
      </c>
      <c r="R1125" s="79"/>
      <c r="S1125" s="40" t="str">
        <f>VLOOKUP(M1125,Table1[#All],6,FALSE)</f>
        <v>Q3</v>
      </c>
      <c r="T1125" s="79"/>
      <c r="U1125" s="40" t="str">
        <f>VLOOKUP(M1125,Table1[#All],7,FALSE)</f>
        <v>Q4</v>
      </c>
      <c r="V1125" s="79"/>
      <c r="W1125" s="40" t="str">
        <f>VLOOKUP(M1125,Table1[#All],8,FALSE)</f>
        <v>Q5</v>
      </c>
      <c r="X1125" s="79"/>
      <c r="Y1125" s="44" t="str">
        <f>VLOOKUP(M1125,Table1[#All],2,FALSE)</f>
        <v>Action</v>
      </c>
      <c r="Z1125" s="59" t="str">
        <f>VLOOKUP(M1125,Table1[#All],9,FALSE)</f>
        <v>Additional Notes:</v>
      </c>
      <c r="AA1125" s="76"/>
      <c r="AB1125" s="76"/>
      <c r="AC1125" s="90" t="s">
        <v>91</v>
      </c>
      <c r="AD1125" s="76" t="s">
        <v>91</v>
      </c>
      <c r="AE1125" s="77"/>
      <c r="AF1125" s="77"/>
      <c r="AG1125" s="41" t="s">
        <v>91</v>
      </c>
    </row>
    <row r="1126" spans="1:33" ht="21" hidden="1" x14ac:dyDescent="0.55000000000000004">
      <c r="A1126" s="44">
        <f>Data!K1125</f>
        <v>0</v>
      </c>
      <c r="B1126" s="44">
        <f>Data!L1125</f>
        <v>0</v>
      </c>
      <c r="C1126" s="44">
        <f>Data!D1125</f>
        <v>0</v>
      </c>
      <c r="D1126" s="82">
        <f>Data!F1125</f>
        <v>0</v>
      </c>
      <c r="E1126" s="82">
        <f>Data!B1125</f>
        <v>0</v>
      </c>
      <c r="F1126" s="44">
        <f>Data!A1125</f>
        <v>0</v>
      </c>
      <c r="G1126" s="55">
        <f>Data!C1125</f>
        <v>0</v>
      </c>
      <c r="H1126" s="56">
        <f>Data!H1125</f>
        <v>0</v>
      </c>
      <c r="I1126" s="56">
        <f>Data!I1125</f>
        <v>0</v>
      </c>
      <c r="J1126" s="57">
        <f>Data!J1125</f>
        <v>0</v>
      </c>
      <c r="K1126" s="58">
        <f t="shared" ca="1" si="18"/>
        <v>44700</v>
      </c>
      <c r="L1126" s="58">
        <f>Data!M1125</f>
        <v>0</v>
      </c>
      <c r="M1126" s="37" t="s">
        <v>26</v>
      </c>
      <c r="N1126" s="43" t="str">
        <f>VLOOKUP(M1126,Table1[#All],3,FALSE)</f>
        <v>Note</v>
      </c>
      <c r="O1126" s="40" t="str">
        <f>VLOOKUP(M1126,Table1[#All],4,FALSE)</f>
        <v>Q1</v>
      </c>
      <c r="P1126" s="39"/>
      <c r="Q1126" s="40" t="str">
        <f>VLOOKUP(M1126,Table1[#All],5,FALSE)</f>
        <v>Q2</v>
      </c>
      <c r="R1126" s="79"/>
      <c r="S1126" s="40" t="str">
        <f>VLOOKUP(M1126,Table1[#All],6,FALSE)</f>
        <v>Q3</v>
      </c>
      <c r="T1126" s="79"/>
      <c r="U1126" s="40" t="str">
        <f>VLOOKUP(M1126,Table1[#All],7,FALSE)</f>
        <v>Q4</v>
      </c>
      <c r="V1126" s="79"/>
      <c r="W1126" s="40" t="str">
        <f>VLOOKUP(M1126,Table1[#All],8,FALSE)</f>
        <v>Q5</v>
      </c>
      <c r="X1126" s="79"/>
      <c r="Y1126" s="44" t="str">
        <f>VLOOKUP(M1126,Table1[#All],2,FALSE)</f>
        <v>Action</v>
      </c>
      <c r="Z1126" s="59" t="str">
        <f>VLOOKUP(M1126,Table1[#All],9,FALSE)</f>
        <v>Additional Notes:</v>
      </c>
      <c r="AA1126" s="76"/>
      <c r="AB1126" s="76"/>
      <c r="AC1126" s="90" t="s">
        <v>91</v>
      </c>
      <c r="AD1126" s="76" t="s">
        <v>91</v>
      </c>
      <c r="AE1126" s="77"/>
      <c r="AF1126" s="77"/>
      <c r="AG1126" s="41" t="s">
        <v>91</v>
      </c>
    </row>
    <row r="1127" spans="1:33" ht="21" hidden="1" x14ac:dyDescent="0.55000000000000004">
      <c r="A1127" s="44">
        <f>Data!K1126</f>
        <v>0</v>
      </c>
      <c r="B1127" s="44">
        <f>Data!L1126</f>
        <v>0</v>
      </c>
      <c r="C1127" s="44">
        <f>Data!D1126</f>
        <v>0</v>
      </c>
      <c r="D1127" s="82">
        <f>Data!F1126</f>
        <v>0</v>
      </c>
      <c r="E1127" s="82">
        <f>Data!B1126</f>
        <v>0</v>
      </c>
      <c r="F1127" s="44">
        <f>Data!A1126</f>
        <v>0</v>
      </c>
      <c r="G1127" s="55">
        <f>Data!C1126</f>
        <v>0</v>
      </c>
      <c r="H1127" s="56">
        <f>Data!H1126</f>
        <v>0</v>
      </c>
      <c r="I1127" s="56">
        <f>Data!I1126</f>
        <v>0</v>
      </c>
      <c r="J1127" s="57">
        <f>Data!J1126</f>
        <v>0</v>
      </c>
      <c r="K1127" s="58">
        <f t="shared" ca="1" si="18"/>
        <v>44700</v>
      </c>
      <c r="L1127" s="58">
        <f>Data!M1126</f>
        <v>0</v>
      </c>
      <c r="M1127" s="37" t="s">
        <v>26</v>
      </c>
      <c r="N1127" s="43" t="str">
        <f>VLOOKUP(M1127,Table1[#All],3,FALSE)</f>
        <v>Note</v>
      </c>
      <c r="O1127" s="40" t="str">
        <f>VLOOKUP(M1127,Table1[#All],4,FALSE)</f>
        <v>Q1</v>
      </c>
      <c r="P1127" s="39"/>
      <c r="Q1127" s="40" t="str">
        <f>VLOOKUP(M1127,Table1[#All],5,FALSE)</f>
        <v>Q2</v>
      </c>
      <c r="R1127" s="79"/>
      <c r="S1127" s="40" t="str">
        <f>VLOOKUP(M1127,Table1[#All],6,FALSE)</f>
        <v>Q3</v>
      </c>
      <c r="T1127" s="79"/>
      <c r="U1127" s="40" t="str">
        <f>VLOOKUP(M1127,Table1[#All],7,FALSE)</f>
        <v>Q4</v>
      </c>
      <c r="V1127" s="79"/>
      <c r="W1127" s="40" t="str">
        <f>VLOOKUP(M1127,Table1[#All],8,FALSE)</f>
        <v>Q5</v>
      </c>
      <c r="X1127" s="79"/>
      <c r="Y1127" s="44" t="str">
        <f>VLOOKUP(M1127,Table1[#All],2,FALSE)</f>
        <v>Action</v>
      </c>
      <c r="Z1127" s="59" t="str">
        <f>VLOOKUP(M1127,Table1[#All],9,FALSE)</f>
        <v>Additional Notes:</v>
      </c>
      <c r="AA1127" s="76"/>
      <c r="AB1127" s="76"/>
      <c r="AC1127" s="90" t="s">
        <v>91</v>
      </c>
      <c r="AD1127" s="76" t="s">
        <v>91</v>
      </c>
      <c r="AE1127" s="77"/>
      <c r="AF1127" s="77"/>
      <c r="AG1127" s="41" t="s">
        <v>91</v>
      </c>
    </row>
    <row r="1128" spans="1:33" ht="21" hidden="1" x14ac:dyDescent="0.55000000000000004">
      <c r="A1128" s="44">
        <f>Data!K1127</f>
        <v>0</v>
      </c>
      <c r="B1128" s="44">
        <f>Data!L1127</f>
        <v>0</v>
      </c>
      <c r="C1128" s="44">
        <f>Data!D1127</f>
        <v>0</v>
      </c>
      <c r="D1128" s="82">
        <f>Data!F1127</f>
        <v>0</v>
      </c>
      <c r="E1128" s="82">
        <f>Data!B1127</f>
        <v>0</v>
      </c>
      <c r="F1128" s="44">
        <f>Data!A1127</f>
        <v>0</v>
      </c>
      <c r="G1128" s="55">
        <f>Data!C1127</f>
        <v>0</v>
      </c>
      <c r="H1128" s="56">
        <f>Data!H1127</f>
        <v>0</v>
      </c>
      <c r="I1128" s="56">
        <f>Data!I1127</f>
        <v>0</v>
      </c>
      <c r="J1128" s="57">
        <f>Data!J1127</f>
        <v>0</v>
      </c>
      <c r="K1128" s="58">
        <f t="shared" ref="K1128:K1191" ca="1" si="19">TODAY()-I1128</f>
        <v>44700</v>
      </c>
      <c r="L1128" s="58">
        <f>Data!M1127</f>
        <v>0</v>
      </c>
      <c r="M1128" s="37" t="s">
        <v>26</v>
      </c>
      <c r="N1128" s="43" t="str">
        <f>VLOOKUP(M1128,Table1[#All],3,FALSE)</f>
        <v>Note</v>
      </c>
      <c r="O1128" s="40" t="str">
        <f>VLOOKUP(M1128,Table1[#All],4,FALSE)</f>
        <v>Q1</v>
      </c>
      <c r="P1128" s="39"/>
      <c r="Q1128" s="40" t="str">
        <f>VLOOKUP(M1128,Table1[#All],5,FALSE)</f>
        <v>Q2</v>
      </c>
      <c r="R1128" s="79"/>
      <c r="S1128" s="40" t="str">
        <f>VLOOKUP(M1128,Table1[#All],6,FALSE)</f>
        <v>Q3</v>
      </c>
      <c r="T1128" s="79"/>
      <c r="U1128" s="40" t="str">
        <f>VLOOKUP(M1128,Table1[#All],7,FALSE)</f>
        <v>Q4</v>
      </c>
      <c r="V1128" s="79"/>
      <c r="W1128" s="40" t="str">
        <f>VLOOKUP(M1128,Table1[#All],8,FALSE)</f>
        <v>Q5</v>
      </c>
      <c r="X1128" s="79"/>
      <c r="Y1128" s="44" t="str">
        <f>VLOOKUP(M1128,Table1[#All],2,FALSE)</f>
        <v>Action</v>
      </c>
      <c r="Z1128" s="59" t="str">
        <f>VLOOKUP(M1128,Table1[#All],9,FALSE)</f>
        <v>Additional Notes:</v>
      </c>
      <c r="AA1128" s="76"/>
      <c r="AB1128" s="76"/>
      <c r="AC1128" s="90" t="s">
        <v>91</v>
      </c>
      <c r="AD1128" s="76" t="s">
        <v>91</v>
      </c>
      <c r="AE1128" s="77"/>
      <c r="AF1128" s="77"/>
      <c r="AG1128" s="41" t="s">
        <v>91</v>
      </c>
    </row>
    <row r="1129" spans="1:33" ht="21" hidden="1" x14ac:dyDescent="0.55000000000000004">
      <c r="A1129" s="44">
        <f>Data!K1128</f>
        <v>0</v>
      </c>
      <c r="B1129" s="44">
        <f>Data!L1128</f>
        <v>0</v>
      </c>
      <c r="C1129" s="44">
        <f>Data!D1128</f>
        <v>0</v>
      </c>
      <c r="D1129" s="82">
        <f>Data!F1128</f>
        <v>0</v>
      </c>
      <c r="E1129" s="82">
        <f>Data!B1128</f>
        <v>0</v>
      </c>
      <c r="F1129" s="44">
        <f>Data!A1128</f>
        <v>0</v>
      </c>
      <c r="G1129" s="55">
        <f>Data!C1128</f>
        <v>0</v>
      </c>
      <c r="H1129" s="56">
        <f>Data!H1128</f>
        <v>0</v>
      </c>
      <c r="I1129" s="56">
        <f>Data!I1128</f>
        <v>0</v>
      </c>
      <c r="J1129" s="57">
        <f>Data!J1128</f>
        <v>0</v>
      </c>
      <c r="K1129" s="58">
        <f t="shared" ca="1" si="19"/>
        <v>44700</v>
      </c>
      <c r="L1129" s="58">
        <f>Data!M1128</f>
        <v>0</v>
      </c>
      <c r="M1129" s="37" t="s">
        <v>26</v>
      </c>
      <c r="N1129" s="43" t="str">
        <f>VLOOKUP(M1129,Table1[#All],3,FALSE)</f>
        <v>Note</v>
      </c>
      <c r="O1129" s="40" t="str">
        <f>VLOOKUP(M1129,Table1[#All],4,FALSE)</f>
        <v>Q1</v>
      </c>
      <c r="P1129" s="39"/>
      <c r="Q1129" s="40" t="str">
        <f>VLOOKUP(M1129,Table1[#All],5,FALSE)</f>
        <v>Q2</v>
      </c>
      <c r="R1129" s="79"/>
      <c r="S1129" s="40" t="str">
        <f>VLOOKUP(M1129,Table1[#All],6,FALSE)</f>
        <v>Q3</v>
      </c>
      <c r="T1129" s="79"/>
      <c r="U1129" s="40" t="str">
        <f>VLOOKUP(M1129,Table1[#All],7,FALSE)</f>
        <v>Q4</v>
      </c>
      <c r="V1129" s="79"/>
      <c r="W1129" s="40" t="str">
        <f>VLOOKUP(M1129,Table1[#All],8,FALSE)</f>
        <v>Q5</v>
      </c>
      <c r="X1129" s="79"/>
      <c r="Y1129" s="44" t="str">
        <f>VLOOKUP(M1129,Table1[#All],2,FALSE)</f>
        <v>Action</v>
      </c>
      <c r="Z1129" s="59" t="str">
        <f>VLOOKUP(M1129,Table1[#All],9,FALSE)</f>
        <v>Additional Notes:</v>
      </c>
      <c r="AA1129" s="76"/>
      <c r="AB1129" s="76"/>
      <c r="AC1129" s="90" t="s">
        <v>91</v>
      </c>
      <c r="AD1129" s="76" t="s">
        <v>91</v>
      </c>
      <c r="AE1129" s="77"/>
      <c r="AF1129" s="77"/>
      <c r="AG1129" s="41" t="s">
        <v>91</v>
      </c>
    </row>
    <row r="1130" spans="1:33" ht="21" hidden="1" x14ac:dyDescent="0.55000000000000004">
      <c r="A1130" s="44">
        <f>Data!K1129</f>
        <v>0</v>
      </c>
      <c r="B1130" s="44">
        <f>Data!L1129</f>
        <v>0</v>
      </c>
      <c r="C1130" s="44">
        <f>Data!D1129</f>
        <v>0</v>
      </c>
      <c r="D1130" s="82">
        <f>Data!F1129</f>
        <v>0</v>
      </c>
      <c r="E1130" s="82">
        <f>Data!B1129</f>
        <v>0</v>
      </c>
      <c r="F1130" s="44">
        <f>Data!A1129</f>
        <v>0</v>
      </c>
      <c r="G1130" s="55">
        <f>Data!C1129</f>
        <v>0</v>
      </c>
      <c r="H1130" s="56">
        <f>Data!H1129</f>
        <v>0</v>
      </c>
      <c r="I1130" s="56">
        <f>Data!I1129</f>
        <v>0</v>
      </c>
      <c r="J1130" s="57">
        <f>Data!J1129</f>
        <v>0</v>
      </c>
      <c r="K1130" s="58">
        <f t="shared" ca="1" si="19"/>
        <v>44700</v>
      </c>
      <c r="L1130" s="58">
        <f>Data!M1129</f>
        <v>0</v>
      </c>
      <c r="M1130" s="37" t="s">
        <v>26</v>
      </c>
      <c r="N1130" s="43" t="str">
        <f>VLOOKUP(M1130,Table1[#All],3,FALSE)</f>
        <v>Note</v>
      </c>
      <c r="O1130" s="40" t="str">
        <f>VLOOKUP(M1130,Table1[#All],4,FALSE)</f>
        <v>Q1</v>
      </c>
      <c r="P1130" s="39"/>
      <c r="Q1130" s="40" t="str">
        <f>VLOOKUP(M1130,Table1[#All],5,FALSE)</f>
        <v>Q2</v>
      </c>
      <c r="R1130" s="79"/>
      <c r="S1130" s="40" t="str">
        <f>VLOOKUP(M1130,Table1[#All],6,FALSE)</f>
        <v>Q3</v>
      </c>
      <c r="T1130" s="79"/>
      <c r="U1130" s="40" t="str">
        <f>VLOOKUP(M1130,Table1[#All],7,FALSE)</f>
        <v>Q4</v>
      </c>
      <c r="V1130" s="79"/>
      <c r="W1130" s="40" t="str">
        <f>VLOOKUP(M1130,Table1[#All],8,FALSE)</f>
        <v>Q5</v>
      </c>
      <c r="X1130" s="79"/>
      <c r="Y1130" s="44" t="str">
        <f>VLOOKUP(M1130,Table1[#All],2,FALSE)</f>
        <v>Action</v>
      </c>
      <c r="Z1130" s="59" t="str">
        <f>VLOOKUP(M1130,Table1[#All],9,FALSE)</f>
        <v>Additional Notes:</v>
      </c>
      <c r="AA1130" s="76"/>
      <c r="AB1130" s="76"/>
      <c r="AC1130" s="90" t="s">
        <v>91</v>
      </c>
      <c r="AD1130" s="76" t="s">
        <v>91</v>
      </c>
      <c r="AE1130" s="77"/>
      <c r="AF1130" s="77"/>
      <c r="AG1130" s="41" t="s">
        <v>91</v>
      </c>
    </row>
    <row r="1131" spans="1:33" ht="21" hidden="1" x14ac:dyDescent="0.55000000000000004">
      <c r="A1131" s="44">
        <f>Data!K1130</f>
        <v>0</v>
      </c>
      <c r="B1131" s="44">
        <f>Data!L1130</f>
        <v>0</v>
      </c>
      <c r="C1131" s="44">
        <f>Data!D1130</f>
        <v>0</v>
      </c>
      <c r="D1131" s="82">
        <f>Data!F1130</f>
        <v>0</v>
      </c>
      <c r="E1131" s="82">
        <f>Data!B1130</f>
        <v>0</v>
      </c>
      <c r="F1131" s="44">
        <f>Data!A1130</f>
        <v>0</v>
      </c>
      <c r="G1131" s="55">
        <f>Data!C1130</f>
        <v>0</v>
      </c>
      <c r="H1131" s="56">
        <f>Data!H1130</f>
        <v>0</v>
      </c>
      <c r="I1131" s="56">
        <f>Data!I1130</f>
        <v>0</v>
      </c>
      <c r="J1131" s="57">
        <f>Data!J1130</f>
        <v>0</v>
      </c>
      <c r="K1131" s="58">
        <f t="shared" ca="1" si="19"/>
        <v>44700</v>
      </c>
      <c r="L1131" s="58">
        <f>Data!M1130</f>
        <v>0</v>
      </c>
      <c r="M1131" s="37" t="s">
        <v>26</v>
      </c>
      <c r="N1131" s="43" t="str">
        <f>VLOOKUP(M1131,Table1[#All],3,FALSE)</f>
        <v>Note</v>
      </c>
      <c r="O1131" s="40" t="str">
        <f>VLOOKUP(M1131,Table1[#All],4,FALSE)</f>
        <v>Q1</v>
      </c>
      <c r="P1131" s="39"/>
      <c r="Q1131" s="40" t="str">
        <f>VLOOKUP(M1131,Table1[#All],5,FALSE)</f>
        <v>Q2</v>
      </c>
      <c r="R1131" s="79"/>
      <c r="S1131" s="40" t="str">
        <f>VLOOKUP(M1131,Table1[#All],6,FALSE)</f>
        <v>Q3</v>
      </c>
      <c r="T1131" s="79"/>
      <c r="U1131" s="40" t="str">
        <f>VLOOKUP(M1131,Table1[#All],7,FALSE)</f>
        <v>Q4</v>
      </c>
      <c r="V1131" s="79"/>
      <c r="W1131" s="40" t="str">
        <f>VLOOKUP(M1131,Table1[#All],8,FALSE)</f>
        <v>Q5</v>
      </c>
      <c r="X1131" s="79"/>
      <c r="Y1131" s="44" t="str">
        <f>VLOOKUP(M1131,Table1[#All],2,FALSE)</f>
        <v>Action</v>
      </c>
      <c r="Z1131" s="59" t="str">
        <f>VLOOKUP(M1131,Table1[#All],9,FALSE)</f>
        <v>Additional Notes:</v>
      </c>
      <c r="AA1131" s="76"/>
      <c r="AB1131" s="76"/>
      <c r="AC1131" s="90" t="s">
        <v>91</v>
      </c>
      <c r="AD1131" s="76" t="s">
        <v>91</v>
      </c>
      <c r="AE1131" s="77"/>
      <c r="AF1131" s="77"/>
      <c r="AG1131" s="41" t="s">
        <v>91</v>
      </c>
    </row>
    <row r="1132" spans="1:33" ht="21" hidden="1" x14ac:dyDescent="0.55000000000000004">
      <c r="A1132" s="44">
        <f>Data!K1131</f>
        <v>0</v>
      </c>
      <c r="B1132" s="44">
        <f>Data!L1131</f>
        <v>0</v>
      </c>
      <c r="C1132" s="44">
        <f>Data!D1131</f>
        <v>0</v>
      </c>
      <c r="D1132" s="82">
        <f>Data!F1131</f>
        <v>0</v>
      </c>
      <c r="E1132" s="82">
        <f>Data!B1131</f>
        <v>0</v>
      </c>
      <c r="F1132" s="44">
        <f>Data!A1131</f>
        <v>0</v>
      </c>
      <c r="G1132" s="55">
        <f>Data!C1131</f>
        <v>0</v>
      </c>
      <c r="H1132" s="56">
        <f>Data!H1131</f>
        <v>0</v>
      </c>
      <c r="I1132" s="56">
        <f>Data!I1131</f>
        <v>0</v>
      </c>
      <c r="J1132" s="57">
        <f>Data!J1131</f>
        <v>0</v>
      </c>
      <c r="K1132" s="58">
        <f t="shared" ca="1" si="19"/>
        <v>44700</v>
      </c>
      <c r="L1132" s="58">
        <f>Data!M1131</f>
        <v>0</v>
      </c>
      <c r="M1132" s="37" t="s">
        <v>26</v>
      </c>
      <c r="N1132" s="43" t="str">
        <f>VLOOKUP(M1132,Table1[#All],3,FALSE)</f>
        <v>Note</v>
      </c>
      <c r="O1132" s="40" t="str">
        <f>VLOOKUP(M1132,Table1[#All],4,FALSE)</f>
        <v>Q1</v>
      </c>
      <c r="P1132" s="39"/>
      <c r="Q1132" s="40" t="str">
        <f>VLOOKUP(M1132,Table1[#All],5,FALSE)</f>
        <v>Q2</v>
      </c>
      <c r="R1132" s="79"/>
      <c r="S1132" s="40" t="str">
        <f>VLOOKUP(M1132,Table1[#All],6,FALSE)</f>
        <v>Q3</v>
      </c>
      <c r="T1132" s="79"/>
      <c r="U1132" s="40" t="str">
        <f>VLOOKUP(M1132,Table1[#All],7,FALSE)</f>
        <v>Q4</v>
      </c>
      <c r="V1132" s="79"/>
      <c r="W1132" s="40" t="str">
        <f>VLOOKUP(M1132,Table1[#All],8,FALSE)</f>
        <v>Q5</v>
      </c>
      <c r="X1132" s="79"/>
      <c r="Y1132" s="44" t="str">
        <f>VLOOKUP(M1132,Table1[#All],2,FALSE)</f>
        <v>Action</v>
      </c>
      <c r="Z1132" s="59" t="str">
        <f>VLOOKUP(M1132,Table1[#All],9,FALSE)</f>
        <v>Additional Notes:</v>
      </c>
      <c r="AA1132" s="76"/>
      <c r="AB1132" s="76"/>
      <c r="AC1132" s="90" t="s">
        <v>91</v>
      </c>
      <c r="AD1132" s="76" t="s">
        <v>91</v>
      </c>
      <c r="AE1132" s="77"/>
      <c r="AF1132" s="77"/>
      <c r="AG1132" s="41" t="s">
        <v>91</v>
      </c>
    </row>
    <row r="1133" spans="1:33" ht="21" hidden="1" x14ac:dyDescent="0.55000000000000004">
      <c r="A1133" s="44">
        <f>Data!K1132</f>
        <v>0</v>
      </c>
      <c r="B1133" s="44">
        <f>Data!L1132</f>
        <v>0</v>
      </c>
      <c r="C1133" s="44">
        <f>Data!D1132</f>
        <v>0</v>
      </c>
      <c r="D1133" s="82">
        <f>Data!F1132</f>
        <v>0</v>
      </c>
      <c r="E1133" s="82">
        <f>Data!B1132</f>
        <v>0</v>
      </c>
      <c r="F1133" s="44">
        <f>Data!A1132</f>
        <v>0</v>
      </c>
      <c r="G1133" s="55">
        <f>Data!C1132</f>
        <v>0</v>
      </c>
      <c r="H1133" s="56">
        <f>Data!H1132</f>
        <v>0</v>
      </c>
      <c r="I1133" s="56">
        <f>Data!I1132</f>
        <v>0</v>
      </c>
      <c r="J1133" s="57">
        <f>Data!J1132</f>
        <v>0</v>
      </c>
      <c r="K1133" s="58">
        <f t="shared" ca="1" si="19"/>
        <v>44700</v>
      </c>
      <c r="L1133" s="58">
        <f>Data!M1132</f>
        <v>0</v>
      </c>
      <c r="M1133" s="37" t="s">
        <v>26</v>
      </c>
      <c r="N1133" s="43" t="str">
        <f>VLOOKUP(M1133,Table1[#All],3,FALSE)</f>
        <v>Note</v>
      </c>
      <c r="O1133" s="40" t="str">
        <f>VLOOKUP(M1133,Table1[#All],4,FALSE)</f>
        <v>Q1</v>
      </c>
      <c r="P1133" s="39"/>
      <c r="Q1133" s="40" t="str">
        <f>VLOOKUP(M1133,Table1[#All],5,FALSE)</f>
        <v>Q2</v>
      </c>
      <c r="R1133" s="79"/>
      <c r="S1133" s="40" t="str">
        <f>VLOOKUP(M1133,Table1[#All],6,FALSE)</f>
        <v>Q3</v>
      </c>
      <c r="T1133" s="79"/>
      <c r="U1133" s="40" t="str">
        <f>VLOOKUP(M1133,Table1[#All],7,FALSE)</f>
        <v>Q4</v>
      </c>
      <c r="V1133" s="79"/>
      <c r="W1133" s="40" t="str">
        <f>VLOOKUP(M1133,Table1[#All],8,FALSE)</f>
        <v>Q5</v>
      </c>
      <c r="X1133" s="79"/>
      <c r="Y1133" s="44" t="str">
        <f>VLOOKUP(M1133,Table1[#All],2,FALSE)</f>
        <v>Action</v>
      </c>
      <c r="Z1133" s="59" t="str">
        <f>VLOOKUP(M1133,Table1[#All],9,FALSE)</f>
        <v>Additional Notes:</v>
      </c>
      <c r="AA1133" s="76"/>
      <c r="AB1133" s="76"/>
      <c r="AC1133" s="90" t="s">
        <v>91</v>
      </c>
      <c r="AD1133" s="76" t="s">
        <v>91</v>
      </c>
      <c r="AE1133" s="77"/>
      <c r="AF1133" s="77"/>
      <c r="AG1133" s="41" t="s">
        <v>91</v>
      </c>
    </row>
    <row r="1134" spans="1:33" ht="21" hidden="1" x14ac:dyDescent="0.55000000000000004">
      <c r="A1134" s="44">
        <f>Data!K1133</f>
        <v>0</v>
      </c>
      <c r="B1134" s="44">
        <f>Data!L1133</f>
        <v>0</v>
      </c>
      <c r="C1134" s="44">
        <f>Data!D1133</f>
        <v>0</v>
      </c>
      <c r="D1134" s="82">
        <f>Data!F1133</f>
        <v>0</v>
      </c>
      <c r="E1134" s="82">
        <f>Data!B1133</f>
        <v>0</v>
      </c>
      <c r="F1134" s="44">
        <f>Data!A1133</f>
        <v>0</v>
      </c>
      <c r="G1134" s="55">
        <f>Data!C1133</f>
        <v>0</v>
      </c>
      <c r="H1134" s="56">
        <f>Data!H1133</f>
        <v>0</v>
      </c>
      <c r="I1134" s="56">
        <f>Data!I1133</f>
        <v>0</v>
      </c>
      <c r="J1134" s="57">
        <f>Data!J1133</f>
        <v>0</v>
      </c>
      <c r="K1134" s="58">
        <f t="shared" ca="1" si="19"/>
        <v>44700</v>
      </c>
      <c r="L1134" s="58">
        <f>Data!M1133</f>
        <v>0</v>
      </c>
      <c r="M1134" s="37" t="s">
        <v>26</v>
      </c>
      <c r="N1134" s="43" t="str">
        <f>VLOOKUP(M1134,Table1[#All],3,FALSE)</f>
        <v>Note</v>
      </c>
      <c r="O1134" s="40" t="str">
        <f>VLOOKUP(M1134,Table1[#All],4,FALSE)</f>
        <v>Q1</v>
      </c>
      <c r="P1134" s="39"/>
      <c r="Q1134" s="40" t="str">
        <f>VLOOKUP(M1134,Table1[#All],5,FALSE)</f>
        <v>Q2</v>
      </c>
      <c r="R1134" s="79"/>
      <c r="S1134" s="40" t="str">
        <f>VLOOKUP(M1134,Table1[#All],6,FALSE)</f>
        <v>Q3</v>
      </c>
      <c r="T1134" s="79"/>
      <c r="U1134" s="40" t="str">
        <f>VLOOKUP(M1134,Table1[#All],7,FALSE)</f>
        <v>Q4</v>
      </c>
      <c r="V1134" s="79"/>
      <c r="W1134" s="40" t="str">
        <f>VLOOKUP(M1134,Table1[#All],8,FALSE)</f>
        <v>Q5</v>
      </c>
      <c r="X1134" s="79"/>
      <c r="Y1134" s="44" t="str">
        <f>VLOOKUP(M1134,Table1[#All],2,FALSE)</f>
        <v>Action</v>
      </c>
      <c r="Z1134" s="59" t="str">
        <f>VLOOKUP(M1134,Table1[#All],9,FALSE)</f>
        <v>Additional Notes:</v>
      </c>
      <c r="AA1134" s="76"/>
      <c r="AB1134" s="76"/>
      <c r="AC1134" s="90" t="s">
        <v>91</v>
      </c>
      <c r="AD1134" s="76" t="s">
        <v>91</v>
      </c>
      <c r="AE1134" s="77"/>
      <c r="AF1134" s="77"/>
      <c r="AG1134" s="41" t="s">
        <v>91</v>
      </c>
    </row>
    <row r="1135" spans="1:33" ht="21" hidden="1" x14ac:dyDescent="0.55000000000000004">
      <c r="A1135" s="44">
        <f>Data!K1134</f>
        <v>0</v>
      </c>
      <c r="B1135" s="44">
        <f>Data!L1134</f>
        <v>0</v>
      </c>
      <c r="C1135" s="44">
        <f>Data!D1134</f>
        <v>0</v>
      </c>
      <c r="D1135" s="82">
        <f>Data!F1134</f>
        <v>0</v>
      </c>
      <c r="E1135" s="82">
        <f>Data!B1134</f>
        <v>0</v>
      </c>
      <c r="F1135" s="44">
        <f>Data!A1134</f>
        <v>0</v>
      </c>
      <c r="G1135" s="55">
        <f>Data!C1134</f>
        <v>0</v>
      </c>
      <c r="H1135" s="56">
        <f>Data!H1134</f>
        <v>0</v>
      </c>
      <c r="I1135" s="56">
        <f>Data!I1134</f>
        <v>0</v>
      </c>
      <c r="J1135" s="57">
        <f>Data!J1134</f>
        <v>0</v>
      </c>
      <c r="K1135" s="58">
        <f t="shared" ca="1" si="19"/>
        <v>44700</v>
      </c>
      <c r="L1135" s="58">
        <f>Data!M1134</f>
        <v>0</v>
      </c>
      <c r="M1135" s="37" t="s">
        <v>26</v>
      </c>
      <c r="N1135" s="43" t="str">
        <f>VLOOKUP(M1135,Table1[#All],3,FALSE)</f>
        <v>Note</v>
      </c>
      <c r="O1135" s="40" t="str">
        <f>VLOOKUP(M1135,Table1[#All],4,FALSE)</f>
        <v>Q1</v>
      </c>
      <c r="P1135" s="39"/>
      <c r="Q1135" s="40" t="str">
        <f>VLOOKUP(M1135,Table1[#All],5,FALSE)</f>
        <v>Q2</v>
      </c>
      <c r="R1135" s="79"/>
      <c r="S1135" s="40" t="str">
        <f>VLOOKUP(M1135,Table1[#All],6,FALSE)</f>
        <v>Q3</v>
      </c>
      <c r="T1135" s="79"/>
      <c r="U1135" s="40" t="str">
        <f>VLOOKUP(M1135,Table1[#All],7,FALSE)</f>
        <v>Q4</v>
      </c>
      <c r="V1135" s="79"/>
      <c r="W1135" s="40" t="str">
        <f>VLOOKUP(M1135,Table1[#All],8,FALSE)</f>
        <v>Q5</v>
      </c>
      <c r="X1135" s="79"/>
      <c r="Y1135" s="44" t="str">
        <f>VLOOKUP(M1135,Table1[#All],2,FALSE)</f>
        <v>Action</v>
      </c>
      <c r="Z1135" s="59" t="str">
        <f>VLOOKUP(M1135,Table1[#All],9,FALSE)</f>
        <v>Additional Notes:</v>
      </c>
      <c r="AA1135" s="76"/>
      <c r="AB1135" s="76"/>
      <c r="AC1135" s="90" t="s">
        <v>91</v>
      </c>
      <c r="AD1135" s="76" t="s">
        <v>91</v>
      </c>
      <c r="AE1135" s="77"/>
      <c r="AF1135" s="77"/>
      <c r="AG1135" s="41" t="s">
        <v>91</v>
      </c>
    </row>
    <row r="1136" spans="1:33" ht="21" hidden="1" x14ac:dyDescent="0.55000000000000004">
      <c r="A1136" s="44">
        <f>Data!K1135</f>
        <v>0</v>
      </c>
      <c r="B1136" s="44">
        <f>Data!L1135</f>
        <v>0</v>
      </c>
      <c r="C1136" s="44">
        <f>Data!D1135</f>
        <v>0</v>
      </c>
      <c r="D1136" s="82">
        <f>Data!F1135</f>
        <v>0</v>
      </c>
      <c r="E1136" s="82">
        <f>Data!B1135</f>
        <v>0</v>
      </c>
      <c r="F1136" s="44">
        <f>Data!A1135</f>
        <v>0</v>
      </c>
      <c r="G1136" s="55">
        <f>Data!C1135</f>
        <v>0</v>
      </c>
      <c r="H1136" s="56">
        <f>Data!H1135</f>
        <v>0</v>
      </c>
      <c r="I1136" s="56">
        <f>Data!I1135</f>
        <v>0</v>
      </c>
      <c r="J1136" s="57">
        <f>Data!J1135</f>
        <v>0</v>
      </c>
      <c r="K1136" s="58">
        <f t="shared" ca="1" si="19"/>
        <v>44700</v>
      </c>
      <c r="L1136" s="58">
        <f>Data!M1135</f>
        <v>0</v>
      </c>
      <c r="M1136" s="37" t="s">
        <v>26</v>
      </c>
      <c r="N1136" s="43" t="str">
        <f>VLOOKUP(M1136,Table1[#All],3,FALSE)</f>
        <v>Note</v>
      </c>
      <c r="O1136" s="40" t="str">
        <f>VLOOKUP(M1136,Table1[#All],4,FALSE)</f>
        <v>Q1</v>
      </c>
      <c r="P1136" s="39"/>
      <c r="Q1136" s="40" t="str">
        <f>VLOOKUP(M1136,Table1[#All],5,FALSE)</f>
        <v>Q2</v>
      </c>
      <c r="R1136" s="79"/>
      <c r="S1136" s="40" t="str">
        <f>VLOOKUP(M1136,Table1[#All],6,FALSE)</f>
        <v>Q3</v>
      </c>
      <c r="T1136" s="79"/>
      <c r="U1136" s="40" t="str">
        <f>VLOOKUP(M1136,Table1[#All],7,FALSE)</f>
        <v>Q4</v>
      </c>
      <c r="V1136" s="79"/>
      <c r="W1136" s="40" t="str">
        <f>VLOOKUP(M1136,Table1[#All],8,FALSE)</f>
        <v>Q5</v>
      </c>
      <c r="X1136" s="79"/>
      <c r="Y1136" s="44" t="str">
        <f>VLOOKUP(M1136,Table1[#All],2,FALSE)</f>
        <v>Action</v>
      </c>
      <c r="Z1136" s="59" t="str">
        <f>VLOOKUP(M1136,Table1[#All],9,FALSE)</f>
        <v>Additional Notes:</v>
      </c>
      <c r="AA1136" s="76"/>
      <c r="AB1136" s="76"/>
      <c r="AC1136" s="90" t="s">
        <v>91</v>
      </c>
      <c r="AD1136" s="76" t="s">
        <v>91</v>
      </c>
      <c r="AE1136" s="77"/>
      <c r="AF1136" s="77"/>
      <c r="AG1136" s="41" t="s">
        <v>91</v>
      </c>
    </row>
    <row r="1137" spans="1:33" ht="21" hidden="1" x14ac:dyDescent="0.55000000000000004">
      <c r="A1137" s="44">
        <f>Data!K1136</f>
        <v>0</v>
      </c>
      <c r="B1137" s="44">
        <f>Data!L1136</f>
        <v>0</v>
      </c>
      <c r="C1137" s="44">
        <f>Data!D1136</f>
        <v>0</v>
      </c>
      <c r="D1137" s="82">
        <f>Data!F1136</f>
        <v>0</v>
      </c>
      <c r="E1137" s="82">
        <f>Data!B1136</f>
        <v>0</v>
      </c>
      <c r="F1137" s="44">
        <f>Data!A1136</f>
        <v>0</v>
      </c>
      <c r="G1137" s="55">
        <f>Data!C1136</f>
        <v>0</v>
      </c>
      <c r="H1137" s="56">
        <f>Data!H1136</f>
        <v>0</v>
      </c>
      <c r="I1137" s="56">
        <f>Data!I1136</f>
        <v>0</v>
      </c>
      <c r="J1137" s="57">
        <f>Data!J1136</f>
        <v>0</v>
      </c>
      <c r="K1137" s="58">
        <f t="shared" ca="1" si="19"/>
        <v>44700</v>
      </c>
      <c r="L1137" s="58">
        <f>Data!M1136</f>
        <v>0</v>
      </c>
      <c r="M1137" s="37" t="s">
        <v>26</v>
      </c>
      <c r="N1137" s="43" t="str">
        <f>VLOOKUP(M1137,Table1[#All],3,FALSE)</f>
        <v>Note</v>
      </c>
      <c r="O1137" s="40" t="str">
        <f>VLOOKUP(M1137,Table1[#All],4,FALSE)</f>
        <v>Q1</v>
      </c>
      <c r="P1137" s="39"/>
      <c r="Q1137" s="40" t="str">
        <f>VLOOKUP(M1137,Table1[#All],5,FALSE)</f>
        <v>Q2</v>
      </c>
      <c r="R1137" s="79"/>
      <c r="S1137" s="40" t="str">
        <f>VLOOKUP(M1137,Table1[#All],6,FALSE)</f>
        <v>Q3</v>
      </c>
      <c r="T1137" s="79"/>
      <c r="U1137" s="40" t="str">
        <f>VLOOKUP(M1137,Table1[#All],7,FALSE)</f>
        <v>Q4</v>
      </c>
      <c r="V1137" s="79"/>
      <c r="W1137" s="40" t="str">
        <f>VLOOKUP(M1137,Table1[#All],8,FALSE)</f>
        <v>Q5</v>
      </c>
      <c r="X1137" s="79"/>
      <c r="Y1137" s="44" t="str">
        <f>VLOOKUP(M1137,Table1[#All],2,FALSE)</f>
        <v>Action</v>
      </c>
      <c r="Z1137" s="59" t="str">
        <f>VLOOKUP(M1137,Table1[#All],9,FALSE)</f>
        <v>Additional Notes:</v>
      </c>
      <c r="AA1137" s="76"/>
      <c r="AB1137" s="76"/>
      <c r="AC1137" s="90" t="s">
        <v>91</v>
      </c>
      <c r="AD1137" s="76" t="s">
        <v>91</v>
      </c>
      <c r="AE1137" s="77"/>
      <c r="AF1137" s="77"/>
      <c r="AG1137" s="41" t="s">
        <v>91</v>
      </c>
    </row>
    <row r="1138" spans="1:33" ht="21" hidden="1" x14ac:dyDescent="0.55000000000000004">
      <c r="A1138" s="44">
        <f>Data!K1137</f>
        <v>0</v>
      </c>
      <c r="B1138" s="44">
        <f>Data!L1137</f>
        <v>0</v>
      </c>
      <c r="C1138" s="44">
        <f>Data!D1137</f>
        <v>0</v>
      </c>
      <c r="D1138" s="82">
        <f>Data!F1137</f>
        <v>0</v>
      </c>
      <c r="E1138" s="82">
        <f>Data!B1137</f>
        <v>0</v>
      </c>
      <c r="F1138" s="44">
        <f>Data!A1137</f>
        <v>0</v>
      </c>
      <c r="G1138" s="55">
        <f>Data!C1137</f>
        <v>0</v>
      </c>
      <c r="H1138" s="56">
        <f>Data!H1137</f>
        <v>0</v>
      </c>
      <c r="I1138" s="56">
        <f>Data!I1137</f>
        <v>0</v>
      </c>
      <c r="J1138" s="57">
        <f>Data!J1137</f>
        <v>0</v>
      </c>
      <c r="K1138" s="58">
        <f t="shared" ca="1" si="19"/>
        <v>44700</v>
      </c>
      <c r="L1138" s="58">
        <f>Data!M1137</f>
        <v>0</v>
      </c>
      <c r="M1138" s="37" t="s">
        <v>26</v>
      </c>
      <c r="N1138" s="43" t="str">
        <f>VLOOKUP(M1138,Table1[#All],3,FALSE)</f>
        <v>Note</v>
      </c>
      <c r="O1138" s="40" t="str">
        <f>VLOOKUP(M1138,Table1[#All],4,FALSE)</f>
        <v>Q1</v>
      </c>
      <c r="P1138" s="39"/>
      <c r="Q1138" s="40" t="str">
        <f>VLOOKUP(M1138,Table1[#All],5,FALSE)</f>
        <v>Q2</v>
      </c>
      <c r="R1138" s="79"/>
      <c r="S1138" s="40" t="str">
        <f>VLOOKUP(M1138,Table1[#All],6,FALSE)</f>
        <v>Q3</v>
      </c>
      <c r="T1138" s="79"/>
      <c r="U1138" s="40" t="str">
        <f>VLOOKUP(M1138,Table1[#All],7,FALSE)</f>
        <v>Q4</v>
      </c>
      <c r="V1138" s="79"/>
      <c r="W1138" s="40" t="str">
        <f>VLOOKUP(M1138,Table1[#All],8,FALSE)</f>
        <v>Q5</v>
      </c>
      <c r="X1138" s="79"/>
      <c r="Y1138" s="44" t="str">
        <f>VLOOKUP(M1138,Table1[#All],2,FALSE)</f>
        <v>Action</v>
      </c>
      <c r="Z1138" s="59" t="str">
        <f>VLOOKUP(M1138,Table1[#All],9,FALSE)</f>
        <v>Additional Notes:</v>
      </c>
      <c r="AA1138" s="76"/>
      <c r="AB1138" s="76"/>
      <c r="AC1138" s="90" t="s">
        <v>91</v>
      </c>
      <c r="AD1138" s="76" t="s">
        <v>91</v>
      </c>
      <c r="AE1138" s="77"/>
      <c r="AF1138" s="77"/>
      <c r="AG1138" s="41" t="s">
        <v>91</v>
      </c>
    </row>
    <row r="1139" spans="1:33" ht="21" hidden="1" x14ac:dyDescent="0.55000000000000004">
      <c r="A1139" s="44">
        <f>Data!K1138</f>
        <v>0</v>
      </c>
      <c r="B1139" s="44">
        <f>Data!L1138</f>
        <v>0</v>
      </c>
      <c r="C1139" s="44">
        <f>Data!D1138</f>
        <v>0</v>
      </c>
      <c r="D1139" s="82">
        <f>Data!F1138</f>
        <v>0</v>
      </c>
      <c r="E1139" s="82">
        <f>Data!B1138</f>
        <v>0</v>
      </c>
      <c r="F1139" s="44">
        <f>Data!A1138</f>
        <v>0</v>
      </c>
      <c r="G1139" s="55">
        <f>Data!C1138</f>
        <v>0</v>
      </c>
      <c r="H1139" s="56">
        <f>Data!H1138</f>
        <v>0</v>
      </c>
      <c r="I1139" s="56">
        <f>Data!I1138</f>
        <v>0</v>
      </c>
      <c r="J1139" s="57">
        <f>Data!J1138</f>
        <v>0</v>
      </c>
      <c r="K1139" s="58">
        <f t="shared" ca="1" si="19"/>
        <v>44700</v>
      </c>
      <c r="L1139" s="58">
        <f>Data!M1138</f>
        <v>0</v>
      </c>
      <c r="M1139" s="37" t="s">
        <v>26</v>
      </c>
      <c r="N1139" s="43" t="str">
        <f>VLOOKUP(M1139,Table1[#All],3,FALSE)</f>
        <v>Note</v>
      </c>
      <c r="O1139" s="40" t="str">
        <f>VLOOKUP(M1139,Table1[#All],4,FALSE)</f>
        <v>Q1</v>
      </c>
      <c r="P1139" s="39"/>
      <c r="Q1139" s="40" t="str">
        <f>VLOOKUP(M1139,Table1[#All],5,FALSE)</f>
        <v>Q2</v>
      </c>
      <c r="R1139" s="79"/>
      <c r="S1139" s="40" t="str">
        <f>VLOOKUP(M1139,Table1[#All],6,FALSE)</f>
        <v>Q3</v>
      </c>
      <c r="T1139" s="79"/>
      <c r="U1139" s="40" t="str">
        <f>VLOOKUP(M1139,Table1[#All],7,FALSE)</f>
        <v>Q4</v>
      </c>
      <c r="V1139" s="79"/>
      <c r="W1139" s="40" t="str">
        <f>VLOOKUP(M1139,Table1[#All],8,FALSE)</f>
        <v>Q5</v>
      </c>
      <c r="X1139" s="79"/>
      <c r="Y1139" s="44" t="str">
        <f>VLOOKUP(M1139,Table1[#All],2,FALSE)</f>
        <v>Action</v>
      </c>
      <c r="Z1139" s="59" t="str">
        <f>VLOOKUP(M1139,Table1[#All],9,FALSE)</f>
        <v>Additional Notes:</v>
      </c>
      <c r="AA1139" s="76"/>
      <c r="AB1139" s="76"/>
      <c r="AC1139" s="90" t="s">
        <v>91</v>
      </c>
      <c r="AD1139" s="76" t="s">
        <v>91</v>
      </c>
      <c r="AE1139" s="77"/>
      <c r="AF1139" s="77"/>
      <c r="AG1139" s="41" t="s">
        <v>91</v>
      </c>
    </row>
    <row r="1140" spans="1:33" ht="21" hidden="1" x14ac:dyDescent="0.55000000000000004">
      <c r="A1140" s="44">
        <f>Data!K1139</f>
        <v>0</v>
      </c>
      <c r="B1140" s="44">
        <f>Data!L1139</f>
        <v>0</v>
      </c>
      <c r="C1140" s="44">
        <f>Data!D1139</f>
        <v>0</v>
      </c>
      <c r="D1140" s="82">
        <f>Data!F1139</f>
        <v>0</v>
      </c>
      <c r="E1140" s="82">
        <f>Data!B1139</f>
        <v>0</v>
      </c>
      <c r="F1140" s="44">
        <f>Data!A1139</f>
        <v>0</v>
      </c>
      <c r="G1140" s="55">
        <f>Data!C1139</f>
        <v>0</v>
      </c>
      <c r="H1140" s="56">
        <f>Data!H1139</f>
        <v>0</v>
      </c>
      <c r="I1140" s="56">
        <f>Data!I1139</f>
        <v>0</v>
      </c>
      <c r="J1140" s="57">
        <f>Data!J1139</f>
        <v>0</v>
      </c>
      <c r="K1140" s="58">
        <f t="shared" ca="1" si="19"/>
        <v>44700</v>
      </c>
      <c r="L1140" s="58">
        <f>Data!M1139</f>
        <v>0</v>
      </c>
      <c r="M1140" s="37" t="s">
        <v>26</v>
      </c>
      <c r="N1140" s="43" t="str">
        <f>VLOOKUP(M1140,Table1[#All],3,FALSE)</f>
        <v>Note</v>
      </c>
      <c r="O1140" s="40" t="str">
        <f>VLOOKUP(M1140,Table1[#All],4,FALSE)</f>
        <v>Q1</v>
      </c>
      <c r="P1140" s="39"/>
      <c r="Q1140" s="40" t="str">
        <f>VLOOKUP(M1140,Table1[#All],5,FALSE)</f>
        <v>Q2</v>
      </c>
      <c r="R1140" s="79"/>
      <c r="S1140" s="40" t="str">
        <f>VLOOKUP(M1140,Table1[#All],6,FALSE)</f>
        <v>Q3</v>
      </c>
      <c r="T1140" s="79"/>
      <c r="U1140" s="40" t="str">
        <f>VLOOKUP(M1140,Table1[#All],7,FALSE)</f>
        <v>Q4</v>
      </c>
      <c r="V1140" s="79"/>
      <c r="W1140" s="40" t="str">
        <f>VLOOKUP(M1140,Table1[#All],8,FALSE)</f>
        <v>Q5</v>
      </c>
      <c r="X1140" s="79"/>
      <c r="Y1140" s="44" t="str">
        <f>VLOOKUP(M1140,Table1[#All],2,FALSE)</f>
        <v>Action</v>
      </c>
      <c r="Z1140" s="59" t="str">
        <f>VLOOKUP(M1140,Table1[#All],9,FALSE)</f>
        <v>Additional Notes:</v>
      </c>
      <c r="AA1140" s="76"/>
      <c r="AB1140" s="76"/>
      <c r="AC1140" s="90" t="s">
        <v>91</v>
      </c>
      <c r="AD1140" s="76" t="s">
        <v>91</v>
      </c>
      <c r="AE1140" s="77"/>
      <c r="AF1140" s="77"/>
      <c r="AG1140" s="41" t="s">
        <v>91</v>
      </c>
    </row>
    <row r="1141" spans="1:33" ht="21" hidden="1" x14ac:dyDescent="0.55000000000000004">
      <c r="A1141" s="44">
        <f>Data!K1140</f>
        <v>0</v>
      </c>
      <c r="B1141" s="44">
        <f>Data!L1140</f>
        <v>0</v>
      </c>
      <c r="C1141" s="44">
        <f>Data!D1140</f>
        <v>0</v>
      </c>
      <c r="D1141" s="82">
        <f>Data!F1140</f>
        <v>0</v>
      </c>
      <c r="E1141" s="82">
        <f>Data!B1140</f>
        <v>0</v>
      </c>
      <c r="F1141" s="44">
        <f>Data!A1140</f>
        <v>0</v>
      </c>
      <c r="G1141" s="55">
        <f>Data!C1140</f>
        <v>0</v>
      </c>
      <c r="H1141" s="56">
        <f>Data!H1140</f>
        <v>0</v>
      </c>
      <c r="I1141" s="56">
        <f>Data!I1140</f>
        <v>0</v>
      </c>
      <c r="J1141" s="57">
        <f>Data!J1140</f>
        <v>0</v>
      </c>
      <c r="K1141" s="58">
        <f t="shared" ca="1" si="19"/>
        <v>44700</v>
      </c>
      <c r="L1141" s="58">
        <f>Data!M1140</f>
        <v>0</v>
      </c>
      <c r="M1141" s="37" t="s">
        <v>26</v>
      </c>
      <c r="N1141" s="43" t="str">
        <f>VLOOKUP(M1141,Table1[#All],3,FALSE)</f>
        <v>Note</v>
      </c>
      <c r="O1141" s="40" t="str">
        <f>VLOOKUP(M1141,Table1[#All],4,FALSE)</f>
        <v>Q1</v>
      </c>
      <c r="P1141" s="39"/>
      <c r="Q1141" s="40" t="str">
        <f>VLOOKUP(M1141,Table1[#All],5,FALSE)</f>
        <v>Q2</v>
      </c>
      <c r="R1141" s="79"/>
      <c r="S1141" s="40" t="str">
        <f>VLOOKUP(M1141,Table1[#All],6,FALSE)</f>
        <v>Q3</v>
      </c>
      <c r="T1141" s="79"/>
      <c r="U1141" s="40" t="str">
        <f>VLOOKUP(M1141,Table1[#All],7,FALSE)</f>
        <v>Q4</v>
      </c>
      <c r="V1141" s="79"/>
      <c r="W1141" s="40" t="str">
        <f>VLOOKUP(M1141,Table1[#All],8,FALSE)</f>
        <v>Q5</v>
      </c>
      <c r="X1141" s="79"/>
      <c r="Y1141" s="44" t="str">
        <f>VLOOKUP(M1141,Table1[#All],2,FALSE)</f>
        <v>Action</v>
      </c>
      <c r="Z1141" s="59" t="str">
        <f>VLOOKUP(M1141,Table1[#All],9,FALSE)</f>
        <v>Additional Notes:</v>
      </c>
      <c r="AA1141" s="76"/>
      <c r="AB1141" s="76"/>
      <c r="AC1141" s="90" t="s">
        <v>91</v>
      </c>
      <c r="AD1141" s="76" t="s">
        <v>91</v>
      </c>
      <c r="AE1141" s="77"/>
      <c r="AF1141" s="77"/>
      <c r="AG1141" s="41" t="s">
        <v>91</v>
      </c>
    </row>
    <row r="1142" spans="1:33" ht="21" hidden="1" x14ac:dyDescent="0.55000000000000004">
      <c r="A1142" s="44">
        <f>Data!K1141</f>
        <v>0</v>
      </c>
      <c r="B1142" s="44">
        <f>Data!L1141</f>
        <v>0</v>
      </c>
      <c r="C1142" s="44">
        <f>Data!D1141</f>
        <v>0</v>
      </c>
      <c r="D1142" s="82">
        <f>Data!F1141</f>
        <v>0</v>
      </c>
      <c r="E1142" s="82">
        <f>Data!B1141</f>
        <v>0</v>
      </c>
      <c r="F1142" s="44">
        <f>Data!A1141</f>
        <v>0</v>
      </c>
      <c r="G1142" s="55">
        <f>Data!C1141</f>
        <v>0</v>
      </c>
      <c r="H1142" s="56">
        <f>Data!H1141</f>
        <v>0</v>
      </c>
      <c r="I1142" s="56">
        <f>Data!I1141</f>
        <v>0</v>
      </c>
      <c r="J1142" s="57">
        <f>Data!J1141</f>
        <v>0</v>
      </c>
      <c r="K1142" s="58">
        <f t="shared" ca="1" si="19"/>
        <v>44700</v>
      </c>
      <c r="L1142" s="58">
        <f>Data!M1141</f>
        <v>0</v>
      </c>
      <c r="M1142" s="37" t="s">
        <v>26</v>
      </c>
      <c r="N1142" s="43" t="str">
        <f>VLOOKUP(M1142,Table1[#All],3,FALSE)</f>
        <v>Note</v>
      </c>
      <c r="O1142" s="40" t="str">
        <f>VLOOKUP(M1142,Table1[#All],4,FALSE)</f>
        <v>Q1</v>
      </c>
      <c r="P1142" s="39"/>
      <c r="Q1142" s="40" t="str">
        <f>VLOOKUP(M1142,Table1[#All],5,FALSE)</f>
        <v>Q2</v>
      </c>
      <c r="R1142" s="79"/>
      <c r="S1142" s="40" t="str">
        <f>VLOOKUP(M1142,Table1[#All],6,FALSE)</f>
        <v>Q3</v>
      </c>
      <c r="T1142" s="79"/>
      <c r="U1142" s="40" t="str">
        <f>VLOOKUP(M1142,Table1[#All],7,FALSE)</f>
        <v>Q4</v>
      </c>
      <c r="V1142" s="79"/>
      <c r="W1142" s="40" t="str">
        <f>VLOOKUP(M1142,Table1[#All],8,FALSE)</f>
        <v>Q5</v>
      </c>
      <c r="X1142" s="79"/>
      <c r="Y1142" s="44" t="str">
        <f>VLOOKUP(M1142,Table1[#All],2,FALSE)</f>
        <v>Action</v>
      </c>
      <c r="Z1142" s="59" t="str">
        <f>VLOOKUP(M1142,Table1[#All],9,FALSE)</f>
        <v>Additional Notes:</v>
      </c>
      <c r="AA1142" s="76"/>
      <c r="AB1142" s="76"/>
      <c r="AC1142" s="90" t="s">
        <v>91</v>
      </c>
      <c r="AD1142" s="76" t="s">
        <v>91</v>
      </c>
      <c r="AE1142" s="77"/>
      <c r="AF1142" s="77"/>
      <c r="AG1142" s="41" t="s">
        <v>91</v>
      </c>
    </row>
    <row r="1143" spans="1:33" ht="21" hidden="1" x14ac:dyDescent="0.55000000000000004">
      <c r="A1143" s="44">
        <f>Data!K1142</f>
        <v>0</v>
      </c>
      <c r="B1143" s="44">
        <f>Data!L1142</f>
        <v>0</v>
      </c>
      <c r="C1143" s="44">
        <f>Data!D1142</f>
        <v>0</v>
      </c>
      <c r="D1143" s="82">
        <f>Data!F1142</f>
        <v>0</v>
      </c>
      <c r="E1143" s="82">
        <f>Data!B1142</f>
        <v>0</v>
      </c>
      <c r="F1143" s="44">
        <f>Data!A1142</f>
        <v>0</v>
      </c>
      <c r="G1143" s="55">
        <f>Data!C1142</f>
        <v>0</v>
      </c>
      <c r="H1143" s="56">
        <f>Data!H1142</f>
        <v>0</v>
      </c>
      <c r="I1143" s="56">
        <f>Data!I1142</f>
        <v>0</v>
      </c>
      <c r="J1143" s="57">
        <f>Data!J1142</f>
        <v>0</v>
      </c>
      <c r="K1143" s="58">
        <f t="shared" ca="1" si="19"/>
        <v>44700</v>
      </c>
      <c r="L1143" s="58">
        <f>Data!M1142</f>
        <v>0</v>
      </c>
      <c r="M1143" s="37" t="s">
        <v>26</v>
      </c>
      <c r="N1143" s="43" t="str">
        <f>VLOOKUP(M1143,Table1[#All],3,FALSE)</f>
        <v>Note</v>
      </c>
      <c r="O1143" s="40" t="str">
        <f>VLOOKUP(M1143,Table1[#All],4,FALSE)</f>
        <v>Q1</v>
      </c>
      <c r="P1143" s="39"/>
      <c r="Q1143" s="40" t="str">
        <f>VLOOKUP(M1143,Table1[#All],5,FALSE)</f>
        <v>Q2</v>
      </c>
      <c r="R1143" s="79"/>
      <c r="S1143" s="40" t="str">
        <f>VLOOKUP(M1143,Table1[#All],6,FALSE)</f>
        <v>Q3</v>
      </c>
      <c r="T1143" s="79"/>
      <c r="U1143" s="40" t="str">
        <f>VLOOKUP(M1143,Table1[#All],7,FALSE)</f>
        <v>Q4</v>
      </c>
      <c r="V1143" s="79"/>
      <c r="W1143" s="40" t="str">
        <f>VLOOKUP(M1143,Table1[#All],8,FALSE)</f>
        <v>Q5</v>
      </c>
      <c r="X1143" s="79"/>
      <c r="Y1143" s="44" t="str">
        <f>VLOOKUP(M1143,Table1[#All],2,FALSE)</f>
        <v>Action</v>
      </c>
      <c r="Z1143" s="59" t="str">
        <f>VLOOKUP(M1143,Table1[#All],9,FALSE)</f>
        <v>Additional Notes:</v>
      </c>
      <c r="AA1143" s="76"/>
      <c r="AB1143" s="76"/>
      <c r="AC1143" s="90" t="s">
        <v>91</v>
      </c>
      <c r="AD1143" s="76" t="s">
        <v>91</v>
      </c>
      <c r="AE1143" s="77"/>
      <c r="AF1143" s="77"/>
      <c r="AG1143" s="41" t="s">
        <v>91</v>
      </c>
    </row>
    <row r="1144" spans="1:33" ht="21" hidden="1" x14ac:dyDescent="0.55000000000000004">
      <c r="A1144" s="44">
        <f>Data!K1143</f>
        <v>0</v>
      </c>
      <c r="B1144" s="44">
        <f>Data!L1143</f>
        <v>0</v>
      </c>
      <c r="C1144" s="44">
        <f>Data!D1143</f>
        <v>0</v>
      </c>
      <c r="D1144" s="82">
        <f>Data!F1143</f>
        <v>0</v>
      </c>
      <c r="E1144" s="82">
        <f>Data!B1143</f>
        <v>0</v>
      </c>
      <c r="F1144" s="44">
        <f>Data!A1143</f>
        <v>0</v>
      </c>
      <c r="G1144" s="55">
        <f>Data!C1143</f>
        <v>0</v>
      </c>
      <c r="H1144" s="56">
        <f>Data!H1143</f>
        <v>0</v>
      </c>
      <c r="I1144" s="56">
        <f>Data!I1143</f>
        <v>0</v>
      </c>
      <c r="J1144" s="57">
        <f>Data!J1143</f>
        <v>0</v>
      </c>
      <c r="K1144" s="58">
        <f t="shared" ca="1" si="19"/>
        <v>44700</v>
      </c>
      <c r="L1144" s="58">
        <f>Data!M1143</f>
        <v>0</v>
      </c>
      <c r="M1144" s="37" t="s">
        <v>26</v>
      </c>
      <c r="N1144" s="43" t="str">
        <f>VLOOKUP(M1144,Table1[#All],3,FALSE)</f>
        <v>Note</v>
      </c>
      <c r="O1144" s="40" t="str">
        <f>VLOOKUP(M1144,Table1[#All],4,FALSE)</f>
        <v>Q1</v>
      </c>
      <c r="P1144" s="39"/>
      <c r="Q1144" s="40" t="str">
        <f>VLOOKUP(M1144,Table1[#All],5,FALSE)</f>
        <v>Q2</v>
      </c>
      <c r="R1144" s="79"/>
      <c r="S1144" s="40" t="str">
        <f>VLOOKUP(M1144,Table1[#All],6,FALSE)</f>
        <v>Q3</v>
      </c>
      <c r="T1144" s="79"/>
      <c r="U1144" s="40" t="str">
        <f>VLOOKUP(M1144,Table1[#All],7,FALSE)</f>
        <v>Q4</v>
      </c>
      <c r="V1144" s="79"/>
      <c r="W1144" s="40" t="str">
        <f>VLOOKUP(M1144,Table1[#All],8,FALSE)</f>
        <v>Q5</v>
      </c>
      <c r="X1144" s="79"/>
      <c r="Y1144" s="44" t="str">
        <f>VLOOKUP(M1144,Table1[#All],2,FALSE)</f>
        <v>Action</v>
      </c>
      <c r="Z1144" s="59" t="str">
        <f>VLOOKUP(M1144,Table1[#All],9,FALSE)</f>
        <v>Additional Notes:</v>
      </c>
      <c r="AA1144" s="76"/>
      <c r="AB1144" s="76"/>
      <c r="AC1144" s="90" t="s">
        <v>91</v>
      </c>
      <c r="AD1144" s="76" t="s">
        <v>91</v>
      </c>
      <c r="AE1144" s="77"/>
      <c r="AF1144" s="77"/>
      <c r="AG1144" s="41" t="s">
        <v>91</v>
      </c>
    </row>
    <row r="1145" spans="1:33" ht="21" hidden="1" x14ac:dyDescent="0.55000000000000004">
      <c r="A1145" s="44">
        <f>Data!K1144</f>
        <v>0</v>
      </c>
      <c r="B1145" s="44">
        <f>Data!L1144</f>
        <v>0</v>
      </c>
      <c r="C1145" s="44">
        <f>Data!D1144</f>
        <v>0</v>
      </c>
      <c r="D1145" s="82">
        <f>Data!F1144</f>
        <v>0</v>
      </c>
      <c r="E1145" s="82">
        <f>Data!B1144</f>
        <v>0</v>
      </c>
      <c r="F1145" s="44">
        <f>Data!A1144</f>
        <v>0</v>
      </c>
      <c r="G1145" s="55">
        <f>Data!C1144</f>
        <v>0</v>
      </c>
      <c r="H1145" s="56">
        <f>Data!H1144</f>
        <v>0</v>
      </c>
      <c r="I1145" s="56">
        <f>Data!I1144</f>
        <v>0</v>
      </c>
      <c r="J1145" s="57">
        <f>Data!J1144</f>
        <v>0</v>
      </c>
      <c r="K1145" s="58">
        <f t="shared" ca="1" si="19"/>
        <v>44700</v>
      </c>
      <c r="L1145" s="58">
        <f>Data!M1144</f>
        <v>0</v>
      </c>
      <c r="M1145" s="37" t="s">
        <v>26</v>
      </c>
      <c r="N1145" s="43" t="str">
        <f>VLOOKUP(M1145,Table1[#All],3,FALSE)</f>
        <v>Note</v>
      </c>
      <c r="O1145" s="40" t="str">
        <f>VLOOKUP(M1145,Table1[#All],4,FALSE)</f>
        <v>Q1</v>
      </c>
      <c r="P1145" s="39"/>
      <c r="Q1145" s="40" t="str">
        <f>VLOOKUP(M1145,Table1[#All],5,FALSE)</f>
        <v>Q2</v>
      </c>
      <c r="R1145" s="79"/>
      <c r="S1145" s="40" t="str">
        <f>VLOOKUP(M1145,Table1[#All],6,FALSE)</f>
        <v>Q3</v>
      </c>
      <c r="T1145" s="79"/>
      <c r="U1145" s="40" t="str">
        <f>VLOOKUP(M1145,Table1[#All],7,FALSE)</f>
        <v>Q4</v>
      </c>
      <c r="V1145" s="79"/>
      <c r="W1145" s="40" t="str">
        <f>VLOOKUP(M1145,Table1[#All],8,FALSE)</f>
        <v>Q5</v>
      </c>
      <c r="X1145" s="79"/>
      <c r="Y1145" s="44" t="str">
        <f>VLOOKUP(M1145,Table1[#All],2,FALSE)</f>
        <v>Action</v>
      </c>
      <c r="Z1145" s="59" t="str">
        <f>VLOOKUP(M1145,Table1[#All],9,FALSE)</f>
        <v>Additional Notes:</v>
      </c>
      <c r="AA1145" s="76"/>
      <c r="AB1145" s="76"/>
      <c r="AC1145" s="90" t="s">
        <v>91</v>
      </c>
      <c r="AD1145" s="76" t="s">
        <v>91</v>
      </c>
      <c r="AE1145" s="77"/>
      <c r="AF1145" s="77"/>
      <c r="AG1145" s="41" t="s">
        <v>91</v>
      </c>
    </row>
    <row r="1146" spans="1:33" ht="21" hidden="1" x14ac:dyDescent="0.55000000000000004">
      <c r="A1146" s="44">
        <f>Data!K1145</f>
        <v>0</v>
      </c>
      <c r="B1146" s="44">
        <f>Data!L1145</f>
        <v>0</v>
      </c>
      <c r="C1146" s="44">
        <f>Data!D1145</f>
        <v>0</v>
      </c>
      <c r="D1146" s="82">
        <f>Data!F1145</f>
        <v>0</v>
      </c>
      <c r="E1146" s="82">
        <f>Data!B1145</f>
        <v>0</v>
      </c>
      <c r="F1146" s="44">
        <f>Data!A1145</f>
        <v>0</v>
      </c>
      <c r="G1146" s="55">
        <f>Data!C1145</f>
        <v>0</v>
      </c>
      <c r="H1146" s="56">
        <f>Data!H1145</f>
        <v>0</v>
      </c>
      <c r="I1146" s="56">
        <f>Data!I1145</f>
        <v>0</v>
      </c>
      <c r="J1146" s="57">
        <f>Data!J1145</f>
        <v>0</v>
      </c>
      <c r="K1146" s="58">
        <f t="shared" ca="1" si="19"/>
        <v>44700</v>
      </c>
      <c r="L1146" s="58">
        <f>Data!M1145</f>
        <v>0</v>
      </c>
      <c r="M1146" s="37" t="s">
        <v>26</v>
      </c>
      <c r="N1146" s="43" t="str">
        <f>VLOOKUP(M1146,Table1[#All],3,FALSE)</f>
        <v>Note</v>
      </c>
      <c r="O1146" s="40" t="str">
        <f>VLOOKUP(M1146,Table1[#All],4,FALSE)</f>
        <v>Q1</v>
      </c>
      <c r="P1146" s="39"/>
      <c r="Q1146" s="40" t="str">
        <f>VLOOKUP(M1146,Table1[#All],5,FALSE)</f>
        <v>Q2</v>
      </c>
      <c r="R1146" s="79"/>
      <c r="S1146" s="40" t="str">
        <f>VLOOKUP(M1146,Table1[#All],6,FALSE)</f>
        <v>Q3</v>
      </c>
      <c r="T1146" s="79"/>
      <c r="U1146" s="40" t="str">
        <f>VLOOKUP(M1146,Table1[#All],7,FALSE)</f>
        <v>Q4</v>
      </c>
      <c r="V1146" s="79"/>
      <c r="W1146" s="40" t="str">
        <f>VLOOKUP(M1146,Table1[#All],8,FALSE)</f>
        <v>Q5</v>
      </c>
      <c r="X1146" s="79"/>
      <c r="Y1146" s="44" t="str">
        <f>VLOOKUP(M1146,Table1[#All],2,FALSE)</f>
        <v>Action</v>
      </c>
      <c r="Z1146" s="59" t="str">
        <f>VLOOKUP(M1146,Table1[#All],9,FALSE)</f>
        <v>Additional Notes:</v>
      </c>
      <c r="AA1146" s="76"/>
      <c r="AB1146" s="76"/>
      <c r="AC1146" s="90" t="s">
        <v>91</v>
      </c>
      <c r="AD1146" s="76" t="s">
        <v>91</v>
      </c>
      <c r="AE1146" s="77"/>
      <c r="AF1146" s="77"/>
      <c r="AG1146" s="41" t="s">
        <v>91</v>
      </c>
    </row>
    <row r="1147" spans="1:33" ht="21" hidden="1" x14ac:dyDescent="0.55000000000000004">
      <c r="A1147" s="44">
        <f>Data!K1146</f>
        <v>0</v>
      </c>
      <c r="B1147" s="44">
        <f>Data!L1146</f>
        <v>0</v>
      </c>
      <c r="C1147" s="44">
        <f>Data!D1146</f>
        <v>0</v>
      </c>
      <c r="D1147" s="82">
        <f>Data!F1146</f>
        <v>0</v>
      </c>
      <c r="E1147" s="82">
        <f>Data!B1146</f>
        <v>0</v>
      </c>
      <c r="F1147" s="44">
        <f>Data!A1146</f>
        <v>0</v>
      </c>
      <c r="G1147" s="55">
        <f>Data!C1146</f>
        <v>0</v>
      </c>
      <c r="H1147" s="56">
        <f>Data!H1146</f>
        <v>0</v>
      </c>
      <c r="I1147" s="56">
        <f>Data!I1146</f>
        <v>0</v>
      </c>
      <c r="J1147" s="57">
        <f>Data!J1146</f>
        <v>0</v>
      </c>
      <c r="K1147" s="58">
        <f t="shared" ca="1" si="19"/>
        <v>44700</v>
      </c>
      <c r="L1147" s="58">
        <f>Data!M1146</f>
        <v>0</v>
      </c>
      <c r="M1147" s="37" t="s">
        <v>26</v>
      </c>
      <c r="N1147" s="43" t="str">
        <f>VLOOKUP(M1147,Table1[#All],3,FALSE)</f>
        <v>Note</v>
      </c>
      <c r="O1147" s="40" t="str">
        <f>VLOOKUP(M1147,Table1[#All],4,FALSE)</f>
        <v>Q1</v>
      </c>
      <c r="P1147" s="39"/>
      <c r="Q1147" s="40" t="str">
        <f>VLOOKUP(M1147,Table1[#All],5,FALSE)</f>
        <v>Q2</v>
      </c>
      <c r="R1147" s="79"/>
      <c r="S1147" s="40" t="str">
        <f>VLOOKUP(M1147,Table1[#All],6,FALSE)</f>
        <v>Q3</v>
      </c>
      <c r="T1147" s="79"/>
      <c r="U1147" s="40" t="str">
        <f>VLOOKUP(M1147,Table1[#All],7,FALSE)</f>
        <v>Q4</v>
      </c>
      <c r="V1147" s="79"/>
      <c r="W1147" s="40" t="str">
        <f>VLOOKUP(M1147,Table1[#All],8,FALSE)</f>
        <v>Q5</v>
      </c>
      <c r="X1147" s="79"/>
      <c r="Y1147" s="44" t="str">
        <f>VLOOKUP(M1147,Table1[#All],2,FALSE)</f>
        <v>Action</v>
      </c>
      <c r="Z1147" s="59" t="str">
        <f>VLOOKUP(M1147,Table1[#All],9,FALSE)</f>
        <v>Additional Notes:</v>
      </c>
      <c r="AA1147" s="76"/>
      <c r="AB1147" s="76"/>
      <c r="AC1147" s="90" t="s">
        <v>91</v>
      </c>
      <c r="AD1147" s="76" t="s">
        <v>91</v>
      </c>
      <c r="AE1147" s="77"/>
      <c r="AF1147" s="77"/>
      <c r="AG1147" s="41" t="s">
        <v>91</v>
      </c>
    </row>
    <row r="1148" spans="1:33" ht="21" hidden="1" x14ac:dyDescent="0.55000000000000004">
      <c r="A1148" s="44">
        <f>Data!K1147</f>
        <v>0</v>
      </c>
      <c r="B1148" s="44">
        <f>Data!L1147</f>
        <v>0</v>
      </c>
      <c r="C1148" s="44">
        <f>Data!D1147</f>
        <v>0</v>
      </c>
      <c r="D1148" s="82">
        <f>Data!F1147</f>
        <v>0</v>
      </c>
      <c r="E1148" s="82">
        <f>Data!B1147</f>
        <v>0</v>
      </c>
      <c r="F1148" s="44">
        <f>Data!A1147</f>
        <v>0</v>
      </c>
      <c r="G1148" s="55">
        <f>Data!C1147</f>
        <v>0</v>
      </c>
      <c r="H1148" s="56">
        <f>Data!H1147</f>
        <v>0</v>
      </c>
      <c r="I1148" s="56">
        <f>Data!I1147</f>
        <v>0</v>
      </c>
      <c r="J1148" s="57">
        <f>Data!J1147</f>
        <v>0</v>
      </c>
      <c r="K1148" s="58">
        <f t="shared" ca="1" si="19"/>
        <v>44700</v>
      </c>
      <c r="L1148" s="58">
        <f>Data!M1147</f>
        <v>0</v>
      </c>
      <c r="M1148" s="37" t="s">
        <v>26</v>
      </c>
      <c r="N1148" s="43" t="str">
        <f>VLOOKUP(M1148,Table1[#All],3,FALSE)</f>
        <v>Note</v>
      </c>
      <c r="O1148" s="40" t="str">
        <f>VLOOKUP(M1148,Table1[#All],4,FALSE)</f>
        <v>Q1</v>
      </c>
      <c r="P1148" s="39"/>
      <c r="Q1148" s="40" t="str">
        <f>VLOOKUP(M1148,Table1[#All],5,FALSE)</f>
        <v>Q2</v>
      </c>
      <c r="R1148" s="79"/>
      <c r="S1148" s="40" t="str">
        <f>VLOOKUP(M1148,Table1[#All],6,FALSE)</f>
        <v>Q3</v>
      </c>
      <c r="T1148" s="79"/>
      <c r="U1148" s="40" t="str">
        <f>VLOOKUP(M1148,Table1[#All],7,FALSE)</f>
        <v>Q4</v>
      </c>
      <c r="V1148" s="79"/>
      <c r="W1148" s="40" t="str">
        <f>VLOOKUP(M1148,Table1[#All],8,FALSE)</f>
        <v>Q5</v>
      </c>
      <c r="X1148" s="79"/>
      <c r="Y1148" s="44" t="str">
        <f>VLOOKUP(M1148,Table1[#All],2,FALSE)</f>
        <v>Action</v>
      </c>
      <c r="Z1148" s="59" t="str">
        <f>VLOOKUP(M1148,Table1[#All],9,FALSE)</f>
        <v>Additional Notes:</v>
      </c>
      <c r="AA1148" s="76"/>
      <c r="AB1148" s="76"/>
      <c r="AC1148" s="90" t="s">
        <v>91</v>
      </c>
      <c r="AD1148" s="76" t="s">
        <v>91</v>
      </c>
      <c r="AE1148" s="77"/>
      <c r="AF1148" s="77"/>
      <c r="AG1148" s="41" t="s">
        <v>91</v>
      </c>
    </row>
    <row r="1149" spans="1:33" ht="21" hidden="1" x14ac:dyDescent="0.55000000000000004">
      <c r="A1149" s="44">
        <f>Data!K1148</f>
        <v>0</v>
      </c>
      <c r="B1149" s="44">
        <f>Data!L1148</f>
        <v>0</v>
      </c>
      <c r="C1149" s="44">
        <f>Data!D1148</f>
        <v>0</v>
      </c>
      <c r="D1149" s="82">
        <f>Data!F1148</f>
        <v>0</v>
      </c>
      <c r="E1149" s="82">
        <f>Data!B1148</f>
        <v>0</v>
      </c>
      <c r="F1149" s="44">
        <f>Data!A1148</f>
        <v>0</v>
      </c>
      <c r="G1149" s="55">
        <f>Data!C1148</f>
        <v>0</v>
      </c>
      <c r="H1149" s="56">
        <f>Data!H1148</f>
        <v>0</v>
      </c>
      <c r="I1149" s="56">
        <f>Data!I1148</f>
        <v>0</v>
      </c>
      <c r="J1149" s="57">
        <f>Data!J1148</f>
        <v>0</v>
      </c>
      <c r="K1149" s="58">
        <f t="shared" ca="1" si="19"/>
        <v>44700</v>
      </c>
      <c r="L1149" s="58">
        <f>Data!M1148</f>
        <v>0</v>
      </c>
      <c r="M1149" s="37" t="s">
        <v>26</v>
      </c>
      <c r="N1149" s="43" t="str">
        <f>VLOOKUP(M1149,Table1[#All],3,FALSE)</f>
        <v>Note</v>
      </c>
      <c r="O1149" s="40" t="str">
        <f>VLOOKUP(M1149,Table1[#All],4,FALSE)</f>
        <v>Q1</v>
      </c>
      <c r="P1149" s="39"/>
      <c r="Q1149" s="40" t="str">
        <f>VLOOKUP(M1149,Table1[#All],5,FALSE)</f>
        <v>Q2</v>
      </c>
      <c r="R1149" s="79"/>
      <c r="S1149" s="40" t="str">
        <f>VLOOKUP(M1149,Table1[#All],6,FALSE)</f>
        <v>Q3</v>
      </c>
      <c r="T1149" s="79"/>
      <c r="U1149" s="40" t="str">
        <f>VLOOKUP(M1149,Table1[#All],7,FALSE)</f>
        <v>Q4</v>
      </c>
      <c r="V1149" s="79"/>
      <c r="W1149" s="40" t="str">
        <f>VLOOKUP(M1149,Table1[#All],8,FALSE)</f>
        <v>Q5</v>
      </c>
      <c r="X1149" s="79"/>
      <c r="Y1149" s="44" t="str">
        <f>VLOOKUP(M1149,Table1[#All],2,FALSE)</f>
        <v>Action</v>
      </c>
      <c r="Z1149" s="59" t="str">
        <f>VLOOKUP(M1149,Table1[#All],9,FALSE)</f>
        <v>Additional Notes:</v>
      </c>
      <c r="AA1149" s="76"/>
      <c r="AB1149" s="76"/>
      <c r="AC1149" s="90" t="s">
        <v>91</v>
      </c>
      <c r="AD1149" s="76" t="s">
        <v>91</v>
      </c>
      <c r="AE1149" s="77"/>
      <c r="AF1149" s="77"/>
      <c r="AG1149" s="41" t="s">
        <v>91</v>
      </c>
    </row>
    <row r="1150" spans="1:33" ht="21" hidden="1" x14ac:dyDescent="0.55000000000000004">
      <c r="A1150" s="44">
        <f>Data!K1149</f>
        <v>0</v>
      </c>
      <c r="B1150" s="44">
        <f>Data!L1149</f>
        <v>0</v>
      </c>
      <c r="C1150" s="44">
        <f>Data!D1149</f>
        <v>0</v>
      </c>
      <c r="D1150" s="82">
        <f>Data!F1149</f>
        <v>0</v>
      </c>
      <c r="E1150" s="82">
        <f>Data!B1149</f>
        <v>0</v>
      </c>
      <c r="F1150" s="44">
        <f>Data!A1149</f>
        <v>0</v>
      </c>
      <c r="G1150" s="55">
        <f>Data!C1149</f>
        <v>0</v>
      </c>
      <c r="H1150" s="56">
        <f>Data!H1149</f>
        <v>0</v>
      </c>
      <c r="I1150" s="56">
        <f>Data!I1149</f>
        <v>0</v>
      </c>
      <c r="J1150" s="57">
        <f>Data!J1149</f>
        <v>0</v>
      </c>
      <c r="K1150" s="58">
        <f t="shared" ca="1" si="19"/>
        <v>44700</v>
      </c>
      <c r="L1150" s="58">
        <f>Data!M1149</f>
        <v>0</v>
      </c>
      <c r="M1150" s="37" t="s">
        <v>26</v>
      </c>
      <c r="N1150" s="43" t="str">
        <f>VLOOKUP(M1150,Table1[#All],3,FALSE)</f>
        <v>Note</v>
      </c>
      <c r="O1150" s="40" t="str">
        <f>VLOOKUP(M1150,Table1[#All],4,FALSE)</f>
        <v>Q1</v>
      </c>
      <c r="P1150" s="39"/>
      <c r="Q1150" s="40" t="str">
        <f>VLOOKUP(M1150,Table1[#All],5,FALSE)</f>
        <v>Q2</v>
      </c>
      <c r="R1150" s="79"/>
      <c r="S1150" s="40" t="str">
        <f>VLOOKUP(M1150,Table1[#All],6,FALSE)</f>
        <v>Q3</v>
      </c>
      <c r="T1150" s="79"/>
      <c r="U1150" s="40" t="str">
        <f>VLOOKUP(M1150,Table1[#All],7,FALSE)</f>
        <v>Q4</v>
      </c>
      <c r="V1150" s="79"/>
      <c r="W1150" s="40" t="str">
        <f>VLOOKUP(M1150,Table1[#All],8,FALSE)</f>
        <v>Q5</v>
      </c>
      <c r="X1150" s="79"/>
      <c r="Y1150" s="44" t="str">
        <f>VLOOKUP(M1150,Table1[#All],2,FALSE)</f>
        <v>Action</v>
      </c>
      <c r="Z1150" s="59" t="str">
        <f>VLOOKUP(M1150,Table1[#All],9,FALSE)</f>
        <v>Additional Notes:</v>
      </c>
      <c r="AA1150" s="76"/>
      <c r="AB1150" s="76"/>
      <c r="AC1150" s="90" t="s">
        <v>91</v>
      </c>
      <c r="AD1150" s="76" t="s">
        <v>91</v>
      </c>
      <c r="AE1150" s="77"/>
      <c r="AF1150" s="77"/>
      <c r="AG1150" s="41" t="s">
        <v>91</v>
      </c>
    </row>
    <row r="1151" spans="1:33" ht="21" hidden="1" x14ac:dyDescent="0.55000000000000004">
      <c r="A1151" s="44">
        <f>Data!K1150</f>
        <v>0</v>
      </c>
      <c r="B1151" s="44">
        <f>Data!L1150</f>
        <v>0</v>
      </c>
      <c r="C1151" s="44">
        <f>Data!D1150</f>
        <v>0</v>
      </c>
      <c r="D1151" s="82">
        <f>Data!F1150</f>
        <v>0</v>
      </c>
      <c r="E1151" s="82">
        <f>Data!B1150</f>
        <v>0</v>
      </c>
      <c r="F1151" s="44">
        <f>Data!A1150</f>
        <v>0</v>
      </c>
      <c r="G1151" s="55">
        <f>Data!C1150</f>
        <v>0</v>
      </c>
      <c r="H1151" s="56">
        <f>Data!H1150</f>
        <v>0</v>
      </c>
      <c r="I1151" s="56">
        <f>Data!I1150</f>
        <v>0</v>
      </c>
      <c r="J1151" s="57">
        <f>Data!J1150</f>
        <v>0</v>
      </c>
      <c r="K1151" s="58">
        <f t="shared" ca="1" si="19"/>
        <v>44700</v>
      </c>
      <c r="L1151" s="58">
        <f>Data!M1150</f>
        <v>0</v>
      </c>
      <c r="M1151" s="37" t="s">
        <v>26</v>
      </c>
      <c r="N1151" s="43" t="str">
        <f>VLOOKUP(M1151,Table1[#All],3,FALSE)</f>
        <v>Note</v>
      </c>
      <c r="O1151" s="40" t="str">
        <f>VLOOKUP(M1151,Table1[#All],4,FALSE)</f>
        <v>Q1</v>
      </c>
      <c r="P1151" s="39"/>
      <c r="Q1151" s="40" t="str">
        <f>VLOOKUP(M1151,Table1[#All],5,FALSE)</f>
        <v>Q2</v>
      </c>
      <c r="R1151" s="79"/>
      <c r="S1151" s="40" t="str">
        <f>VLOOKUP(M1151,Table1[#All],6,FALSE)</f>
        <v>Q3</v>
      </c>
      <c r="T1151" s="79"/>
      <c r="U1151" s="40" t="str">
        <f>VLOOKUP(M1151,Table1[#All],7,FALSE)</f>
        <v>Q4</v>
      </c>
      <c r="V1151" s="79"/>
      <c r="W1151" s="40" t="str">
        <f>VLOOKUP(M1151,Table1[#All],8,FALSE)</f>
        <v>Q5</v>
      </c>
      <c r="X1151" s="79"/>
      <c r="Y1151" s="44" t="str">
        <f>VLOOKUP(M1151,Table1[#All],2,FALSE)</f>
        <v>Action</v>
      </c>
      <c r="Z1151" s="59" t="str">
        <f>VLOOKUP(M1151,Table1[#All],9,FALSE)</f>
        <v>Additional Notes:</v>
      </c>
      <c r="AA1151" s="76"/>
      <c r="AB1151" s="76"/>
      <c r="AC1151" s="90" t="s">
        <v>91</v>
      </c>
      <c r="AD1151" s="76" t="s">
        <v>91</v>
      </c>
      <c r="AE1151" s="77"/>
      <c r="AF1151" s="77"/>
      <c r="AG1151" s="41" t="s">
        <v>91</v>
      </c>
    </row>
    <row r="1152" spans="1:33" ht="21" hidden="1" x14ac:dyDescent="0.55000000000000004">
      <c r="A1152" s="44">
        <f>Data!K1151</f>
        <v>0</v>
      </c>
      <c r="B1152" s="44">
        <f>Data!L1151</f>
        <v>0</v>
      </c>
      <c r="C1152" s="44">
        <f>Data!D1151</f>
        <v>0</v>
      </c>
      <c r="D1152" s="82">
        <f>Data!F1151</f>
        <v>0</v>
      </c>
      <c r="E1152" s="82">
        <f>Data!B1151</f>
        <v>0</v>
      </c>
      <c r="F1152" s="44">
        <f>Data!A1151</f>
        <v>0</v>
      </c>
      <c r="G1152" s="55">
        <f>Data!C1151</f>
        <v>0</v>
      </c>
      <c r="H1152" s="56">
        <f>Data!H1151</f>
        <v>0</v>
      </c>
      <c r="I1152" s="56">
        <f>Data!I1151</f>
        <v>0</v>
      </c>
      <c r="J1152" s="57">
        <f>Data!J1151</f>
        <v>0</v>
      </c>
      <c r="K1152" s="58">
        <f t="shared" ca="1" si="19"/>
        <v>44700</v>
      </c>
      <c r="L1152" s="58">
        <f>Data!M1151</f>
        <v>0</v>
      </c>
      <c r="M1152" s="37" t="s">
        <v>26</v>
      </c>
      <c r="N1152" s="43" t="str">
        <f>VLOOKUP(M1152,Table1[#All],3,FALSE)</f>
        <v>Note</v>
      </c>
      <c r="O1152" s="40" t="str">
        <f>VLOOKUP(M1152,Table1[#All],4,FALSE)</f>
        <v>Q1</v>
      </c>
      <c r="P1152" s="39"/>
      <c r="Q1152" s="40" t="str">
        <f>VLOOKUP(M1152,Table1[#All],5,FALSE)</f>
        <v>Q2</v>
      </c>
      <c r="R1152" s="79"/>
      <c r="S1152" s="40" t="str">
        <f>VLOOKUP(M1152,Table1[#All],6,FALSE)</f>
        <v>Q3</v>
      </c>
      <c r="T1152" s="79"/>
      <c r="U1152" s="40" t="str">
        <f>VLOOKUP(M1152,Table1[#All],7,FALSE)</f>
        <v>Q4</v>
      </c>
      <c r="V1152" s="79"/>
      <c r="W1152" s="40" t="str">
        <f>VLOOKUP(M1152,Table1[#All],8,FALSE)</f>
        <v>Q5</v>
      </c>
      <c r="X1152" s="79"/>
      <c r="Y1152" s="44" t="str">
        <f>VLOOKUP(M1152,Table1[#All],2,FALSE)</f>
        <v>Action</v>
      </c>
      <c r="Z1152" s="59" t="str">
        <f>VLOOKUP(M1152,Table1[#All],9,FALSE)</f>
        <v>Additional Notes:</v>
      </c>
      <c r="AA1152" s="76"/>
      <c r="AB1152" s="76"/>
      <c r="AC1152" s="90" t="s">
        <v>91</v>
      </c>
      <c r="AD1152" s="76" t="s">
        <v>91</v>
      </c>
      <c r="AE1152" s="77"/>
      <c r="AF1152" s="77"/>
      <c r="AG1152" s="41" t="s">
        <v>91</v>
      </c>
    </row>
    <row r="1153" spans="1:33" ht="21" hidden="1" x14ac:dyDescent="0.55000000000000004">
      <c r="A1153" s="44">
        <f>Data!K1152</f>
        <v>0</v>
      </c>
      <c r="B1153" s="44">
        <f>Data!L1152</f>
        <v>0</v>
      </c>
      <c r="C1153" s="44">
        <f>Data!D1152</f>
        <v>0</v>
      </c>
      <c r="D1153" s="82">
        <f>Data!F1152</f>
        <v>0</v>
      </c>
      <c r="E1153" s="82">
        <f>Data!B1152</f>
        <v>0</v>
      </c>
      <c r="F1153" s="44">
        <f>Data!A1152</f>
        <v>0</v>
      </c>
      <c r="G1153" s="55">
        <f>Data!C1152</f>
        <v>0</v>
      </c>
      <c r="H1153" s="56">
        <f>Data!H1152</f>
        <v>0</v>
      </c>
      <c r="I1153" s="56">
        <f>Data!I1152</f>
        <v>0</v>
      </c>
      <c r="J1153" s="57">
        <f>Data!J1152</f>
        <v>0</v>
      </c>
      <c r="K1153" s="58">
        <f t="shared" ca="1" si="19"/>
        <v>44700</v>
      </c>
      <c r="L1153" s="58">
        <f>Data!M1152</f>
        <v>0</v>
      </c>
      <c r="M1153" s="37" t="s">
        <v>26</v>
      </c>
      <c r="N1153" s="43" t="str">
        <f>VLOOKUP(M1153,Table1[#All],3,FALSE)</f>
        <v>Note</v>
      </c>
      <c r="O1153" s="40" t="str">
        <f>VLOOKUP(M1153,Table1[#All],4,FALSE)</f>
        <v>Q1</v>
      </c>
      <c r="P1153" s="39"/>
      <c r="Q1153" s="40" t="str">
        <f>VLOOKUP(M1153,Table1[#All],5,FALSE)</f>
        <v>Q2</v>
      </c>
      <c r="R1153" s="79"/>
      <c r="S1153" s="40" t="str">
        <f>VLOOKUP(M1153,Table1[#All],6,FALSE)</f>
        <v>Q3</v>
      </c>
      <c r="T1153" s="79"/>
      <c r="U1153" s="40" t="str">
        <f>VLOOKUP(M1153,Table1[#All],7,FALSE)</f>
        <v>Q4</v>
      </c>
      <c r="V1153" s="79"/>
      <c r="W1153" s="40" t="str">
        <f>VLOOKUP(M1153,Table1[#All],8,FALSE)</f>
        <v>Q5</v>
      </c>
      <c r="X1153" s="79"/>
      <c r="Y1153" s="44" t="str">
        <f>VLOOKUP(M1153,Table1[#All],2,FALSE)</f>
        <v>Action</v>
      </c>
      <c r="Z1153" s="59" t="str">
        <f>VLOOKUP(M1153,Table1[#All],9,FALSE)</f>
        <v>Additional Notes:</v>
      </c>
      <c r="AA1153" s="76"/>
      <c r="AB1153" s="76"/>
      <c r="AC1153" s="90" t="s">
        <v>91</v>
      </c>
      <c r="AD1153" s="76" t="s">
        <v>91</v>
      </c>
      <c r="AE1153" s="77"/>
      <c r="AF1153" s="77"/>
      <c r="AG1153" s="41" t="s">
        <v>91</v>
      </c>
    </row>
    <row r="1154" spans="1:33" ht="21" hidden="1" x14ac:dyDescent="0.55000000000000004">
      <c r="A1154" s="44">
        <f>Data!K1153</f>
        <v>0</v>
      </c>
      <c r="B1154" s="44">
        <f>Data!L1153</f>
        <v>0</v>
      </c>
      <c r="C1154" s="44">
        <f>Data!D1153</f>
        <v>0</v>
      </c>
      <c r="D1154" s="82">
        <f>Data!F1153</f>
        <v>0</v>
      </c>
      <c r="E1154" s="82">
        <f>Data!B1153</f>
        <v>0</v>
      </c>
      <c r="F1154" s="44">
        <f>Data!A1153</f>
        <v>0</v>
      </c>
      <c r="G1154" s="55">
        <f>Data!C1153</f>
        <v>0</v>
      </c>
      <c r="H1154" s="56">
        <f>Data!H1153</f>
        <v>0</v>
      </c>
      <c r="I1154" s="56">
        <f>Data!I1153</f>
        <v>0</v>
      </c>
      <c r="J1154" s="57">
        <f>Data!J1153</f>
        <v>0</v>
      </c>
      <c r="K1154" s="58">
        <f t="shared" ca="1" si="19"/>
        <v>44700</v>
      </c>
      <c r="L1154" s="58">
        <f>Data!M1153</f>
        <v>0</v>
      </c>
      <c r="M1154" s="37" t="s">
        <v>26</v>
      </c>
      <c r="N1154" s="43" t="str">
        <f>VLOOKUP(M1154,Table1[#All],3,FALSE)</f>
        <v>Note</v>
      </c>
      <c r="O1154" s="40" t="str">
        <f>VLOOKUP(M1154,Table1[#All],4,FALSE)</f>
        <v>Q1</v>
      </c>
      <c r="P1154" s="39"/>
      <c r="Q1154" s="40" t="str">
        <f>VLOOKUP(M1154,Table1[#All],5,FALSE)</f>
        <v>Q2</v>
      </c>
      <c r="R1154" s="79"/>
      <c r="S1154" s="40" t="str">
        <f>VLOOKUP(M1154,Table1[#All],6,FALSE)</f>
        <v>Q3</v>
      </c>
      <c r="T1154" s="79"/>
      <c r="U1154" s="40" t="str">
        <f>VLOOKUP(M1154,Table1[#All],7,FALSE)</f>
        <v>Q4</v>
      </c>
      <c r="V1154" s="79"/>
      <c r="W1154" s="40" t="str">
        <f>VLOOKUP(M1154,Table1[#All],8,FALSE)</f>
        <v>Q5</v>
      </c>
      <c r="X1154" s="79"/>
      <c r="Y1154" s="44" t="str">
        <f>VLOOKUP(M1154,Table1[#All],2,FALSE)</f>
        <v>Action</v>
      </c>
      <c r="Z1154" s="59" t="str">
        <f>VLOOKUP(M1154,Table1[#All],9,FALSE)</f>
        <v>Additional Notes:</v>
      </c>
      <c r="AA1154" s="76"/>
      <c r="AB1154" s="76"/>
      <c r="AC1154" s="90" t="s">
        <v>91</v>
      </c>
      <c r="AD1154" s="76" t="s">
        <v>91</v>
      </c>
      <c r="AE1154" s="77"/>
      <c r="AF1154" s="77"/>
      <c r="AG1154" s="41" t="s">
        <v>91</v>
      </c>
    </row>
    <row r="1155" spans="1:33" ht="21" hidden="1" x14ac:dyDescent="0.55000000000000004">
      <c r="A1155" s="44">
        <f>Data!K1154</f>
        <v>0</v>
      </c>
      <c r="B1155" s="44">
        <f>Data!L1154</f>
        <v>0</v>
      </c>
      <c r="C1155" s="44">
        <f>Data!D1154</f>
        <v>0</v>
      </c>
      <c r="D1155" s="82">
        <f>Data!F1154</f>
        <v>0</v>
      </c>
      <c r="E1155" s="82">
        <f>Data!B1154</f>
        <v>0</v>
      </c>
      <c r="F1155" s="44">
        <f>Data!A1154</f>
        <v>0</v>
      </c>
      <c r="G1155" s="55">
        <f>Data!C1154</f>
        <v>0</v>
      </c>
      <c r="H1155" s="56">
        <f>Data!H1154</f>
        <v>0</v>
      </c>
      <c r="I1155" s="56">
        <f>Data!I1154</f>
        <v>0</v>
      </c>
      <c r="J1155" s="57">
        <f>Data!J1154</f>
        <v>0</v>
      </c>
      <c r="K1155" s="58">
        <f t="shared" ca="1" si="19"/>
        <v>44700</v>
      </c>
      <c r="L1155" s="58">
        <f>Data!M1154</f>
        <v>0</v>
      </c>
      <c r="M1155" s="37" t="s">
        <v>26</v>
      </c>
      <c r="N1155" s="43" t="str">
        <f>VLOOKUP(M1155,Table1[#All],3,FALSE)</f>
        <v>Note</v>
      </c>
      <c r="O1155" s="40" t="str">
        <f>VLOOKUP(M1155,Table1[#All],4,FALSE)</f>
        <v>Q1</v>
      </c>
      <c r="P1155" s="39"/>
      <c r="Q1155" s="40" t="str">
        <f>VLOOKUP(M1155,Table1[#All],5,FALSE)</f>
        <v>Q2</v>
      </c>
      <c r="R1155" s="79"/>
      <c r="S1155" s="40" t="str">
        <f>VLOOKUP(M1155,Table1[#All],6,FALSE)</f>
        <v>Q3</v>
      </c>
      <c r="T1155" s="79"/>
      <c r="U1155" s="40" t="str">
        <f>VLOOKUP(M1155,Table1[#All],7,FALSE)</f>
        <v>Q4</v>
      </c>
      <c r="V1155" s="79"/>
      <c r="W1155" s="40" t="str">
        <f>VLOOKUP(M1155,Table1[#All],8,FALSE)</f>
        <v>Q5</v>
      </c>
      <c r="X1155" s="79"/>
      <c r="Y1155" s="44" t="str">
        <f>VLOOKUP(M1155,Table1[#All],2,FALSE)</f>
        <v>Action</v>
      </c>
      <c r="Z1155" s="59" t="str">
        <f>VLOOKUP(M1155,Table1[#All],9,FALSE)</f>
        <v>Additional Notes:</v>
      </c>
      <c r="AA1155" s="76"/>
      <c r="AB1155" s="76"/>
      <c r="AC1155" s="90" t="s">
        <v>91</v>
      </c>
      <c r="AD1155" s="76" t="s">
        <v>91</v>
      </c>
      <c r="AE1155" s="77"/>
      <c r="AF1155" s="77"/>
      <c r="AG1155" s="41" t="s">
        <v>91</v>
      </c>
    </row>
    <row r="1156" spans="1:33" ht="21" hidden="1" x14ac:dyDescent="0.55000000000000004">
      <c r="A1156" s="44">
        <f>Data!K1155</f>
        <v>0</v>
      </c>
      <c r="B1156" s="44">
        <f>Data!L1155</f>
        <v>0</v>
      </c>
      <c r="C1156" s="44">
        <f>Data!D1155</f>
        <v>0</v>
      </c>
      <c r="D1156" s="82">
        <f>Data!F1155</f>
        <v>0</v>
      </c>
      <c r="E1156" s="82">
        <f>Data!B1155</f>
        <v>0</v>
      </c>
      <c r="F1156" s="44">
        <f>Data!A1155</f>
        <v>0</v>
      </c>
      <c r="G1156" s="55">
        <f>Data!C1155</f>
        <v>0</v>
      </c>
      <c r="H1156" s="56">
        <f>Data!H1155</f>
        <v>0</v>
      </c>
      <c r="I1156" s="56">
        <f>Data!I1155</f>
        <v>0</v>
      </c>
      <c r="J1156" s="57">
        <f>Data!J1155</f>
        <v>0</v>
      </c>
      <c r="K1156" s="58">
        <f t="shared" ca="1" si="19"/>
        <v>44700</v>
      </c>
      <c r="L1156" s="58">
        <f>Data!M1155</f>
        <v>0</v>
      </c>
      <c r="M1156" s="37" t="s">
        <v>26</v>
      </c>
      <c r="N1156" s="43" t="str">
        <f>VLOOKUP(M1156,Table1[#All],3,FALSE)</f>
        <v>Note</v>
      </c>
      <c r="O1156" s="40" t="str">
        <f>VLOOKUP(M1156,Table1[#All],4,FALSE)</f>
        <v>Q1</v>
      </c>
      <c r="P1156" s="39"/>
      <c r="Q1156" s="40" t="str">
        <f>VLOOKUP(M1156,Table1[#All],5,FALSE)</f>
        <v>Q2</v>
      </c>
      <c r="R1156" s="79"/>
      <c r="S1156" s="40" t="str">
        <f>VLOOKUP(M1156,Table1[#All],6,FALSE)</f>
        <v>Q3</v>
      </c>
      <c r="T1156" s="79"/>
      <c r="U1156" s="40" t="str">
        <f>VLOOKUP(M1156,Table1[#All],7,FALSE)</f>
        <v>Q4</v>
      </c>
      <c r="V1156" s="79"/>
      <c r="W1156" s="40" t="str">
        <f>VLOOKUP(M1156,Table1[#All],8,FALSE)</f>
        <v>Q5</v>
      </c>
      <c r="X1156" s="79"/>
      <c r="Y1156" s="44" t="str">
        <f>VLOOKUP(M1156,Table1[#All],2,FALSE)</f>
        <v>Action</v>
      </c>
      <c r="Z1156" s="59" t="str">
        <f>VLOOKUP(M1156,Table1[#All],9,FALSE)</f>
        <v>Additional Notes:</v>
      </c>
      <c r="AA1156" s="76"/>
      <c r="AB1156" s="76"/>
      <c r="AC1156" s="90" t="s">
        <v>91</v>
      </c>
      <c r="AD1156" s="76" t="s">
        <v>91</v>
      </c>
      <c r="AE1156" s="77"/>
      <c r="AF1156" s="77"/>
      <c r="AG1156" s="41" t="s">
        <v>91</v>
      </c>
    </row>
    <row r="1157" spans="1:33" ht="21" hidden="1" x14ac:dyDescent="0.55000000000000004">
      <c r="A1157" s="44">
        <f>Data!K1156</f>
        <v>0</v>
      </c>
      <c r="B1157" s="44">
        <f>Data!L1156</f>
        <v>0</v>
      </c>
      <c r="C1157" s="44">
        <f>Data!D1156</f>
        <v>0</v>
      </c>
      <c r="D1157" s="82">
        <f>Data!F1156</f>
        <v>0</v>
      </c>
      <c r="E1157" s="82">
        <f>Data!B1156</f>
        <v>0</v>
      </c>
      <c r="F1157" s="44">
        <f>Data!A1156</f>
        <v>0</v>
      </c>
      <c r="G1157" s="55">
        <f>Data!C1156</f>
        <v>0</v>
      </c>
      <c r="H1157" s="56">
        <f>Data!H1156</f>
        <v>0</v>
      </c>
      <c r="I1157" s="56">
        <f>Data!I1156</f>
        <v>0</v>
      </c>
      <c r="J1157" s="57">
        <f>Data!J1156</f>
        <v>0</v>
      </c>
      <c r="K1157" s="58">
        <f t="shared" ca="1" si="19"/>
        <v>44700</v>
      </c>
      <c r="L1157" s="58">
        <f>Data!M1156</f>
        <v>0</v>
      </c>
      <c r="M1157" s="37" t="s">
        <v>26</v>
      </c>
      <c r="N1157" s="43" t="str">
        <f>VLOOKUP(M1157,Table1[#All],3,FALSE)</f>
        <v>Note</v>
      </c>
      <c r="O1157" s="40" t="str">
        <f>VLOOKUP(M1157,Table1[#All],4,FALSE)</f>
        <v>Q1</v>
      </c>
      <c r="P1157" s="39"/>
      <c r="Q1157" s="40" t="str">
        <f>VLOOKUP(M1157,Table1[#All],5,FALSE)</f>
        <v>Q2</v>
      </c>
      <c r="R1157" s="79"/>
      <c r="S1157" s="40" t="str">
        <f>VLOOKUP(M1157,Table1[#All],6,FALSE)</f>
        <v>Q3</v>
      </c>
      <c r="T1157" s="79"/>
      <c r="U1157" s="40" t="str">
        <f>VLOOKUP(M1157,Table1[#All],7,FALSE)</f>
        <v>Q4</v>
      </c>
      <c r="V1157" s="79"/>
      <c r="W1157" s="40" t="str">
        <f>VLOOKUP(M1157,Table1[#All],8,FALSE)</f>
        <v>Q5</v>
      </c>
      <c r="X1157" s="79"/>
      <c r="Y1157" s="44" t="str">
        <f>VLOOKUP(M1157,Table1[#All],2,FALSE)</f>
        <v>Action</v>
      </c>
      <c r="Z1157" s="59" t="str">
        <f>VLOOKUP(M1157,Table1[#All],9,FALSE)</f>
        <v>Additional Notes:</v>
      </c>
      <c r="AA1157" s="76"/>
      <c r="AB1157" s="76"/>
      <c r="AC1157" s="90" t="s">
        <v>91</v>
      </c>
      <c r="AD1157" s="76" t="s">
        <v>91</v>
      </c>
      <c r="AE1157" s="77"/>
      <c r="AF1157" s="77"/>
      <c r="AG1157" s="41" t="s">
        <v>91</v>
      </c>
    </row>
    <row r="1158" spans="1:33" ht="21" hidden="1" x14ac:dyDescent="0.55000000000000004">
      <c r="A1158" s="44">
        <f>Data!K1157</f>
        <v>0</v>
      </c>
      <c r="B1158" s="44">
        <f>Data!L1157</f>
        <v>0</v>
      </c>
      <c r="C1158" s="44">
        <f>Data!D1157</f>
        <v>0</v>
      </c>
      <c r="D1158" s="82">
        <f>Data!F1157</f>
        <v>0</v>
      </c>
      <c r="E1158" s="82">
        <f>Data!B1157</f>
        <v>0</v>
      </c>
      <c r="F1158" s="44">
        <f>Data!A1157</f>
        <v>0</v>
      </c>
      <c r="G1158" s="55">
        <f>Data!C1157</f>
        <v>0</v>
      </c>
      <c r="H1158" s="56">
        <f>Data!H1157</f>
        <v>0</v>
      </c>
      <c r="I1158" s="56">
        <f>Data!I1157</f>
        <v>0</v>
      </c>
      <c r="J1158" s="57">
        <f>Data!J1157</f>
        <v>0</v>
      </c>
      <c r="K1158" s="58">
        <f t="shared" ca="1" si="19"/>
        <v>44700</v>
      </c>
      <c r="L1158" s="58">
        <f>Data!M1157</f>
        <v>0</v>
      </c>
      <c r="M1158" s="37" t="s">
        <v>26</v>
      </c>
      <c r="N1158" s="43" t="str">
        <f>VLOOKUP(M1158,Table1[#All],3,FALSE)</f>
        <v>Note</v>
      </c>
      <c r="O1158" s="40" t="str">
        <f>VLOOKUP(M1158,Table1[#All],4,FALSE)</f>
        <v>Q1</v>
      </c>
      <c r="P1158" s="39"/>
      <c r="Q1158" s="40" t="str">
        <f>VLOOKUP(M1158,Table1[#All],5,FALSE)</f>
        <v>Q2</v>
      </c>
      <c r="R1158" s="79"/>
      <c r="S1158" s="40" t="str">
        <f>VLOOKUP(M1158,Table1[#All],6,FALSE)</f>
        <v>Q3</v>
      </c>
      <c r="T1158" s="79"/>
      <c r="U1158" s="40" t="str">
        <f>VLOOKUP(M1158,Table1[#All],7,FALSE)</f>
        <v>Q4</v>
      </c>
      <c r="V1158" s="79"/>
      <c r="W1158" s="40" t="str">
        <f>VLOOKUP(M1158,Table1[#All],8,FALSE)</f>
        <v>Q5</v>
      </c>
      <c r="X1158" s="79"/>
      <c r="Y1158" s="44" t="str">
        <f>VLOOKUP(M1158,Table1[#All],2,FALSE)</f>
        <v>Action</v>
      </c>
      <c r="Z1158" s="59" t="str">
        <f>VLOOKUP(M1158,Table1[#All],9,FALSE)</f>
        <v>Additional Notes:</v>
      </c>
      <c r="AA1158" s="76"/>
      <c r="AB1158" s="76"/>
      <c r="AC1158" s="90" t="s">
        <v>91</v>
      </c>
      <c r="AD1158" s="76" t="s">
        <v>91</v>
      </c>
      <c r="AE1158" s="77"/>
      <c r="AF1158" s="77"/>
      <c r="AG1158" s="41" t="s">
        <v>91</v>
      </c>
    </row>
    <row r="1159" spans="1:33" ht="21" hidden="1" x14ac:dyDescent="0.55000000000000004">
      <c r="A1159" s="44">
        <f>Data!K1158</f>
        <v>0</v>
      </c>
      <c r="B1159" s="44">
        <f>Data!L1158</f>
        <v>0</v>
      </c>
      <c r="C1159" s="44">
        <f>Data!D1158</f>
        <v>0</v>
      </c>
      <c r="D1159" s="82">
        <f>Data!F1158</f>
        <v>0</v>
      </c>
      <c r="E1159" s="82">
        <f>Data!B1158</f>
        <v>0</v>
      </c>
      <c r="F1159" s="44">
        <f>Data!A1158</f>
        <v>0</v>
      </c>
      <c r="G1159" s="55">
        <f>Data!C1158</f>
        <v>0</v>
      </c>
      <c r="H1159" s="56">
        <f>Data!H1158</f>
        <v>0</v>
      </c>
      <c r="I1159" s="56">
        <f>Data!I1158</f>
        <v>0</v>
      </c>
      <c r="J1159" s="57">
        <f>Data!J1158</f>
        <v>0</v>
      </c>
      <c r="K1159" s="58">
        <f t="shared" ca="1" si="19"/>
        <v>44700</v>
      </c>
      <c r="L1159" s="58">
        <f>Data!M1158</f>
        <v>0</v>
      </c>
      <c r="M1159" s="37" t="s">
        <v>26</v>
      </c>
      <c r="N1159" s="43" t="str">
        <f>VLOOKUP(M1159,Table1[#All],3,FALSE)</f>
        <v>Note</v>
      </c>
      <c r="O1159" s="40" t="str">
        <f>VLOOKUP(M1159,Table1[#All],4,FALSE)</f>
        <v>Q1</v>
      </c>
      <c r="P1159" s="39"/>
      <c r="Q1159" s="40" t="str">
        <f>VLOOKUP(M1159,Table1[#All],5,FALSE)</f>
        <v>Q2</v>
      </c>
      <c r="R1159" s="79"/>
      <c r="S1159" s="40" t="str">
        <f>VLOOKUP(M1159,Table1[#All],6,FALSE)</f>
        <v>Q3</v>
      </c>
      <c r="T1159" s="79"/>
      <c r="U1159" s="40" t="str">
        <f>VLOOKUP(M1159,Table1[#All],7,FALSE)</f>
        <v>Q4</v>
      </c>
      <c r="V1159" s="79"/>
      <c r="W1159" s="40" t="str">
        <f>VLOOKUP(M1159,Table1[#All],8,FALSE)</f>
        <v>Q5</v>
      </c>
      <c r="X1159" s="79"/>
      <c r="Y1159" s="44" t="str">
        <f>VLOOKUP(M1159,Table1[#All],2,FALSE)</f>
        <v>Action</v>
      </c>
      <c r="Z1159" s="59" t="str">
        <f>VLOOKUP(M1159,Table1[#All],9,FALSE)</f>
        <v>Additional Notes:</v>
      </c>
      <c r="AA1159" s="76"/>
      <c r="AB1159" s="76"/>
      <c r="AC1159" s="90" t="s">
        <v>91</v>
      </c>
      <c r="AD1159" s="76" t="s">
        <v>91</v>
      </c>
      <c r="AE1159" s="77"/>
      <c r="AF1159" s="77"/>
      <c r="AG1159" s="41" t="s">
        <v>91</v>
      </c>
    </row>
    <row r="1160" spans="1:33" ht="21" hidden="1" x14ac:dyDescent="0.55000000000000004">
      <c r="A1160" s="44">
        <f>Data!K1159</f>
        <v>0</v>
      </c>
      <c r="B1160" s="44">
        <f>Data!L1159</f>
        <v>0</v>
      </c>
      <c r="C1160" s="44">
        <f>Data!D1159</f>
        <v>0</v>
      </c>
      <c r="D1160" s="82">
        <f>Data!F1159</f>
        <v>0</v>
      </c>
      <c r="E1160" s="82">
        <f>Data!B1159</f>
        <v>0</v>
      </c>
      <c r="F1160" s="44">
        <f>Data!A1159</f>
        <v>0</v>
      </c>
      <c r="G1160" s="55">
        <f>Data!C1159</f>
        <v>0</v>
      </c>
      <c r="H1160" s="56">
        <f>Data!H1159</f>
        <v>0</v>
      </c>
      <c r="I1160" s="56">
        <f>Data!I1159</f>
        <v>0</v>
      </c>
      <c r="J1160" s="57">
        <f>Data!J1159</f>
        <v>0</v>
      </c>
      <c r="K1160" s="58">
        <f t="shared" ca="1" si="19"/>
        <v>44700</v>
      </c>
      <c r="L1160" s="58">
        <f>Data!M1159</f>
        <v>0</v>
      </c>
      <c r="M1160" s="37" t="s">
        <v>26</v>
      </c>
      <c r="N1160" s="43" t="str">
        <f>VLOOKUP(M1160,Table1[#All],3,FALSE)</f>
        <v>Note</v>
      </c>
      <c r="O1160" s="40" t="str">
        <f>VLOOKUP(M1160,Table1[#All],4,FALSE)</f>
        <v>Q1</v>
      </c>
      <c r="P1160" s="39"/>
      <c r="Q1160" s="40" t="str">
        <f>VLOOKUP(M1160,Table1[#All],5,FALSE)</f>
        <v>Q2</v>
      </c>
      <c r="R1160" s="79"/>
      <c r="S1160" s="40" t="str">
        <f>VLOOKUP(M1160,Table1[#All],6,FALSE)</f>
        <v>Q3</v>
      </c>
      <c r="T1160" s="79"/>
      <c r="U1160" s="40" t="str">
        <f>VLOOKUP(M1160,Table1[#All],7,FALSE)</f>
        <v>Q4</v>
      </c>
      <c r="V1160" s="79"/>
      <c r="W1160" s="40" t="str">
        <f>VLOOKUP(M1160,Table1[#All],8,FALSE)</f>
        <v>Q5</v>
      </c>
      <c r="X1160" s="79"/>
      <c r="Y1160" s="44" t="str">
        <f>VLOOKUP(M1160,Table1[#All],2,FALSE)</f>
        <v>Action</v>
      </c>
      <c r="Z1160" s="59" t="str">
        <f>VLOOKUP(M1160,Table1[#All],9,FALSE)</f>
        <v>Additional Notes:</v>
      </c>
      <c r="AA1160" s="76"/>
      <c r="AB1160" s="76"/>
      <c r="AC1160" s="90" t="s">
        <v>91</v>
      </c>
      <c r="AD1160" s="76" t="s">
        <v>91</v>
      </c>
      <c r="AE1160" s="77"/>
      <c r="AF1160" s="77"/>
      <c r="AG1160" s="41" t="s">
        <v>91</v>
      </c>
    </row>
    <row r="1161" spans="1:33" ht="21" hidden="1" x14ac:dyDescent="0.55000000000000004">
      <c r="A1161" s="44">
        <f>Data!K1160</f>
        <v>0</v>
      </c>
      <c r="B1161" s="44">
        <f>Data!L1160</f>
        <v>0</v>
      </c>
      <c r="C1161" s="44">
        <f>Data!D1160</f>
        <v>0</v>
      </c>
      <c r="D1161" s="82">
        <f>Data!F1160</f>
        <v>0</v>
      </c>
      <c r="E1161" s="82">
        <f>Data!B1160</f>
        <v>0</v>
      </c>
      <c r="F1161" s="44">
        <f>Data!A1160</f>
        <v>0</v>
      </c>
      <c r="G1161" s="55">
        <f>Data!C1160</f>
        <v>0</v>
      </c>
      <c r="H1161" s="56">
        <f>Data!H1160</f>
        <v>0</v>
      </c>
      <c r="I1161" s="56">
        <f>Data!I1160</f>
        <v>0</v>
      </c>
      <c r="J1161" s="57">
        <f>Data!J1160</f>
        <v>0</v>
      </c>
      <c r="K1161" s="58">
        <f t="shared" ca="1" si="19"/>
        <v>44700</v>
      </c>
      <c r="L1161" s="58">
        <f>Data!M1160</f>
        <v>0</v>
      </c>
      <c r="M1161" s="37" t="s">
        <v>26</v>
      </c>
      <c r="N1161" s="43" t="str">
        <f>VLOOKUP(M1161,Table1[#All],3,FALSE)</f>
        <v>Note</v>
      </c>
      <c r="O1161" s="40" t="str">
        <f>VLOOKUP(M1161,Table1[#All],4,FALSE)</f>
        <v>Q1</v>
      </c>
      <c r="P1161" s="39"/>
      <c r="Q1161" s="40" t="str">
        <f>VLOOKUP(M1161,Table1[#All],5,FALSE)</f>
        <v>Q2</v>
      </c>
      <c r="R1161" s="79"/>
      <c r="S1161" s="40" t="str">
        <f>VLOOKUP(M1161,Table1[#All],6,FALSE)</f>
        <v>Q3</v>
      </c>
      <c r="T1161" s="79"/>
      <c r="U1161" s="40" t="str">
        <f>VLOOKUP(M1161,Table1[#All],7,FALSE)</f>
        <v>Q4</v>
      </c>
      <c r="V1161" s="79"/>
      <c r="W1161" s="40" t="str">
        <f>VLOOKUP(M1161,Table1[#All],8,FALSE)</f>
        <v>Q5</v>
      </c>
      <c r="X1161" s="79"/>
      <c r="Y1161" s="44" t="str">
        <f>VLOOKUP(M1161,Table1[#All],2,FALSE)</f>
        <v>Action</v>
      </c>
      <c r="Z1161" s="59" t="str">
        <f>VLOOKUP(M1161,Table1[#All],9,FALSE)</f>
        <v>Additional Notes:</v>
      </c>
      <c r="AA1161" s="76"/>
      <c r="AB1161" s="76"/>
      <c r="AC1161" s="90" t="s">
        <v>91</v>
      </c>
      <c r="AD1161" s="76" t="s">
        <v>91</v>
      </c>
      <c r="AE1161" s="77"/>
      <c r="AF1161" s="77"/>
      <c r="AG1161" s="41" t="s">
        <v>91</v>
      </c>
    </row>
    <row r="1162" spans="1:33" ht="21" hidden="1" x14ac:dyDescent="0.55000000000000004">
      <c r="A1162" s="44">
        <f>Data!K1161</f>
        <v>0</v>
      </c>
      <c r="B1162" s="44">
        <f>Data!L1161</f>
        <v>0</v>
      </c>
      <c r="C1162" s="44">
        <f>Data!D1161</f>
        <v>0</v>
      </c>
      <c r="D1162" s="82">
        <f>Data!F1161</f>
        <v>0</v>
      </c>
      <c r="E1162" s="82">
        <f>Data!B1161</f>
        <v>0</v>
      </c>
      <c r="F1162" s="44">
        <f>Data!A1161</f>
        <v>0</v>
      </c>
      <c r="G1162" s="55">
        <f>Data!C1161</f>
        <v>0</v>
      </c>
      <c r="H1162" s="56">
        <f>Data!H1161</f>
        <v>0</v>
      </c>
      <c r="I1162" s="56">
        <f>Data!I1161</f>
        <v>0</v>
      </c>
      <c r="J1162" s="57">
        <f>Data!J1161</f>
        <v>0</v>
      </c>
      <c r="K1162" s="58">
        <f t="shared" ca="1" si="19"/>
        <v>44700</v>
      </c>
      <c r="L1162" s="58">
        <f>Data!M1161</f>
        <v>0</v>
      </c>
      <c r="M1162" s="37" t="s">
        <v>26</v>
      </c>
      <c r="N1162" s="43" t="str">
        <f>VLOOKUP(M1162,Table1[#All],3,FALSE)</f>
        <v>Note</v>
      </c>
      <c r="O1162" s="40" t="str">
        <f>VLOOKUP(M1162,Table1[#All],4,FALSE)</f>
        <v>Q1</v>
      </c>
      <c r="P1162" s="39"/>
      <c r="Q1162" s="40" t="str">
        <f>VLOOKUP(M1162,Table1[#All],5,FALSE)</f>
        <v>Q2</v>
      </c>
      <c r="R1162" s="79"/>
      <c r="S1162" s="40" t="str">
        <f>VLOOKUP(M1162,Table1[#All],6,FALSE)</f>
        <v>Q3</v>
      </c>
      <c r="T1162" s="79"/>
      <c r="U1162" s="40" t="str">
        <f>VLOOKUP(M1162,Table1[#All],7,FALSE)</f>
        <v>Q4</v>
      </c>
      <c r="V1162" s="79"/>
      <c r="W1162" s="40" t="str">
        <f>VLOOKUP(M1162,Table1[#All],8,FALSE)</f>
        <v>Q5</v>
      </c>
      <c r="X1162" s="79"/>
      <c r="Y1162" s="44" t="str">
        <f>VLOOKUP(M1162,Table1[#All],2,FALSE)</f>
        <v>Action</v>
      </c>
      <c r="Z1162" s="59" t="str">
        <f>VLOOKUP(M1162,Table1[#All],9,FALSE)</f>
        <v>Additional Notes:</v>
      </c>
      <c r="AA1162" s="76"/>
      <c r="AB1162" s="76"/>
      <c r="AC1162" s="90" t="s">
        <v>91</v>
      </c>
      <c r="AD1162" s="76" t="s">
        <v>91</v>
      </c>
      <c r="AE1162" s="77"/>
      <c r="AF1162" s="77"/>
      <c r="AG1162" s="41" t="s">
        <v>91</v>
      </c>
    </row>
    <row r="1163" spans="1:33" ht="21" hidden="1" x14ac:dyDescent="0.55000000000000004">
      <c r="A1163" s="44">
        <f>Data!K1162</f>
        <v>0</v>
      </c>
      <c r="B1163" s="44">
        <f>Data!L1162</f>
        <v>0</v>
      </c>
      <c r="C1163" s="44">
        <f>Data!D1162</f>
        <v>0</v>
      </c>
      <c r="D1163" s="82">
        <f>Data!F1162</f>
        <v>0</v>
      </c>
      <c r="E1163" s="82">
        <f>Data!B1162</f>
        <v>0</v>
      </c>
      <c r="F1163" s="44">
        <f>Data!A1162</f>
        <v>0</v>
      </c>
      <c r="G1163" s="55">
        <f>Data!C1162</f>
        <v>0</v>
      </c>
      <c r="H1163" s="56">
        <f>Data!H1162</f>
        <v>0</v>
      </c>
      <c r="I1163" s="56">
        <f>Data!I1162</f>
        <v>0</v>
      </c>
      <c r="J1163" s="57">
        <f>Data!J1162</f>
        <v>0</v>
      </c>
      <c r="K1163" s="58">
        <f t="shared" ca="1" si="19"/>
        <v>44700</v>
      </c>
      <c r="L1163" s="58">
        <f>Data!M1162</f>
        <v>0</v>
      </c>
      <c r="M1163" s="37" t="s">
        <v>26</v>
      </c>
      <c r="N1163" s="43" t="str">
        <f>VLOOKUP(M1163,Table1[#All],3,FALSE)</f>
        <v>Note</v>
      </c>
      <c r="O1163" s="40" t="str">
        <f>VLOOKUP(M1163,Table1[#All],4,FALSE)</f>
        <v>Q1</v>
      </c>
      <c r="P1163" s="39"/>
      <c r="Q1163" s="40" t="str">
        <f>VLOOKUP(M1163,Table1[#All],5,FALSE)</f>
        <v>Q2</v>
      </c>
      <c r="R1163" s="79"/>
      <c r="S1163" s="40" t="str">
        <f>VLOOKUP(M1163,Table1[#All],6,FALSE)</f>
        <v>Q3</v>
      </c>
      <c r="T1163" s="79"/>
      <c r="U1163" s="40" t="str">
        <f>VLOOKUP(M1163,Table1[#All],7,FALSE)</f>
        <v>Q4</v>
      </c>
      <c r="V1163" s="79"/>
      <c r="W1163" s="40" t="str">
        <f>VLOOKUP(M1163,Table1[#All],8,FALSE)</f>
        <v>Q5</v>
      </c>
      <c r="X1163" s="79"/>
      <c r="Y1163" s="44" t="str">
        <f>VLOOKUP(M1163,Table1[#All],2,FALSE)</f>
        <v>Action</v>
      </c>
      <c r="Z1163" s="59" t="str">
        <f>VLOOKUP(M1163,Table1[#All],9,FALSE)</f>
        <v>Additional Notes:</v>
      </c>
      <c r="AA1163" s="76"/>
      <c r="AB1163" s="76"/>
      <c r="AC1163" s="90" t="s">
        <v>91</v>
      </c>
      <c r="AD1163" s="76" t="s">
        <v>91</v>
      </c>
      <c r="AE1163" s="77"/>
      <c r="AF1163" s="77"/>
      <c r="AG1163" s="41" t="s">
        <v>91</v>
      </c>
    </row>
    <row r="1164" spans="1:33" ht="21" hidden="1" x14ac:dyDescent="0.55000000000000004">
      <c r="A1164" s="44">
        <f>Data!K1163</f>
        <v>0</v>
      </c>
      <c r="B1164" s="44">
        <f>Data!L1163</f>
        <v>0</v>
      </c>
      <c r="C1164" s="44">
        <f>Data!D1163</f>
        <v>0</v>
      </c>
      <c r="D1164" s="82">
        <f>Data!F1163</f>
        <v>0</v>
      </c>
      <c r="E1164" s="82">
        <f>Data!B1163</f>
        <v>0</v>
      </c>
      <c r="F1164" s="44">
        <f>Data!A1163</f>
        <v>0</v>
      </c>
      <c r="G1164" s="55">
        <f>Data!C1163</f>
        <v>0</v>
      </c>
      <c r="H1164" s="56">
        <f>Data!H1163</f>
        <v>0</v>
      </c>
      <c r="I1164" s="56">
        <f>Data!I1163</f>
        <v>0</v>
      </c>
      <c r="J1164" s="57">
        <f>Data!J1163</f>
        <v>0</v>
      </c>
      <c r="K1164" s="58">
        <f t="shared" ca="1" si="19"/>
        <v>44700</v>
      </c>
      <c r="L1164" s="58">
        <f>Data!M1163</f>
        <v>0</v>
      </c>
      <c r="M1164" s="37" t="s">
        <v>26</v>
      </c>
      <c r="N1164" s="43" t="str">
        <f>VLOOKUP(M1164,Table1[#All],3,FALSE)</f>
        <v>Note</v>
      </c>
      <c r="O1164" s="40" t="str">
        <f>VLOOKUP(M1164,Table1[#All],4,FALSE)</f>
        <v>Q1</v>
      </c>
      <c r="P1164" s="39"/>
      <c r="Q1164" s="40" t="str">
        <f>VLOOKUP(M1164,Table1[#All],5,FALSE)</f>
        <v>Q2</v>
      </c>
      <c r="R1164" s="79"/>
      <c r="S1164" s="40" t="str">
        <f>VLOOKUP(M1164,Table1[#All],6,FALSE)</f>
        <v>Q3</v>
      </c>
      <c r="T1164" s="79"/>
      <c r="U1164" s="40" t="str">
        <f>VLOOKUP(M1164,Table1[#All],7,FALSE)</f>
        <v>Q4</v>
      </c>
      <c r="V1164" s="79"/>
      <c r="W1164" s="40" t="str">
        <f>VLOOKUP(M1164,Table1[#All],8,FALSE)</f>
        <v>Q5</v>
      </c>
      <c r="X1164" s="79"/>
      <c r="Y1164" s="44" t="str">
        <f>VLOOKUP(M1164,Table1[#All],2,FALSE)</f>
        <v>Action</v>
      </c>
      <c r="Z1164" s="59" t="str">
        <f>VLOOKUP(M1164,Table1[#All],9,FALSE)</f>
        <v>Additional Notes:</v>
      </c>
      <c r="AA1164" s="76"/>
      <c r="AB1164" s="76"/>
      <c r="AC1164" s="90" t="s">
        <v>91</v>
      </c>
      <c r="AD1164" s="76" t="s">
        <v>91</v>
      </c>
      <c r="AE1164" s="77"/>
      <c r="AF1164" s="77"/>
      <c r="AG1164" s="41" t="s">
        <v>91</v>
      </c>
    </row>
    <row r="1165" spans="1:33" ht="21" hidden="1" x14ac:dyDescent="0.55000000000000004">
      <c r="A1165" s="44">
        <f>Data!K1164</f>
        <v>0</v>
      </c>
      <c r="B1165" s="44">
        <f>Data!L1164</f>
        <v>0</v>
      </c>
      <c r="C1165" s="44">
        <f>Data!D1164</f>
        <v>0</v>
      </c>
      <c r="D1165" s="82">
        <f>Data!F1164</f>
        <v>0</v>
      </c>
      <c r="E1165" s="82">
        <f>Data!B1164</f>
        <v>0</v>
      </c>
      <c r="F1165" s="44">
        <f>Data!A1164</f>
        <v>0</v>
      </c>
      <c r="G1165" s="55">
        <f>Data!C1164</f>
        <v>0</v>
      </c>
      <c r="H1165" s="56">
        <f>Data!H1164</f>
        <v>0</v>
      </c>
      <c r="I1165" s="56">
        <f>Data!I1164</f>
        <v>0</v>
      </c>
      <c r="J1165" s="57">
        <f>Data!J1164</f>
        <v>0</v>
      </c>
      <c r="K1165" s="58">
        <f t="shared" ca="1" si="19"/>
        <v>44700</v>
      </c>
      <c r="L1165" s="58">
        <f>Data!M1164</f>
        <v>0</v>
      </c>
      <c r="M1165" s="37" t="s">
        <v>26</v>
      </c>
      <c r="N1165" s="43" t="str">
        <f>VLOOKUP(M1165,Table1[#All],3,FALSE)</f>
        <v>Note</v>
      </c>
      <c r="O1165" s="40" t="str">
        <f>VLOOKUP(M1165,Table1[#All],4,FALSE)</f>
        <v>Q1</v>
      </c>
      <c r="P1165" s="39"/>
      <c r="Q1165" s="40" t="str">
        <f>VLOOKUP(M1165,Table1[#All],5,FALSE)</f>
        <v>Q2</v>
      </c>
      <c r="R1165" s="79"/>
      <c r="S1165" s="40" t="str">
        <f>VLOOKUP(M1165,Table1[#All],6,FALSE)</f>
        <v>Q3</v>
      </c>
      <c r="T1165" s="79"/>
      <c r="U1165" s="40" t="str">
        <f>VLOOKUP(M1165,Table1[#All],7,FALSE)</f>
        <v>Q4</v>
      </c>
      <c r="V1165" s="79"/>
      <c r="W1165" s="40" t="str">
        <f>VLOOKUP(M1165,Table1[#All],8,FALSE)</f>
        <v>Q5</v>
      </c>
      <c r="X1165" s="79"/>
      <c r="Y1165" s="44" t="str">
        <f>VLOOKUP(M1165,Table1[#All],2,FALSE)</f>
        <v>Action</v>
      </c>
      <c r="Z1165" s="59" t="str">
        <f>VLOOKUP(M1165,Table1[#All],9,FALSE)</f>
        <v>Additional Notes:</v>
      </c>
      <c r="AA1165" s="76"/>
      <c r="AB1165" s="76"/>
      <c r="AC1165" s="90" t="s">
        <v>91</v>
      </c>
      <c r="AD1165" s="76" t="s">
        <v>91</v>
      </c>
      <c r="AE1165" s="77"/>
      <c r="AF1165" s="77"/>
      <c r="AG1165" s="41" t="s">
        <v>91</v>
      </c>
    </row>
    <row r="1166" spans="1:33" ht="21" hidden="1" x14ac:dyDescent="0.55000000000000004">
      <c r="A1166" s="44">
        <f>Data!K1165</f>
        <v>0</v>
      </c>
      <c r="B1166" s="44">
        <f>Data!L1165</f>
        <v>0</v>
      </c>
      <c r="C1166" s="44">
        <f>Data!D1165</f>
        <v>0</v>
      </c>
      <c r="D1166" s="82">
        <f>Data!F1165</f>
        <v>0</v>
      </c>
      <c r="E1166" s="82">
        <f>Data!B1165</f>
        <v>0</v>
      </c>
      <c r="F1166" s="44">
        <f>Data!A1165</f>
        <v>0</v>
      </c>
      <c r="G1166" s="55">
        <f>Data!C1165</f>
        <v>0</v>
      </c>
      <c r="H1166" s="56">
        <f>Data!H1165</f>
        <v>0</v>
      </c>
      <c r="I1166" s="56">
        <f>Data!I1165</f>
        <v>0</v>
      </c>
      <c r="J1166" s="57">
        <f>Data!J1165</f>
        <v>0</v>
      </c>
      <c r="K1166" s="58">
        <f t="shared" ca="1" si="19"/>
        <v>44700</v>
      </c>
      <c r="L1166" s="58">
        <f>Data!M1165</f>
        <v>0</v>
      </c>
      <c r="M1166" s="37" t="s">
        <v>26</v>
      </c>
      <c r="N1166" s="43" t="str">
        <f>VLOOKUP(M1166,Table1[#All],3,FALSE)</f>
        <v>Note</v>
      </c>
      <c r="O1166" s="40" t="str">
        <f>VLOOKUP(M1166,Table1[#All],4,FALSE)</f>
        <v>Q1</v>
      </c>
      <c r="P1166" s="39"/>
      <c r="Q1166" s="40" t="str">
        <f>VLOOKUP(M1166,Table1[#All],5,FALSE)</f>
        <v>Q2</v>
      </c>
      <c r="R1166" s="79"/>
      <c r="S1166" s="40" t="str">
        <f>VLOOKUP(M1166,Table1[#All],6,FALSE)</f>
        <v>Q3</v>
      </c>
      <c r="T1166" s="79"/>
      <c r="U1166" s="40" t="str">
        <f>VLOOKUP(M1166,Table1[#All],7,FALSE)</f>
        <v>Q4</v>
      </c>
      <c r="V1166" s="79"/>
      <c r="W1166" s="40" t="str">
        <f>VLOOKUP(M1166,Table1[#All],8,FALSE)</f>
        <v>Q5</v>
      </c>
      <c r="X1166" s="79"/>
      <c r="Y1166" s="44" t="str">
        <f>VLOOKUP(M1166,Table1[#All],2,FALSE)</f>
        <v>Action</v>
      </c>
      <c r="Z1166" s="59" t="str">
        <f>VLOOKUP(M1166,Table1[#All],9,FALSE)</f>
        <v>Additional Notes:</v>
      </c>
      <c r="AA1166" s="76"/>
      <c r="AB1166" s="76"/>
      <c r="AC1166" s="90" t="s">
        <v>91</v>
      </c>
      <c r="AD1166" s="76" t="s">
        <v>91</v>
      </c>
      <c r="AE1166" s="77"/>
      <c r="AF1166" s="77"/>
      <c r="AG1166" s="41" t="s">
        <v>91</v>
      </c>
    </row>
    <row r="1167" spans="1:33" ht="21" hidden="1" x14ac:dyDescent="0.55000000000000004">
      <c r="A1167" s="44">
        <f>Data!K1166</f>
        <v>0</v>
      </c>
      <c r="B1167" s="44">
        <f>Data!L1166</f>
        <v>0</v>
      </c>
      <c r="C1167" s="44">
        <f>Data!D1166</f>
        <v>0</v>
      </c>
      <c r="D1167" s="82">
        <f>Data!F1166</f>
        <v>0</v>
      </c>
      <c r="E1167" s="82">
        <f>Data!B1166</f>
        <v>0</v>
      </c>
      <c r="F1167" s="44">
        <f>Data!A1166</f>
        <v>0</v>
      </c>
      <c r="G1167" s="55">
        <f>Data!C1166</f>
        <v>0</v>
      </c>
      <c r="H1167" s="56">
        <f>Data!H1166</f>
        <v>0</v>
      </c>
      <c r="I1167" s="56">
        <f>Data!I1166</f>
        <v>0</v>
      </c>
      <c r="J1167" s="57">
        <f>Data!J1166</f>
        <v>0</v>
      </c>
      <c r="K1167" s="58">
        <f t="shared" ca="1" si="19"/>
        <v>44700</v>
      </c>
      <c r="L1167" s="58">
        <f>Data!M1166</f>
        <v>0</v>
      </c>
      <c r="M1167" s="37" t="s">
        <v>26</v>
      </c>
      <c r="N1167" s="43" t="str">
        <f>VLOOKUP(M1167,Table1[#All],3,FALSE)</f>
        <v>Note</v>
      </c>
      <c r="O1167" s="40" t="str">
        <f>VLOOKUP(M1167,Table1[#All],4,FALSE)</f>
        <v>Q1</v>
      </c>
      <c r="P1167" s="39"/>
      <c r="Q1167" s="40" t="str">
        <f>VLOOKUP(M1167,Table1[#All],5,FALSE)</f>
        <v>Q2</v>
      </c>
      <c r="R1167" s="79"/>
      <c r="S1167" s="40" t="str">
        <f>VLOOKUP(M1167,Table1[#All],6,FALSE)</f>
        <v>Q3</v>
      </c>
      <c r="T1167" s="79"/>
      <c r="U1167" s="40" t="str">
        <f>VLOOKUP(M1167,Table1[#All],7,FALSE)</f>
        <v>Q4</v>
      </c>
      <c r="V1167" s="79"/>
      <c r="W1167" s="40" t="str">
        <f>VLOOKUP(M1167,Table1[#All],8,FALSE)</f>
        <v>Q5</v>
      </c>
      <c r="X1167" s="79"/>
      <c r="Y1167" s="44" t="str">
        <f>VLOOKUP(M1167,Table1[#All],2,FALSE)</f>
        <v>Action</v>
      </c>
      <c r="Z1167" s="59" t="str">
        <f>VLOOKUP(M1167,Table1[#All],9,FALSE)</f>
        <v>Additional Notes:</v>
      </c>
      <c r="AA1167" s="76"/>
      <c r="AB1167" s="76"/>
      <c r="AC1167" s="90" t="s">
        <v>91</v>
      </c>
      <c r="AD1167" s="76" t="s">
        <v>91</v>
      </c>
      <c r="AE1167" s="77"/>
      <c r="AF1167" s="77"/>
      <c r="AG1167" s="41" t="s">
        <v>91</v>
      </c>
    </row>
    <row r="1168" spans="1:33" ht="21" hidden="1" x14ac:dyDescent="0.55000000000000004">
      <c r="A1168" s="44">
        <f>Data!K1167</f>
        <v>0</v>
      </c>
      <c r="B1168" s="44">
        <f>Data!L1167</f>
        <v>0</v>
      </c>
      <c r="C1168" s="44">
        <f>Data!D1167</f>
        <v>0</v>
      </c>
      <c r="D1168" s="82">
        <f>Data!F1167</f>
        <v>0</v>
      </c>
      <c r="E1168" s="82">
        <f>Data!B1167</f>
        <v>0</v>
      </c>
      <c r="F1168" s="44">
        <f>Data!A1167</f>
        <v>0</v>
      </c>
      <c r="G1168" s="55">
        <f>Data!C1167</f>
        <v>0</v>
      </c>
      <c r="H1168" s="56">
        <f>Data!H1167</f>
        <v>0</v>
      </c>
      <c r="I1168" s="56">
        <f>Data!I1167</f>
        <v>0</v>
      </c>
      <c r="J1168" s="57">
        <f>Data!J1167</f>
        <v>0</v>
      </c>
      <c r="K1168" s="58">
        <f t="shared" ca="1" si="19"/>
        <v>44700</v>
      </c>
      <c r="L1168" s="58">
        <f>Data!M1167</f>
        <v>0</v>
      </c>
      <c r="M1168" s="37" t="s">
        <v>26</v>
      </c>
      <c r="N1168" s="43" t="str">
        <f>VLOOKUP(M1168,Table1[#All],3,FALSE)</f>
        <v>Note</v>
      </c>
      <c r="O1168" s="40" t="str">
        <f>VLOOKUP(M1168,Table1[#All],4,FALSE)</f>
        <v>Q1</v>
      </c>
      <c r="P1168" s="39"/>
      <c r="Q1168" s="40" t="str">
        <f>VLOOKUP(M1168,Table1[#All],5,FALSE)</f>
        <v>Q2</v>
      </c>
      <c r="R1168" s="79"/>
      <c r="S1168" s="40" t="str">
        <f>VLOOKUP(M1168,Table1[#All],6,FALSE)</f>
        <v>Q3</v>
      </c>
      <c r="T1168" s="79"/>
      <c r="U1168" s="40" t="str">
        <f>VLOOKUP(M1168,Table1[#All],7,FALSE)</f>
        <v>Q4</v>
      </c>
      <c r="V1168" s="79"/>
      <c r="W1168" s="40" t="str">
        <f>VLOOKUP(M1168,Table1[#All],8,FALSE)</f>
        <v>Q5</v>
      </c>
      <c r="X1168" s="79"/>
      <c r="Y1168" s="44" t="str">
        <f>VLOOKUP(M1168,Table1[#All],2,FALSE)</f>
        <v>Action</v>
      </c>
      <c r="Z1168" s="59" t="str">
        <f>VLOOKUP(M1168,Table1[#All],9,FALSE)</f>
        <v>Additional Notes:</v>
      </c>
      <c r="AA1168" s="76"/>
      <c r="AB1168" s="76"/>
      <c r="AC1168" s="90" t="s">
        <v>91</v>
      </c>
      <c r="AD1168" s="76" t="s">
        <v>91</v>
      </c>
      <c r="AE1168" s="77"/>
      <c r="AF1168" s="77"/>
      <c r="AG1168" s="41" t="s">
        <v>91</v>
      </c>
    </row>
    <row r="1169" spans="1:33" ht="21" hidden="1" x14ac:dyDescent="0.55000000000000004">
      <c r="A1169" s="44">
        <f>Data!K1168</f>
        <v>0</v>
      </c>
      <c r="B1169" s="44">
        <f>Data!L1168</f>
        <v>0</v>
      </c>
      <c r="C1169" s="44">
        <f>Data!D1168</f>
        <v>0</v>
      </c>
      <c r="D1169" s="82">
        <f>Data!F1168</f>
        <v>0</v>
      </c>
      <c r="E1169" s="82">
        <f>Data!B1168</f>
        <v>0</v>
      </c>
      <c r="F1169" s="44">
        <f>Data!A1168</f>
        <v>0</v>
      </c>
      <c r="G1169" s="55">
        <f>Data!C1168</f>
        <v>0</v>
      </c>
      <c r="H1169" s="56">
        <f>Data!H1168</f>
        <v>0</v>
      </c>
      <c r="I1169" s="56">
        <f>Data!I1168</f>
        <v>0</v>
      </c>
      <c r="J1169" s="57">
        <f>Data!J1168</f>
        <v>0</v>
      </c>
      <c r="K1169" s="58">
        <f t="shared" ca="1" si="19"/>
        <v>44700</v>
      </c>
      <c r="L1169" s="58">
        <f>Data!M1168</f>
        <v>0</v>
      </c>
      <c r="M1169" s="37" t="s">
        <v>26</v>
      </c>
      <c r="N1169" s="43" t="str">
        <f>VLOOKUP(M1169,Table1[#All],3,FALSE)</f>
        <v>Note</v>
      </c>
      <c r="O1169" s="40" t="str">
        <f>VLOOKUP(M1169,Table1[#All],4,FALSE)</f>
        <v>Q1</v>
      </c>
      <c r="P1169" s="39"/>
      <c r="Q1169" s="40" t="str">
        <f>VLOOKUP(M1169,Table1[#All],5,FALSE)</f>
        <v>Q2</v>
      </c>
      <c r="R1169" s="79"/>
      <c r="S1169" s="40" t="str">
        <f>VLOOKUP(M1169,Table1[#All],6,FALSE)</f>
        <v>Q3</v>
      </c>
      <c r="T1169" s="79"/>
      <c r="U1169" s="40" t="str">
        <f>VLOOKUP(M1169,Table1[#All],7,FALSE)</f>
        <v>Q4</v>
      </c>
      <c r="V1169" s="79"/>
      <c r="W1169" s="40" t="str">
        <f>VLOOKUP(M1169,Table1[#All],8,FALSE)</f>
        <v>Q5</v>
      </c>
      <c r="X1169" s="79"/>
      <c r="Y1169" s="44" t="str">
        <f>VLOOKUP(M1169,Table1[#All],2,FALSE)</f>
        <v>Action</v>
      </c>
      <c r="Z1169" s="59" t="str">
        <f>VLOOKUP(M1169,Table1[#All],9,FALSE)</f>
        <v>Additional Notes:</v>
      </c>
      <c r="AA1169" s="76"/>
      <c r="AB1169" s="76"/>
      <c r="AC1169" s="90" t="s">
        <v>91</v>
      </c>
      <c r="AD1169" s="76" t="s">
        <v>91</v>
      </c>
      <c r="AE1169" s="77"/>
      <c r="AF1169" s="77"/>
      <c r="AG1169" s="41" t="s">
        <v>91</v>
      </c>
    </row>
    <row r="1170" spans="1:33" ht="21" hidden="1" x14ac:dyDescent="0.55000000000000004">
      <c r="A1170" s="44">
        <f>Data!K1169</f>
        <v>0</v>
      </c>
      <c r="B1170" s="44">
        <f>Data!L1169</f>
        <v>0</v>
      </c>
      <c r="C1170" s="44">
        <f>Data!D1169</f>
        <v>0</v>
      </c>
      <c r="D1170" s="82">
        <f>Data!F1169</f>
        <v>0</v>
      </c>
      <c r="E1170" s="82">
        <f>Data!B1169</f>
        <v>0</v>
      </c>
      <c r="F1170" s="44">
        <f>Data!A1169</f>
        <v>0</v>
      </c>
      <c r="G1170" s="55">
        <f>Data!C1169</f>
        <v>0</v>
      </c>
      <c r="H1170" s="56">
        <f>Data!H1169</f>
        <v>0</v>
      </c>
      <c r="I1170" s="56">
        <f>Data!I1169</f>
        <v>0</v>
      </c>
      <c r="J1170" s="57">
        <f>Data!J1169</f>
        <v>0</v>
      </c>
      <c r="K1170" s="58">
        <f t="shared" ca="1" si="19"/>
        <v>44700</v>
      </c>
      <c r="L1170" s="58">
        <f>Data!M1169</f>
        <v>0</v>
      </c>
      <c r="M1170" s="37" t="s">
        <v>26</v>
      </c>
      <c r="N1170" s="43" t="str">
        <f>VLOOKUP(M1170,Table1[#All],3,FALSE)</f>
        <v>Note</v>
      </c>
      <c r="O1170" s="40" t="str">
        <f>VLOOKUP(M1170,Table1[#All],4,FALSE)</f>
        <v>Q1</v>
      </c>
      <c r="P1170" s="39"/>
      <c r="Q1170" s="40" t="str">
        <f>VLOOKUP(M1170,Table1[#All],5,FALSE)</f>
        <v>Q2</v>
      </c>
      <c r="R1170" s="79"/>
      <c r="S1170" s="40" t="str">
        <f>VLOOKUP(M1170,Table1[#All],6,FALSE)</f>
        <v>Q3</v>
      </c>
      <c r="T1170" s="79"/>
      <c r="U1170" s="40" t="str">
        <f>VLOOKUP(M1170,Table1[#All],7,FALSE)</f>
        <v>Q4</v>
      </c>
      <c r="V1170" s="79"/>
      <c r="W1170" s="40" t="str">
        <f>VLOOKUP(M1170,Table1[#All],8,FALSE)</f>
        <v>Q5</v>
      </c>
      <c r="X1170" s="79"/>
      <c r="Y1170" s="44" t="str">
        <f>VLOOKUP(M1170,Table1[#All],2,FALSE)</f>
        <v>Action</v>
      </c>
      <c r="Z1170" s="59" t="str">
        <f>VLOOKUP(M1170,Table1[#All],9,FALSE)</f>
        <v>Additional Notes:</v>
      </c>
      <c r="AA1170" s="76"/>
      <c r="AB1170" s="76"/>
      <c r="AC1170" s="90" t="s">
        <v>91</v>
      </c>
      <c r="AD1170" s="76" t="s">
        <v>91</v>
      </c>
      <c r="AE1170" s="77"/>
      <c r="AF1170" s="77"/>
      <c r="AG1170" s="41" t="s">
        <v>91</v>
      </c>
    </row>
    <row r="1171" spans="1:33" ht="21" hidden="1" x14ac:dyDescent="0.55000000000000004">
      <c r="A1171" s="44">
        <f>Data!K1170</f>
        <v>0</v>
      </c>
      <c r="B1171" s="44">
        <f>Data!L1170</f>
        <v>0</v>
      </c>
      <c r="C1171" s="44">
        <f>Data!D1170</f>
        <v>0</v>
      </c>
      <c r="D1171" s="82">
        <f>Data!F1170</f>
        <v>0</v>
      </c>
      <c r="E1171" s="82">
        <f>Data!B1170</f>
        <v>0</v>
      </c>
      <c r="F1171" s="44">
        <f>Data!A1170</f>
        <v>0</v>
      </c>
      <c r="G1171" s="55">
        <f>Data!C1170</f>
        <v>0</v>
      </c>
      <c r="H1171" s="56">
        <f>Data!H1170</f>
        <v>0</v>
      </c>
      <c r="I1171" s="56">
        <f>Data!I1170</f>
        <v>0</v>
      </c>
      <c r="J1171" s="57">
        <f>Data!J1170</f>
        <v>0</v>
      </c>
      <c r="K1171" s="58">
        <f t="shared" ca="1" si="19"/>
        <v>44700</v>
      </c>
      <c r="L1171" s="58">
        <f>Data!M1170</f>
        <v>0</v>
      </c>
      <c r="M1171" s="37" t="s">
        <v>26</v>
      </c>
      <c r="N1171" s="43" t="str">
        <f>VLOOKUP(M1171,Table1[#All],3,FALSE)</f>
        <v>Note</v>
      </c>
      <c r="O1171" s="40" t="str">
        <f>VLOOKUP(M1171,Table1[#All],4,FALSE)</f>
        <v>Q1</v>
      </c>
      <c r="P1171" s="39"/>
      <c r="Q1171" s="40" t="str">
        <f>VLOOKUP(M1171,Table1[#All],5,FALSE)</f>
        <v>Q2</v>
      </c>
      <c r="R1171" s="79"/>
      <c r="S1171" s="40" t="str">
        <f>VLOOKUP(M1171,Table1[#All],6,FALSE)</f>
        <v>Q3</v>
      </c>
      <c r="T1171" s="79"/>
      <c r="U1171" s="40" t="str">
        <f>VLOOKUP(M1171,Table1[#All],7,FALSE)</f>
        <v>Q4</v>
      </c>
      <c r="V1171" s="79"/>
      <c r="W1171" s="40" t="str">
        <f>VLOOKUP(M1171,Table1[#All],8,FALSE)</f>
        <v>Q5</v>
      </c>
      <c r="X1171" s="79"/>
      <c r="Y1171" s="44" t="str">
        <f>VLOOKUP(M1171,Table1[#All],2,FALSE)</f>
        <v>Action</v>
      </c>
      <c r="Z1171" s="59" t="str">
        <f>VLOOKUP(M1171,Table1[#All],9,FALSE)</f>
        <v>Additional Notes:</v>
      </c>
      <c r="AA1171" s="76"/>
      <c r="AB1171" s="76"/>
      <c r="AC1171" s="90" t="s">
        <v>91</v>
      </c>
      <c r="AD1171" s="76" t="s">
        <v>91</v>
      </c>
      <c r="AE1171" s="77"/>
      <c r="AF1171" s="77"/>
      <c r="AG1171" s="41" t="s">
        <v>91</v>
      </c>
    </row>
    <row r="1172" spans="1:33" ht="21" hidden="1" x14ac:dyDescent="0.55000000000000004">
      <c r="A1172" s="44">
        <f>Data!K1171</f>
        <v>0</v>
      </c>
      <c r="B1172" s="44">
        <f>Data!L1171</f>
        <v>0</v>
      </c>
      <c r="C1172" s="44">
        <f>Data!D1171</f>
        <v>0</v>
      </c>
      <c r="D1172" s="82">
        <f>Data!F1171</f>
        <v>0</v>
      </c>
      <c r="E1172" s="82">
        <f>Data!B1171</f>
        <v>0</v>
      </c>
      <c r="F1172" s="44">
        <f>Data!A1171</f>
        <v>0</v>
      </c>
      <c r="G1172" s="55">
        <f>Data!C1171</f>
        <v>0</v>
      </c>
      <c r="H1172" s="56">
        <f>Data!H1171</f>
        <v>0</v>
      </c>
      <c r="I1172" s="56">
        <f>Data!I1171</f>
        <v>0</v>
      </c>
      <c r="J1172" s="57">
        <f>Data!J1171</f>
        <v>0</v>
      </c>
      <c r="K1172" s="58">
        <f t="shared" ca="1" si="19"/>
        <v>44700</v>
      </c>
      <c r="L1172" s="58">
        <f>Data!M1171</f>
        <v>0</v>
      </c>
      <c r="M1172" s="37" t="s">
        <v>26</v>
      </c>
      <c r="N1172" s="43" t="str">
        <f>VLOOKUP(M1172,Table1[#All],3,FALSE)</f>
        <v>Note</v>
      </c>
      <c r="O1172" s="40" t="str">
        <f>VLOOKUP(M1172,Table1[#All],4,FALSE)</f>
        <v>Q1</v>
      </c>
      <c r="P1172" s="39"/>
      <c r="Q1172" s="40" t="str">
        <f>VLOOKUP(M1172,Table1[#All],5,FALSE)</f>
        <v>Q2</v>
      </c>
      <c r="R1172" s="79"/>
      <c r="S1172" s="40" t="str">
        <f>VLOOKUP(M1172,Table1[#All],6,FALSE)</f>
        <v>Q3</v>
      </c>
      <c r="T1172" s="79"/>
      <c r="U1172" s="40" t="str">
        <f>VLOOKUP(M1172,Table1[#All],7,FALSE)</f>
        <v>Q4</v>
      </c>
      <c r="V1172" s="79"/>
      <c r="W1172" s="40" t="str">
        <f>VLOOKUP(M1172,Table1[#All],8,FALSE)</f>
        <v>Q5</v>
      </c>
      <c r="X1172" s="79"/>
      <c r="Y1172" s="44" t="str">
        <f>VLOOKUP(M1172,Table1[#All],2,FALSE)</f>
        <v>Action</v>
      </c>
      <c r="Z1172" s="59" t="str">
        <f>VLOOKUP(M1172,Table1[#All],9,FALSE)</f>
        <v>Additional Notes:</v>
      </c>
      <c r="AA1172" s="76"/>
      <c r="AB1172" s="76"/>
      <c r="AC1172" s="90" t="s">
        <v>91</v>
      </c>
      <c r="AD1172" s="76" t="s">
        <v>91</v>
      </c>
      <c r="AE1172" s="77"/>
      <c r="AF1172" s="77"/>
      <c r="AG1172" s="41" t="s">
        <v>91</v>
      </c>
    </row>
    <row r="1173" spans="1:33" ht="21" hidden="1" x14ac:dyDescent="0.55000000000000004">
      <c r="A1173" s="44">
        <f>Data!K1172</f>
        <v>0</v>
      </c>
      <c r="B1173" s="44">
        <f>Data!L1172</f>
        <v>0</v>
      </c>
      <c r="C1173" s="44">
        <f>Data!D1172</f>
        <v>0</v>
      </c>
      <c r="D1173" s="82">
        <f>Data!F1172</f>
        <v>0</v>
      </c>
      <c r="E1173" s="82">
        <f>Data!B1172</f>
        <v>0</v>
      </c>
      <c r="F1173" s="44">
        <f>Data!A1172</f>
        <v>0</v>
      </c>
      <c r="G1173" s="55">
        <f>Data!C1172</f>
        <v>0</v>
      </c>
      <c r="H1173" s="56">
        <f>Data!H1172</f>
        <v>0</v>
      </c>
      <c r="I1173" s="56">
        <f>Data!I1172</f>
        <v>0</v>
      </c>
      <c r="J1173" s="57">
        <f>Data!J1172</f>
        <v>0</v>
      </c>
      <c r="K1173" s="58">
        <f t="shared" ca="1" si="19"/>
        <v>44700</v>
      </c>
      <c r="L1173" s="58">
        <f>Data!M1172</f>
        <v>0</v>
      </c>
      <c r="M1173" s="37" t="s">
        <v>26</v>
      </c>
      <c r="N1173" s="43" t="str">
        <f>VLOOKUP(M1173,Table1[#All],3,FALSE)</f>
        <v>Note</v>
      </c>
      <c r="O1173" s="40" t="str">
        <f>VLOOKUP(M1173,Table1[#All],4,FALSE)</f>
        <v>Q1</v>
      </c>
      <c r="P1173" s="39"/>
      <c r="Q1173" s="40" t="str">
        <f>VLOOKUP(M1173,Table1[#All],5,FALSE)</f>
        <v>Q2</v>
      </c>
      <c r="R1173" s="79"/>
      <c r="S1173" s="40" t="str">
        <f>VLOOKUP(M1173,Table1[#All],6,FALSE)</f>
        <v>Q3</v>
      </c>
      <c r="T1173" s="79"/>
      <c r="U1173" s="40" t="str">
        <f>VLOOKUP(M1173,Table1[#All],7,FALSE)</f>
        <v>Q4</v>
      </c>
      <c r="V1173" s="79"/>
      <c r="W1173" s="40" t="str">
        <f>VLOOKUP(M1173,Table1[#All],8,FALSE)</f>
        <v>Q5</v>
      </c>
      <c r="X1173" s="79"/>
      <c r="Y1173" s="44" t="str">
        <f>VLOOKUP(M1173,Table1[#All],2,FALSE)</f>
        <v>Action</v>
      </c>
      <c r="Z1173" s="59" t="str">
        <f>VLOOKUP(M1173,Table1[#All],9,FALSE)</f>
        <v>Additional Notes:</v>
      </c>
      <c r="AA1173" s="76"/>
      <c r="AB1173" s="76"/>
      <c r="AC1173" s="90" t="s">
        <v>91</v>
      </c>
      <c r="AD1173" s="76" t="s">
        <v>91</v>
      </c>
      <c r="AE1173" s="77"/>
      <c r="AF1173" s="77"/>
      <c r="AG1173" s="41" t="s">
        <v>91</v>
      </c>
    </row>
    <row r="1174" spans="1:33" ht="21" hidden="1" x14ac:dyDescent="0.55000000000000004">
      <c r="A1174" s="44">
        <f>Data!K1173</f>
        <v>0</v>
      </c>
      <c r="B1174" s="44">
        <f>Data!L1173</f>
        <v>0</v>
      </c>
      <c r="C1174" s="44">
        <f>Data!D1173</f>
        <v>0</v>
      </c>
      <c r="D1174" s="82">
        <f>Data!F1173</f>
        <v>0</v>
      </c>
      <c r="E1174" s="82">
        <f>Data!B1173</f>
        <v>0</v>
      </c>
      <c r="F1174" s="44">
        <f>Data!A1173</f>
        <v>0</v>
      </c>
      <c r="G1174" s="55">
        <f>Data!C1173</f>
        <v>0</v>
      </c>
      <c r="H1174" s="56">
        <f>Data!H1173</f>
        <v>0</v>
      </c>
      <c r="I1174" s="56">
        <f>Data!I1173</f>
        <v>0</v>
      </c>
      <c r="J1174" s="57">
        <f>Data!J1173</f>
        <v>0</v>
      </c>
      <c r="K1174" s="58">
        <f t="shared" ca="1" si="19"/>
        <v>44700</v>
      </c>
      <c r="L1174" s="58">
        <f>Data!M1173</f>
        <v>0</v>
      </c>
      <c r="M1174" s="37" t="s">
        <v>26</v>
      </c>
      <c r="N1174" s="43" t="str">
        <f>VLOOKUP(M1174,Table1[#All],3,FALSE)</f>
        <v>Note</v>
      </c>
      <c r="O1174" s="40" t="str">
        <f>VLOOKUP(M1174,Table1[#All],4,FALSE)</f>
        <v>Q1</v>
      </c>
      <c r="P1174" s="39"/>
      <c r="Q1174" s="40" t="str">
        <f>VLOOKUP(M1174,Table1[#All],5,FALSE)</f>
        <v>Q2</v>
      </c>
      <c r="R1174" s="79"/>
      <c r="S1174" s="40" t="str">
        <f>VLOOKUP(M1174,Table1[#All],6,FALSE)</f>
        <v>Q3</v>
      </c>
      <c r="T1174" s="79"/>
      <c r="U1174" s="40" t="str">
        <f>VLOOKUP(M1174,Table1[#All],7,FALSE)</f>
        <v>Q4</v>
      </c>
      <c r="V1174" s="79"/>
      <c r="W1174" s="40" t="str">
        <f>VLOOKUP(M1174,Table1[#All],8,FALSE)</f>
        <v>Q5</v>
      </c>
      <c r="X1174" s="79"/>
      <c r="Y1174" s="44" t="str">
        <f>VLOOKUP(M1174,Table1[#All],2,FALSE)</f>
        <v>Action</v>
      </c>
      <c r="Z1174" s="59" t="str">
        <f>VLOOKUP(M1174,Table1[#All],9,FALSE)</f>
        <v>Additional Notes:</v>
      </c>
      <c r="AA1174" s="76"/>
      <c r="AB1174" s="76"/>
      <c r="AC1174" s="90" t="s">
        <v>91</v>
      </c>
      <c r="AD1174" s="76" t="s">
        <v>91</v>
      </c>
      <c r="AE1174" s="77"/>
      <c r="AF1174" s="77"/>
      <c r="AG1174" s="41" t="s">
        <v>91</v>
      </c>
    </row>
    <row r="1175" spans="1:33" ht="21" hidden="1" x14ac:dyDescent="0.55000000000000004">
      <c r="A1175" s="44">
        <f>Data!K1174</f>
        <v>0</v>
      </c>
      <c r="B1175" s="44">
        <f>Data!L1174</f>
        <v>0</v>
      </c>
      <c r="C1175" s="44">
        <f>Data!D1174</f>
        <v>0</v>
      </c>
      <c r="D1175" s="82">
        <f>Data!F1174</f>
        <v>0</v>
      </c>
      <c r="E1175" s="82">
        <f>Data!B1174</f>
        <v>0</v>
      </c>
      <c r="F1175" s="44">
        <f>Data!A1174</f>
        <v>0</v>
      </c>
      <c r="G1175" s="55">
        <f>Data!C1174</f>
        <v>0</v>
      </c>
      <c r="H1175" s="56">
        <f>Data!H1174</f>
        <v>0</v>
      </c>
      <c r="I1175" s="56">
        <f>Data!I1174</f>
        <v>0</v>
      </c>
      <c r="J1175" s="57">
        <f>Data!J1174</f>
        <v>0</v>
      </c>
      <c r="K1175" s="58">
        <f t="shared" ca="1" si="19"/>
        <v>44700</v>
      </c>
      <c r="L1175" s="58">
        <f>Data!M1174</f>
        <v>0</v>
      </c>
      <c r="M1175" s="37" t="s">
        <v>26</v>
      </c>
      <c r="N1175" s="43" t="str">
        <f>VLOOKUP(M1175,Table1[#All],3,FALSE)</f>
        <v>Note</v>
      </c>
      <c r="O1175" s="40" t="str">
        <f>VLOOKUP(M1175,Table1[#All],4,FALSE)</f>
        <v>Q1</v>
      </c>
      <c r="P1175" s="39"/>
      <c r="Q1175" s="40" t="str">
        <f>VLOOKUP(M1175,Table1[#All],5,FALSE)</f>
        <v>Q2</v>
      </c>
      <c r="R1175" s="79"/>
      <c r="S1175" s="40" t="str">
        <f>VLOOKUP(M1175,Table1[#All],6,FALSE)</f>
        <v>Q3</v>
      </c>
      <c r="T1175" s="79"/>
      <c r="U1175" s="40" t="str">
        <f>VLOOKUP(M1175,Table1[#All],7,FALSE)</f>
        <v>Q4</v>
      </c>
      <c r="V1175" s="79"/>
      <c r="W1175" s="40" t="str">
        <f>VLOOKUP(M1175,Table1[#All],8,FALSE)</f>
        <v>Q5</v>
      </c>
      <c r="X1175" s="79"/>
      <c r="Y1175" s="44" t="str">
        <f>VLOOKUP(M1175,Table1[#All],2,FALSE)</f>
        <v>Action</v>
      </c>
      <c r="Z1175" s="59" t="str">
        <f>VLOOKUP(M1175,Table1[#All],9,FALSE)</f>
        <v>Additional Notes:</v>
      </c>
      <c r="AA1175" s="76"/>
      <c r="AB1175" s="76"/>
      <c r="AC1175" s="90" t="s">
        <v>91</v>
      </c>
      <c r="AD1175" s="76" t="s">
        <v>91</v>
      </c>
      <c r="AE1175" s="77"/>
      <c r="AF1175" s="77"/>
      <c r="AG1175" s="41" t="s">
        <v>91</v>
      </c>
    </row>
    <row r="1176" spans="1:33" ht="21" hidden="1" x14ac:dyDescent="0.55000000000000004">
      <c r="A1176" s="44">
        <f>Data!K1175</f>
        <v>0</v>
      </c>
      <c r="B1176" s="44">
        <f>Data!L1175</f>
        <v>0</v>
      </c>
      <c r="C1176" s="44">
        <f>Data!D1175</f>
        <v>0</v>
      </c>
      <c r="D1176" s="82">
        <f>Data!F1175</f>
        <v>0</v>
      </c>
      <c r="E1176" s="82">
        <f>Data!B1175</f>
        <v>0</v>
      </c>
      <c r="F1176" s="44">
        <f>Data!A1175</f>
        <v>0</v>
      </c>
      <c r="G1176" s="55">
        <f>Data!C1175</f>
        <v>0</v>
      </c>
      <c r="H1176" s="56">
        <f>Data!H1175</f>
        <v>0</v>
      </c>
      <c r="I1176" s="56">
        <f>Data!I1175</f>
        <v>0</v>
      </c>
      <c r="J1176" s="57">
        <f>Data!J1175</f>
        <v>0</v>
      </c>
      <c r="K1176" s="58">
        <f t="shared" ca="1" si="19"/>
        <v>44700</v>
      </c>
      <c r="L1176" s="58">
        <f>Data!M1175</f>
        <v>0</v>
      </c>
      <c r="M1176" s="37" t="s">
        <v>26</v>
      </c>
      <c r="N1176" s="43" t="str">
        <f>VLOOKUP(M1176,Table1[#All],3,FALSE)</f>
        <v>Note</v>
      </c>
      <c r="O1176" s="40" t="str">
        <f>VLOOKUP(M1176,Table1[#All],4,FALSE)</f>
        <v>Q1</v>
      </c>
      <c r="P1176" s="39"/>
      <c r="Q1176" s="40" t="str">
        <f>VLOOKUP(M1176,Table1[#All],5,FALSE)</f>
        <v>Q2</v>
      </c>
      <c r="R1176" s="79"/>
      <c r="S1176" s="40" t="str">
        <f>VLOOKUP(M1176,Table1[#All],6,FALSE)</f>
        <v>Q3</v>
      </c>
      <c r="T1176" s="79"/>
      <c r="U1176" s="40" t="str">
        <f>VLOOKUP(M1176,Table1[#All],7,FALSE)</f>
        <v>Q4</v>
      </c>
      <c r="V1176" s="79"/>
      <c r="W1176" s="40" t="str">
        <f>VLOOKUP(M1176,Table1[#All],8,FALSE)</f>
        <v>Q5</v>
      </c>
      <c r="X1176" s="79"/>
      <c r="Y1176" s="44" t="str">
        <f>VLOOKUP(M1176,Table1[#All],2,FALSE)</f>
        <v>Action</v>
      </c>
      <c r="Z1176" s="59" t="str">
        <f>VLOOKUP(M1176,Table1[#All],9,FALSE)</f>
        <v>Additional Notes:</v>
      </c>
      <c r="AA1176" s="76"/>
      <c r="AB1176" s="76"/>
      <c r="AC1176" s="90" t="s">
        <v>91</v>
      </c>
      <c r="AD1176" s="76" t="s">
        <v>91</v>
      </c>
      <c r="AE1176" s="77"/>
      <c r="AF1176" s="77"/>
      <c r="AG1176" s="41" t="s">
        <v>91</v>
      </c>
    </row>
    <row r="1177" spans="1:33" ht="21" hidden="1" x14ac:dyDescent="0.55000000000000004">
      <c r="A1177" s="44">
        <f>Data!K1176</f>
        <v>0</v>
      </c>
      <c r="B1177" s="44">
        <f>Data!L1176</f>
        <v>0</v>
      </c>
      <c r="C1177" s="44">
        <f>Data!D1176</f>
        <v>0</v>
      </c>
      <c r="D1177" s="82">
        <f>Data!F1176</f>
        <v>0</v>
      </c>
      <c r="E1177" s="82">
        <f>Data!B1176</f>
        <v>0</v>
      </c>
      <c r="F1177" s="44">
        <f>Data!A1176</f>
        <v>0</v>
      </c>
      <c r="G1177" s="55">
        <f>Data!C1176</f>
        <v>0</v>
      </c>
      <c r="H1177" s="56">
        <f>Data!H1176</f>
        <v>0</v>
      </c>
      <c r="I1177" s="56">
        <f>Data!I1176</f>
        <v>0</v>
      </c>
      <c r="J1177" s="57">
        <f>Data!J1176</f>
        <v>0</v>
      </c>
      <c r="K1177" s="58">
        <f t="shared" ca="1" si="19"/>
        <v>44700</v>
      </c>
      <c r="L1177" s="58">
        <f>Data!M1176</f>
        <v>0</v>
      </c>
      <c r="M1177" s="37" t="s">
        <v>26</v>
      </c>
      <c r="N1177" s="43" t="str">
        <f>VLOOKUP(M1177,Table1[#All],3,FALSE)</f>
        <v>Note</v>
      </c>
      <c r="O1177" s="40" t="str">
        <f>VLOOKUP(M1177,Table1[#All],4,FALSE)</f>
        <v>Q1</v>
      </c>
      <c r="P1177" s="39"/>
      <c r="Q1177" s="40" t="str">
        <f>VLOOKUP(M1177,Table1[#All],5,FALSE)</f>
        <v>Q2</v>
      </c>
      <c r="R1177" s="79"/>
      <c r="S1177" s="40" t="str">
        <f>VLOOKUP(M1177,Table1[#All],6,FALSE)</f>
        <v>Q3</v>
      </c>
      <c r="T1177" s="79"/>
      <c r="U1177" s="40" t="str">
        <f>VLOOKUP(M1177,Table1[#All],7,FALSE)</f>
        <v>Q4</v>
      </c>
      <c r="V1177" s="79"/>
      <c r="W1177" s="40" t="str">
        <f>VLOOKUP(M1177,Table1[#All],8,FALSE)</f>
        <v>Q5</v>
      </c>
      <c r="X1177" s="79"/>
      <c r="Y1177" s="44" t="str">
        <f>VLOOKUP(M1177,Table1[#All],2,FALSE)</f>
        <v>Action</v>
      </c>
      <c r="Z1177" s="59" t="str">
        <f>VLOOKUP(M1177,Table1[#All],9,FALSE)</f>
        <v>Additional Notes:</v>
      </c>
      <c r="AA1177" s="76"/>
      <c r="AB1177" s="76"/>
      <c r="AC1177" s="90" t="s">
        <v>91</v>
      </c>
      <c r="AD1177" s="76" t="s">
        <v>91</v>
      </c>
      <c r="AE1177" s="77"/>
      <c r="AF1177" s="77"/>
      <c r="AG1177" s="41" t="s">
        <v>91</v>
      </c>
    </row>
    <row r="1178" spans="1:33" ht="21" hidden="1" x14ac:dyDescent="0.55000000000000004">
      <c r="A1178" s="44">
        <f>Data!K1177</f>
        <v>0</v>
      </c>
      <c r="B1178" s="44">
        <f>Data!L1177</f>
        <v>0</v>
      </c>
      <c r="C1178" s="44">
        <f>Data!D1177</f>
        <v>0</v>
      </c>
      <c r="D1178" s="82">
        <f>Data!F1177</f>
        <v>0</v>
      </c>
      <c r="E1178" s="82">
        <f>Data!B1177</f>
        <v>0</v>
      </c>
      <c r="F1178" s="44">
        <f>Data!A1177</f>
        <v>0</v>
      </c>
      <c r="G1178" s="55">
        <f>Data!C1177</f>
        <v>0</v>
      </c>
      <c r="H1178" s="56">
        <f>Data!H1177</f>
        <v>0</v>
      </c>
      <c r="I1178" s="56">
        <f>Data!I1177</f>
        <v>0</v>
      </c>
      <c r="J1178" s="57">
        <f>Data!J1177</f>
        <v>0</v>
      </c>
      <c r="K1178" s="58">
        <f t="shared" ca="1" si="19"/>
        <v>44700</v>
      </c>
      <c r="L1178" s="58">
        <f>Data!M1177</f>
        <v>0</v>
      </c>
      <c r="M1178" s="37" t="s">
        <v>26</v>
      </c>
      <c r="N1178" s="43" t="str">
        <f>VLOOKUP(M1178,Table1[#All],3,FALSE)</f>
        <v>Note</v>
      </c>
      <c r="O1178" s="40" t="str">
        <f>VLOOKUP(M1178,Table1[#All],4,FALSE)</f>
        <v>Q1</v>
      </c>
      <c r="P1178" s="39"/>
      <c r="Q1178" s="40" t="str">
        <f>VLOOKUP(M1178,Table1[#All],5,FALSE)</f>
        <v>Q2</v>
      </c>
      <c r="R1178" s="79"/>
      <c r="S1178" s="40" t="str">
        <f>VLOOKUP(M1178,Table1[#All],6,FALSE)</f>
        <v>Q3</v>
      </c>
      <c r="T1178" s="79"/>
      <c r="U1178" s="40" t="str">
        <f>VLOOKUP(M1178,Table1[#All],7,FALSE)</f>
        <v>Q4</v>
      </c>
      <c r="V1178" s="79"/>
      <c r="W1178" s="40" t="str">
        <f>VLOOKUP(M1178,Table1[#All],8,FALSE)</f>
        <v>Q5</v>
      </c>
      <c r="X1178" s="79"/>
      <c r="Y1178" s="44" t="str">
        <f>VLOOKUP(M1178,Table1[#All],2,FALSE)</f>
        <v>Action</v>
      </c>
      <c r="Z1178" s="59" t="str">
        <f>VLOOKUP(M1178,Table1[#All],9,FALSE)</f>
        <v>Additional Notes:</v>
      </c>
      <c r="AA1178" s="76"/>
      <c r="AB1178" s="76"/>
      <c r="AC1178" s="90" t="s">
        <v>91</v>
      </c>
      <c r="AD1178" s="76" t="s">
        <v>91</v>
      </c>
      <c r="AE1178" s="77"/>
      <c r="AF1178" s="77"/>
      <c r="AG1178" s="41" t="s">
        <v>91</v>
      </c>
    </row>
    <row r="1179" spans="1:33" ht="21" hidden="1" x14ac:dyDescent="0.55000000000000004">
      <c r="A1179" s="44">
        <f>Data!K1178</f>
        <v>0</v>
      </c>
      <c r="B1179" s="44">
        <f>Data!L1178</f>
        <v>0</v>
      </c>
      <c r="C1179" s="44">
        <f>Data!D1178</f>
        <v>0</v>
      </c>
      <c r="D1179" s="82">
        <f>Data!F1178</f>
        <v>0</v>
      </c>
      <c r="E1179" s="82">
        <f>Data!B1178</f>
        <v>0</v>
      </c>
      <c r="F1179" s="44">
        <f>Data!A1178</f>
        <v>0</v>
      </c>
      <c r="G1179" s="55">
        <f>Data!C1178</f>
        <v>0</v>
      </c>
      <c r="H1179" s="56">
        <f>Data!H1178</f>
        <v>0</v>
      </c>
      <c r="I1179" s="56">
        <f>Data!I1178</f>
        <v>0</v>
      </c>
      <c r="J1179" s="57">
        <f>Data!J1178</f>
        <v>0</v>
      </c>
      <c r="K1179" s="58">
        <f t="shared" ca="1" si="19"/>
        <v>44700</v>
      </c>
      <c r="L1179" s="58">
        <f>Data!M1178</f>
        <v>0</v>
      </c>
      <c r="M1179" s="37" t="s">
        <v>26</v>
      </c>
      <c r="N1179" s="43" t="str">
        <f>VLOOKUP(M1179,Table1[#All],3,FALSE)</f>
        <v>Note</v>
      </c>
      <c r="O1179" s="40" t="str">
        <f>VLOOKUP(M1179,Table1[#All],4,FALSE)</f>
        <v>Q1</v>
      </c>
      <c r="P1179" s="39"/>
      <c r="Q1179" s="40" t="str">
        <f>VLOOKUP(M1179,Table1[#All],5,FALSE)</f>
        <v>Q2</v>
      </c>
      <c r="R1179" s="79"/>
      <c r="S1179" s="40" t="str">
        <f>VLOOKUP(M1179,Table1[#All],6,FALSE)</f>
        <v>Q3</v>
      </c>
      <c r="T1179" s="79"/>
      <c r="U1179" s="40" t="str">
        <f>VLOOKUP(M1179,Table1[#All],7,FALSE)</f>
        <v>Q4</v>
      </c>
      <c r="V1179" s="79"/>
      <c r="W1179" s="40" t="str">
        <f>VLOOKUP(M1179,Table1[#All],8,FALSE)</f>
        <v>Q5</v>
      </c>
      <c r="X1179" s="79"/>
      <c r="Y1179" s="44" t="str">
        <f>VLOOKUP(M1179,Table1[#All],2,FALSE)</f>
        <v>Action</v>
      </c>
      <c r="Z1179" s="59" t="str">
        <f>VLOOKUP(M1179,Table1[#All],9,FALSE)</f>
        <v>Additional Notes:</v>
      </c>
      <c r="AA1179" s="76"/>
      <c r="AB1179" s="76"/>
      <c r="AC1179" s="90" t="s">
        <v>91</v>
      </c>
      <c r="AD1179" s="76" t="s">
        <v>91</v>
      </c>
      <c r="AE1179" s="77"/>
      <c r="AF1179" s="77"/>
      <c r="AG1179" s="41" t="s">
        <v>91</v>
      </c>
    </row>
    <row r="1180" spans="1:33" ht="21" hidden="1" x14ac:dyDescent="0.55000000000000004">
      <c r="A1180" s="44">
        <f>Data!K1179</f>
        <v>0</v>
      </c>
      <c r="B1180" s="44">
        <f>Data!L1179</f>
        <v>0</v>
      </c>
      <c r="C1180" s="44">
        <f>Data!D1179</f>
        <v>0</v>
      </c>
      <c r="D1180" s="82">
        <f>Data!F1179</f>
        <v>0</v>
      </c>
      <c r="E1180" s="82">
        <f>Data!B1179</f>
        <v>0</v>
      </c>
      <c r="F1180" s="44">
        <f>Data!A1179</f>
        <v>0</v>
      </c>
      <c r="G1180" s="55">
        <f>Data!C1179</f>
        <v>0</v>
      </c>
      <c r="H1180" s="56">
        <f>Data!H1179</f>
        <v>0</v>
      </c>
      <c r="I1180" s="56">
        <f>Data!I1179</f>
        <v>0</v>
      </c>
      <c r="J1180" s="57">
        <f>Data!J1179</f>
        <v>0</v>
      </c>
      <c r="K1180" s="58">
        <f t="shared" ca="1" si="19"/>
        <v>44700</v>
      </c>
      <c r="L1180" s="58">
        <f>Data!M1179</f>
        <v>0</v>
      </c>
      <c r="M1180" s="37" t="s">
        <v>26</v>
      </c>
      <c r="N1180" s="43" t="str">
        <f>VLOOKUP(M1180,Table1[#All],3,FALSE)</f>
        <v>Note</v>
      </c>
      <c r="O1180" s="40" t="str">
        <f>VLOOKUP(M1180,Table1[#All],4,FALSE)</f>
        <v>Q1</v>
      </c>
      <c r="P1180" s="39"/>
      <c r="Q1180" s="40" t="str">
        <f>VLOOKUP(M1180,Table1[#All],5,FALSE)</f>
        <v>Q2</v>
      </c>
      <c r="R1180" s="79"/>
      <c r="S1180" s="40" t="str">
        <f>VLOOKUP(M1180,Table1[#All],6,FALSE)</f>
        <v>Q3</v>
      </c>
      <c r="T1180" s="79"/>
      <c r="U1180" s="40" t="str">
        <f>VLOOKUP(M1180,Table1[#All],7,FALSE)</f>
        <v>Q4</v>
      </c>
      <c r="V1180" s="79"/>
      <c r="W1180" s="40" t="str">
        <f>VLOOKUP(M1180,Table1[#All],8,FALSE)</f>
        <v>Q5</v>
      </c>
      <c r="X1180" s="79"/>
      <c r="Y1180" s="44" t="str">
        <f>VLOOKUP(M1180,Table1[#All],2,FALSE)</f>
        <v>Action</v>
      </c>
      <c r="Z1180" s="59" t="str">
        <f>VLOOKUP(M1180,Table1[#All],9,FALSE)</f>
        <v>Additional Notes:</v>
      </c>
      <c r="AA1180" s="76"/>
      <c r="AB1180" s="76"/>
      <c r="AC1180" s="90" t="s">
        <v>91</v>
      </c>
      <c r="AD1180" s="76" t="s">
        <v>91</v>
      </c>
      <c r="AE1180" s="77"/>
      <c r="AF1180" s="77"/>
      <c r="AG1180" s="41" t="s">
        <v>91</v>
      </c>
    </row>
    <row r="1181" spans="1:33" ht="21" hidden="1" x14ac:dyDescent="0.55000000000000004">
      <c r="A1181" s="44">
        <f>Data!K1180</f>
        <v>0</v>
      </c>
      <c r="B1181" s="44">
        <f>Data!L1180</f>
        <v>0</v>
      </c>
      <c r="C1181" s="44">
        <f>Data!D1180</f>
        <v>0</v>
      </c>
      <c r="D1181" s="82">
        <f>Data!F1180</f>
        <v>0</v>
      </c>
      <c r="E1181" s="82">
        <f>Data!B1180</f>
        <v>0</v>
      </c>
      <c r="F1181" s="44">
        <f>Data!A1180</f>
        <v>0</v>
      </c>
      <c r="G1181" s="55">
        <f>Data!C1180</f>
        <v>0</v>
      </c>
      <c r="H1181" s="56">
        <f>Data!H1180</f>
        <v>0</v>
      </c>
      <c r="I1181" s="56">
        <f>Data!I1180</f>
        <v>0</v>
      </c>
      <c r="J1181" s="57">
        <f>Data!J1180</f>
        <v>0</v>
      </c>
      <c r="K1181" s="58">
        <f t="shared" ca="1" si="19"/>
        <v>44700</v>
      </c>
      <c r="L1181" s="58">
        <f>Data!M1180</f>
        <v>0</v>
      </c>
      <c r="M1181" s="37" t="s">
        <v>26</v>
      </c>
      <c r="N1181" s="43" t="str">
        <f>VLOOKUP(M1181,Table1[#All],3,FALSE)</f>
        <v>Note</v>
      </c>
      <c r="O1181" s="40" t="str">
        <f>VLOOKUP(M1181,Table1[#All],4,FALSE)</f>
        <v>Q1</v>
      </c>
      <c r="P1181" s="39"/>
      <c r="Q1181" s="40" t="str">
        <f>VLOOKUP(M1181,Table1[#All],5,FALSE)</f>
        <v>Q2</v>
      </c>
      <c r="R1181" s="79"/>
      <c r="S1181" s="40" t="str">
        <f>VLOOKUP(M1181,Table1[#All],6,FALSE)</f>
        <v>Q3</v>
      </c>
      <c r="T1181" s="79"/>
      <c r="U1181" s="40" t="str">
        <f>VLOOKUP(M1181,Table1[#All],7,FALSE)</f>
        <v>Q4</v>
      </c>
      <c r="V1181" s="79"/>
      <c r="W1181" s="40" t="str">
        <f>VLOOKUP(M1181,Table1[#All],8,FALSE)</f>
        <v>Q5</v>
      </c>
      <c r="X1181" s="79"/>
      <c r="Y1181" s="44" t="str">
        <f>VLOOKUP(M1181,Table1[#All],2,FALSE)</f>
        <v>Action</v>
      </c>
      <c r="Z1181" s="59" t="str">
        <f>VLOOKUP(M1181,Table1[#All],9,FALSE)</f>
        <v>Additional Notes:</v>
      </c>
      <c r="AA1181" s="76"/>
      <c r="AB1181" s="76"/>
      <c r="AC1181" s="90" t="s">
        <v>91</v>
      </c>
      <c r="AD1181" s="76" t="s">
        <v>91</v>
      </c>
      <c r="AE1181" s="77"/>
      <c r="AF1181" s="77"/>
      <c r="AG1181" s="41" t="s">
        <v>91</v>
      </c>
    </row>
    <row r="1182" spans="1:33" ht="21" hidden="1" x14ac:dyDescent="0.55000000000000004">
      <c r="A1182" s="44">
        <f>Data!K1181</f>
        <v>0</v>
      </c>
      <c r="B1182" s="44">
        <f>Data!L1181</f>
        <v>0</v>
      </c>
      <c r="C1182" s="44">
        <f>Data!D1181</f>
        <v>0</v>
      </c>
      <c r="D1182" s="82">
        <f>Data!F1181</f>
        <v>0</v>
      </c>
      <c r="E1182" s="82">
        <f>Data!B1181</f>
        <v>0</v>
      </c>
      <c r="F1182" s="44">
        <f>Data!A1181</f>
        <v>0</v>
      </c>
      <c r="G1182" s="55">
        <f>Data!C1181</f>
        <v>0</v>
      </c>
      <c r="H1182" s="56">
        <f>Data!H1181</f>
        <v>0</v>
      </c>
      <c r="I1182" s="56">
        <f>Data!I1181</f>
        <v>0</v>
      </c>
      <c r="J1182" s="57">
        <f>Data!J1181</f>
        <v>0</v>
      </c>
      <c r="K1182" s="58">
        <f t="shared" ca="1" si="19"/>
        <v>44700</v>
      </c>
      <c r="L1182" s="58">
        <f>Data!M1181</f>
        <v>0</v>
      </c>
      <c r="M1182" s="37" t="s">
        <v>26</v>
      </c>
      <c r="N1182" s="43" t="str">
        <f>VLOOKUP(M1182,Table1[#All],3,FALSE)</f>
        <v>Note</v>
      </c>
      <c r="O1182" s="40" t="str">
        <f>VLOOKUP(M1182,Table1[#All],4,FALSE)</f>
        <v>Q1</v>
      </c>
      <c r="P1182" s="39"/>
      <c r="Q1182" s="40" t="str">
        <f>VLOOKUP(M1182,Table1[#All],5,FALSE)</f>
        <v>Q2</v>
      </c>
      <c r="R1182" s="79"/>
      <c r="S1182" s="40" t="str">
        <f>VLOOKUP(M1182,Table1[#All],6,FALSE)</f>
        <v>Q3</v>
      </c>
      <c r="T1182" s="79"/>
      <c r="U1182" s="40" t="str">
        <f>VLOOKUP(M1182,Table1[#All],7,FALSE)</f>
        <v>Q4</v>
      </c>
      <c r="V1182" s="79"/>
      <c r="W1182" s="40" t="str">
        <f>VLOOKUP(M1182,Table1[#All],8,FALSE)</f>
        <v>Q5</v>
      </c>
      <c r="X1182" s="79"/>
      <c r="Y1182" s="44" t="str">
        <f>VLOOKUP(M1182,Table1[#All],2,FALSE)</f>
        <v>Action</v>
      </c>
      <c r="Z1182" s="59" t="str">
        <f>VLOOKUP(M1182,Table1[#All],9,FALSE)</f>
        <v>Additional Notes:</v>
      </c>
      <c r="AA1182" s="76"/>
      <c r="AB1182" s="76"/>
      <c r="AC1182" s="90" t="s">
        <v>91</v>
      </c>
      <c r="AD1182" s="76" t="s">
        <v>91</v>
      </c>
      <c r="AE1182" s="77"/>
      <c r="AF1182" s="77"/>
      <c r="AG1182" s="41" t="s">
        <v>91</v>
      </c>
    </row>
    <row r="1183" spans="1:33" ht="21" hidden="1" x14ac:dyDescent="0.55000000000000004">
      <c r="A1183" s="44">
        <f>Data!K1182</f>
        <v>0</v>
      </c>
      <c r="B1183" s="44">
        <f>Data!L1182</f>
        <v>0</v>
      </c>
      <c r="C1183" s="44">
        <f>Data!D1182</f>
        <v>0</v>
      </c>
      <c r="D1183" s="82">
        <f>Data!F1182</f>
        <v>0</v>
      </c>
      <c r="E1183" s="82">
        <f>Data!B1182</f>
        <v>0</v>
      </c>
      <c r="F1183" s="44">
        <f>Data!A1182</f>
        <v>0</v>
      </c>
      <c r="G1183" s="55">
        <f>Data!C1182</f>
        <v>0</v>
      </c>
      <c r="H1183" s="56">
        <f>Data!H1182</f>
        <v>0</v>
      </c>
      <c r="I1183" s="56">
        <f>Data!I1182</f>
        <v>0</v>
      </c>
      <c r="J1183" s="57">
        <f>Data!J1182</f>
        <v>0</v>
      </c>
      <c r="K1183" s="58">
        <f t="shared" ca="1" si="19"/>
        <v>44700</v>
      </c>
      <c r="L1183" s="58">
        <f>Data!M1182</f>
        <v>0</v>
      </c>
      <c r="M1183" s="37" t="s">
        <v>26</v>
      </c>
      <c r="N1183" s="43" t="str">
        <f>VLOOKUP(M1183,Table1[#All],3,FALSE)</f>
        <v>Note</v>
      </c>
      <c r="O1183" s="40" t="str">
        <f>VLOOKUP(M1183,Table1[#All],4,FALSE)</f>
        <v>Q1</v>
      </c>
      <c r="P1183" s="39"/>
      <c r="Q1183" s="40" t="str">
        <f>VLOOKUP(M1183,Table1[#All],5,FALSE)</f>
        <v>Q2</v>
      </c>
      <c r="R1183" s="79"/>
      <c r="S1183" s="40" t="str">
        <f>VLOOKUP(M1183,Table1[#All],6,FALSE)</f>
        <v>Q3</v>
      </c>
      <c r="T1183" s="79"/>
      <c r="U1183" s="40" t="str">
        <f>VLOOKUP(M1183,Table1[#All],7,FALSE)</f>
        <v>Q4</v>
      </c>
      <c r="V1183" s="79"/>
      <c r="W1183" s="40" t="str">
        <f>VLOOKUP(M1183,Table1[#All],8,FALSE)</f>
        <v>Q5</v>
      </c>
      <c r="X1183" s="79"/>
      <c r="Y1183" s="44" t="str">
        <f>VLOOKUP(M1183,Table1[#All],2,FALSE)</f>
        <v>Action</v>
      </c>
      <c r="Z1183" s="59" t="str">
        <f>VLOOKUP(M1183,Table1[#All],9,FALSE)</f>
        <v>Additional Notes:</v>
      </c>
      <c r="AA1183" s="76"/>
      <c r="AB1183" s="76"/>
      <c r="AC1183" s="90" t="s">
        <v>91</v>
      </c>
      <c r="AD1183" s="76" t="s">
        <v>91</v>
      </c>
      <c r="AE1183" s="77"/>
      <c r="AF1183" s="77"/>
      <c r="AG1183" s="41" t="s">
        <v>91</v>
      </c>
    </row>
    <row r="1184" spans="1:33" ht="21" hidden="1" x14ac:dyDescent="0.55000000000000004">
      <c r="A1184" s="44">
        <f>Data!K1183</f>
        <v>0</v>
      </c>
      <c r="B1184" s="44">
        <f>Data!L1183</f>
        <v>0</v>
      </c>
      <c r="C1184" s="44">
        <f>Data!D1183</f>
        <v>0</v>
      </c>
      <c r="D1184" s="82">
        <f>Data!F1183</f>
        <v>0</v>
      </c>
      <c r="E1184" s="82">
        <f>Data!B1183</f>
        <v>0</v>
      </c>
      <c r="F1184" s="44">
        <f>Data!A1183</f>
        <v>0</v>
      </c>
      <c r="G1184" s="55">
        <f>Data!C1183</f>
        <v>0</v>
      </c>
      <c r="H1184" s="56">
        <f>Data!H1183</f>
        <v>0</v>
      </c>
      <c r="I1184" s="56">
        <f>Data!I1183</f>
        <v>0</v>
      </c>
      <c r="J1184" s="57">
        <f>Data!J1183</f>
        <v>0</v>
      </c>
      <c r="K1184" s="58">
        <f t="shared" ca="1" si="19"/>
        <v>44700</v>
      </c>
      <c r="L1184" s="58">
        <f>Data!M1183</f>
        <v>0</v>
      </c>
      <c r="M1184" s="37" t="s">
        <v>26</v>
      </c>
      <c r="N1184" s="43" t="str">
        <f>VLOOKUP(M1184,Table1[#All],3,FALSE)</f>
        <v>Note</v>
      </c>
      <c r="O1184" s="40" t="str">
        <f>VLOOKUP(M1184,Table1[#All],4,FALSE)</f>
        <v>Q1</v>
      </c>
      <c r="P1184" s="39"/>
      <c r="Q1184" s="40" t="str">
        <f>VLOOKUP(M1184,Table1[#All],5,FALSE)</f>
        <v>Q2</v>
      </c>
      <c r="R1184" s="79"/>
      <c r="S1184" s="40" t="str">
        <f>VLOOKUP(M1184,Table1[#All],6,FALSE)</f>
        <v>Q3</v>
      </c>
      <c r="T1184" s="79"/>
      <c r="U1184" s="40" t="str">
        <f>VLOOKUP(M1184,Table1[#All],7,FALSE)</f>
        <v>Q4</v>
      </c>
      <c r="V1184" s="79"/>
      <c r="W1184" s="40" t="str">
        <f>VLOOKUP(M1184,Table1[#All],8,FALSE)</f>
        <v>Q5</v>
      </c>
      <c r="X1184" s="79"/>
      <c r="Y1184" s="44" t="str">
        <f>VLOOKUP(M1184,Table1[#All],2,FALSE)</f>
        <v>Action</v>
      </c>
      <c r="Z1184" s="59" t="str">
        <f>VLOOKUP(M1184,Table1[#All],9,FALSE)</f>
        <v>Additional Notes:</v>
      </c>
      <c r="AA1184" s="76"/>
      <c r="AB1184" s="76"/>
      <c r="AC1184" s="90" t="s">
        <v>91</v>
      </c>
      <c r="AD1184" s="76" t="s">
        <v>91</v>
      </c>
      <c r="AE1184" s="77"/>
      <c r="AF1184" s="77"/>
      <c r="AG1184" s="41" t="s">
        <v>91</v>
      </c>
    </row>
    <row r="1185" spans="1:33" ht="21" hidden="1" x14ac:dyDescent="0.55000000000000004">
      <c r="A1185" s="44">
        <f>Data!K1184</f>
        <v>0</v>
      </c>
      <c r="B1185" s="44">
        <f>Data!L1184</f>
        <v>0</v>
      </c>
      <c r="C1185" s="44">
        <f>Data!D1184</f>
        <v>0</v>
      </c>
      <c r="D1185" s="82">
        <f>Data!F1184</f>
        <v>0</v>
      </c>
      <c r="E1185" s="82">
        <f>Data!B1184</f>
        <v>0</v>
      </c>
      <c r="F1185" s="44">
        <f>Data!A1184</f>
        <v>0</v>
      </c>
      <c r="G1185" s="55">
        <f>Data!C1184</f>
        <v>0</v>
      </c>
      <c r="H1185" s="56">
        <f>Data!H1184</f>
        <v>0</v>
      </c>
      <c r="I1185" s="56">
        <f>Data!I1184</f>
        <v>0</v>
      </c>
      <c r="J1185" s="57">
        <f>Data!J1184</f>
        <v>0</v>
      </c>
      <c r="K1185" s="58">
        <f t="shared" ca="1" si="19"/>
        <v>44700</v>
      </c>
      <c r="L1185" s="58">
        <f>Data!M1184</f>
        <v>0</v>
      </c>
      <c r="M1185" s="37" t="s">
        <v>26</v>
      </c>
      <c r="N1185" s="43" t="str">
        <f>VLOOKUP(M1185,Table1[#All],3,FALSE)</f>
        <v>Note</v>
      </c>
      <c r="O1185" s="40" t="str">
        <f>VLOOKUP(M1185,Table1[#All],4,FALSE)</f>
        <v>Q1</v>
      </c>
      <c r="P1185" s="39"/>
      <c r="Q1185" s="40" t="str">
        <f>VLOOKUP(M1185,Table1[#All],5,FALSE)</f>
        <v>Q2</v>
      </c>
      <c r="R1185" s="79"/>
      <c r="S1185" s="40" t="str">
        <f>VLOOKUP(M1185,Table1[#All],6,FALSE)</f>
        <v>Q3</v>
      </c>
      <c r="T1185" s="79"/>
      <c r="U1185" s="40" t="str">
        <f>VLOOKUP(M1185,Table1[#All],7,FALSE)</f>
        <v>Q4</v>
      </c>
      <c r="V1185" s="79"/>
      <c r="W1185" s="40" t="str">
        <f>VLOOKUP(M1185,Table1[#All],8,FALSE)</f>
        <v>Q5</v>
      </c>
      <c r="X1185" s="79"/>
      <c r="Y1185" s="44" t="str">
        <f>VLOOKUP(M1185,Table1[#All],2,FALSE)</f>
        <v>Action</v>
      </c>
      <c r="Z1185" s="59" t="str">
        <f>VLOOKUP(M1185,Table1[#All],9,FALSE)</f>
        <v>Additional Notes:</v>
      </c>
      <c r="AA1185" s="76"/>
      <c r="AB1185" s="76"/>
      <c r="AC1185" s="90" t="s">
        <v>91</v>
      </c>
      <c r="AD1185" s="76" t="s">
        <v>91</v>
      </c>
      <c r="AE1185" s="77"/>
      <c r="AF1185" s="77"/>
      <c r="AG1185" s="41" t="s">
        <v>91</v>
      </c>
    </row>
    <row r="1186" spans="1:33" ht="21" hidden="1" x14ac:dyDescent="0.55000000000000004">
      <c r="A1186" s="44">
        <f>Data!K1185</f>
        <v>0</v>
      </c>
      <c r="B1186" s="44">
        <f>Data!L1185</f>
        <v>0</v>
      </c>
      <c r="C1186" s="44">
        <f>Data!D1185</f>
        <v>0</v>
      </c>
      <c r="D1186" s="82">
        <f>Data!F1185</f>
        <v>0</v>
      </c>
      <c r="E1186" s="82">
        <f>Data!B1185</f>
        <v>0</v>
      </c>
      <c r="F1186" s="44">
        <f>Data!A1185</f>
        <v>0</v>
      </c>
      <c r="G1186" s="55">
        <f>Data!C1185</f>
        <v>0</v>
      </c>
      <c r="H1186" s="56">
        <f>Data!H1185</f>
        <v>0</v>
      </c>
      <c r="I1186" s="56">
        <f>Data!I1185</f>
        <v>0</v>
      </c>
      <c r="J1186" s="57">
        <f>Data!J1185</f>
        <v>0</v>
      </c>
      <c r="K1186" s="58">
        <f t="shared" ca="1" si="19"/>
        <v>44700</v>
      </c>
      <c r="L1186" s="58">
        <f>Data!M1185</f>
        <v>0</v>
      </c>
      <c r="M1186" s="37" t="s">
        <v>26</v>
      </c>
      <c r="N1186" s="43" t="str">
        <f>VLOOKUP(M1186,Table1[#All],3,FALSE)</f>
        <v>Note</v>
      </c>
      <c r="O1186" s="40" t="str">
        <f>VLOOKUP(M1186,Table1[#All],4,FALSE)</f>
        <v>Q1</v>
      </c>
      <c r="P1186" s="39"/>
      <c r="Q1186" s="40" t="str">
        <f>VLOOKUP(M1186,Table1[#All],5,FALSE)</f>
        <v>Q2</v>
      </c>
      <c r="R1186" s="79"/>
      <c r="S1186" s="40" t="str">
        <f>VLOOKUP(M1186,Table1[#All],6,FALSE)</f>
        <v>Q3</v>
      </c>
      <c r="T1186" s="79"/>
      <c r="U1186" s="40" t="str">
        <f>VLOOKUP(M1186,Table1[#All],7,FALSE)</f>
        <v>Q4</v>
      </c>
      <c r="V1186" s="79"/>
      <c r="W1186" s="40" t="str">
        <f>VLOOKUP(M1186,Table1[#All],8,FALSE)</f>
        <v>Q5</v>
      </c>
      <c r="X1186" s="79"/>
      <c r="Y1186" s="44" t="str">
        <f>VLOOKUP(M1186,Table1[#All],2,FALSE)</f>
        <v>Action</v>
      </c>
      <c r="Z1186" s="59" t="str">
        <f>VLOOKUP(M1186,Table1[#All],9,FALSE)</f>
        <v>Additional Notes:</v>
      </c>
      <c r="AA1186" s="76"/>
      <c r="AB1186" s="76"/>
      <c r="AC1186" s="90" t="s">
        <v>91</v>
      </c>
      <c r="AD1186" s="76" t="s">
        <v>91</v>
      </c>
      <c r="AE1186" s="77"/>
      <c r="AF1186" s="77"/>
      <c r="AG1186" s="41" t="s">
        <v>91</v>
      </c>
    </row>
    <row r="1187" spans="1:33" ht="21" hidden="1" x14ac:dyDescent="0.55000000000000004">
      <c r="A1187" s="44">
        <f>Data!K1186</f>
        <v>0</v>
      </c>
      <c r="B1187" s="44">
        <f>Data!L1186</f>
        <v>0</v>
      </c>
      <c r="C1187" s="44">
        <f>Data!D1186</f>
        <v>0</v>
      </c>
      <c r="D1187" s="82">
        <f>Data!F1186</f>
        <v>0</v>
      </c>
      <c r="E1187" s="82">
        <f>Data!B1186</f>
        <v>0</v>
      </c>
      <c r="F1187" s="44">
        <f>Data!A1186</f>
        <v>0</v>
      </c>
      <c r="G1187" s="55">
        <f>Data!C1186</f>
        <v>0</v>
      </c>
      <c r="H1187" s="56">
        <f>Data!H1186</f>
        <v>0</v>
      </c>
      <c r="I1187" s="56">
        <f>Data!I1186</f>
        <v>0</v>
      </c>
      <c r="J1187" s="57">
        <f>Data!J1186</f>
        <v>0</v>
      </c>
      <c r="K1187" s="58">
        <f t="shared" ca="1" si="19"/>
        <v>44700</v>
      </c>
      <c r="L1187" s="58">
        <f>Data!M1186</f>
        <v>0</v>
      </c>
      <c r="M1187" s="37" t="s">
        <v>26</v>
      </c>
      <c r="N1187" s="43" t="str">
        <f>VLOOKUP(M1187,Table1[#All],3,FALSE)</f>
        <v>Note</v>
      </c>
      <c r="O1187" s="40" t="str">
        <f>VLOOKUP(M1187,Table1[#All],4,FALSE)</f>
        <v>Q1</v>
      </c>
      <c r="P1187" s="39"/>
      <c r="Q1187" s="40" t="str">
        <f>VLOOKUP(M1187,Table1[#All],5,FALSE)</f>
        <v>Q2</v>
      </c>
      <c r="R1187" s="79"/>
      <c r="S1187" s="40" t="str">
        <f>VLOOKUP(M1187,Table1[#All],6,FALSE)</f>
        <v>Q3</v>
      </c>
      <c r="T1187" s="79"/>
      <c r="U1187" s="40" t="str">
        <f>VLOOKUP(M1187,Table1[#All],7,FALSE)</f>
        <v>Q4</v>
      </c>
      <c r="V1187" s="79"/>
      <c r="W1187" s="40" t="str">
        <f>VLOOKUP(M1187,Table1[#All],8,FALSE)</f>
        <v>Q5</v>
      </c>
      <c r="X1187" s="79"/>
      <c r="Y1187" s="44" t="str">
        <f>VLOOKUP(M1187,Table1[#All],2,FALSE)</f>
        <v>Action</v>
      </c>
      <c r="Z1187" s="59" t="str">
        <f>VLOOKUP(M1187,Table1[#All],9,FALSE)</f>
        <v>Additional Notes:</v>
      </c>
      <c r="AA1187" s="76"/>
      <c r="AB1187" s="76"/>
      <c r="AC1187" s="90" t="s">
        <v>91</v>
      </c>
      <c r="AD1187" s="76" t="s">
        <v>91</v>
      </c>
      <c r="AE1187" s="77"/>
      <c r="AF1187" s="77"/>
      <c r="AG1187" s="41" t="s">
        <v>91</v>
      </c>
    </row>
    <row r="1188" spans="1:33" ht="21" hidden="1" x14ac:dyDescent="0.55000000000000004">
      <c r="A1188" s="44">
        <f>Data!K1187</f>
        <v>0</v>
      </c>
      <c r="B1188" s="44">
        <f>Data!L1187</f>
        <v>0</v>
      </c>
      <c r="C1188" s="44">
        <f>Data!D1187</f>
        <v>0</v>
      </c>
      <c r="D1188" s="82">
        <f>Data!F1187</f>
        <v>0</v>
      </c>
      <c r="E1188" s="82">
        <f>Data!B1187</f>
        <v>0</v>
      </c>
      <c r="F1188" s="44">
        <f>Data!A1187</f>
        <v>0</v>
      </c>
      <c r="G1188" s="55">
        <f>Data!C1187</f>
        <v>0</v>
      </c>
      <c r="H1188" s="56">
        <f>Data!H1187</f>
        <v>0</v>
      </c>
      <c r="I1188" s="56">
        <f>Data!I1187</f>
        <v>0</v>
      </c>
      <c r="J1188" s="57">
        <f>Data!J1187</f>
        <v>0</v>
      </c>
      <c r="K1188" s="58">
        <f t="shared" ca="1" si="19"/>
        <v>44700</v>
      </c>
      <c r="L1188" s="58">
        <f>Data!M1187</f>
        <v>0</v>
      </c>
      <c r="M1188" s="37" t="s">
        <v>26</v>
      </c>
      <c r="N1188" s="43" t="str">
        <f>VLOOKUP(M1188,Table1[#All],3,FALSE)</f>
        <v>Note</v>
      </c>
      <c r="O1188" s="40" t="str">
        <f>VLOOKUP(M1188,Table1[#All],4,FALSE)</f>
        <v>Q1</v>
      </c>
      <c r="P1188" s="39"/>
      <c r="Q1188" s="40" t="str">
        <f>VLOOKUP(M1188,Table1[#All],5,FALSE)</f>
        <v>Q2</v>
      </c>
      <c r="R1188" s="79"/>
      <c r="S1188" s="40" t="str">
        <f>VLOOKUP(M1188,Table1[#All],6,FALSE)</f>
        <v>Q3</v>
      </c>
      <c r="T1188" s="79"/>
      <c r="U1188" s="40" t="str">
        <f>VLOOKUP(M1188,Table1[#All],7,FALSE)</f>
        <v>Q4</v>
      </c>
      <c r="V1188" s="79"/>
      <c r="W1188" s="40" t="str">
        <f>VLOOKUP(M1188,Table1[#All],8,FALSE)</f>
        <v>Q5</v>
      </c>
      <c r="X1188" s="79"/>
      <c r="Y1188" s="44" t="str">
        <f>VLOOKUP(M1188,Table1[#All],2,FALSE)</f>
        <v>Action</v>
      </c>
      <c r="Z1188" s="59" t="str">
        <f>VLOOKUP(M1188,Table1[#All],9,FALSE)</f>
        <v>Additional Notes:</v>
      </c>
      <c r="AA1188" s="76"/>
      <c r="AB1188" s="76"/>
      <c r="AC1188" s="90" t="s">
        <v>91</v>
      </c>
      <c r="AD1188" s="76" t="s">
        <v>91</v>
      </c>
      <c r="AE1188" s="77"/>
      <c r="AF1188" s="77"/>
      <c r="AG1188" s="41" t="s">
        <v>91</v>
      </c>
    </row>
    <row r="1189" spans="1:33" ht="21" hidden="1" x14ac:dyDescent="0.55000000000000004">
      <c r="A1189" s="44">
        <f>Data!K1188</f>
        <v>0</v>
      </c>
      <c r="B1189" s="44">
        <f>Data!L1188</f>
        <v>0</v>
      </c>
      <c r="C1189" s="44">
        <f>Data!D1188</f>
        <v>0</v>
      </c>
      <c r="D1189" s="82">
        <f>Data!F1188</f>
        <v>0</v>
      </c>
      <c r="E1189" s="82">
        <f>Data!B1188</f>
        <v>0</v>
      </c>
      <c r="F1189" s="44">
        <f>Data!A1188</f>
        <v>0</v>
      </c>
      <c r="G1189" s="55">
        <f>Data!C1188</f>
        <v>0</v>
      </c>
      <c r="H1189" s="56">
        <f>Data!H1188</f>
        <v>0</v>
      </c>
      <c r="I1189" s="56">
        <f>Data!I1188</f>
        <v>0</v>
      </c>
      <c r="J1189" s="57">
        <f>Data!J1188</f>
        <v>0</v>
      </c>
      <c r="K1189" s="58">
        <f t="shared" ca="1" si="19"/>
        <v>44700</v>
      </c>
      <c r="L1189" s="58">
        <f>Data!M1188</f>
        <v>0</v>
      </c>
      <c r="M1189" s="37" t="s">
        <v>26</v>
      </c>
      <c r="N1189" s="43" t="str">
        <f>VLOOKUP(M1189,Table1[#All],3,FALSE)</f>
        <v>Note</v>
      </c>
      <c r="O1189" s="40" t="str">
        <f>VLOOKUP(M1189,Table1[#All],4,FALSE)</f>
        <v>Q1</v>
      </c>
      <c r="P1189" s="39"/>
      <c r="Q1189" s="40" t="str">
        <f>VLOOKUP(M1189,Table1[#All],5,FALSE)</f>
        <v>Q2</v>
      </c>
      <c r="R1189" s="79"/>
      <c r="S1189" s="40" t="str">
        <f>VLOOKUP(M1189,Table1[#All],6,FALSE)</f>
        <v>Q3</v>
      </c>
      <c r="T1189" s="79"/>
      <c r="U1189" s="40" t="str">
        <f>VLOOKUP(M1189,Table1[#All],7,FALSE)</f>
        <v>Q4</v>
      </c>
      <c r="V1189" s="79"/>
      <c r="W1189" s="40" t="str">
        <f>VLOOKUP(M1189,Table1[#All],8,FALSE)</f>
        <v>Q5</v>
      </c>
      <c r="X1189" s="79"/>
      <c r="Y1189" s="44" t="str">
        <f>VLOOKUP(M1189,Table1[#All],2,FALSE)</f>
        <v>Action</v>
      </c>
      <c r="Z1189" s="59" t="str">
        <f>VLOOKUP(M1189,Table1[#All],9,FALSE)</f>
        <v>Additional Notes:</v>
      </c>
      <c r="AA1189" s="76"/>
      <c r="AB1189" s="76"/>
      <c r="AC1189" s="90" t="s">
        <v>91</v>
      </c>
      <c r="AD1189" s="76" t="s">
        <v>91</v>
      </c>
      <c r="AE1189" s="77"/>
      <c r="AF1189" s="77"/>
      <c r="AG1189" s="41" t="s">
        <v>91</v>
      </c>
    </row>
    <row r="1190" spans="1:33" ht="21" hidden="1" x14ac:dyDescent="0.55000000000000004">
      <c r="A1190" s="44">
        <f>Data!K1189</f>
        <v>0</v>
      </c>
      <c r="B1190" s="44">
        <f>Data!L1189</f>
        <v>0</v>
      </c>
      <c r="C1190" s="44">
        <f>Data!D1189</f>
        <v>0</v>
      </c>
      <c r="D1190" s="82">
        <f>Data!F1189</f>
        <v>0</v>
      </c>
      <c r="E1190" s="82">
        <f>Data!B1189</f>
        <v>0</v>
      </c>
      <c r="F1190" s="44">
        <f>Data!A1189</f>
        <v>0</v>
      </c>
      <c r="G1190" s="55">
        <f>Data!C1189</f>
        <v>0</v>
      </c>
      <c r="H1190" s="56">
        <f>Data!H1189</f>
        <v>0</v>
      </c>
      <c r="I1190" s="56">
        <f>Data!I1189</f>
        <v>0</v>
      </c>
      <c r="J1190" s="57">
        <f>Data!J1189</f>
        <v>0</v>
      </c>
      <c r="K1190" s="58">
        <f t="shared" ca="1" si="19"/>
        <v>44700</v>
      </c>
      <c r="L1190" s="58">
        <f>Data!M1189</f>
        <v>0</v>
      </c>
      <c r="M1190" s="37" t="s">
        <v>26</v>
      </c>
      <c r="N1190" s="43" t="str">
        <f>VLOOKUP(M1190,Table1[#All],3,FALSE)</f>
        <v>Note</v>
      </c>
      <c r="O1190" s="40" t="str">
        <f>VLOOKUP(M1190,Table1[#All],4,FALSE)</f>
        <v>Q1</v>
      </c>
      <c r="P1190" s="39"/>
      <c r="Q1190" s="40" t="str">
        <f>VLOOKUP(M1190,Table1[#All],5,FALSE)</f>
        <v>Q2</v>
      </c>
      <c r="R1190" s="79"/>
      <c r="S1190" s="40" t="str">
        <f>VLOOKUP(M1190,Table1[#All],6,FALSE)</f>
        <v>Q3</v>
      </c>
      <c r="T1190" s="79"/>
      <c r="U1190" s="40" t="str">
        <f>VLOOKUP(M1190,Table1[#All],7,FALSE)</f>
        <v>Q4</v>
      </c>
      <c r="V1190" s="79"/>
      <c r="W1190" s="40" t="str">
        <f>VLOOKUP(M1190,Table1[#All],8,FALSE)</f>
        <v>Q5</v>
      </c>
      <c r="X1190" s="79"/>
      <c r="Y1190" s="44" t="str">
        <f>VLOOKUP(M1190,Table1[#All],2,FALSE)</f>
        <v>Action</v>
      </c>
      <c r="Z1190" s="59" t="str">
        <f>VLOOKUP(M1190,Table1[#All],9,FALSE)</f>
        <v>Additional Notes:</v>
      </c>
      <c r="AA1190" s="76"/>
      <c r="AB1190" s="76"/>
      <c r="AC1190" s="90" t="s">
        <v>91</v>
      </c>
      <c r="AD1190" s="76" t="s">
        <v>91</v>
      </c>
      <c r="AE1190" s="77"/>
      <c r="AF1190" s="77"/>
      <c r="AG1190" s="41" t="s">
        <v>91</v>
      </c>
    </row>
    <row r="1191" spans="1:33" ht="21" hidden="1" x14ac:dyDescent="0.55000000000000004">
      <c r="A1191" s="44">
        <f>Data!K1190</f>
        <v>0</v>
      </c>
      <c r="B1191" s="44">
        <f>Data!L1190</f>
        <v>0</v>
      </c>
      <c r="C1191" s="44">
        <f>Data!D1190</f>
        <v>0</v>
      </c>
      <c r="D1191" s="82">
        <f>Data!F1190</f>
        <v>0</v>
      </c>
      <c r="E1191" s="82">
        <f>Data!B1190</f>
        <v>0</v>
      </c>
      <c r="F1191" s="44">
        <f>Data!A1190</f>
        <v>0</v>
      </c>
      <c r="G1191" s="55">
        <f>Data!C1190</f>
        <v>0</v>
      </c>
      <c r="H1191" s="56">
        <f>Data!H1190</f>
        <v>0</v>
      </c>
      <c r="I1191" s="56">
        <f>Data!I1190</f>
        <v>0</v>
      </c>
      <c r="J1191" s="57">
        <f>Data!J1190</f>
        <v>0</v>
      </c>
      <c r="K1191" s="58">
        <f t="shared" ca="1" si="19"/>
        <v>44700</v>
      </c>
      <c r="L1191" s="58">
        <f>Data!M1190</f>
        <v>0</v>
      </c>
      <c r="M1191" s="37" t="s">
        <v>26</v>
      </c>
      <c r="N1191" s="43" t="str">
        <f>VLOOKUP(M1191,Table1[#All],3,FALSE)</f>
        <v>Note</v>
      </c>
      <c r="O1191" s="40" t="str">
        <f>VLOOKUP(M1191,Table1[#All],4,FALSE)</f>
        <v>Q1</v>
      </c>
      <c r="P1191" s="39"/>
      <c r="Q1191" s="40" t="str">
        <f>VLOOKUP(M1191,Table1[#All],5,FALSE)</f>
        <v>Q2</v>
      </c>
      <c r="R1191" s="79"/>
      <c r="S1191" s="40" t="str">
        <f>VLOOKUP(M1191,Table1[#All],6,FALSE)</f>
        <v>Q3</v>
      </c>
      <c r="T1191" s="79"/>
      <c r="U1191" s="40" t="str">
        <f>VLOOKUP(M1191,Table1[#All],7,FALSE)</f>
        <v>Q4</v>
      </c>
      <c r="V1191" s="79"/>
      <c r="W1191" s="40" t="str">
        <f>VLOOKUP(M1191,Table1[#All],8,FALSE)</f>
        <v>Q5</v>
      </c>
      <c r="X1191" s="79"/>
      <c r="Y1191" s="44" t="str">
        <f>VLOOKUP(M1191,Table1[#All],2,FALSE)</f>
        <v>Action</v>
      </c>
      <c r="Z1191" s="59" t="str">
        <f>VLOOKUP(M1191,Table1[#All],9,FALSE)</f>
        <v>Additional Notes:</v>
      </c>
      <c r="AA1191" s="76"/>
      <c r="AB1191" s="76"/>
      <c r="AC1191" s="90" t="s">
        <v>91</v>
      </c>
      <c r="AD1191" s="76" t="s">
        <v>91</v>
      </c>
      <c r="AE1191" s="77"/>
      <c r="AF1191" s="77"/>
      <c r="AG1191" s="41" t="s">
        <v>91</v>
      </c>
    </row>
    <row r="1192" spans="1:33" ht="21" hidden="1" x14ac:dyDescent="0.55000000000000004">
      <c r="A1192" s="44">
        <f>Data!K1191</f>
        <v>0</v>
      </c>
      <c r="B1192" s="44">
        <f>Data!L1191</f>
        <v>0</v>
      </c>
      <c r="C1192" s="44">
        <f>Data!D1191</f>
        <v>0</v>
      </c>
      <c r="D1192" s="82">
        <f>Data!F1191</f>
        <v>0</v>
      </c>
      <c r="E1192" s="82">
        <f>Data!B1191</f>
        <v>0</v>
      </c>
      <c r="F1192" s="44">
        <f>Data!A1191</f>
        <v>0</v>
      </c>
      <c r="G1192" s="55">
        <f>Data!C1191</f>
        <v>0</v>
      </c>
      <c r="H1192" s="56">
        <f>Data!H1191</f>
        <v>0</v>
      </c>
      <c r="I1192" s="56">
        <f>Data!I1191</f>
        <v>0</v>
      </c>
      <c r="J1192" s="57">
        <f>Data!J1191</f>
        <v>0</v>
      </c>
      <c r="K1192" s="58">
        <f t="shared" ref="K1192:K1200" ca="1" si="20">TODAY()-I1192</f>
        <v>44700</v>
      </c>
      <c r="L1192" s="58">
        <f>Data!M1191</f>
        <v>0</v>
      </c>
      <c r="M1192" s="37" t="s">
        <v>26</v>
      </c>
      <c r="N1192" s="43" t="str">
        <f>VLOOKUP(M1192,Table1[#All],3,FALSE)</f>
        <v>Note</v>
      </c>
      <c r="O1192" s="40" t="str">
        <f>VLOOKUP(M1192,Table1[#All],4,FALSE)</f>
        <v>Q1</v>
      </c>
      <c r="P1192" s="39"/>
      <c r="Q1192" s="40" t="str">
        <f>VLOOKUP(M1192,Table1[#All],5,FALSE)</f>
        <v>Q2</v>
      </c>
      <c r="R1192" s="79"/>
      <c r="S1192" s="40" t="str">
        <f>VLOOKUP(M1192,Table1[#All],6,FALSE)</f>
        <v>Q3</v>
      </c>
      <c r="T1192" s="79"/>
      <c r="U1192" s="40" t="str">
        <f>VLOOKUP(M1192,Table1[#All],7,FALSE)</f>
        <v>Q4</v>
      </c>
      <c r="V1192" s="79"/>
      <c r="W1192" s="40" t="str">
        <f>VLOOKUP(M1192,Table1[#All],8,FALSE)</f>
        <v>Q5</v>
      </c>
      <c r="X1192" s="79"/>
      <c r="Y1192" s="44" t="str">
        <f>VLOOKUP(M1192,Table1[#All],2,FALSE)</f>
        <v>Action</v>
      </c>
      <c r="Z1192" s="59" t="str">
        <f>VLOOKUP(M1192,Table1[#All],9,FALSE)</f>
        <v>Additional Notes:</v>
      </c>
      <c r="AA1192" s="76"/>
      <c r="AB1192" s="76"/>
      <c r="AC1192" s="90" t="s">
        <v>91</v>
      </c>
      <c r="AD1192" s="76" t="s">
        <v>91</v>
      </c>
      <c r="AE1192" s="77"/>
      <c r="AF1192" s="77"/>
      <c r="AG1192" s="41" t="s">
        <v>91</v>
      </c>
    </row>
    <row r="1193" spans="1:33" ht="21" hidden="1" x14ac:dyDescent="0.55000000000000004">
      <c r="A1193" s="44">
        <f>Data!K1192</f>
        <v>0</v>
      </c>
      <c r="B1193" s="44">
        <f>Data!L1192</f>
        <v>0</v>
      </c>
      <c r="C1193" s="44">
        <f>Data!D1192</f>
        <v>0</v>
      </c>
      <c r="D1193" s="82">
        <f>Data!F1192</f>
        <v>0</v>
      </c>
      <c r="E1193" s="82">
        <f>Data!B1192</f>
        <v>0</v>
      </c>
      <c r="F1193" s="44">
        <f>Data!A1192</f>
        <v>0</v>
      </c>
      <c r="G1193" s="55">
        <f>Data!C1192</f>
        <v>0</v>
      </c>
      <c r="H1193" s="56">
        <f>Data!H1192</f>
        <v>0</v>
      </c>
      <c r="I1193" s="56">
        <f>Data!I1192</f>
        <v>0</v>
      </c>
      <c r="J1193" s="57">
        <f>Data!J1192</f>
        <v>0</v>
      </c>
      <c r="K1193" s="58">
        <f t="shared" ca="1" si="20"/>
        <v>44700</v>
      </c>
      <c r="L1193" s="58">
        <f>Data!M1192</f>
        <v>0</v>
      </c>
      <c r="M1193" s="37" t="s">
        <v>26</v>
      </c>
      <c r="N1193" s="43" t="str">
        <f>VLOOKUP(M1193,Table1[#All],3,FALSE)</f>
        <v>Note</v>
      </c>
      <c r="O1193" s="40" t="str">
        <f>VLOOKUP(M1193,Table1[#All],4,FALSE)</f>
        <v>Q1</v>
      </c>
      <c r="P1193" s="39"/>
      <c r="Q1193" s="40" t="str">
        <f>VLOOKUP(M1193,Table1[#All],5,FALSE)</f>
        <v>Q2</v>
      </c>
      <c r="R1193" s="79"/>
      <c r="S1193" s="40" t="str">
        <f>VLOOKUP(M1193,Table1[#All],6,FALSE)</f>
        <v>Q3</v>
      </c>
      <c r="T1193" s="79"/>
      <c r="U1193" s="40" t="str">
        <f>VLOOKUP(M1193,Table1[#All],7,FALSE)</f>
        <v>Q4</v>
      </c>
      <c r="V1193" s="79"/>
      <c r="W1193" s="40" t="str">
        <f>VLOOKUP(M1193,Table1[#All],8,FALSE)</f>
        <v>Q5</v>
      </c>
      <c r="X1193" s="79"/>
      <c r="Y1193" s="44" t="str">
        <f>VLOOKUP(M1193,Table1[#All],2,FALSE)</f>
        <v>Action</v>
      </c>
      <c r="Z1193" s="59" t="str">
        <f>VLOOKUP(M1193,Table1[#All],9,FALSE)</f>
        <v>Additional Notes:</v>
      </c>
      <c r="AA1193" s="76"/>
      <c r="AB1193" s="76"/>
      <c r="AC1193" s="90" t="s">
        <v>91</v>
      </c>
      <c r="AD1193" s="76" t="s">
        <v>91</v>
      </c>
      <c r="AE1193" s="77"/>
      <c r="AF1193" s="77"/>
      <c r="AG1193" s="41" t="s">
        <v>91</v>
      </c>
    </row>
    <row r="1194" spans="1:33" ht="21" hidden="1" x14ac:dyDescent="0.55000000000000004">
      <c r="A1194" s="44">
        <f>Data!K1193</f>
        <v>0</v>
      </c>
      <c r="B1194" s="44">
        <f>Data!L1193</f>
        <v>0</v>
      </c>
      <c r="C1194" s="44">
        <f>Data!D1193</f>
        <v>0</v>
      </c>
      <c r="D1194" s="82">
        <f>Data!F1193</f>
        <v>0</v>
      </c>
      <c r="E1194" s="82">
        <f>Data!B1193</f>
        <v>0</v>
      </c>
      <c r="F1194" s="44">
        <f>Data!A1193</f>
        <v>0</v>
      </c>
      <c r="G1194" s="55">
        <f>Data!C1193</f>
        <v>0</v>
      </c>
      <c r="H1194" s="56">
        <f>Data!H1193</f>
        <v>0</v>
      </c>
      <c r="I1194" s="56">
        <f>Data!I1193</f>
        <v>0</v>
      </c>
      <c r="J1194" s="57">
        <f>Data!J1193</f>
        <v>0</v>
      </c>
      <c r="K1194" s="58">
        <f t="shared" ca="1" si="20"/>
        <v>44700</v>
      </c>
      <c r="L1194" s="58">
        <f>Data!M1193</f>
        <v>0</v>
      </c>
      <c r="M1194" s="37" t="s">
        <v>26</v>
      </c>
      <c r="N1194" s="43" t="str">
        <f>VLOOKUP(M1194,Table1[#All],3,FALSE)</f>
        <v>Note</v>
      </c>
      <c r="O1194" s="40" t="str">
        <f>VLOOKUP(M1194,Table1[#All],4,FALSE)</f>
        <v>Q1</v>
      </c>
      <c r="P1194" s="39"/>
      <c r="Q1194" s="40" t="str">
        <f>VLOOKUP(M1194,Table1[#All],5,FALSE)</f>
        <v>Q2</v>
      </c>
      <c r="R1194" s="79"/>
      <c r="S1194" s="40" t="str">
        <f>VLOOKUP(M1194,Table1[#All],6,FALSE)</f>
        <v>Q3</v>
      </c>
      <c r="T1194" s="79"/>
      <c r="U1194" s="40" t="str">
        <f>VLOOKUP(M1194,Table1[#All],7,FALSE)</f>
        <v>Q4</v>
      </c>
      <c r="V1194" s="79"/>
      <c r="W1194" s="40" t="str">
        <f>VLOOKUP(M1194,Table1[#All],8,FALSE)</f>
        <v>Q5</v>
      </c>
      <c r="X1194" s="79"/>
      <c r="Y1194" s="44" t="str">
        <f>VLOOKUP(M1194,Table1[#All],2,FALSE)</f>
        <v>Action</v>
      </c>
      <c r="Z1194" s="59" t="str">
        <f>VLOOKUP(M1194,Table1[#All],9,FALSE)</f>
        <v>Additional Notes:</v>
      </c>
      <c r="AA1194" s="76"/>
      <c r="AB1194" s="76"/>
      <c r="AC1194" s="90" t="s">
        <v>91</v>
      </c>
      <c r="AD1194" s="76" t="s">
        <v>91</v>
      </c>
      <c r="AE1194" s="77"/>
      <c r="AF1194" s="77"/>
      <c r="AG1194" s="41" t="s">
        <v>91</v>
      </c>
    </row>
    <row r="1195" spans="1:33" ht="21" hidden="1" x14ac:dyDescent="0.55000000000000004">
      <c r="A1195" s="44">
        <f>Data!K1194</f>
        <v>0</v>
      </c>
      <c r="B1195" s="44">
        <f>Data!L1194</f>
        <v>0</v>
      </c>
      <c r="C1195" s="44">
        <f>Data!D1194</f>
        <v>0</v>
      </c>
      <c r="D1195" s="82">
        <f>Data!F1194</f>
        <v>0</v>
      </c>
      <c r="E1195" s="82">
        <f>Data!B1194</f>
        <v>0</v>
      </c>
      <c r="F1195" s="44">
        <f>Data!A1194</f>
        <v>0</v>
      </c>
      <c r="G1195" s="55">
        <f>Data!C1194</f>
        <v>0</v>
      </c>
      <c r="H1195" s="56">
        <f>Data!H1194</f>
        <v>0</v>
      </c>
      <c r="I1195" s="56">
        <f>Data!I1194</f>
        <v>0</v>
      </c>
      <c r="J1195" s="57">
        <f>Data!J1194</f>
        <v>0</v>
      </c>
      <c r="K1195" s="58">
        <f t="shared" ca="1" si="20"/>
        <v>44700</v>
      </c>
      <c r="L1195" s="58">
        <f>Data!M1194</f>
        <v>0</v>
      </c>
      <c r="M1195" s="37" t="s">
        <v>26</v>
      </c>
      <c r="N1195" s="43" t="str">
        <f>VLOOKUP(M1195,Table1[#All],3,FALSE)</f>
        <v>Note</v>
      </c>
      <c r="O1195" s="40" t="str">
        <f>VLOOKUP(M1195,Table1[#All],4,FALSE)</f>
        <v>Q1</v>
      </c>
      <c r="P1195" s="39"/>
      <c r="Q1195" s="40" t="str">
        <f>VLOOKUP(M1195,Table1[#All],5,FALSE)</f>
        <v>Q2</v>
      </c>
      <c r="R1195" s="79"/>
      <c r="S1195" s="40" t="str">
        <f>VLOOKUP(M1195,Table1[#All],6,FALSE)</f>
        <v>Q3</v>
      </c>
      <c r="T1195" s="79"/>
      <c r="U1195" s="40" t="str">
        <f>VLOOKUP(M1195,Table1[#All],7,FALSE)</f>
        <v>Q4</v>
      </c>
      <c r="V1195" s="79"/>
      <c r="W1195" s="40" t="str">
        <f>VLOOKUP(M1195,Table1[#All],8,FALSE)</f>
        <v>Q5</v>
      </c>
      <c r="X1195" s="79"/>
      <c r="Y1195" s="44" t="str">
        <f>VLOOKUP(M1195,Table1[#All],2,FALSE)</f>
        <v>Action</v>
      </c>
      <c r="Z1195" s="59" t="str">
        <f>VLOOKUP(M1195,Table1[#All],9,FALSE)</f>
        <v>Additional Notes:</v>
      </c>
      <c r="AA1195" s="76"/>
      <c r="AB1195" s="76"/>
      <c r="AC1195" s="90" t="s">
        <v>91</v>
      </c>
      <c r="AD1195" s="76" t="s">
        <v>91</v>
      </c>
      <c r="AE1195" s="77"/>
      <c r="AF1195" s="77"/>
      <c r="AG1195" s="41" t="s">
        <v>91</v>
      </c>
    </row>
    <row r="1196" spans="1:33" ht="21" hidden="1" x14ac:dyDescent="0.55000000000000004">
      <c r="A1196" s="44">
        <f>Data!K1195</f>
        <v>0</v>
      </c>
      <c r="B1196" s="44">
        <f>Data!L1195</f>
        <v>0</v>
      </c>
      <c r="C1196" s="44">
        <f>Data!D1195</f>
        <v>0</v>
      </c>
      <c r="D1196" s="82">
        <f>Data!F1195</f>
        <v>0</v>
      </c>
      <c r="E1196" s="82">
        <f>Data!B1195</f>
        <v>0</v>
      </c>
      <c r="F1196" s="44">
        <f>Data!A1195</f>
        <v>0</v>
      </c>
      <c r="G1196" s="55">
        <f>Data!C1195</f>
        <v>0</v>
      </c>
      <c r="H1196" s="56">
        <f>Data!H1195</f>
        <v>0</v>
      </c>
      <c r="I1196" s="56">
        <f>Data!I1195</f>
        <v>0</v>
      </c>
      <c r="J1196" s="57">
        <f>Data!J1195</f>
        <v>0</v>
      </c>
      <c r="K1196" s="58">
        <f t="shared" ca="1" si="20"/>
        <v>44700</v>
      </c>
      <c r="L1196" s="58">
        <f>Data!M1195</f>
        <v>0</v>
      </c>
      <c r="M1196" s="37" t="s">
        <v>26</v>
      </c>
      <c r="N1196" s="43" t="str">
        <f>VLOOKUP(M1196,Table1[#All],3,FALSE)</f>
        <v>Note</v>
      </c>
      <c r="O1196" s="40" t="str">
        <f>VLOOKUP(M1196,Table1[#All],4,FALSE)</f>
        <v>Q1</v>
      </c>
      <c r="P1196" s="39"/>
      <c r="Q1196" s="40" t="str">
        <f>VLOOKUP(M1196,Table1[#All],5,FALSE)</f>
        <v>Q2</v>
      </c>
      <c r="R1196" s="79"/>
      <c r="S1196" s="40" t="str">
        <f>VLOOKUP(M1196,Table1[#All],6,FALSE)</f>
        <v>Q3</v>
      </c>
      <c r="T1196" s="79"/>
      <c r="U1196" s="40" t="str">
        <f>VLOOKUP(M1196,Table1[#All],7,FALSE)</f>
        <v>Q4</v>
      </c>
      <c r="V1196" s="79"/>
      <c r="W1196" s="40" t="str">
        <f>VLOOKUP(M1196,Table1[#All],8,FALSE)</f>
        <v>Q5</v>
      </c>
      <c r="X1196" s="79"/>
      <c r="Y1196" s="44" t="str">
        <f>VLOOKUP(M1196,Table1[#All],2,FALSE)</f>
        <v>Action</v>
      </c>
      <c r="Z1196" s="59" t="str">
        <f>VLOOKUP(M1196,Table1[#All],9,FALSE)</f>
        <v>Additional Notes:</v>
      </c>
      <c r="AA1196" s="76"/>
      <c r="AB1196" s="76"/>
      <c r="AC1196" s="90" t="s">
        <v>91</v>
      </c>
      <c r="AD1196" s="76" t="s">
        <v>91</v>
      </c>
      <c r="AE1196" s="77"/>
      <c r="AF1196" s="77"/>
      <c r="AG1196" s="41" t="s">
        <v>91</v>
      </c>
    </row>
    <row r="1197" spans="1:33" ht="21" hidden="1" x14ac:dyDescent="0.55000000000000004">
      <c r="A1197" s="44">
        <f>Data!K1196</f>
        <v>0</v>
      </c>
      <c r="B1197" s="44">
        <f>Data!L1196</f>
        <v>0</v>
      </c>
      <c r="C1197" s="44">
        <f>Data!D1196</f>
        <v>0</v>
      </c>
      <c r="D1197" s="82">
        <f>Data!F1196</f>
        <v>0</v>
      </c>
      <c r="E1197" s="82">
        <f>Data!B1196</f>
        <v>0</v>
      </c>
      <c r="F1197" s="44">
        <f>Data!A1196</f>
        <v>0</v>
      </c>
      <c r="G1197" s="55">
        <f>Data!C1196</f>
        <v>0</v>
      </c>
      <c r="H1197" s="56">
        <f>Data!H1196</f>
        <v>0</v>
      </c>
      <c r="I1197" s="56">
        <f>Data!I1196</f>
        <v>0</v>
      </c>
      <c r="J1197" s="57">
        <f>Data!J1196</f>
        <v>0</v>
      </c>
      <c r="K1197" s="58">
        <f t="shared" ca="1" si="20"/>
        <v>44700</v>
      </c>
      <c r="L1197" s="58">
        <f>Data!M1196</f>
        <v>0</v>
      </c>
      <c r="M1197" s="37" t="s">
        <v>26</v>
      </c>
      <c r="N1197" s="43" t="str">
        <f>VLOOKUP(M1197,Table1[#All],3,FALSE)</f>
        <v>Note</v>
      </c>
      <c r="O1197" s="40" t="str">
        <f>VLOOKUP(M1197,Table1[#All],4,FALSE)</f>
        <v>Q1</v>
      </c>
      <c r="P1197" s="39"/>
      <c r="Q1197" s="40" t="str">
        <f>VLOOKUP(M1197,Table1[#All],5,FALSE)</f>
        <v>Q2</v>
      </c>
      <c r="R1197" s="79"/>
      <c r="S1197" s="40" t="str">
        <f>VLOOKUP(M1197,Table1[#All],6,FALSE)</f>
        <v>Q3</v>
      </c>
      <c r="T1197" s="79"/>
      <c r="U1197" s="40" t="str">
        <f>VLOOKUP(M1197,Table1[#All],7,FALSE)</f>
        <v>Q4</v>
      </c>
      <c r="V1197" s="79"/>
      <c r="W1197" s="40" t="str">
        <f>VLOOKUP(M1197,Table1[#All],8,FALSE)</f>
        <v>Q5</v>
      </c>
      <c r="X1197" s="79"/>
      <c r="Y1197" s="44" t="str">
        <f>VLOOKUP(M1197,Table1[#All],2,FALSE)</f>
        <v>Action</v>
      </c>
      <c r="Z1197" s="59" t="str">
        <f>VLOOKUP(M1197,Table1[#All],9,FALSE)</f>
        <v>Additional Notes:</v>
      </c>
      <c r="AA1197" s="76"/>
      <c r="AB1197" s="76"/>
      <c r="AC1197" s="90" t="s">
        <v>91</v>
      </c>
      <c r="AD1197" s="76" t="s">
        <v>91</v>
      </c>
      <c r="AE1197" s="77"/>
      <c r="AF1197" s="77"/>
      <c r="AG1197" s="41" t="s">
        <v>91</v>
      </c>
    </row>
    <row r="1198" spans="1:33" ht="21" hidden="1" x14ac:dyDescent="0.55000000000000004">
      <c r="A1198" s="44">
        <f>Data!K1197</f>
        <v>0</v>
      </c>
      <c r="B1198" s="44">
        <f>Data!L1197</f>
        <v>0</v>
      </c>
      <c r="C1198" s="44">
        <f>Data!D1197</f>
        <v>0</v>
      </c>
      <c r="D1198" s="82">
        <f>Data!F1197</f>
        <v>0</v>
      </c>
      <c r="E1198" s="82">
        <f>Data!B1197</f>
        <v>0</v>
      </c>
      <c r="F1198" s="44">
        <f>Data!A1197</f>
        <v>0</v>
      </c>
      <c r="G1198" s="55">
        <f>Data!C1197</f>
        <v>0</v>
      </c>
      <c r="H1198" s="56">
        <f>Data!H1197</f>
        <v>0</v>
      </c>
      <c r="I1198" s="56">
        <f>Data!I1197</f>
        <v>0</v>
      </c>
      <c r="J1198" s="57">
        <f>Data!J1197</f>
        <v>0</v>
      </c>
      <c r="K1198" s="58">
        <f t="shared" ca="1" si="20"/>
        <v>44700</v>
      </c>
      <c r="L1198" s="58">
        <f>Data!M1197</f>
        <v>0</v>
      </c>
      <c r="M1198" s="37" t="s">
        <v>26</v>
      </c>
      <c r="N1198" s="43" t="str">
        <f>VLOOKUP(M1198,Table1[#All],3,FALSE)</f>
        <v>Note</v>
      </c>
      <c r="O1198" s="40" t="str">
        <f>VLOOKUP(M1198,Table1[#All],4,FALSE)</f>
        <v>Q1</v>
      </c>
      <c r="P1198" s="39"/>
      <c r="Q1198" s="40" t="str">
        <f>VLOOKUP(M1198,Table1[#All],5,FALSE)</f>
        <v>Q2</v>
      </c>
      <c r="R1198" s="79"/>
      <c r="S1198" s="40" t="str">
        <f>VLOOKUP(M1198,Table1[#All],6,FALSE)</f>
        <v>Q3</v>
      </c>
      <c r="T1198" s="79"/>
      <c r="U1198" s="40" t="str">
        <f>VLOOKUP(M1198,Table1[#All],7,FALSE)</f>
        <v>Q4</v>
      </c>
      <c r="V1198" s="79"/>
      <c r="W1198" s="40" t="str">
        <f>VLOOKUP(M1198,Table1[#All],8,FALSE)</f>
        <v>Q5</v>
      </c>
      <c r="X1198" s="79"/>
      <c r="Y1198" s="44" t="str">
        <f>VLOOKUP(M1198,Table1[#All],2,FALSE)</f>
        <v>Action</v>
      </c>
      <c r="Z1198" s="59" t="str">
        <f>VLOOKUP(M1198,Table1[#All],9,FALSE)</f>
        <v>Additional Notes:</v>
      </c>
      <c r="AA1198" s="76"/>
      <c r="AB1198" s="76"/>
      <c r="AC1198" s="90" t="s">
        <v>91</v>
      </c>
      <c r="AD1198" s="76" t="s">
        <v>91</v>
      </c>
      <c r="AE1198" s="77"/>
      <c r="AF1198" s="77"/>
      <c r="AG1198" s="41" t="s">
        <v>91</v>
      </c>
    </row>
    <row r="1199" spans="1:33" ht="21" hidden="1" x14ac:dyDescent="0.55000000000000004">
      <c r="A1199" s="44">
        <f>Data!K1198</f>
        <v>0</v>
      </c>
      <c r="B1199" s="44">
        <f>Data!L1198</f>
        <v>0</v>
      </c>
      <c r="C1199" s="44">
        <f>Data!D1198</f>
        <v>0</v>
      </c>
      <c r="D1199" s="82">
        <f>Data!F1198</f>
        <v>0</v>
      </c>
      <c r="E1199" s="82">
        <f>Data!B1198</f>
        <v>0</v>
      </c>
      <c r="F1199" s="44">
        <f>Data!A1198</f>
        <v>0</v>
      </c>
      <c r="G1199" s="55">
        <f>Data!C1198</f>
        <v>0</v>
      </c>
      <c r="H1199" s="56">
        <f>Data!H1198</f>
        <v>0</v>
      </c>
      <c r="I1199" s="56">
        <f>Data!I1198</f>
        <v>0</v>
      </c>
      <c r="J1199" s="57">
        <f>Data!J1198</f>
        <v>0</v>
      </c>
      <c r="K1199" s="58">
        <f t="shared" ca="1" si="20"/>
        <v>44700</v>
      </c>
      <c r="L1199" s="58">
        <f>Data!M1198</f>
        <v>0</v>
      </c>
      <c r="M1199" s="37" t="s">
        <v>26</v>
      </c>
      <c r="N1199" s="43" t="str">
        <f>VLOOKUP(M1199,Table1[#All],3,FALSE)</f>
        <v>Note</v>
      </c>
      <c r="O1199" s="40" t="str">
        <f>VLOOKUP(M1199,Table1[#All],4,FALSE)</f>
        <v>Q1</v>
      </c>
      <c r="P1199" s="39"/>
      <c r="Q1199" s="40" t="str">
        <f>VLOOKUP(M1199,Table1[#All],5,FALSE)</f>
        <v>Q2</v>
      </c>
      <c r="R1199" s="79"/>
      <c r="S1199" s="40" t="str">
        <f>VLOOKUP(M1199,Table1[#All],6,FALSE)</f>
        <v>Q3</v>
      </c>
      <c r="T1199" s="79"/>
      <c r="U1199" s="40" t="str">
        <f>VLOOKUP(M1199,Table1[#All],7,FALSE)</f>
        <v>Q4</v>
      </c>
      <c r="V1199" s="79"/>
      <c r="W1199" s="40" t="str">
        <f>VLOOKUP(M1199,Table1[#All],8,FALSE)</f>
        <v>Q5</v>
      </c>
      <c r="X1199" s="79"/>
      <c r="Y1199" s="44" t="str">
        <f>VLOOKUP(M1199,Table1[#All],2,FALSE)</f>
        <v>Action</v>
      </c>
      <c r="Z1199" s="59" t="str">
        <f>VLOOKUP(M1199,Table1[#All],9,FALSE)</f>
        <v>Additional Notes:</v>
      </c>
      <c r="AA1199" s="76"/>
      <c r="AB1199" s="76"/>
      <c r="AC1199" s="90" t="s">
        <v>91</v>
      </c>
      <c r="AD1199" s="76" t="s">
        <v>91</v>
      </c>
      <c r="AE1199" s="77"/>
      <c r="AF1199" s="77"/>
      <c r="AG1199" s="41" t="s">
        <v>91</v>
      </c>
    </row>
    <row r="1200" spans="1:33" ht="21" hidden="1" x14ac:dyDescent="0.55000000000000004">
      <c r="A1200" s="44">
        <f>Data!K1199</f>
        <v>0</v>
      </c>
      <c r="B1200" s="44">
        <f>Data!L1199</f>
        <v>0</v>
      </c>
      <c r="C1200" s="44">
        <f>Data!D1199</f>
        <v>0</v>
      </c>
      <c r="D1200" s="82">
        <f>Data!F1199</f>
        <v>0</v>
      </c>
      <c r="E1200" s="82">
        <f>Data!B1199</f>
        <v>0</v>
      </c>
      <c r="F1200" s="44">
        <f>Data!A1199</f>
        <v>0</v>
      </c>
      <c r="G1200" s="55">
        <f>Data!C1199</f>
        <v>0</v>
      </c>
      <c r="H1200" s="56">
        <f>Data!H1199</f>
        <v>0</v>
      </c>
      <c r="I1200" s="56">
        <f>Data!I1199</f>
        <v>0</v>
      </c>
      <c r="J1200" s="57">
        <f>Data!J1199</f>
        <v>0</v>
      </c>
      <c r="K1200" s="58">
        <f t="shared" ca="1" si="20"/>
        <v>44700</v>
      </c>
      <c r="L1200" s="58">
        <f>Data!M1199</f>
        <v>0</v>
      </c>
      <c r="M1200" s="37" t="s">
        <v>26</v>
      </c>
      <c r="N1200" s="43" t="str">
        <f>VLOOKUP(M1200,Table1[#All],3,FALSE)</f>
        <v>Note</v>
      </c>
      <c r="O1200" s="40" t="str">
        <f>VLOOKUP(M1200,Table1[#All],4,FALSE)</f>
        <v>Q1</v>
      </c>
      <c r="P1200" s="39"/>
      <c r="Q1200" s="40" t="str">
        <f>VLOOKUP(M1200,Table1[#All],5,FALSE)</f>
        <v>Q2</v>
      </c>
      <c r="R1200" s="79"/>
      <c r="S1200" s="40" t="str">
        <f>VLOOKUP(M1200,Table1[#All],6,FALSE)</f>
        <v>Q3</v>
      </c>
      <c r="T1200" s="79"/>
      <c r="U1200" s="40" t="str">
        <f>VLOOKUP(M1200,Table1[#All],7,FALSE)</f>
        <v>Q4</v>
      </c>
      <c r="V1200" s="79"/>
      <c r="W1200" s="40" t="str">
        <f>VLOOKUP(M1200,Table1[#All],8,FALSE)</f>
        <v>Q5</v>
      </c>
      <c r="X1200" s="79"/>
      <c r="Y1200" s="44" t="str">
        <f>VLOOKUP(M1200,Table1[#All],2,FALSE)</f>
        <v>Action</v>
      </c>
      <c r="Z1200" s="59" t="str">
        <f>VLOOKUP(M1200,Table1[#All],9,FALSE)</f>
        <v>Additional Notes:</v>
      </c>
      <c r="AA1200" s="76"/>
      <c r="AB1200" s="76"/>
      <c r="AC1200" s="90" t="s">
        <v>91</v>
      </c>
      <c r="AD1200" s="76" t="s">
        <v>91</v>
      </c>
      <c r="AE1200" s="77"/>
      <c r="AF1200" s="77"/>
      <c r="AG1200" s="41" t="s">
        <v>91</v>
      </c>
    </row>
    <row r="1201" spans="13:13" ht="21" hidden="1" x14ac:dyDescent="0.25">
      <c r="M1201" s="37" t="s">
        <v>26</v>
      </c>
    </row>
    <row r="1202" spans="13:13" ht="21" hidden="1" x14ac:dyDescent="0.25">
      <c r="M1202" s="37" t="s">
        <v>26</v>
      </c>
    </row>
    <row r="1203" spans="13:13" ht="21" hidden="1" x14ac:dyDescent="0.25">
      <c r="M1203" s="37" t="s">
        <v>26</v>
      </c>
    </row>
    <row r="1204" spans="13:13" ht="21" hidden="1" x14ac:dyDescent="0.25">
      <c r="M1204" s="37" t="s">
        <v>26</v>
      </c>
    </row>
    <row r="1205" spans="13:13" ht="21" hidden="1" x14ac:dyDescent="0.25">
      <c r="M1205" s="37" t="s">
        <v>26</v>
      </c>
    </row>
    <row r="1206" spans="13:13" ht="21" hidden="1" x14ac:dyDescent="0.25">
      <c r="M1206" s="37" t="s">
        <v>26</v>
      </c>
    </row>
    <row r="1207" spans="13:13" ht="21" hidden="1" x14ac:dyDescent="0.25">
      <c r="M1207" s="37" t="s">
        <v>26</v>
      </c>
    </row>
    <row r="1208" spans="13:13" ht="21" hidden="1" x14ac:dyDescent="0.25">
      <c r="M1208" s="37" t="s">
        <v>26</v>
      </c>
    </row>
    <row r="1209" spans="13:13" ht="21" hidden="1" x14ac:dyDescent="0.25">
      <c r="M1209" s="37" t="s">
        <v>26</v>
      </c>
    </row>
    <row r="1210" spans="13:13" ht="21" hidden="1" x14ac:dyDescent="0.25">
      <c r="M1210" s="37" t="s">
        <v>26</v>
      </c>
    </row>
    <row r="1211" spans="13:13" ht="21" hidden="1" x14ac:dyDescent="0.25">
      <c r="M1211" s="37" t="s">
        <v>26</v>
      </c>
    </row>
    <row r="1212" spans="13:13" ht="21" hidden="1" x14ac:dyDescent="0.25">
      <c r="M1212" s="37" t="s">
        <v>26</v>
      </c>
    </row>
    <row r="1213" spans="13:13" ht="21" hidden="1" x14ac:dyDescent="0.25">
      <c r="M1213" s="37" t="s">
        <v>26</v>
      </c>
    </row>
    <row r="1214" spans="13:13" ht="21" hidden="1" x14ac:dyDescent="0.25">
      <c r="M1214" s="37" t="s">
        <v>26</v>
      </c>
    </row>
    <row r="1215" spans="13:13" ht="21" hidden="1" x14ac:dyDescent="0.25">
      <c r="M1215" s="37" t="s">
        <v>26</v>
      </c>
    </row>
    <row r="1216" spans="13:13" ht="21" hidden="1" x14ac:dyDescent="0.25">
      <c r="M1216" s="37" t="s">
        <v>26</v>
      </c>
    </row>
    <row r="1217" spans="13:13" ht="21" hidden="1" x14ac:dyDescent="0.25">
      <c r="M1217" s="37" t="s">
        <v>26</v>
      </c>
    </row>
  </sheetData>
  <sheetProtection algorithmName="SHA-512" hashValue="uNuyBZzsDEL/4T1cDfEd2+Fat7hWAwwvu32zIf2WOmwG69h8d95nI0n538R7/ufmzy0emHiADgYaX7YDoOAtuQ==" saltValue="8JTbyyHzCOkcIjdyCjAPaQ==" spinCount="100000" sheet="1" sort="0" autoFilter="0"/>
  <autoFilter ref="A4:AP1217" xr:uid="{00000000-0009-0000-0000-000001000000}">
    <filterColumn colId="10">
      <customFilters>
        <customFilter operator="greaterThanOrEqual" val="90"/>
      </customFilters>
    </filterColumn>
    <filterColumn colId="32">
      <filters>
        <filter val="Further Follow-Up"/>
      </filters>
    </filterColumn>
  </autoFilter>
  <mergeCells count="3">
    <mergeCell ref="A1:B1"/>
    <mergeCell ref="A3:B3"/>
    <mergeCell ref="A2:B2"/>
  </mergeCells>
  <conditionalFormatting sqref="A5:AF5 U10:Z14 AE16:AE20 Q22:Q26 S22:S26 U22:U26 W22:Z26 AB22:AB26 W77:W135 N150:Q150 U77:U135 Q52:AB56 Q70:AB70 Q21:AB21 Q40:AB40 Q10:Q20 T95:T98 N7:AB9 A6:L1200 AE6:AF9 AE15:AF15 Q27:AB28 M6:M133 M1201:M1217 M1053:AB1200 M1052:O1052 Q1052 M1051:Q1051 AE1052:AF1200 AE1051 S1051:AB1052 W1047:W1050 Y1047:Z1050 U1045:U1050 W1045:Z1046 U1044:Z1044 U1043 W1043:Z1043 U1042:Z1042 AE1042:AF1050 AE1041 S1040:S1050 U1040:U1041 S1039:U1039 M1036:O1050 Q1036:Q1050 S1036:S1038 U1036:U1038 W1036:W1041 Y1036:Z1041 AB1036:AB1050 M1035:AB1035 S1031:S1034 U1031:U1034 W1031:W1034 Y1031:Z1034 S1030:Z1030 M1029:O1034 Q1029:Q1034 S1029 U1029 W1029 Y1029:Z1029 S1028:Z1028 S1027 U1027 S1026:U1026 U1025 W1025:W1027 Y1025:Z1027 M1024:Q1028 S1024:S1025 U1024:Z1024 Q1023:S1023 W1023:Z1023 M1019:O1023 Q1019:Q1022 M1018:Q1018 Q1016:Q1017 S1016:S1022 W1016:W1022 Y1016:Z1022 Q1014:S1015 W1013:Z1015 Q1012:Q1013 S1012:S1013 W1012 Y1012:Z1012 Q1011:S1011 U1011:U1023 W1011:Z1011 S1010:Z1010 AE1010:AF1040 Q1008:Q1010 S1008:S1009 W1008:W1009 Y1008:Z1009 Q1007:S1007 W1007:Z1007 AE1003:AE1009 Q1002:Q1006 S1002:S1006 U1002:U1009 W1002:W1006 Y1002:Z1006 Q1001:U1001 W1001:Z1001 M1000:O1017 Q1000 M999:Q999 S999:S1000 U999:U1000 W999:W1000 Y999:Z1000 Q997:Z998 Q996 S996 Q995:S995 U995:U996 W995:W996 Y995:Z996 Q994:Z994 M993:O998 Q993 S993 U993:Z993 AB993:AB1034 M992:AB992 M991:Q991 S991:Z991 AB991 M977:AB990 W974:Z976 S973:S976 U973:U976 M969:O976 Q969:Q976 W968:W973 Y968:Z973 M967:Q968 S967:U972 W967:Z967 AB967:AB976 Q954:S954 U954:Z954 M952:O954 Q952:Q953 S952:U953 W953:Z953 W952 Y952:Z952 AB952:AB954 M877:O878 Q877:S878 U877:U878 W877:W878 Y877:Z878 M873:Q876 S873:Z876 M871:O872 Q871:S872 U871:U872 W871:W872 Y871:Z872 AB871:AB878 M870:AB870 M867:Q869 S867:Z869 M866:O866 Q866 S866 U866:Z866 M864:Q865 S864:Z865 M863:O863 Q863 S863:U863 W863:Z863 M857:Q862 S857:Z862 M856:O856 Q856:S856 U856 W856 Y856:Z856 M855:Q855 M854:O854 Q854 S854:Z855 AB854:AB869 M852:Q852 S852 U852:Z852 M850:Z851 M849:O849 Q849:Z849 AB849:AB852 M843:AB848 S841:S842 U841:U842 AB841:AB842 S840:U840 S838:S839 U838:U839 S837:U837 W837:W842 Y837:Z842 AE837 S836 U836 W836:Z836 S835:U835 W835 Y835:Z835 AE835:AF836 M833:O842 Q833:Q842 S833:Z834 M831:Z832 AE831:AE834 M830:O830 Q830 S830:Z830 AB830:AB839 M828:AB829 Q827 S827 U827:Z827 Q826:Z826 Q825 S825 U825:Z825 M821:O827 Q821:Z824 M820:Z820 Q816:Z819 M815:O819 Q815:S815 U815 W815 Y815:Z815 M814:Z814 W813 Y813:Z813 S812:S813 U812:U813 Q811:Q813 S811:U811 W811:Z812 U810 W810 Y810:Z810 AE811:AF830 AE810 Q809:S810 U809:Z809 AE805:AF809 M798:O813 Q798:Q808 S798:U808 W798:Z808 AE798:AE804 M797:AB797 S796:U796 AE797:AF797 AE796 Q795:Q796 S795 W795:Z796 M793:O796 Q793:S794 U793:U795 W793:W794 Y793:Z794 AB793:AB796 N6:O6 Q6 S6 U6 W6 Y6:Z6 AB6 S10:S20 U15:U20 W15:W20 Y15:Z20 AB16:AB20 Y29:Z30 S29:S31 U29:U31 AE21:AF45 S32:U32 Y31:AB31 Q29:Q39 S33:S39 U33:U39 W29:W39 Y32:Z39 Q41:Z41 Q42 S42 U42 W42 Y42:Z42 Q44:Q51 Q43:Z43 S44:S51 U44:Z44 AE46 U45:U51 W45:W51 Y45:Z51 Q59:AB59 Q57 S57 U57:Z57 Q58:S58 U58 W58 Y58:Z58 S60:S61 U60:U61 W60:W61 Y60:Z61 S62:Z62 U63:Z63 U64:U65 W64:W65 Y64:Z65 U66:Z66 W67:Z67 U67:U68 W68 Y68:Z68 Q60:Q69 S63:S69 U69:Z69 AE47:AF71 S71:Z71 S72 U72 AE72 S73:U73 U74:U75 W72:W75 Y72:Z75 S74:S164 U76:Z76 Q233 S233 W233 Y233:Z233 W232:Z232 Q232:S232 U230:U233 W230:W231 Y230:Z231 U229:Z229 U226:U228 W226:W228 U225:W225 Q222:Q231 S222:S231 U221:U224 W221:W224 M219:O233 Q220:S221 T220:W220 Y77:Z228 N217:O218 Q217:Q219 N216:Q216 Q214:Q215 S214:S219 U214:U219 W214:W219 N213:O215 N212:Q212 Q213:T213 U212:W213 N208:O211 Q208:Q211 S208:S212 U208:U211 W208:W211 N207:S207 T206:W207 N202:O206 Q202:Q206 S202:S206 U202:U205 W202:W205 T126 T130 T153:W153 U136:W147 U148 W148 N10:O149 Q71:Q149 U149:W149 U150 W150 U151:W151 U152 W152 N160:Q164 N151:O159 Q151:Q159 U154:U159 W154:W159 M853:AB853 M879:AB951 T160:W201 AE838:AF1002 AE73:AF795 AB9:AB14 AB29:AB39 AB41:AB51 AB56:AB58 AB60:AB69 R77:R113 R115:R119 V100:V135 T100:T119 AB71:AB233 AC6:AD1200 N165:S201 M234:AB792 AB798:AB827 M955:AB966">
    <cfRule type="expression" dxfId="5967" priority="6461">
      <formula>$AG5:$AG191="Follow-Up Complete"</formula>
    </cfRule>
    <cfRule type="expression" dxfId="5966" priority="6462">
      <formula>$AG5:$AG191="Further Follow-Up"</formula>
    </cfRule>
    <cfRule type="expression" dxfId="5965" priority="6463">
      <formula>$AG5:$AG191="EOB Requested"</formula>
    </cfRule>
    <cfRule type="expression" dxfId="5964" priority="6464">
      <formula>$AG5:$AG191="EOB Not Found"</formula>
    </cfRule>
    <cfRule type="expression" dxfId="5963" priority="6466">
      <formula>$AG5:$AG191="EOB Downloaded"</formula>
    </cfRule>
  </conditionalFormatting>
  <conditionalFormatting sqref="M139:M218">
    <cfRule type="expression" dxfId="5962" priority="6445">
      <formula>$AG139:$AG325="Follow-Up Complete"</formula>
    </cfRule>
    <cfRule type="expression" dxfId="5961" priority="6446">
      <formula>$AG139:$AG325="Further Follow-Up"</formula>
    </cfRule>
    <cfRule type="expression" dxfId="5960" priority="6447">
      <formula>$AG139:$AG325="EOB Requested"</formula>
    </cfRule>
    <cfRule type="expression" dxfId="5959" priority="6448">
      <formula>$AG139:$AG325="EOB Not Found"</formula>
    </cfRule>
    <cfRule type="expression" dxfId="5958" priority="6449">
      <formula>$AG139:$AG325="EOB Downloaded"</formula>
    </cfRule>
  </conditionalFormatting>
  <conditionalFormatting sqref="P10:P14">
    <cfRule type="expression" dxfId="5957" priority="6429">
      <formula>$AG10:$AG196="Follow-Up Complete"</formula>
    </cfRule>
    <cfRule type="expression" dxfId="5956" priority="6430">
      <formula>$AG10:$AG196="Further Follow-Up"</formula>
    </cfRule>
    <cfRule type="expression" dxfId="5955" priority="6431">
      <formula>$AG10:$AG196="EOB Requested"</formula>
    </cfRule>
    <cfRule type="expression" dxfId="5954" priority="6432">
      <formula>$AG10:$AG196="EOB Not Found"</formula>
    </cfRule>
    <cfRule type="expression" dxfId="5953" priority="6433">
      <formula>$AG10:$AG196="EOB Downloaded"</formula>
    </cfRule>
  </conditionalFormatting>
  <conditionalFormatting sqref="R10:R14">
    <cfRule type="expression" dxfId="5952" priority="6422">
      <formula>$AG10:$AG196="Follow-Up Complete"</formula>
    </cfRule>
    <cfRule type="expression" dxfId="5951" priority="6423">
      <formula>$AG10:$AG196="Further Follow-Up"</formula>
    </cfRule>
    <cfRule type="expression" dxfId="5950" priority="6424">
      <formula>$AG10:$AG196="EOB Requested"</formula>
    </cfRule>
    <cfRule type="expression" dxfId="5949" priority="6425">
      <formula>$AG10:$AG196="EOB Not Found"</formula>
    </cfRule>
    <cfRule type="expression" dxfId="5948" priority="6426">
      <formula>$AG10:$AG196="EOB Downloaded"</formula>
    </cfRule>
  </conditionalFormatting>
  <conditionalFormatting sqref="T10:T14">
    <cfRule type="expression" dxfId="5947" priority="6415">
      <formula>$AG10:$AG196="Follow-Up Complete"</formula>
    </cfRule>
    <cfRule type="expression" dxfId="5946" priority="6416">
      <formula>$AG10:$AG196="Further Follow-Up"</formula>
    </cfRule>
    <cfRule type="expression" dxfId="5945" priority="6417">
      <formula>$AG10:$AG196="EOB Requested"</formula>
    </cfRule>
    <cfRule type="expression" dxfId="5944" priority="6418">
      <formula>$AG10:$AG196="EOB Not Found"</formula>
    </cfRule>
    <cfRule type="expression" dxfId="5943" priority="6419">
      <formula>$AG10:$AG196="EOB Downloaded"</formula>
    </cfRule>
  </conditionalFormatting>
  <conditionalFormatting sqref="AA10:AA14">
    <cfRule type="expression" dxfId="5942" priority="6408">
      <formula>$AG10:$AG196="Follow-Up Complete"</formula>
    </cfRule>
    <cfRule type="expression" dxfId="5941" priority="6409">
      <formula>$AG10:$AG196="Further Follow-Up"</formula>
    </cfRule>
    <cfRule type="expression" dxfId="5940" priority="6410">
      <formula>$AG10:$AG196="EOB Requested"</formula>
    </cfRule>
    <cfRule type="expression" dxfId="5939" priority="6411">
      <formula>$AG10:$AG196="EOB Not Found"</formula>
    </cfRule>
    <cfRule type="expression" dxfId="5938" priority="6412">
      <formula>$AG10:$AG196="EOB Downloaded"</formula>
    </cfRule>
  </conditionalFormatting>
  <conditionalFormatting sqref="AE10:AE12">
    <cfRule type="expression" dxfId="5937" priority="6394">
      <formula>$AG10:$AG196="Follow-Up Complete"</formula>
    </cfRule>
    <cfRule type="expression" dxfId="5936" priority="6395">
      <formula>$AG10:$AG196="Further Follow-Up"</formula>
    </cfRule>
    <cfRule type="expression" dxfId="5935" priority="6396">
      <formula>$AG10:$AG196="EOB Requested"</formula>
    </cfRule>
    <cfRule type="expression" dxfId="5934" priority="6397">
      <formula>$AG10:$AG196="EOB Not Found"</formula>
    </cfRule>
    <cfRule type="expression" dxfId="5933" priority="6398">
      <formula>$AG10:$AG196="EOB Downloaded"</formula>
    </cfRule>
  </conditionalFormatting>
  <conditionalFormatting sqref="AE13:AE15">
    <cfRule type="expression" dxfId="5932" priority="6387">
      <formula>$AG13:$AG199="Follow-Up Complete"</formula>
    </cfRule>
    <cfRule type="expression" dxfId="5931" priority="6388">
      <formula>$AG13:$AG199="Further Follow-Up"</formula>
    </cfRule>
    <cfRule type="expression" dxfId="5930" priority="6389">
      <formula>$AG13:$AG199="EOB Requested"</formula>
    </cfRule>
    <cfRule type="expression" dxfId="5929" priority="6390">
      <formula>$AG13:$AG199="EOB Not Found"</formula>
    </cfRule>
    <cfRule type="expression" dxfId="5928" priority="6391">
      <formula>$AG13:$AG199="EOB Downloaded"</formula>
    </cfRule>
  </conditionalFormatting>
  <conditionalFormatting sqref="AF10:AF15">
    <cfRule type="expression" dxfId="5927" priority="6380">
      <formula>$AG10:$AG196="Follow-Up Complete"</formula>
    </cfRule>
    <cfRule type="expression" dxfId="5926" priority="6381">
      <formula>$AG10:$AG196="Further Follow-Up"</formula>
    </cfRule>
    <cfRule type="expression" dxfId="5925" priority="6382">
      <formula>$AG10:$AG196="EOB Requested"</formula>
    </cfRule>
    <cfRule type="expression" dxfId="5924" priority="6383">
      <formula>$AG10:$AG196="EOB Not Found"</formula>
    </cfRule>
    <cfRule type="expression" dxfId="5923" priority="6384">
      <formula>$AG10:$AG196="EOB Downloaded"</formula>
    </cfRule>
  </conditionalFormatting>
  <conditionalFormatting sqref="AF16:AF17 AF19:AF20">
    <cfRule type="expression" dxfId="5922" priority="6373">
      <formula>$AG16:$AG202="Follow-Up Complete"</formula>
    </cfRule>
    <cfRule type="expression" dxfId="5921" priority="6374">
      <formula>$AG16:$AG202="Further Follow-Up"</formula>
    </cfRule>
    <cfRule type="expression" dxfId="5920" priority="6375">
      <formula>$AG16:$AG202="EOB Requested"</formula>
    </cfRule>
    <cfRule type="expression" dxfId="5919" priority="6376">
      <formula>$AG16:$AG202="EOB Not Found"</formula>
    </cfRule>
    <cfRule type="expression" dxfId="5918" priority="6377">
      <formula>$AG16:$AG202="EOB Downloaded"</formula>
    </cfRule>
  </conditionalFormatting>
  <conditionalFormatting sqref="X19">
    <cfRule type="expression" dxfId="5917" priority="6330">
      <formula>$AG19:$AG205="Follow-Up Complete"</formula>
    </cfRule>
    <cfRule type="expression" dxfId="5916" priority="6331">
      <formula>$AG19:$AG205="Further Follow-Up"</formula>
    </cfRule>
    <cfRule type="expression" dxfId="5915" priority="6332">
      <formula>$AG19:$AG205="EOB Requested"</formula>
    </cfRule>
    <cfRule type="expression" dxfId="5914" priority="6333">
      <formula>$AG19:$AG205="EOB Not Found"</formula>
    </cfRule>
    <cfRule type="expression" dxfId="5913" priority="6334">
      <formula>$AG19:$AG205="EOB Downloaded"</formula>
    </cfRule>
  </conditionalFormatting>
  <conditionalFormatting sqref="R22:R26">
    <cfRule type="expression" dxfId="5912" priority="6294">
      <formula>$AG22:$AG208="Follow-Up Complete"</formula>
    </cfRule>
    <cfRule type="expression" dxfId="5911" priority="6295">
      <formula>$AG22:$AG208="Further Follow-Up"</formula>
    </cfRule>
    <cfRule type="expression" dxfId="5910" priority="6296">
      <formula>$AG22:$AG208="EOB Requested"</formula>
    </cfRule>
    <cfRule type="expression" dxfId="5909" priority="6297">
      <formula>$AG22:$AG208="EOB Not Found"</formula>
    </cfRule>
    <cfRule type="expression" dxfId="5908" priority="6298">
      <formula>$AG22:$AG208="EOB Downloaded"</formula>
    </cfRule>
  </conditionalFormatting>
  <conditionalFormatting sqref="T22:T26">
    <cfRule type="expression" dxfId="5907" priority="6287">
      <formula>$AG22:$AG208="Follow-Up Complete"</formula>
    </cfRule>
    <cfRule type="expression" dxfId="5906" priority="6288">
      <formula>$AG22:$AG208="Further Follow-Up"</formula>
    </cfRule>
    <cfRule type="expression" dxfId="5905" priority="6289">
      <formula>$AG22:$AG208="EOB Requested"</formula>
    </cfRule>
    <cfRule type="expression" dxfId="5904" priority="6290">
      <formula>$AG22:$AG208="EOB Not Found"</formula>
    </cfRule>
    <cfRule type="expression" dxfId="5903" priority="6291">
      <formula>$AG22:$AG208="EOB Downloaded"</formula>
    </cfRule>
  </conditionalFormatting>
  <conditionalFormatting sqref="V22:V26">
    <cfRule type="expression" dxfId="5902" priority="6280">
      <formula>$AG22:$AG208="Follow-Up Complete"</formula>
    </cfRule>
    <cfRule type="expression" dxfId="5901" priority="6281">
      <formula>$AG22:$AG208="Further Follow-Up"</formula>
    </cfRule>
    <cfRule type="expression" dxfId="5900" priority="6282">
      <formula>$AG22:$AG208="EOB Requested"</formula>
    </cfRule>
    <cfRule type="expression" dxfId="5899" priority="6283">
      <formula>$AG22:$AG208="EOB Not Found"</formula>
    </cfRule>
    <cfRule type="expression" dxfId="5898" priority="6284">
      <formula>$AG22:$AG208="EOB Downloaded"</formula>
    </cfRule>
  </conditionalFormatting>
  <conditionalFormatting sqref="AA22:AA26">
    <cfRule type="expression" dxfId="5897" priority="6273">
      <formula>$AG22:$AG208="Follow-Up Complete"</formula>
    </cfRule>
    <cfRule type="expression" dxfId="5896" priority="6274">
      <formula>$AG22:$AG208="Further Follow-Up"</formula>
    </cfRule>
    <cfRule type="expression" dxfId="5895" priority="6275">
      <formula>$AG22:$AG208="EOB Requested"</formula>
    </cfRule>
    <cfRule type="expression" dxfId="5894" priority="6276">
      <formula>$AG22:$AG208="EOB Not Found"</formula>
    </cfRule>
    <cfRule type="expression" dxfId="5893" priority="6277">
      <formula>$AG22:$AG208="EOB Downloaded"</formula>
    </cfRule>
  </conditionalFormatting>
  <conditionalFormatting sqref="R48">
    <cfRule type="expression" dxfId="5892" priority="6189">
      <formula>$AG48:$AG234="Follow-Up Complete"</formula>
    </cfRule>
    <cfRule type="expression" dxfId="5891" priority="6190">
      <formula>$AG48:$AG234="Further Follow-Up"</formula>
    </cfRule>
    <cfRule type="expression" dxfId="5890" priority="6191">
      <formula>$AG48:$AG234="EOB Requested"</formula>
    </cfRule>
    <cfRule type="expression" dxfId="5889" priority="6192">
      <formula>$AG48:$AG234="EOB Not Found"</formula>
    </cfRule>
    <cfRule type="expression" dxfId="5888" priority="6193">
      <formula>$AG48:$AG234="EOB Downloaded"</formula>
    </cfRule>
  </conditionalFormatting>
  <conditionalFormatting sqref="T48">
    <cfRule type="expression" dxfId="5887" priority="6182">
      <formula>$AG48:$AG234="Follow-Up Complete"</formula>
    </cfRule>
    <cfRule type="expression" dxfId="5886" priority="6183">
      <formula>$AG48:$AG234="Further Follow-Up"</formula>
    </cfRule>
    <cfRule type="expression" dxfId="5885" priority="6184">
      <formula>$AG48:$AG234="EOB Requested"</formula>
    </cfRule>
    <cfRule type="expression" dxfId="5884" priority="6185">
      <formula>$AG48:$AG234="EOB Not Found"</formula>
    </cfRule>
    <cfRule type="expression" dxfId="5883" priority="6186">
      <formula>$AG48:$AG234="EOB Downloaded"</formula>
    </cfRule>
  </conditionalFormatting>
  <conditionalFormatting sqref="V46 V48">
    <cfRule type="expression" dxfId="5882" priority="6175">
      <formula>$AG46:$AG232="Follow-Up Complete"</formula>
    </cfRule>
    <cfRule type="expression" dxfId="5881" priority="6176">
      <formula>$AG46:$AG232="Further Follow-Up"</formula>
    </cfRule>
    <cfRule type="expression" dxfId="5880" priority="6177">
      <formula>$AG46:$AG232="EOB Requested"</formula>
    </cfRule>
    <cfRule type="expression" dxfId="5879" priority="6178">
      <formula>$AG46:$AG232="EOB Not Found"</formula>
    </cfRule>
    <cfRule type="expression" dxfId="5878" priority="6179">
      <formula>$AG46:$AG232="EOB Downloaded"</formula>
    </cfRule>
  </conditionalFormatting>
  <conditionalFormatting sqref="X46 X48">
    <cfRule type="expression" dxfId="5877" priority="6161">
      <formula>$AG46:$AG232="Follow-Up Complete"</formula>
    </cfRule>
    <cfRule type="expression" dxfId="5876" priority="6162">
      <formula>$AG46:$AG232="Further Follow-Up"</formula>
    </cfRule>
    <cfRule type="expression" dxfId="5875" priority="6163">
      <formula>$AG46:$AG232="EOB Requested"</formula>
    </cfRule>
    <cfRule type="expression" dxfId="5874" priority="6164">
      <formula>$AG46:$AG232="EOB Not Found"</formula>
    </cfRule>
    <cfRule type="expression" dxfId="5873" priority="6165">
      <formula>$AG46:$AG232="EOB Downloaded"</formula>
    </cfRule>
  </conditionalFormatting>
  <conditionalFormatting sqref="AA48">
    <cfRule type="expression" dxfId="5872" priority="6154">
      <formula>$AG48:$AG234="Follow-Up Complete"</formula>
    </cfRule>
    <cfRule type="expression" dxfId="5871" priority="6155">
      <formula>$AG48:$AG234="Further Follow-Up"</formula>
    </cfRule>
    <cfRule type="expression" dxfId="5870" priority="6156">
      <formula>$AG48:$AG234="EOB Requested"</formula>
    </cfRule>
    <cfRule type="expression" dxfId="5869" priority="6157">
      <formula>$AG48:$AG234="EOB Not Found"</formula>
    </cfRule>
    <cfRule type="expression" dxfId="5868" priority="6158">
      <formula>$AG48:$AG234="EOB Downloaded"</formula>
    </cfRule>
  </conditionalFormatting>
  <conditionalFormatting sqref="M134:M138">
    <cfRule type="expression" dxfId="5867" priority="6056">
      <formula>$AG134:$AG320="Follow-Up Complete"</formula>
    </cfRule>
    <cfRule type="expression" dxfId="5866" priority="6057">
      <formula>$AG134:$AG320="Further Follow-Up"</formula>
    </cfRule>
    <cfRule type="expression" dxfId="5865" priority="6058">
      <formula>$AG134:$AG320="EOB Requested"</formula>
    </cfRule>
    <cfRule type="expression" dxfId="5864" priority="6059">
      <formula>$AG134:$AG320="EOB Not Found"</formula>
    </cfRule>
    <cfRule type="expression" dxfId="5863" priority="6060">
      <formula>$AG134:$AG320="EOB Downloaded"</formula>
    </cfRule>
  </conditionalFormatting>
  <conditionalFormatting sqref="AA200:AA201 AA160:AA198 AA77:AA119">
    <cfRule type="expression" dxfId="5862" priority="6021">
      <formula>$AG77:$AG263="Follow-Up Complete"</formula>
    </cfRule>
    <cfRule type="expression" dxfId="5861" priority="6022">
      <formula>$AG77:$AG263="Further Follow-Up"</formula>
    </cfRule>
    <cfRule type="expression" dxfId="5860" priority="6023">
      <formula>$AG77:$AG263="EOB Requested"</formula>
    </cfRule>
    <cfRule type="expression" dxfId="5859" priority="6024">
      <formula>$AG77:$AG263="EOB Not Found"</formula>
    </cfRule>
    <cfRule type="expression" dxfId="5858" priority="6025">
      <formula>$AG77:$AG263="EOB Downloaded"</formula>
    </cfRule>
  </conditionalFormatting>
  <conditionalFormatting sqref="X77:X147 X225 X219:X221 X205:X215 X203 X149:X151 X153 X156:X157 X160:X201">
    <cfRule type="expression" dxfId="5857" priority="6014">
      <formula>$AG77:$AG263="Follow-Up Complete"</formula>
    </cfRule>
    <cfRule type="expression" dxfId="5856" priority="6015">
      <formula>$AG77:$AG263="Further Follow-Up"</formula>
    </cfRule>
    <cfRule type="expression" dxfId="5855" priority="6016">
      <formula>$AG77:$AG263="EOB Requested"</formula>
    </cfRule>
    <cfRule type="expression" dxfId="5854" priority="6017">
      <formula>$AG77:$AG263="EOB Not Found"</formula>
    </cfRule>
    <cfRule type="expression" dxfId="5853" priority="6018">
      <formula>$AG77:$AG263="EOB Downloaded"</formula>
    </cfRule>
  </conditionalFormatting>
  <conditionalFormatting sqref="V77:V98">
    <cfRule type="expression" dxfId="5852" priority="6007">
      <formula>$AG77:$AG263="Follow-Up Complete"</formula>
    </cfRule>
    <cfRule type="expression" dxfId="5851" priority="6008">
      <formula>$AG77:$AG263="Further Follow-Up"</formula>
    </cfRule>
    <cfRule type="expression" dxfId="5850" priority="6009">
      <formula>$AG77:$AG263="EOB Requested"</formula>
    </cfRule>
    <cfRule type="expression" dxfId="5849" priority="6010">
      <formula>$AG77:$AG263="EOB Not Found"</formula>
    </cfRule>
    <cfRule type="expression" dxfId="5848" priority="6011">
      <formula>$AG77:$AG263="EOB Downloaded"</formula>
    </cfRule>
  </conditionalFormatting>
  <conditionalFormatting sqref="R130 R150 R153 R160:R164">
    <cfRule type="expression" dxfId="5847" priority="6000">
      <formula>$AG130:$AG316="Follow-Up Complete"</formula>
    </cfRule>
    <cfRule type="expression" dxfId="5846" priority="6001">
      <formula>$AG130:$AG316="Further Follow-Up"</formula>
    </cfRule>
    <cfRule type="expression" dxfId="5845" priority="6002">
      <formula>$AG130:$AG316="EOB Requested"</formula>
    </cfRule>
    <cfRule type="expression" dxfId="5844" priority="6003">
      <formula>$AG130:$AG316="EOB Not Found"</formula>
    </cfRule>
    <cfRule type="expression" dxfId="5843" priority="6004">
      <formula>$AG130:$AG316="EOB Downloaded"</formula>
    </cfRule>
  </conditionalFormatting>
  <conditionalFormatting sqref="T77:T92">
    <cfRule type="expression" dxfId="5842" priority="5993">
      <formula>$AG77:$AG263="Follow-Up Complete"</formula>
    </cfRule>
    <cfRule type="expression" dxfId="5841" priority="5994">
      <formula>$AG77:$AG263="Further Follow-Up"</formula>
    </cfRule>
    <cfRule type="expression" dxfId="5840" priority="5995">
      <formula>$AG77:$AG263="EOB Requested"</formula>
    </cfRule>
    <cfRule type="expression" dxfId="5839" priority="5996">
      <formula>$AG77:$AG263="EOB Not Found"</formula>
    </cfRule>
    <cfRule type="expression" dxfId="5838" priority="5997">
      <formula>$AG77:$AG263="EOB Downloaded"</formula>
    </cfRule>
  </conditionalFormatting>
  <conditionalFormatting sqref="P21:P28 P40 P48 P52:P56 P59 P70 P77:P119">
    <cfRule type="expression" dxfId="5837" priority="5986">
      <formula>$AG21:$AG207="Follow-Up Complete"</formula>
    </cfRule>
    <cfRule type="expression" dxfId="5836" priority="5987">
      <formula>$AG21:$AG207="Further Follow-Up"</formula>
    </cfRule>
    <cfRule type="expression" dxfId="5835" priority="5988">
      <formula>$AG21:$AG207="EOB Requested"</formula>
    </cfRule>
    <cfRule type="expression" dxfId="5834" priority="5989">
      <formula>$AG21:$AG207="EOB Not Found"</formula>
    </cfRule>
    <cfRule type="expression" dxfId="5833" priority="5990">
      <formula>$AG21:$AG207="EOB Downloaded"</formula>
    </cfRule>
  </conditionalFormatting>
  <conditionalFormatting sqref="T93">
    <cfRule type="expression" dxfId="5832" priority="5964">
      <formula>$AG93:$AG279="Follow-Up Complete"</formula>
    </cfRule>
    <cfRule type="expression" dxfId="5831" priority="5965">
      <formula>$AG93:$AG279="Further Follow-Up"</formula>
    </cfRule>
    <cfRule type="expression" dxfId="5830" priority="5966">
      <formula>$AG93:$AG279="EOB Requested"</formula>
    </cfRule>
    <cfRule type="expression" dxfId="5829" priority="5967">
      <formula>$AG93:$AG279="EOB Not Found"</formula>
    </cfRule>
    <cfRule type="expression" dxfId="5828" priority="5968">
      <formula>$AG93:$AG279="EOB Downloaded"</formula>
    </cfRule>
  </conditionalFormatting>
  <conditionalFormatting sqref="T94">
    <cfRule type="expression" dxfId="5827" priority="5957">
      <formula>$AG94:$AG280="Follow-Up Complete"</formula>
    </cfRule>
    <cfRule type="expression" dxfId="5826" priority="5958">
      <formula>$AG94:$AG280="Further Follow-Up"</formula>
    </cfRule>
    <cfRule type="expression" dxfId="5825" priority="5959">
      <formula>$AG94:$AG280="EOB Requested"</formula>
    </cfRule>
    <cfRule type="expression" dxfId="5824" priority="5960">
      <formula>$AG94:$AG280="EOB Not Found"</formula>
    </cfRule>
    <cfRule type="expression" dxfId="5823" priority="5961">
      <formula>$AG94:$AG280="EOB Downloaded"</formula>
    </cfRule>
  </conditionalFormatting>
  <conditionalFormatting sqref="T99">
    <cfRule type="expression" dxfId="5822" priority="5950">
      <formula>$AG99:$AG285="Follow-Up Complete"</formula>
    </cfRule>
    <cfRule type="expression" dxfId="5821" priority="5951">
      <formula>$AG99:$AG285="Further Follow-Up"</formula>
    </cfRule>
    <cfRule type="expression" dxfId="5820" priority="5952">
      <formula>$AG99:$AG285="EOB Requested"</formula>
    </cfRule>
    <cfRule type="expression" dxfId="5819" priority="5953">
      <formula>$AG99:$AG285="EOB Not Found"</formula>
    </cfRule>
    <cfRule type="expression" dxfId="5818" priority="5954">
      <formula>$AG99:$AG285="EOB Downloaded"</formula>
    </cfRule>
  </conditionalFormatting>
  <conditionalFormatting sqref="V99">
    <cfRule type="expression" dxfId="5817" priority="5943">
      <formula>$AG99:$AG285="Follow-Up Complete"</formula>
    </cfRule>
    <cfRule type="expression" dxfId="5816" priority="5944">
      <formula>$AG99:$AG285="Further Follow-Up"</formula>
    </cfRule>
    <cfRule type="expression" dxfId="5815" priority="5945">
      <formula>$AG99:$AG285="EOB Requested"</formula>
    </cfRule>
    <cfRule type="expression" dxfId="5814" priority="5946">
      <formula>$AG99:$AG285="EOB Not Found"</formula>
    </cfRule>
    <cfRule type="expression" dxfId="5813" priority="5947">
      <formula>$AG99:$AG285="EOB Downloaded"</formula>
    </cfRule>
  </conditionalFormatting>
  <conditionalFormatting sqref="P1052">
    <cfRule type="expression" dxfId="5812" priority="5935">
      <formula>$AG1052:$AG1238="Follow-Up Complete"</formula>
    </cfRule>
    <cfRule type="expression" dxfId="5811" priority="5936">
      <formula>$AG1052:$AG1238="Further Follow-Up"</formula>
    </cfRule>
    <cfRule type="expression" dxfId="5810" priority="5937">
      <formula>$AG1052:$AG1238="EOB Requested"</formula>
    </cfRule>
    <cfRule type="expression" dxfId="5809" priority="5938">
      <formula>$AG1052:$AG1238="EOB Not Found"</formula>
    </cfRule>
    <cfRule type="expression" dxfId="5808" priority="5939">
      <formula>$AG1052:$AG1238="EOB Downloaded"</formula>
    </cfRule>
  </conditionalFormatting>
  <conditionalFormatting sqref="R1052">
    <cfRule type="expression" dxfId="5807" priority="5930">
      <formula>$AG1052:$AG1238="Follow-Up Complete"</formula>
    </cfRule>
    <cfRule type="expression" dxfId="5806" priority="5931">
      <formula>$AG1052:$AG1238="Further Follow-Up"</formula>
    </cfRule>
    <cfRule type="expression" dxfId="5805" priority="5932">
      <formula>$AG1052:$AG1238="EOB Requested"</formula>
    </cfRule>
    <cfRule type="expression" dxfId="5804" priority="5933">
      <formula>$AG1052:$AG1238="EOB Not Found"</formula>
    </cfRule>
    <cfRule type="expression" dxfId="5803" priority="5934">
      <formula>$AG1052:$AG1238="EOB Downloaded"</formula>
    </cfRule>
  </conditionalFormatting>
  <conditionalFormatting sqref="R1051">
    <cfRule type="expression" dxfId="5802" priority="5925">
      <formula>$AG1051:$AG1237="Follow-Up Complete"</formula>
    </cfRule>
    <cfRule type="expression" dxfId="5801" priority="5926">
      <formula>$AG1051:$AG1237="Further Follow-Up"</formula>
    </cfRule>
    <cfRule type="expression" dxfId="5800" priority="5927">
      <formula>$AG1051:$AG1237="EOB Requested"</formula>
    </cfRule>
    <cfRule type="expression" dxfId="5799" priority="5928">
      <formula>$AG1051:$AG1237="EOB Not Found"</formula>
    </cfRule>
    <cfRule type="expression" dxfId="5798" priority="5929">
      <formula>$AG1051:$AG1237="EOB Downloaded"</formula>
    </cfRule>
  </conditionalFormatting>
  <conditionalFormatting sqref="AF1051">
    <cfRule type="expression" dxfId="5797" priority="5920">
      <formula>$AG1051:$AG1237="Follow-Up Complete"</formula>
    </cfRule>
    <cfRule type="expression" dxfId="5796" priority="5921">
      <formula>$AG1051:$AG1237="Further Follow-Up"</formula>
    </cfRule>
    <cfRule type="expression" dxfId="5795" priority="5922">
      <formula>$AG1051:$AG1237="EOB Requested"</formula>
    </cfRule>
    <cfRule type="expression" dxfId="5794" priority="5923">
      <formula>$AG1051:$AG1237="EOB Not Found"</formula>
    </cfRule>
    <cfRule type="expression" dxfId="5793" priority="5924">
      <formula>$AG1051:$AG1237="EOB Downloaded"</formula>
    </cfRule>
  </conditionalFormatting>
  <conditionalFormatting sqref="P1050">
    <cfRule type="expression" dxfId="5792" priority="5915">
      <formula>$AG1050:$AG1236="Follow-Up Complete"</formula>
    </cfRule>
    <cfRule type="expression" dxfId="5791" priority="5916">
      <formula>$AG1050:$AG1236="Further Follow-Up"</formula>
    </cfRule>
    <cfRule type="expression" dxfId="5790" priority="5917">
      <formula>$AG1050:$AG1236="EOB Requested"</formula>
    </cfRule>
    <cfRule type="expression" dxfId="5789" priority="5918">
      <formula>$AG1050:$AG1236="EOB Not Found"</formula>
    </cfRule>
    <cfRule type="expression" dxfId="5788" priority="5919">
      <formula>$AG1050:$AG1236="EOB Downloaded"</formula>
    </cfRule>
  </conditionalFormatting>
  <conditionalFormatting sqref="R1050">
    <cfRule type="expression" dxfId="5787" priority="5910">
      <formula>$AG1050:$AG1236="Follow-Up Complete"</formula>
    </cfRule>
    <cfRule type="expression" dxfId="5786" priority="5911">
      <formula>$AG1050:$AG1236="Further Follow-Up"</formula>
    </cfRule>
    <cfRule type="expression" dxfId="5785" priority="5912">
      <formula>$AG1050:$AG1236="EOB Requested"</formula>
    </cfRule>
    <cfRule type="expression" dxfId="5784" priority="5913">
      <formula>$AG1050:$AG1236="EOB Not Found"</formula>
    </cfRule>
    <cfRule type="expression" dxfId="5783" priority="5914">
      <formula>$AG1050:$AG1236="EOB Downloaded"</formula>
    </cfRule>
  </conditionalFormatting>
  <conditionalFormatting sqref="T1050">
    <cfRule type="expression" dxfId="5782" priority="5905">
      <formula>$AG1050:$AG1236="Follow-Up Complete"</formula>
    </cfRule>
    <cfRule type="expression" dxfId="5781" priority="5906">
      <formula>$AG1050:$AG1236="Further Follow-Up"</formula>
    </cfRule>
    <cfRule type="expression" dxfId="5780" priority="5907">
      <formula>$AG1050:$AG1236="EOB Requested"</formula>
    </cfRule>
    <cfRule type="expression" dxfId="5779" priority="5908">
      <formula>$AG1050:$AG1236="EOB Not Found"</formula>
    </cfRule>
    <cfRule type="expression" dxfId="5778" priority="5909">
      <formula>$AG1050:$AG1236="EOB Downloaded"</formula>
    </cfRule>
  </conditionalFormatting>
  <conditionalFormatting sqref="V1050">
    <cfRule type="expression" dxfId="5777" priority="5900">
      <formula>$AG1050:$AG1236="Follow-Up Complete"</formula>
    </cfRule>
    <cfRule type="expression" dxfId="5776" priority="5901">
      <formula>$AG1050:$AG1236="Further Follow-Up"</formula>
    </cfRule>
    <cfRule type="expression" dxfId="5775" priority="5902">
      <formula>$AG1050:$AG1236="EOB Requested"</formula>
    </cfRule>
    <cfRule type="expression" dxfId="5774" priority="5903">
      <formula>$AG1050:$AG1236="EOB Not Found"</formula>
    </cfRule>
    <cfRule type="expression" dxfId="5773" priority="5904">
      <formula>$AG1050:$AG1236="EOB Downloaded"</formula>
    </cfRule>
  </conditionalFormatting>
  <conditionalFormatting sqref="X1050">
    <cfRule type="expression" dxfId="5772" priority="5895">
      <formula>$AG1050:$AG1236="Follow-Up Complete"</formula>
    </cfRule>
    <cfRule type="expression" dxfId="5771" priority="5896">
      <formula>$AG1050:$AG1236="Further Follow-Up"</formula>
    </cfRule>
    <cfRule type="expression" dxfId="5770" priority="5897">
      <formula>$AG1050:$AG1236="EOB Requested"</formula>
    </cfRule>
    <cfRule type="expression" dxfId="5769" priority="5898">
      <formula>$AG1050:$AG1236="EOB Not Found"</formula>
    </cfRule>
    <cfRule type="expression" dxfId="5768" priority="5899">
      <formula>$AG1050:$AG1236="EOB Downloaded"</formula>
    </cfRule>
  </conditionalFormatting>
  <conditionalFormatting sqref="AA1050">
    <cfRule type="expression" dxfId="5767" priority="5890">
      <formula>$AG1050:$AG1236="Follow-Up Complete"</formula>
    </cfRule>
    <cfRule type="expression" dxfId="5766" priority="5891">
      <formula>$AG1050:$AG1236="Further Follow-Up"</formula>
    </cfRule>
    <cfRule type="expression" dxfId="5765" priority="5892">
      <formula>$AG1050:$AG1236="EOB Requested"</formula>
    </cfRule>
    <cfRule type="expression" dxfId="5764" priority="5893">
      <formula>$AG1050:$AG1236="EOB Not Found"</formula>
    </cfRule>
    <cfRule type="expression" dxfId="5763" priority="5894">
      <formula>$AG1050:$AG1236="EOB Downloaded"</formula>
    </cfRule>
  </conditionalFormatting>
  <conditionalFormatting sqref="P1048:P1049">
    <cfRule type="expression" dxfId="5762" priority="5885">
      <formula>$AG1048:$AG1234="Follow-Up Complete"</formula>
    </cfRule>
    <cfRule type="expression" dxfId="5761" priority="5886">
      <formula>$AG1048:$AG1234="Further Follow-Up"</formula>
    </cfRule>
    <cfRule type="expression" dxfId="5760" priority="5887">
      <formula>$AG1048:$AG1234="EOB Requested"</formula>
    </cfRule>
    <cfRule type="expression" dxfId="5759" priority="5888">
      <formula>$AG1048:$AG1234="EOB Not Found"</formula>
    </cfRule>
    <cfRule type="expression" dxfId="5758" priority="5889">
      <formula>$AG1048:$AG1234="EOB Downloaded"</formula>
    </cfRule>
  </conditionalFormatting>
  <conditionalFormatting sqref="R1049">
    <cfRule type="expression" dxfId="5757" priority="5880">
      <formula>$AG1049:$AG1235="Follow-Up Complete"</formula>
    </cfRule>
    <cfRule type="expression" dxfId="5756" priority="5881">
      <formula>$AG1049:$AG1235="Further Follow-Up"</formula>
    </cfRule>
    <cfRule type="expression" dxfId="5755" priority="5882">
      <formula>$AG1049:$AG1235="EOB Requested"</formula>
    </cfRule>
    <cfRule type="expression" dxfId="5754" priority="5883">
      <formula>$AG1049:$AG1235="EOB Not Found"</formula>
    </cfRule>
    <cfRule type="expression" dxfId="5753" priority="5884">
      <formula>$AG1049:$AG1235="EOB Downloaded"</formula>
    </cfRule>
  </conditionalFormatting>
  <conditionalFormatting sqref="R1048">
    <cfRule type="expression" dxfId="5752" priority="5875">
      <formula>$AG1048:$AG1234="Follow-Up Complete"</formula>
    </cfRule>
    <cfRule type="expression" dxfId="5751" priority="5876">
      <formula>$AG1048:$AG1234="Further Follow-Up"</formula>
    </cfRule>
    <cfRule type="expression" dxfId="5750" priority="5877">
      <formula>$AG1048:$AG1234="EOB Requested"</formula>
    </cfRule>
    <cfRule type="expression" dxfId="5749" priority="5878">
      <formula>$AG1048:$AG1234="EOB Not Found"</formula>
    </cfRule>
    <cfRule type="expression" dxfId="5748" priority="5879">
      <formula>$AG1048:$AG1234="EOB Downloaded"</formula>
    </cfRule>
  </conditionalFormatting>
  <conditionalFormatting sqref="T1048">
    <cfRule type="expression" dxfId="5747" priority="5870">
      <formula>$AG1048:$AG1234="Follow-Up Complete"</formula>
    </cfRule>
    <cfRule type="expression" dxfId="5746" priority="5871">
      <formula>$AG1048:$AG1234="Further Follow-Up"</formula>
    </cfRule>
    <cfRule type="expression" dxfId="5745" priority="5872">
      <formula>$AG1048:$AG1234="EOB Requested"</formula>
    </cfRule>
    <cfRule type="expression" dxfId="5744" priority="5873">
      <formula>$AG1048:$AG1234="EOB Not Found"</formula>
    </cfRule>
    <cfRule type="expression" dxfId="5743" priority="5874">
      <formula>$AG1048:$AG1234="EOB Downloaded"</formula>
    </cfRule>
  </conditionalFormatting>
  <conditionalFormatting sqref="T1049">
    <cfRule type="expression" dxfId="5742" priority="5865">
      <formula>$AG1049:$AG1235="Follow-Up Complete"</formula>
    </cfRule>
    <cfRule type="expression" dxfId="5741" priority="5866">
      <formula>$AG1049:$AG1235="Further Follow-Up"</formula>
    </cfRule>
    <cfRule type="expression" dxfId="5740" priority="5867">
      <formula>$AG1049:$AG1235="EOB Requested"</formula>
    </cfRule>
    <cfRule type="expression" dxfId="5739" priority="5868">
      <formula>$AG1049:$AG1235="EOB Not Found"</formula>
    </cfRule>
    <cfRule type="expression" dxfId="5738" priority="5869">
      <formula>$AG1049:$AG1235="EOB Downloaded"</formula>
    </cfRule>
  </conditionalFormatting>
  <conditionalFormatting sqref="V1048">
    <cfRule type="expression" dxfId="5737" priority="5860">
      <formula>$AG1048:$AG1234="Follow-Up Complete"</formula>
    </cfRule>
    <cfRule type="expression" dxfId="5736" priority="5861">
      <formula>$AG1048:$AG1234="Further Follow-Up"</formula>
    </cfRule>
    <cfRule type="expression" dxfId="5735" priority="5862">
      <formula>$AG1048:$AG1234="EOB Requested"</formula>
    </cfRule>
    <cfRule type="expression" dxfId="5734" priority="5863">
      <formula>$AG1048:$AG1234="EOB Not Found"</formula>
    </cfRule>
    <cfRule type="expression" dxfId="5733" priority="5864">
      <formula>$AG1048:$AG1234="EOB Downloaded"</formula>
    </cfRule>
  </conditionalFormatting>
  <conditionalFormatting sqref="V1049">
    <cfRule type="expression" dxfId="5732" priority="5855">
      <formula>$AG1049:$AG1235="Follow-Up Complete"</formula>
    </cfRule>
    <cfRule type="expression" dxfId="5731" priority="5856">
      <formula>$AG1049:$AG1235="Further Follow-Up"</formula>
    </cfRule>
    <cfRule type="expression" dxfId="5730" priority="5857">
      <formula>$AG1049:$AG1235="EOB Requested"</formula>
    </cfRule>
    <cfRule type="expression" dxfId="5729" priority="5858">
      <formula>$AG1049:$AG1235="EOB Not Found"</formula>
    </cfRule>
    <cfRule type="expression" dxfId="5728" priority="5859">
      <formula>$AG1049:$AG1235="EOB Downloaded"</formula>
    </cfRule>
  </conditionalFormatting>
  <conditionalFormatting sqref="X1049">
    <cfRule type="expression" dxfId="5727" priority="5850">
      <formula>$AG1049:$AG1235="Follow-Up Complete"</formula>
    </cfRule>
    <cfRule type="expression" dxfId="5726" priority="5851">
      <formula>$AG1049:$AG1235="Further Follow-Up"</formula>
    </cfRule>
    <cfRule type="expression" dxfId="5725" priority="5852">
      <formula>$AG1049:$AG1235="EOB Requested"</formula>
    </cfRule>
    <cfRule type="expression" dxfId="5724" priority="5853">
      <formula>$AG1049:$AG1235="EOB Not Found"</formula>
    </cfRule>
    <cfRule type="expression" dxfId="5723" priority="5854">
      <formula>$AG1049:$AG1235="EOB Downloaded"</formula>
    </cfRule>
  </conditionalFormatting>
  <conditionalFormatting sqref="X1048">
    <cfRule type="expression" dxfId="5722" priority="5845">
      <formula>$AG1048:$AG1234="Follow-Up Complete"</formula>
    </cfRule>
    <cfRule type="expression" dxfId="5721" priority="5846">
      <formula>$AG1048:$AG1234="Further Follow-Up"</formula>
    </cfRule>
    <cfRule type="expression" dxfId="5720" priority="5847">
      <formula>$AG1048:$AG1234="EOB Requested"</formula>
    </cfRule>
    <cfRule type="expression" dxfId="5719" priority="5848">
      <formula>$AG1048:$AG1234="EOB Not Found"</formula>
    </cfRule>
    <cfRule type="expression" dxfId="5718" priority="5849">
      <formula>$AG1048:$AG1234="EOB Downloaded"</formula>
    </cfRule>
  </conditionalFormatting>
  <conditionalFormatting sqref="AA1048">
    <cfRule type="expression" dxfId="5717" priority="5840">
      <formula>$AG1048:$AG1234="Follow-Up Complete"</formula>
    </cfRule>
    <cfRule type="expression" dxfId="5716" priority="5841">
      <formula>$AG1048:$AG1234="Further Follow-Up"</formula>
    </cfRule>
    <cfRule type="expression" dxfId="5715" priority="5842">
      <formula>$AG1048:$AG1234="EOB Requested"</formula>
    </cfRule>
    <cfRule type="expression" dxfId="5714" priority="5843">
      <formula>$AG1048:$AG1234="EOB Not Found"</formula>
    </cfRule>
    <cfRule type="expression" dxfId="5713" priority="5844">
      <formula>$AG1048:$AG1234="EOB Downloaded"</formula>
    </cfRule>
  </conditionalFormatting>
  <conditionalFormatting sqref="AA1049">
    <cfRule type="expression" dxfId="5712" priority="5835">
      <formula>$AG1049:$AG1235="Follow-Up Complete"</formula>
    </cfRule>
    <cfRule type="expression" dxfId="5711" priority="5836">
      <formula>$AG1049:$AG1235="Further Follow-Up"</formula>
    </cfRule>
    <cfRule type="expression" dxfId="5710" priority="5837">
      <formula>$AG1049:$AG1235="EOB Requested"</formula>
    </cfRule>
    <cfRule type="expression" dxfId="5709" priority="5838">
      <formula>$AG1049:$AG1235="EOB Not Found"</formula>
    </cfRule>
    <cfRule type="expression" dxfId="5708" priority="5839">
      <formula>$AG1049:$AG1235="EOB Downloaded"</formula>
    </cfRule>
  </conditionalFormatting>
  <conditionalFormatting sqref="P1047">
    <cfRule type="expression" dxfId="5707" priority="5830">
      <formula>$AG1047:$AG1233="Follow-Up Complete"</formula>
    </cfRule>
    <cfRule type="expression" dxfId="5706" priority="5831">
      <formula>$AG1047:$AG1233="Further Follow-Up"</formula>
    </cfRule>
    <cfRule type="expression" dxfId="5705" priority="5832">
      <formula>$AG1047:$AG1233="EOB Requested"</formula>
    </cfRule>
    <cfRule type="expression" dxfId="5704" priority="5833">
      <formula>$AG1047:$AG1233="EOB Not Found"</formula>
    </cfRule>
    <cfRule type="expression" dxfId="5703" priority="5834">
      <formula>$AG1047:$AG1233="EOB Downloaded"</formula>
    </cfRule>
  </conditionalFormatting>
  <conditionalFormatting sqref="R1047">
    <cfRule type="expression" dxfId="5702" priority="5825">
      <formula>$AG1047:$AG1233="Follow-Up Complete"</formula>
    </cfRule>
    <cfRule type="expression" dxfId="5701" priority="5826">
      <formula>$AG1047:$AG1233="Further Follow-Up"</formula>
    </cfRule>
    <cfRule type="expression" dxfId="5700" priority="5827">
      <formula>$AG1047:$AG1233="EOB Requested"</formula>
    </cfRule>
    <cfRule type="expression" dxfId="5699" priority="5828">
      <formula>$AG1047:$AG1233="EOB Not Found"</formula>
    </cfRule>
    <cfRule type="expression" dxfId="5698" priority="5829">
      <formula>$AG1047:$AG1233="EOB Downloaded"</formula>
    </cfRule>
  </conditionalFormatting>
  <conditionalFormatting sqref="T1047">
    <cfRule type="expression" dxfId="5697" priority="5820">
      <formula>$AG1047:$AG1233="Follow-Up Complete"</formula>
    </cfRule>
    <cfRule type="expression" dxfId="5696" priority="5821">
      <formula>$AG1047:$AG1233="Further Follow-Up"</formula>
    </cfRule>
    <cfRule type="expression" dxfId="5695" priority="5822">
      <formula>$AG1047:$AG1233="EOB Requested"</formula>
    </cfRule>
    <cfRule type="expression" dxfId="5694" priority="5823">
      <formula>$AG1047:$AG1233="EOB Not Found"</formula>
    </cfRule>
    <cfRule type="expression" dxfId="5693" priority="5824">
      <formula>$AG1047:$AG1233="EOB Downloaded"</formula>
    </cfRule>
  </conditionalFormatting>
  <conditionalFormatting sqref="V1047">
    <cfRule type="expression" dxfId="5692" priority="5815">
      <formula>$AG1047:$AG1233="Follow-Up Complete"</formula>
    </cfRule>
    <cfRule type="expression" dxfId="5691" priority="5816">
      <formula>$AG1047:$AG1233="Further Follow-Up"</formula>
    </cfRule>
    <cfRule type="expression" dxfId="5690" priority="5817">
      <formula>$AG1047:$AG1233="EOB Requested"</formula>
    </cfRule>
    <cfRule type="expression" dxfId="5689" priority="5818">
      <formula>$AG1047:$AG1233="EOB Not Found"</formula>
    </cfRule>
    <cfRule type="expression" dxfId="5688" priority="5819">
      <formula>$AG1047:$AG1233="EOB Downloaded"</formula>
    </cfRule>
  </conditionalFormatting>
  <conditionalFormatting sqref="X1047">
    <cfRule type="expression" dxfId="5687" priority="5810">
      <formula>$AG1047:$AG1233="Follow-Up Complete"</formula>
    </cfRule>
    <cfRule type="expression" dxfId="5686" priority="5811">
      <formula>$AG1047:$AG1233="Further Follow-Up"</formula>
    </cfRule>
    <cfRule type="expression" dxfId="5685" priority="5812">
      <formula>$AG1047:$AG1233="EOB Requested"</formula>
    </cfRule>
    <cfRule type="expression" dxfId="5684" priority="5813">
      <formula>$AG1047:$AG1233="EOB Not Found"</formula>
    </cfRule>
    <cfRule type="expression" dxfId="5683" priority="5814">
      <formula>$AG1047:$AG1233="EOB Downloaded"</formula>
    </cfRule>
  </conditionalFormatting>
  <conditionalFormatting sqref="AA1047">
    <cfRule type="expression" dxfId="5682" priority="5805">
      <formula>$AG1047:$AG1233="Follow-Up Complete"</formula>
    </cfRule>
    <cfRule type="expression" dxfId="5681" priority="5806">
      <formula>$AG1047:$AG1233="Further Follow-Up"</formula>
    </cfRule>
    <cfRule type="expression" dxfId="5680" priority="5807">
      <formula>$AG1047:$AG1233="EOB Requested"</formula>
    </cfRule>
    <cfRule type="expression" dxfId="5679" priority="5808">
      <formula>$AG1047:$AG1233="EOB Not Found"</formula>
    </cfRule>
    <cfRule type="expression" dxfId="5678" priority="5809">
      <formula>$AG1047:$AG1233="EOB Downloaded"</formula>
    </cfRule>
  </conditionalFormatting>
  <conditionalFormatting sqref="P1046">
    <cfRule type="expression" dxfId="5677" priority="5800">
      <formula>$AG1046:$AG1232="Follow-Up Complete"</formula>
    </cfRule>
    <cfRule type="expression" dxfId="5676" priority="5801">
      <formula>$AG1046:$AG1232="Further Follow-Up"</formula>
    </cfRule>
    <cfRule type="expression" dxfId="5675" priority="5802">
      <formula>$AG1046:$AG1232="EOB Requested"</formula>
    </cfRule>
    <cfRule type="expression" dxfId="5674" priority="5803">
      <formula>$AG1046:$AG1232="EOB Not Found"</formula>
    </cfRule>
    <cfRule type="expression" dxfId="5673" priority="5804">
      <formula>$AG1046:$AG1232="EOB Downloaded"</formula>
    </cfRule>
  </conditionalFormatting>
  <conditionalFormatting sqref="R1046">
    <cfRule type="expression" dxfId="5672" priority="5795">
      <formula>$AG1046:$AG1232="Follow-Up Complete"</formula>
    </cfRule>
    <cfRule type="expression" dxfId="5671" priority="5796">
      <formula>$AG1046:$AG1232="Further Follow-Up"</formula>
    </cfRule>
    <cfRule type="expression" dxfId="5670" priority="5797">
      <formula>$AG1046:$AG1232="EOB Requested"</formula>
    </cfRule>
    <cfRule type="expression" dxfId="5669" priority="5798">
      <formula>$AG1046:$AG1232="EOB Not Found"</formula>
    </cfRule>
    <cfRule type="expression" dxfId="5668" priority="5799">
      <formula>$AG1046:$AG1232="EOB Downloaded"</formula>
    </cfRule>
  </conditionalFormatting>
  <conditionalFormatting sqref="T1046">
    <cfRule type="expression" dxfId="5667" priority="5790">
      <formula>$AG1046:$AG1232="Follow-Up Complete"</formula>
    </cfRule>
    <cfRule type="expression" dxfId="5666" priority="5791">
      <formula>$AG1046:$AG1232="Further Follow-Up"</formula>
    </cfRule>
    <cfRule type="expression" dxfId="5665" priority="5792">
      <formula>$AG1046:$AG1232="EOB Requested"</formula>
    </cfRule>
    <cfRule type="expression" dxfId="5664" priority="5793">
      <formula>$AG1046:$AG1232="EOB Not Found"</formula>
    </cfRule>
    <cfRule type="expression" dxfId="5663" priority="5794">
      <formula>$AG1046:$AG1232="EOB Downloaded"</formula>
    </cfRule>
  </conditionalFormatting>
  <conditionalFormatting sqref="V1046">
    <cfRule type="expression" dxfId="5662" priority="5785">
      <formula>$AG1046:$AG1232="Follow-Up Complete"</formula>
    </cfRule>
    <cfRule type="expression" dxfId="5661" priority="5786">
      <formula>$AG1046:$AG1232="Further Follow-Up"</formula>
    </cfRule>
    <cfRule type="expression" dxfId="5660" priority="5787">
      <formula>$AG1046:$AG1232="EOB Requested"</formula>
    </cfRule>
    <cfRule type="expression" dxfId="5659" priority="5788">
      <formula>$AG1046:$AG1232="EOB Not Found"</formula>
    </cfRule>
    <cfRule type="expression" dxfId="5658" priority="5789">
      <formula>$AG1046:$AG1232="EOB Downloaded"</formula>
    </cfRule>
  </conditionalFormatting>
  <conditionalFormatting sqref="AA1046">
    <cfRule type="expression" dxfId="5657" priority="5780">
      <formula>$AG1046:$AG1232="Follow-Up Complete"</formula>
    </cfRule>
    <cfRule type="expression" dxfId="5656" priority="5781">
      <formula>$AG1046:$AG1232="Further Follow-Up"</formula>
    </cfRule>
    <cfRule type="expression" dxfId="5655" priority="5782">
      <formula>$AG1046:$AG1232="EOB Requested"</formula>
    </cfRule>
    <cfRule type="expression" dxfId="5654" priority="5783">
      <formula>$AG1046:$AG1232="EOB Not Found"</formula>
    </cfRule>
    <cfRule type="expression" dxfId="5653" priority="5784">
      <formula>$AG1046:$AG1232="EOB Downloaded"</formula>
    </cfRule>
  </conditionalFormatting>
  <conditionalFormatting sqref="P1045">
    <cfRule type="expression" dxfId="5652" priority="5775">
      <formula>$AG1045:$AG1231="Follow-Up Complete"</formula>
    </cfRule>
    <cfRule type="expression" dxfId="5651" priority="5776">
      <formula>$AG1045:$AG1231="Further Follow-Up"</formula>
    </cfRule>
    <cfRule type="expression" dxfId="5650" priority="5777">
      <formula>$AG1045:$AG1231="EOB Requested"</formula>
    </cfRule>
    <cfRule type="expression" dxfId="5649" priority="5778">
      <formula>$AG1045:$AG1231="EOB Not Found"</formula>
    </cfRule>
    <cfRule type="expression" dxfId="5648" priority="5779">
      <formula>$AG1045:$AG1231="EOB Downloaded"</formula>
    </cfRule>
  </conditionalFormatting>
  <conditionalFormatting sqref="R1045">
    <cfRule type="expression" dxfId="5647" priority="5770">
      <formula>$AG1045:$AG1231="Follow-Up Complete"</formula>
    </cfRule>
    <cfRule type="expression" dxfId="5646" priority="5771">
      <formula>$AG1045:$AG1231="Further Follow-Up"</formula>
    </cfRule>
    <cfRule type="expression" dxfId="5645" priority="5772">
      <formula>$AG1045:$AG1231="EOB Requested"</formula>
    </cfRule>
    <cfRule type="expression" dxfId="5644" priority="5773">
      <formula>$AG1045:$AG1231="EOB Not Found"</formula>
    </cfRule>
    <cfRule type="expression" dxfId="5643" priority="5774">
      <formula>$AG1045:$AG1231="EOB Downloaded"</formula>
    </cfRule>
  </conditionalFormatting>
  <conditionalFormatting sqref="T1045">
    <cfRule type="expression" dxfId="5642" priority="5765">
      <formula>$AG1045:$AG1231="Follow-Up Complete"</formula>
    </cfRule>
    <cfRule type="expression" dxfId="5641" priority="5766">
      <formula>$AG1045:$AG1231="Further Follow-Up"</formula>
    </cfRule>
    <cfRule type="expression" dxfId="5640" priority="5767">
      <formula>$AG1045:$AG1231="EOB Requested"</formula>
    </cfRule>
    <cfRule type="expression" dxfId="5639" priority="5768">
      <formula>$AG1045:$AG1231="EOB Not Found"</formula>
    </cfRule>
    <cfRule type="expression" dxfId="5638" priority="5769">
      <formula>$AG1045:$AG1231="EOB Downloaded"</formula>
    </cfRule>
  </conditionalFormatting>
  <conditionalFormatting sqref="V1045">
    <cfRule type="expression" dxfId="5637" priority="5760">
      <formula>$AG1045:$AG1231="Follow-Up Complete"</formula>
    </cfRule>
    <cfRule type="expression" dxfId="5636" priority="5761">
      <formula>$AG1045:$AG1231="Further Follow-Up"</formula>
    </cfRule>
    <cfRule type="expression" dxfId="5635" priority="5762">
      <formula>$AG1045:$AG1231="EOB Requested"</formula>
    </cfRule>
    <cfRule type="expression" dxfId="5634" priority="5763">
      <formula>$AG1045:$AG1231="EOB Not Found"</formula>
    </cfRule>
    <cfRule type="expression" dxfId="5633" priority="5764">
      <formula>$AG1045:$AG1231="EOB Downloaded"</formula>
    </cfRule>
  </conditionalFormatting>
  <conditionalFormatting sqref="AA1045">
    <cfRule type="expression" dxfId="5632" priority="5755">
      <formula>$AG1045:$AG1231="Follow-Up Complete"</formula>
    </cfRule>
    <cfRule type="expression" dxfId="5631" priority="5756">
      <formula>$AG1045:$AG1231="Further Follow-Up"</formula>
    </cfRule>
    <cfRule type="expression" dxfId="5630" priority="5757">
      <formula>$AG1045:$AG1231="EOB Requested"</formula>
    </cfRule>
    <cfRule type="expression" dxfId="5629" priority="5758">
      <formula>$AG1045:$AG1231="EOB Not Found"</formula>
    </cfRule>
    <cfRule type="expression" dxfId="5628" priority="5759">
      <formula>$AG1045:$AG1231="EOB Downloaded"</formula>
    </cfRule>
  </conditionalFormatting>
  <conditionalFormatting sqref="P1044">
    <cfRule type="expression" dxfId="5627" priority="5750">
      <formula>$AG1044:$AG1230="Follow-Up Complete"</formula>
    </cfRule>
    <cfRule type="expression" dxfId="5626" priority="5751">
      <formula>$AG1044:$AG1230="Further Follow-Up"</formula>
    </cfRule>
    <cfRule type="expression" dxfId="5625" priority="5752">
      <formula>$AG1044:$AG1230="EOB Requested"</formula>
    </cfRule>
    <cfRule type="expression" dxfId="5624" priority="5753">
      <formula>$AG1044:$AG1230="EOB Not Found"</formula>
    </cfRule>
    <cfRule type="expression" dxfId="5623" priority="5754">
      <formula>$AG1044:$AG1230="EOB Downloaded"</formula>
    </cfRule>
  </conditionalFormatting>
  <conditionalFormatting sqref="R1044">
    <cfRule type="expression" dxfId="5622" priority="5745">
      <formula>$AG1044:$AG1230="Follow-Up Complete"</formula>
    </cfRule>
    <cfRule type="expression" dxfId="5621" priority="5746">
      <formula>$AG1044:$AG1230="Further Follow-Up"</formula>
    </cfRule>
    <cfRule type="expression" dxfId="5620" priority="5747">
      <formula>$AG1044:$AG1230="EOB Requested"</formula>
    </cfRule>
    <cfRule type="expression" dxfId="5619" priority="5748">
      <formula>$AG1044:$AG1230="EOB Not Found"</formula>
    </cfRule>
    <cfRule type="expression" dxfId="5618" priority="5749">
      <formula>$AG1044:$AG1230="EOB Downloaded"</formula>
    </cfRule>
  </conditionalFormatting>
  <conditionalFormatting sqref="T1044">
    <cfRule type="expression" dxfId="5617" priority="5740">
      <formula>$AG1044:$AG1230="Follow-Up Complete"</formula>
    </cfRule>
    <cfRule type="expression" dxfId="5616" priority="5741">
      <formula>$AG1044:$AG1230="Further Follow-Up"</formula>
    </cfRule>
    <cfRule type="expression" dxfId="5615" priority="5742">
      <formula>$AG1044:$AG1230="EOB Requested"</formula>
    </cfRule>
    <cfRule type="expression" dxfId="5614" priority="5743">
      <formula>$AG1044:$AG1230="EOB Not Found"</formula>
    </cfRule>
    <cfRule type="expression" dxfId="5613" priority="5744">
      <formula>$AG1044:$AG1230="EOB Downloaded"</formula>
    </cfRule>
  </conditionalFormatting>
  <conditionalFormatting sqref="AA1044">
    <cfRule type="expression" dxfId="5612" priority="5735">
      <formula>$AG1044:$AG1230="Follow-Up Complete"</formula>
    </cfRule>
    <cfRule type="expression" dxfId="5611" priority="5736">
      <formula>$AG1044:$AG1230="Further Follow-Up"</formula>
    </cfRule>
    <cfRule type="expression" dxfId="5610" priority="5737">
      <formula>$AG1044:$AG1230="EOB Requested"</formula>
    </cfRule>
    <cfRule type="expression" dxfId="5609" priority="5738">
      <formula>$AG1044:$AG1230="EOB Not Found"</formula>
    </cfRule>
    <cfRule type="expression" dxfId="5608" priority="5739">
      <formula>$AG1044:$AG1230="EOB Downloaded"</formula>
    </cfRule>
  </conditionalFormatting>
  <conditionalFormatting sqref="P1043">
    <cfRule type="expression" dxfId="5607" priority="5730">
      <formula>$AG1043:$AG1229="Follow-Up Complete"</formula>
    </cfRule>
    <cfRule type="expression" dxfId="5606" priority="5731">
      <formula>$AG1043:$AG1229="Further Follow-Up"</formula>
    </cfRule>
    <cfRule type="expression" dxfId="5605" priority="5732">
      <formula>$AG1043:$AG1229="EOB Requested"</formula>
    </cfRule>
    <cfRule type="expression" dxfId="5604" priority="5733">
      <formula>$AG1043:$AG1229="EOB Not Found"</formula>
    </cfRule>
    <cfRule type="expression" dxfId="5603" priority="5734">
      <formula>$AG1043:$AG1229="EOB Downloaded"</formula>
    </cfRule>
  </conditionalFormatting>
  <conditionalFormatting sqref="R1043">
    <cfRule type="expression" dxfId="5602" priority="5725">
      <formula>$AG1043:$AG1229="Follow-Up Complete"</formula>
    </cfRule>
    <cfRule type="expression" dxfId="5601" priority="5726">
      <formula>$AG1043:$AG1229="Further Follow-Up"</formula>
    </cfRule>
    <cfRule type="expression" dxfId="5600" priority="5727">
      <formula>$AG1043:$AG1229="EOB Requested"</formula>
    </cfRule>
    <cfRule type="expression" dxfId="5599" priority="5728">
      <formula>$AG1043:$AG1229="EOB Not Found"</formula>
    </cfRule>
    <cfRule type="expression" dxfId="5598" priority="5729">
      <formula>$AG1043:$AG1229="EOB Downloaded"</formula>
    </cfRule>
  </conditionalFormatting>
  <conditionalFormatting sqref="T1043">
    <cfRule type="expression" dxfId="5597" priority="5720">
      <formula>$AG1043:$AG1229="Follow-Up Complete"</formula>
    </cfRule>
    <cfRule type="expression" dxfId="5596" priority="5721">
      <formula>$AG1043:$AG1229="Further Follow-Up"</formula>
    </cfRule>
    <cfRule type="expression" dxfId="5595" priority="5722">
      <formula>$AG1043:$AG1229="EOB Requested"</formula>
    </cfRule>
    <cfRule type="expression" dxfId="5594" priority="5723">
      <formula>$AG1043:$AG1229="EOB Not Found"</formula>
    </cfRule>
    <cfRule type="expression" dxfId="5593" priority="5724">
      <formula>$AG1043:$AG1229="EOB Downloaded"</formula>
    </cfRule>
  </conditionalFormatting>
  <conditionalFormatting sqref="V1043">
    <cfRule type="expression" dxfId="5592" priority="5715">
      <formula>$AG1043:$AG1229="Follow-Up Complete"</formula>
    </cfRule>
    <cfRule type="expression" dxfId="5591" priority="5716">
      <formula>$AG1043:$AG1229="Further Follow-Up"</formula>
    </cfRule>
    <cfRule type="expression" dxfId="5590" priority="5717">
      <formula>$AG1043:$AG1229="EOB Requested"</formula>
    </cfRule>
    <cfRule type="expression" dxfId="5589" priority="5718">
      <formula>$AG1043:$AG1229="EOB Not Found"</formula>
    </cfRule>
    <cfRule type="expression" dxfId="5588" priority="5719">
      <formula>$AG1043:$AG1229="EOB Downloaded"</formula>
    </cfRule>
  </conditionalFormatting>
  <conditionalFormatting sqref="AA1043">
    <cfRule type="expression" dxfId="5587" priority="5710">
      <formula>$AG1043:$AG1229="Follow-Up Complete"</formula>
    </cfRule>
    <cfRule type="expression" dxfId="5586" priority="5711">
      <formula>$AG1043:$AG1229="Further Follow-Up"</formula>
    </cfRule>
    <cfRule type="expression" dxfId="5585" priority="5712">
      <formula>$AG1043:$AG1229="EOB Requested"</formula>
    </cfRule>
    <cfRule type="expression" dxfId="5584" priority="5713">
      <formula>$AG1043:$AG1229="EOB Not Found"</formula>
    </cfRule>
    <cfRule type="expression" dxfId="5583" priority="5714">
      <formula>$AG1043:$AG1229="EOB Downloaded"</formula>
    </cfRule>
  </conditionalFormatting>
  <conditionalFormatting sqref="P1042">
    <cfRule type="expression" dxfId="5582" priority="5705">
      <formula>$AG1042:$AG1228="Follow-Up Complete"</formula>
    </cfRule>
    <cfRule type="expression" dxfId="5581" priority="5706">
      <formula>$AG1042:$AG1228="Further Follow-Up"</formula>
    </cfRule>
    <cfRule type="expression" dxfId="5580" priority="5707">
      <formula>$AG1042:$AG1228="EOB Requested"</formula>
    </cfRule>
    <cfRule type="expression" dxfId="5579" priority="5708">
      <formula>$AG1042:$AG1228="EOB Not Found"</formula>
    </cfRule>
    <cfRule type="expression" dxfId="5578" priority="5709">
      <formula>$AG1042:$AG1228="EOB Downloaded"</formula>
    </cfRule>
  </conditionalFormatting>
  <conditionalFormatting sqref="R1042">
    <cfRule type="expression" dxfId="5577" priority="5700">
      <formula>$AG1042:$AG1228="Follow-Up Complete"</formula>
    </cfRule>
    <cfRule type="expression" dxfId="5576" priority="5701">
      <formula>$AG1042:$AG1228="Further Follow-Up"</formula>
    </cfRule>
    <cfRule type="expression" dxfId="5575" priority="5702">
      <formula>$AG1042:$AG1228="EOB Requested"</formula>
    </cfRule>
    <cfRule type="expression" dxfId="5574" priority="5703">
      <formula>$AG1042:$AG1228="EOB Not Found"</formula>
    </cfRule>
    <cfRule type="expression" dxfId="5573" priority="5704">
      <formula>$AG1042:$AG1228="EOB Downloaded"</formula>
    </cfRule>
  </conditionalFormatting>
  <conditionalFormatting sqref="T1042">
    <cfRule type="expression" dxfId="5572" priority="5695">
      <formula>$AG1042:$AG1228="Follow-Up Complete"</formula>
    </cfRule>
    <cfRule type="expression" dxfId="5571" priority="5696">
      <formula>$AG1042:$AG1228="Further Follow-Up"</formula>
    </cfRule>
    <cfRule type="expression" dxfId="5570" priority="5697">
      <formula>$AG1042:$AG1228="EOB Requested"</formula>
    </cfRule>
    <cfRule type="expression" dxfId="5569" priority="5698">
      <formula>$AG1042:$AG1228="EOB Not Found"</formula>
    </cfRule>
    <cfRule type="expression" dxfId="5568" priority="5699">
      <formula>$AG1042:$AG1228="EOB Downloaded"</formula>
    </cfRule>
  </conditionalFormatting>
  <conditionalFormatting sqref="AA1042">
    <cfRule type="expression" dxfId="5567" priority="5690">
      <formula>$AG1042:$AG1228="Follow-Up Complete"</formula>
    </cfRule>
    <cfRule type="expression" dxfId="5566" priority="5691">
      <formula>$AG1042:$AG1228="Further Follow-Up"</formula>
    </cfRule>
    <cfRule type="expression" dxfId="5565" priority="5692">
      <formula>$AG1042:$AG1228="EOB Requested"</formula>
    </cfRule>
    <cfRule type="expression" dxfId="5564" priority="5693">
      <formula>$AG1042:$AG1228="EOB Not Found"</formula>
    </cfRule>
    <cfRule type="expression" dxfId="5563" priority="5694">
      <formula>$AG1042:$AG1228="EOB Downloaded"</formula>
    </cfRule>
  </conditionalFormatting>
  <conditionalFormatting sqref="P1041">
    <cfRule type="expression" dxfId="5562" priority="5685">
      <formula>$AG1041:$AG1227="Follow-Up Complete"</formula>
    </cfRule>
    <cfRule type="expression" dxfId="5561" priority="5686">
      <formula>$AG1041:$AG1227="Further Follow-Up"</formula>
    </cfRule>
    <cfRule type="expression" dxfId="5560" priority="5687">
      <formula>$AG1041:$AG1227="EOB Requested"</formula>
    </cfRule>
    <cfRule type="expression" dxfId="5559" priority="5688">
      <formula>$AG1041:$AG1227="EOB Not Found"</formula>
    </cfRule>
    <cfRule type="expression" dxfId="5558" priority="5689">
      <formula>$AG1041:$AG1227="EOB Downloaded"</formula>
    </cfRule>
  </conditionalFormatting>
  <conditionalFormatting sqref="R1041">
    <cfRule type="expression" dxfId="5557" priority="5680">
      <formula>$AG1041:$AG1227="Follow-Up Complete"</formula>
    </cfRule>
    <cfRule type="expression" dxfId="5556" priority="5681">
      <formula>$AG1041:$AG1227="Further Follow-Up"</formula>
    </cfRule>
    <cfRule type="expression" dxfId="5555" priority="5682">
      <formula>$AG1041:$AG1227="EOB Requested"</formula>
    </cfRule>
    <cfRule type="expression" dxfId="5554" priority="5683">
      <formula>$AG1041:$AG1227="EOB Not Found"</formula>
    </cfRule>
    <cfRule type="expression" dxfId="5553" priority="5684">
      <formula>$AG1041:$AG1227="EOB Downloaded"</formula>
    </cfRule>
  </conditionalFormatting>
  <conditionalFormatting sqref="T1041">
    <cfRule type="expression" dxfId="5552" priority="5675">
      <formula>$AG1041:$AG1227="Follow-Up Complete"</formula>
    </cfRule>
    <cfRule type="expression" dxfId="5551" priority="5676">
      <formula>$AG1041:$AG1227="Further Follow-Up"</formula>
    </cfRule>
    <cfRule type="expression" dxfId="5550" priority="5677">
      <formula>$AG1041:$AG1227="EOB Requested"</formula>
    </cfRule>
    <cfRule type="expression" dxfId="5549" priority="5678">
      <formula>$AG1041:$AG1227="EOB Not Found"</formula>
    </cfRule>
    <cfRule type="expression" dxfId="5548" priority="5679">
      <formula>$AG1041:$AG1227="EOB Downloaded"</formula>
    </cfRule>
  </conditionalFormatting>
  <conditionalFormatting sqref="V1041">
    <cfRule type="expression" dxfId="5547" priority="5670">
      <formula>$AG1041:$AG1227="Follow-Up Complete"</formula>
    </cfRule>
    <cfRule type="expression" dxfId="5546" priority="5671">
      <formula>$AG1041:$AG1227="Further Follow-Up"</formula>
    </cfRule>
    <cfRule type="expression" dxfId="5545" priority="5672">
      <formula>$AG1041:$AG1227="EOB Requested"</formula>
    </cfRule>
    <cfRule type="expression" dxfId="5544" priority="5673">
      <formula>$AG1041:$AG1227="EOB Not Found"</formula>
    </cfRule>
    <cfRule type="expression" dxfId="5543" priority="5674">
      <formula>$AG1041:$AG1227="EOB Downloaded"</formula>
    </cfRule>
  </conditionalFormatting>
  <conditionalFormatting sqref="X1041">
    <cfRule type="expression" dxfId="5542" priority="5665">
      <formula>$AG1041:$AG1227="Follow-Up Complete"</formula>
    </cfRule>
    <cfRule type="expression" dxfId="5541" priority="5666">
      <formula>$AG1041:$AG1227="Further Follow-Up"</formula>
    </cfRule>
    <cfRule type="expression" dxfId="5540" priority="5667">
      <formula>$AG1041:$AG1227="EOB Requested"</formula>
    </cfRule>
    <cfRule type="expression" dxfId="5539" priority="5668">
      <formula>$AG1041:$AG1227="EOB Not Found"</formula>
    </cfRule>
    <cfRule type="expression" dxfId="5538" priority="5669">
      <formula>$AG1041:$AG1227="EOB Downloaded"</formula>
    </cfRule>
  </conditionalFormatting>
  <conditionalFormatting sqref="AA1041">
    <cfRule type="expression" dxfId="5537" priority="5660">
      <formula>$AG1041:$AG1227="Follow-Up Complete"</formula>
    </cfRule>
    <cfRule type="expression" dxfId="5536" priority="5661">
      <formula>$AG1041:$AG1227="Further Follow-Up"</formula>
    </cfRule>
    <cfRule type="expression" dxfId="5535" priority="5662">
      <formula>$AG1041:$AG1227="EOB Requested"</formula>
    </cfRule>
    <cfRule type="expression" dxfId="5534" priority="5663">
      <formula>$AG1041:$AG1227="EOB Not Found"</formula>
    </cfRule>
    <cfRule type="expression" dxfId="5533" priority="5664">
      <formula>$AG1041:$AG1227="EOB Downloaded"</formula>
    </cfRule>
  </conditionalFormatting>
  <conditionalFormatting sqref="AF1041">
    <cfRule type="expression" dxfId="5532" priority="5655">
      <formula>$AG1041:$AG1227="Follow-Up Complete"</formula>
    </cfRule>
    <cfRule type="expression" dxfId="5531" priority="5656">
      <formula>$AG1041:$AG1227="Further Follow-Up"</formula>
    </cfRule>
    <cfRule type="expression" dxfId="5530" priority="5657">
      <formula>$AG1041:$AG1227="EOB Requested"</formula>
    </cfRule>
    <cfRule type="expression" dxfId="5529" priority="5658">
      <formula>$AG1041:$AG1227="EOB Not Found"</formula>
    </cfRule>
    <cfRule type="expression" dxfId="5528" priority="5659">
      <formula>$AG1041:$AG1227="EOB Downloaded"</formula>
    </cfRule>
  </conditionalFormatting>
  <conditionalFormatting sqref="P1040">
    <cfRule type="expression" dxfId="5527" priority="5650">
      <formula>$AG1040:$AG1226="Follow-Up Complete"</formula>
    </cfRule>
    <cfRule type="expression" dxfId="5526" priority="5651">
      <formula>$AG1040:$AG1226="Further Follow-Up"</formula>
    </cfRule>
    <cfRule type="expression" dxfId="5525" priority="5652">
      <formula>$AG1040:$AG1226="EOB Requested"</formula>
    </cfRule>
    <cfRule type="expression" dxfId="5524" priority="5653">
      <formula>$AG1040:$AG1226="EOB Not Found"</formula>
    </cfRule>
    <cfRule type="expression" dxfId="5523" priority="5654">
      <formula>$AG1040:$AG1226="EOB Downloaded"</formula>
    </cfRule>
  </conditionalFormatting>
  <conditionalFormatting sqref="R1040">
    <cfRule type="expression" dxfId="5522" priority="5645">
      <formula>$AG1040:$AG1226="Follow-Up Complete"</formula>
    </cfRule>
    <cfRule type="expression" dxfId="5521" priority="5646">
      <formula>$AG1040:$AG1226="Further Follow-Up"</formula>
    </cfRule>
    <cfRule type="expression" dxfId="5520" priority="5647">
      <formula>$AG1040:$AG1226="EOB Requested"</formula>
    </cfRule>
    <cfRule type="expression" dxfId="5519" priority="5648">
      <formula>$AG1040:$AG1226="EOB Not Found"</formula>
    </cfRule>
    <cfRule type="expression" dxfId="5518" priority="5649">
      <formula>$AG1040:$AG1226="EOB Downloaded"</formula>
    </cfRule>
  </conditionalFormatting>
  <conditionalFormatting sqref="T1040">
    <cfRule type="expression" dxfId="5517" priority="5640">
      <formula>$AG1040:$AG1226="Follow-Up Complete"</formula>
    </cfRule>
    <cfRule type="expression" dxfId="5516" priority="5641">
      <formula>$AG1040:$AG1226="Further Follow-Up"</formula>
    </cfRule>
    <cfRule type="expression" dxfId="5515" priority="5642">
      <formula>$AG1040:$AG1226="EOB Requested"</formula>
    </cfRule>
    <cfRule type="expression" dxfId="5514" priority="5643">
      <formula>$AG1040:$AG1226="EOB Not Found"</formula>
    </cfRule>
    <cfRule type="expression" dxfId="5513" priority="5644">
      <formula>$AG1040:$AG1226="EOB Downloaded"</formula>
    </cfRule>
  </conditionalFormatting>
  <conditionalFormatting sqref="V1040">
    <cfRule type="expression" dxfId="5512" priority="5635">
      <formula>$AG1040:$AG1226="Follow-Up Complete"</formula>
    </cfRule>
    <cfRule type="expression" dxfId="5511" priority="5636">
      <formula>$AG1040:$AG1226="Further Follow-Up"</formula>
    </cfRule>
    <cfRule type="expression" dxfId="5510" priority="5637">
      <formula>$AG1040:$AG1226="EOB Requested"</formula>
    </cfRule>
    <cfRule type="expression" dxfId="5509" priority="5638">
      <formula>$AG1040:$AG1226="EOB Not Found"</formula>
    </cfRule>
    <cfRule type="expression" dxfId="5508" priority="5639">
      <formula>$AG1040:$AG1226="EOB Downloaded"</formula>
    </cfRule>
  </conditionalFormatting>
  <conditionalFormatting sqref="X1040">
    <cfRule type="expression" dxfId="5507" priority="5630">
      <formula>$AG1040:$AG1226="Follow-Up Complete"</formula>
    </cfRule>
    <cfRule type="expression" dxfId="5506" priority="5631">
      <formula>$AG1040:$AG1226="Further Follow-Up"</formula>
    </cfRule>
    <cfRule type="expression" dxfId="5505" priority="5632">
      <formula>$AG1040:$AG1226="EOB Requested"</formula>
    </cfRule>
    <cfRule type="expression" dxfId="5504" priority="5633">
      <formula>$AG1040:$AG1226="EOB Not Found"</formula>
    </cfRule>
    <cfRule type="expression" dxfId="5503" priority="5634">
      <formula>$AG1040:$AG1226="EOB Downloaded"</formula>
    </cfRule>
  </conditionalFormatting>
  <conditionalFormatting sqref="AA1040">
    <cfRule type="expression" dxfId="5502" priority="5625">
      <formula>$AG1040:$AG1226="Follow-Up Complete"</formula>
    </cfRule>
    <cfRule type="expression" dxfId="5501" priority="5626">
      <formula>$AG1040:$AG1226="Further Follow-Up"</formula>
    </cfRule>
    <cfRule type="expression" dxfId="5500" priority="5627">
      <formula>$AG1040:$AG1226="EOB Requested"</formula>
    </cfRule>
    <cfRule type="expression" dxfId="5499" priority="5628">
      <formula>$AG1040:$AG1226="EOB Not Found"</formula>
    </cfRule>
    <cfRule type="expression" dxfId="5498" priority="5629">
      <formula>$AG1040:$AG1226="EOB Downloaded"</formula>
    </cfRule>
  </conditionalFormatting>
  <conditionalFormatting sqref="P1039">
    <cfRule type="expression" dxfId="5497" priority="5620">
      <formula>$AG1039:$AG1225="Follow-Up Complete"</formula>
    </cfRule>
    <cfRule type="expression" dxfId="5496" priority="5621">
      <formula>$AG1039:$AG1225="Further Follow-Up"</formula>
    </cfRule>
    <cfRule type="expression" dxfId="5495" priority="5622">
      <formula>$AG1039:$AG1225="EOB Requested"</formula>
    </cfRule>
    <cfRule type="expression" dxfId="5494" priority="5623">
      <formula>$AG1039:$AG1225="EOB Not Found"</formula>
    </cfRule>
    <cfRule type="expression" dxfId="5493" priority="5624">
      <formula>$AG1039:$AG1225="EOB Downloaded"</formula>
    </cfRule>
  </conditionalFormatting>
  <conditionalFormatting sqref="R1039">
    <cfRule type="expression" dxfId="5492" priority="5615">
      <formula>$AG1039:$AG1225="Follow-Up Complete"</formula>
    </cfRule>
    <cfRule type="expression" dxfId="5491" priority="5616">
      <formula>$AG1039:$AG1225="Further Follow-Up"</formula>
    </cfRule>
    <cfRule type="expression" dxfId="5490" priority="5617">
      <formula>$AG1039:$AG1225="EOB Requested"</formula>
    </cfRule>
    <cfRule type="expression" dxfId="5489" priority="5618">
      <formula>$AG1039:$AG1225="EOB Not Found"</formula>
    </cfRule>
    <cfRule type="expression" dxfId="5488" priority="5619">
      <formula>$AG1039:$AG1225="EOB Downloaded"</formula>
    </cfRule>
  </conditionalFormatting>
  <conditionalFormatting sqref="V1039">
    <cfRule type="expression" dxfId="5487" priority="5610">
      <formula>$AG1039:$AG1225="Follow-Up Complete"</formula>
    </cfRule>
    <cfRule type="expression" dxfId="5486" priority="5611">
      <formula>$AG1039:$AG1225="Further Follow-Up"</formula>
    </cfRule>
    <cfRule type="expression" dxfId="5485" priority="5612">
      <formula>$AG1039:$AG1225="EOB Requested"</formula>
    </cfRule>
    <cfRule type="expression" dxfId="5484" priority="5613">
      <formula>$AG1039:$AG1225="EOB Not Found"</formula>
    </cfRule>
    <cfRule type="expression" dxfId="5483" priority="5614">
      <formula>$AG1039:$AG1225="EOB Downloaded"</formula>
    </cfRule>
  </conditionalFormatting>
  <conditionalFormatting sqref="X1039">
    <cfRule type="expression" dxfId="5482" priority="5605">
      <formula>$AG1039:$AG1225="Follow-Up Complete"</formula>
    </cfRule>
    <cfRule type="expression" dxfId="5481" priority="5606">
      <formula>$AG1039:$AG1225="Further Follow-Up"</formula>
    </cfRule>
    <cfRule type="expression" dxfId="5480" priority="5607">
      <formula>$AG1039:$AG1225="EOB Requested"</formula>
    </cfRule>
    <cfRule type="expression" dxfId="5479" priority="5608">
      <formula>$AG1039:$AG1225="EOB Not Found"</formula>
    </cfRule>
    <cfRule type="expression" dxfId="5478" priority="5609">
      <formula>$AG1039:$AG1225="EOB Downloaded"</formula>
    </cfRule>
  </conditionalFormatting>
  <conditionalFormatting sqref="AA1039">
    <cfRule type="expression" dxfId="5477" priority="5600">
      <formula>$AG1039:$AG1225="Follow-Up Complete"</formula>
    </cfRule>
    <cfRule type="expression" dxfId="5476" priority="5601">
      <formula>$AG1039:$AG1225="Further Follow-Up"</formula>
    </cfRule>
    <cfRule type="expression" dxfId="5475" priority="5602">
      <formula>$AG1039:$AG1225="EOB Requested"</formula>
    </cfRule>
    <cfRule type="expression" dxfId="5474" priority="5603">
      <formula>$AG1039:$AG1225="EOB Not Found"</formula>
    </cfRule>
    <cfRule type="expression" dxfId="5473" priority="5604">
      <formula>$AG1039:$AG1225="EOB Downloaded"</formula>
    </cfRule>
  </conditionalFormatting>
  <conditionalFormatting sqref="P1038">
    <cfRule type="expression" dxfId="5472" priority="5595">
      <formula>$AG1038:$AG1224="Follow-Up Complete"</formula>
    </cfRule>
    <cfRule type="expression" dxfId="5471" priority="5596">
      <formula>$AG1038:$AG1224="Further Follow-Up"</formula>
    </cfRule>
    <cfRule type="expression" dxfId="5470" priority="5597">
      <formula>$AG1038:$AG1224="EOB Requested"</formula>
    </cfRule>
    <cfRule type="expression" dxfId="5469" priority="5598">
      <formula>$AG1038:$AG1224="EOB Not Found"</formula>
    </cfRule>
    <cfRule type="expression" dxfId="5468" priority="5599">
      <formula>$AG1038:$AG1224="EOB Downloaded"</formula>
    </cfRule>
  </conditionalFormatting>
  <conditionalFormatting sqref="R1038">
    <cfRule type="expression" dxfId="5467" priority="5590">
      <formula>$AG1038:$AG1224="Follow-Up Complete"</formula>
    </cfRule>
    <cfRule type="expression" dxfId="5466" priority="5591">
      <formula>$AG1038:$AG1224="Further Follow-Up"</formula>
    </cfRule>
    <cfRule type="expression" dxfId="5465" priority="5592">
      <formula>$AG1038:$AG1224="EOB Requested"</formula>
    </cfRule>
    <cfRule type="expression" dxfId="5464" priority="5593">
      <formula>$AG1038:$AG1224="EOB Not Found"</formula>
    </cfRule>
    <cfRule type="expression" dxfId="5463" priority="5594">
      <formula>$AG1038:$AG1224="EOB Downloaded"</formula>
    </cfRule>
  </conditionalFormatting>
  <conditionalFormatting sqref="T1038">
    <cfRule type="expression" dxfId="5462" priority="5585">
      <formula>$AG1038:$AG1224="Follow-Up Complete"</formula>
    </cfRule>
    <cfRule type="expression" dxfId="5461" priority="5586">
      <formula>$AG1038:$AG1224="Further Follow-Up"</formula>
    </cfRule>
    <cfRule type="expression" dxfId="5460" priority="5587">
      <formula>$AG1038:$AG1224="EOB Requested"</formula>
    </cfRule>
    <cfRule type="expression" dxfId="5459" priority="5588">
      <formula>$AG1038:$AG1224="EOB Not Found"</formula>
    </cfRule>
    <cfRule type="expression" dxfId="5458" priority="5589">
      <formula>$AG1038:$AG1224="EOB Downloaded"</formula>
    </cfRule>
  </conditionalFormatting>
  <conditionalFormatting sqref="V1038">
    <cfRule type="expression" dxfId="5457" priority="5580">
      <formula>$AG1038:$AG1224="Follow-Up Complete"</formula>
    </cfRule>
    <cfRule type="expression" dxfId="5456" priority="5581">
      <formula>$AG1038:$AG1224="Further Follow-Up"</formula>
    </cfRule>
    <cfRule type="expression" dxfId="5455" priority="5582">
      <formula>$AG1038:$AG1224="EOB Requested"</formula>
    </cfRule>
    <cfRule type="expression" dxfId="5454" priority="5583">
      <formula>$AG1038:$AG1224="EOB Not Found"</formula>
    </cfRule>
    <cfRule type="expression" dxfId="5453" priority="5584">
      <formula>$AG1038:$AG1224="EOB Downloaded"</formula>
    </cfRule>
  </conditionalFormatting>
  <conditionalFormatting sqref="X1038">
    <cfRule type="expression" dxfId="5452" priority="5575">
      <formula>$AG1038:$AG1224="Follow-Up Complete"</formula>
    </cfRule>
    <cfRule type="expression" dxfId="5451" priority="5576">
      <formula>$AG1038:$AG1224="Further Follow-Up"</formula>
    </cfRule>
    <cfRule type="expression" dxfId="5450" priority="5577">
      <formula>$AG1038:$AG1224="EOB Requested"</formula>
    </cfRule>
    <cfRule type="expression" dxfId="5449" priority="5578">
      <formula>$AG1038:$AG1224="EOB Not Found"</formula>
    </cfRule>
    <cfRule type="expression" dxfId="5448" priority="5579">
      <formula>$AG1038:$AG1224="EOB Downloaded"</formula>
    </cfRule>
  </conditionalFormatting>
  <conditionalFormatting sqref="AA1038">
    <cfRule type="expression" dxfId="5447" priority="5570">
      <formula>$AG1038:$AG1224="Follow-Up Complete"</formula>
    </cfRule>
    <cfRule type="expression" dxfId="5446" priority="5571">
      <formula>$AG1038:$AG1224="Further Follow-Up"</formula>
    </cfRule>
    <cfRule type="expression" dxfId="5445" priority="5572">
      <formula>$AG1038:$AG1224="EOB Requested"</formula>
    </cfRule>
    <cfRule type="expression" dxfId="5444" priority="5573">
      <formula>$AG1038:$AG1224="EOB Not Found"</formula>
    </cfRule>
    <cfRule type="expression" dxfId="5443" priority="5574">
      <formula>$AG1038:$AG1224="EOB Downloaded"</formula>
    </cfRule>
  </conditionalFormatting>
  <conditionalFormatting sqref="P1037">
    <cfRule type="expression" dxfId="5442" priority="5565">
      <formula>$AG1037:$AG1223="Follow-Up Complete"</formula>
    </cfRule>
    <cfRule type="expression" dxfId="5441" priority="5566">
      <formula>$AG1037:$AG1223="Further Follow-Up"</formula>
    </cfRule>
    <cfRule type="expression" dxfId="5440" priority="5567">
      <formula>$AG1037:$AG1223="EOB Requested"</formula>
    </cfRule>
    <cfRule type="expression" dxfId="5439" priority="5568">
      <formula>$AG1037:$AG1223="EOB Not Found"</formula>
    </cfRule>
    <cfRule type="expression" dxfId="5438" priority="5569">
      <formula>$AG1037:$AG1223="EOB Downloaded"</formula>
    </cfRule>
  </conditionalFormatting>
  <conditionalFormatting sqref="R1037">
    <cfRule type="expression" dxfId="5437" priority="5560">
      <formula>$AG1037:$AG1223="Follow-Up Complete"</formula>
    </cfRule>
    <cfRule type="expression" dxfId="5436" priority="5561">
      <formula>$AG1037:$AG1223="Further Follow-Up"</formula>
    </cfRule>
    <cfRule type="expression" dxfId="5435" priority="5562">
      <formula>$AG1037:$AG1223="EOB Requested"</formula>
    </cfRule>
    <cfRule type="expression" dxfId="5434" priority="5563">
      <formula>$AG1037:$AG1223="EOB Not Found"</formula>
    </cfRule>
    <cfRule type="expression" dxfId="5433" priority="5564">
      <formula>$AG1037:$AG1223="EOB Downloaded"</formula>
    </cfRule>
  </conditionalFormatting>
  <conditionalFormatting sqref="T1037">
    <cfRule type="expression" dxfId="5432" priority="5555">
      <formula>$AG1037:$AG1223="Follow-Up Complete"</formula>
    </cfRule>
    <cfRule type="expression" dxfId="5431" priority="5556">
      <formula>$AG1037:$AG1223="Further Follow-Up"</formula>
    </cfRule>
    <cfRule type="expression" dxfId="5430" priority="5557">
      <formula>$AG1037:$AG1223="EOB Requested"</formula>
    </cfRule>
    <cfRule type="expression" dxfId="5429" priority="5558">
      <formula>$AG1037:$AG1223="EOB Not Found"</formula>
    </cfRule>
    <cfRule type="expression" dxfId="5428" priority="5559">
      <formula>$AG1037:$AG1223="EOB Downloaded"</formula>
    </cfRule>
  </conditionalFormatting>
  <conditionalFormatting sqref="V1037">
    <cfRule type="expression" dxfId="5427" priority="5550">
      <formula>$AG1037:$AG1223="Follow-Up Complete"</formula>
    </cfRule>
    <cfRule type="expression" dxfId="5426" priority="5551">
      <formula>$AG1037:$AG1223="Further Follow-Up"</formula>
    </cfRule>
    <cfRule type="expression" dxfId="5425" priority="5552">
      <formula>$AG1037:$AG1223="EOB Requested"</formula>
    </cfRule>
    <cfRule type="expression" dxfId="5424" priority="5553">
      <formula>$AG1037:$AG1223="EOB Not Found"</formula>
    </cfRule>
    <cfRule type="expression" dxfId="5423" priority="5554">
      <formula>$AG1037:$AG1223="EOB Downloaded"</formula>
    </cfRule>
  </conditionalFormatting>
  <conditionalFormatting sqref="X1037">
    <cfRule type="expression" dxfId="5422" priority="5545">
      <formula>$AG1037:$AG1223="Follow-Up Complete"</formula>
    </cfRule>
    <cfRule type="expression" dxfId="5421" priority="5546">
      <formula>$AG1037:$AG1223="Further Follow-Up"</formula>
    </cfRule>
    <cfRule type="expression" dxfId="5420" priority="5547">
      <formula>$AG1037:$AG1223="EOB Requested"</formula>
    </cfRule>
    <cfRule type="expression" dxfId="5419" priority="5548">
      <formula>$AG1037:$AG1223="EOB Not Found"</formula>
    </cfRule>
    <cfRule type="expression" dxfId="5418" priority="5549">
      <formula>$AG1037:$AG1223="EOB Downloaded"</formula>
    </cfRule>
  </conditionalFormatting>
  <conditionalFormatting sqref="AA1037">
    <cfRule type="expression" dxfId="5417" priority="5540">
      <formula>$AG1037:$AG1223="Follow-Up Complete"</formula>
    </cfRule>
    <cfRule type="expression" dxfId="5416" priority="5541">
      <formula>$AG1037:$AG1223="Further Follow-Up"</formula>
    </cfRule>
    <cfRule type="expression" dxfId="5415" priority="5542">
      <formula>$AG1037:$AG1223="EOB Requested"</formula>
    </cfRule>
    <cfRule type="expression" dxfId="5414" priority="5543">
      <formula>$AG1037:$AG1223="EOB Not Found"</formula>
    </cfRule>
    <cfRule type="expression" dxfId="5413" priority="5544">
      <formula>$AG1037:$AG1223="EOB Downloaded"</formula>
    </cfRule>
  </conditionalFormatting>
  <conditionalFormatting sqref="P1036">
    <cfRule type="expression" dxfId="5412" priority="5535">
      <formula>$AG1036:$AG1222="Follow-Up Complete"</formula>
    </cfRule>
    <cfRule type="expression" dxfId="5411" priority="5536">
      <formula>$AG1036:$AG1222="Further Follow-Up"</formula>
    </cfRule>
    <cfRule type="expression" dxfId="5410" priority="5537">
      <formula>$AG1036:$AG1222="EOB Requested"</formula>
    </cfRule>
    <cfRule type="expression" dxfId="5409" priority="5538">
      <formula>$AG1036:$AG1222="EOB Not Found"</formula>
    </cfRule>
    <cfRule type="expression" dxfId="5408" priority="5539">
      <formula>$AG1036:$AG1222="EOB Downloaded"</formula>
    </cfRule>
  </conditionalFormatting>
  <conditionalFormatting sqref="R1036">
    <cfRule type="expression" dxfId="5407" priority="5530">
      <formula>$AG1036:$AG1222="Follow-Up Complete"</formula>
    </cfRule>
    <cfRule type="expression" dxfId="5406" priority="5531">
      <formula>$AG1036:$AG1222="Further Follow-Up"</formula>
    </cfRule>
    <cfRule type="expression" dxfId="5405" priority="5532">
      <formula>$AG1036:$AG1222="EOB Requested"</formula>
    </cfRule>
    <cfRule type="expression" dxfId="5404" priority="5533">
      <formula>$AG1036:$AG1222="EOB Not Found"</formula>
    </cfRule>
    <cfRule type="expression" dxfId="5403" priority="5534">
      <formula>$AG1036:$AG1222="EOB Downloaded"</formula>
    </cfRule>
  </conditionalFormatting>
  <conditionalFormatting sqref="T1036">
    <cfRule type="expression" dxfId="5402" priority="5525">
      <formula>$AG1036:$AG1222="Follow-Up Complete"</formula>
    </cfRule>
    <cfRule type="expression" dxfId="5401" priority="5526">
      <formula>$AG1036:$AG1222="Further Follow-Up"</formula>
    </cfRule>
    <cfRule type="expression" dxfId="5400" priority="5527">
      <formula>$AG1036:$AG1222="EOB Requested"</formula>
    </cfRule>
    <cfRule type="expression" dxfId="5399" priority="5528">
      <formula>$AG1036:$AG1222="EOB Not Found"</formula>
    </cfRule>
    <cfRule type="expression" dxfId="5398" priority="5529">
      <formula>$AG1036:$AG1222="EOB Downloaded"</formula>
    </cfRule>
  </conditionalFormatting>
  <conditionalFormatting sqref="V1036">
    <cfRule type="expression" dxfId="5397" priority="5520">
      <formula>$AG1036:$AG1222="Follow-Up Complete"</formula>
    </cfRule>
    <cfRule type="expression" dxfId="5396" priority="5521">
      <formula>$AG1036:$AG1222="Further Follow-Up"</formula>
    </cfRule>
    <cfRule type="expression" dxfId="5395" priority="5522">
      <formula>$AG1036:$AG1222="EOB Requested"</formula>
    </cfRule>
    <cfRule type="expression" dxfId="5394" priority="5523">
      <formula>$AG1036:$AG1222="EOB Not Found"</formula>
    </cfRule>
    <cfRule type="expression" dxfId="5393" priority="5524">
      <formula>$AG1036:$AG1222="EOB Downloaded"</formula>
    </cfRule>
  </conditionalFormatting>
  <conditionalFormatting sqref="X1036">
    <cfRule type="expression" dxfId="5392" priority="5515">
      <formula>$AG1036:$AG1222="Follow-Up Complete"</formula>
    </cfRule>
    <cfRule type="expression" dxfId="5391" priority="5516">
      <formula>$AG1036:$AG1222="Further Follow-Up"</formula>
    </cfRule>
    <cfRule type="expression" dxfId="5390" priority="5517">
      <formula>$AG1036:$AG1222="EOB Requested"</formula>
    </cfRule>
    <cfRule type="expression" dxfId="5389" priority="5518">
      <formula>$AG1036:$AG1222="EOB Not Found"</formula>
    </cfRule>
    <cfRule type="expression" dxfId="5388" priority="5519">
      <formula>$AG1036:$AG1222="EOB Downloaded"</formula>
    </cfRule>
  </conditionalFormatting>
  <conditionalFormatting sqref="AA1036">
    <cfRule type="expression" dxfId="5387" priority="5510">
      <formula>$AG1036:$AG1222="Follow-Up Complete"</formula>
    </cfRule>
    <cfRule type="expression" dxfId="5386" priority="5511">
      <formula>$AG1036:$AG1222="Further Follow-Up"</formula>
    </cfRule>
    <cfRule type="expression" dxfId="5385" priority="5512">
      <formula>$AG1036:$AG1222="EOB Requested"</formula>
    </cfRule>
    <cfRule type="expression" dxfId="5384" priority="5513">
      <formula>$AG1036:$AG1222="EOB Not Found"</formula>
    </cfRule>
    <cfRule type="expression" dxfId="5383" priority="5514">
      <formula>$AG1036:$AG1222="EOB Downloaded"</formula>
    </cfRule>
  </conditionalFormatting>
  <conditionalFormatting sqref="P1034">
    <cfRule type="expression" dxfId="5382" priority="5505">
      <formula>$AG1034:$AG1220="Follow-Up Complete"</formula>
    </cfRule>
    <cfRule type="expression" dxfId="5381" priority="5506">
      <formula>$AG1034:$AG1220="Further Follow-Up"</formula>
    </cfRule>
    <cfRule type="expression" dxfId="5380" priority="5507">
      <formula>$AG1034:$AG1220="EOB Requested"</formula>
    </cfRule>
    <cfRule type="expression" dxfId="5379" priority="5508">
      <formula>$AG1034:$AG1220="EOB Not Found"</formula>
    </cfRule>
    <cfRule type="expression" dxfId="5378" priority="5509">
      <formula>$AG1034:$AG1220="EOB Downloaded"</formula>
    </cfRule>
  </conditionalFormatting>
  <conditionalFormatting sqref="R1034">
    <cfRule type="expression" dxfId="5377" priority="5500">
      <formula>$AG1034:$AG1220="Follow-Up Complete"</formula>
    </cfRule>
    <cfRule type="expression" dxfId="5376" priority="5501">
      <formula>$AG1034:$AG1220="Further Follow-Up"</formula>
    </cfRule>
    <cfRule type="expression" dxfId="5375" priority="5502">
      <formula>$AG1034:$AG1220="EOB Requested"</formula>
    </cfRule>
    <cfRule type="expression" dxfId="5374" priority="5503">
      <formula>$AG1034:$AG1220="EOB Not Found"</formula>
    </cfRule>
    <cfRule type="expression" dxfId="5373" priority="5504">
      <formula>$AG1034:$AG1220="EOB Downloaded"</formula>
    </cfRule>
  </conditionalFormatting>
  <conditionalFormatting sqref="T1034">
    <cfRule type="expression" dxfId="5372" priority="5495">
      <formula>$AG1034:$AG1220="Follow-Up Complete"</formula>
    </cfRule>
    <cfRule type="expression" dxfId="5371" priority="5496">
      <formula>$AG1034:$AG1220="Further Follow-Up"</formula>
    </cfRule>
    <cfRule type="expression" dxfId="5370" priority="5497">
      <formula>$AG1034:$AG1220="EOB Requested"</formula>
    </cfRule>
    <cfRule type="expression" dxfId="5369" priority="5498">
      <formula>$AG1034:$AG1220="EOB Not Found"</formula>
    </cfRule>
    <cfRule type="expression" dxfId="5368" priority="5499">
      <formula>$AG1034:$AG1220="EOB Downloaded"</formula>
    </cfRule>
  </conditionalFormatting>
  <conditionalFormatting sqref="V1034">
    <cfRule type="expression" dxfId="5367" priority="5490">
      <formula>$AG1034:$AG1220="Follow-Up Complete"</formula>
    </cfRule>
    <cfRule type="expression" dxfId="5366" priority="5491">
      <formula>$AG1034:$AG1220="Further Follow-Up"</formula>
    </cfRule>
    <cfRule type="expression" dxfId="5365" priority="5492">
      <formula>$AG1034:$AG1220="EOB Requested"</formula>
    </cfRule>
    <cfRule type="expression" dxfId="5364" priority="5493">
      <formula>$AG1034:$AG1220="EOB Not Found"</formula>
    </cfRule>
    <cfRule type="expression" dxfId="5363" priority="5494">
      <formula>$AG1034:$AG1220="EOB Downloaded"</formula>
    </cfRule>
  </conditionalFormatting>
  <conditionalFormatting sqref="X1034">
    <cfRule type="expression" dxfId="5362" priority="5485">
      <formula>$AG1034:$AG1220="Follow-Up Complete"</formula>
    </cfRule>
    <cfRule type="expression" dxfId="5361" priority="5486">
      <formula>$AG1034:$AG1220="Further Follow-Up"</formula>
    </cfRule>
    <cfRule type="expression" dxfId="5360" priority="5487">
      <formula>$AG1034:$AG1220="EOB Requested"</formula>
    </cfRule>
    <cfRule type="expression" dxfId="5359" priority="5488">
      <formula>$AG1034:$AG1220="EOB Not Found"</formula>
    </cfRule>
    <cfRule type="expression" dxfId="5358" priority="5489">
      <formula>$AG1034:$AG1220="EOB Downloaded"</formula>
    </cfRule>
  </conditionalFormatting>
  <conditionalFormatting sqref="AA1034">
    <cfRule type="expression" dxfId="5357" priority="5480">
      <formula>$AG1034:$AG1220="Follow-Up Complete"</formula>
    </cfRule>
    <cfRule type="expression" dxfId="5356" priority="5481">
      <formula>$AG1034:$AG1220="Further Follow-Up"</formula>
    </cfRule>
    <cfRule type="expression" dxfId="5355" priority="5482">
      <formula>$AG1034:$AG1220="EOB Requested"</formula>
    </cfRule>
    <cfRule type="expression" dxfId="5354" priority="5483">
      <formula>$AG1034:$AG1220="EOB Not Found"</formula>
    </cfRule>
    <cfRule type="expression" dxfId="5353" priority="5484">
      <formula>$AG1034:$AG1220="EOB Downloaded"</formula>
    </cfRule>
  </conditionalFormatting>
  <conditionalFormatting sqref="P1033">
    <cfRule type="expression" dxfId="5352" priority="5475">
      <formula>$AG1033:$AG1219="Follow-Up Complete"</formula>
    </cfRule>
    <cfRule type="expression" dxfId="5351" priority="5476">
      <formula>$AG1033:$AG1219="Further Follow-Up"</formula>
    </cfRule>
    <cfRule type="expression" dxfId="5350" priority="5477">
      <formula>$AG1033:$AG1219="EOB Requested"</formula>
    </cfRule>
    <cfRule type="expression" dxfId="5349" priority="5478">
      <formula>$AG1033:$AG1219="EOB Not Found"</formula>
    </cfRule>
    <cfRule type="expression" dxfId="5348" priority="5479">
      <formula>$AG1033:$AG1219="EOB Downloaded"</formula>
    </cfRule>
  </conditionalFormatting>
  <conditionalFormatting sqref="R1033">
    <cfRule type="expression" dxfId="5347" priority="5470">
      <formula>$AG1033:$AG1219="Follow-Up Complete"</formula>
    </cfRule>
    <cfRule type="expression" dxfId="5346" priority="5471">
      <formula>$AG1033:$AG1219="Further Follow-Up"</formula>
    </cfRule>
    <cfRule type="expression" dxfId="5345" priority="5472">
      <formula>$AG1033:$AG1219="EOB Requested"</formula>
    </cfRule>
    <cfRule type="expression" dxfId="5344" priority="5473">
      <formula>$AG1033:$AG1219="EOB Not Found"</formula>
    </cfRule>
    <cfRule type="expression" dxfId="5343" priority="5474">
      <formula>$AG1033:$AG1219="EOB Downloaded"</formula>
    </cfRule>
  </conditionalFormatting>
  <conditionalFormatting sqref="T1033">
    <cfRule type="expression" dxfId="5342" priority="5465">
      <formula>$AG1033:$AG1219="Follow-Up Complete"</formula>
    </cfRule>
    <cfRule type="expression" dxfId="5341" priority="5466">
      <formula>$AG1033:$AG1219="Further Follow-Up"</formula>
    </cfRule>
    <cfRule type="expression" dxfId="5340" priority="5467">
      <formula>$AG1033:$AG1219="EOB Requested"</formula>
    </cfRule>
    <cfRule type="expression" dxfId="5339" priority="5468">
      <formula>$AG1033:$AG1219="EOB Not Found"</formula>
    </cfRule>
    <cfRule type="expression" dxfId="5338" priority="5469">
      <formula>$AG1033:$AG1219="EOB Downloaded"</formula>
    </cfRule>
  </conditionalFormatting>
  <conditionalFormatting sqref="V1033">
    <cfRule type="expression" dxfId="5337" priority="5460">
      <formula>$AG1033:$AG1219="Follow-Up Complete"</formula>
    </cfRule>
    <cfRule type="expression" dxfId="5336" priority="5461">
      <formula>$AG1033:$AG1219="Further Follow-Up"</formula>
    </cfRule>
    <cfRule type="expression" dxfId="5335" priority="5462">
      <formula>$AG1033:$AG1219="EOB Requested"</formula>
    </cfRule>
    <cfRule type="expression" dxfId="5334" priority="5463">
      <formula>$AG1033:$AG1219="EOB Not Found"</formula>
    </cfRule>
    <cfRule type="expression" dxfId="5333" priority="5464">
      <formula>$AG1033:$AG1219="EOB Downloaded"</formula>
    </cfRule>
  </conditionalFormatting>
  <conditionalFormatting sqref="X1033">
    <cfRule type="expression" dxfId="5332" priority="5455">
      <formula>$AG1033:$AG1219="Follow-Up Complete"</formula>
    </cfRule>
    <cfRule type="expression" dxfId="5331" priority="5456">
      <formula>$AG1033:$AG1219="Further Follow-Up"</formula>
    </cfRule>
    <cfRule type="expression" dxfId="5330" priority="5457">
      <formula>$AG1033:$AG1219="EOB Requested"</formula>
    </cfRule>
    <cfRule type="expression" dxfId="5329" priority="5458">
      <formula>$AG1033:$AG1219="EOB Not Found"</formula>
    </cfRule>
    <cfRule type="expression" dxfId="5328" priority="5459">
      <formula>$AG1033:$AG1219="EOB Downloaded"</formula>
    </cfRule>
  </conditionalFormatting>
  <conditionalFormatting sqref="AA1033">
    <cfRule type="expression" dxfId="5327" priority="5450">
      <formula>$AG1033:$AG1219="Follow-Up Complete"</formula>
    </cfRule>
    <cfRule type="expression" dxfId="5326" priority="5451">
      <formula>$AG1033:$AG1219="Further Follow-Up"</formula>
    </cfRule>
    <cfRule type="expression" dxfId="5325" priority="5452">
      <formula>$AG1033:$AG1219="EOB Requested"</formula>
    </cfRule>
    <cfRule type="expression" dxfId="5324" priority="5453">
      <formula>$AG1033:$AG1219="EOB Not Found"</formula>
    </cfRule>
    <cfRule type="expression" dxfId="5323" priority="5454">
      <formula>$AG1033:$AG1219="EOB Downloaded"</formula>
    </cfRule>
  </conditionalFormatting>
  <conditionalFormatting sqref="P1032">
    <cfRule type="expression" dxfId="5322" priority="5445">
      <formula>$AG1032:$AG1218="Follow-Up Complete"</formula>
    </cfRule>
    <cfRule type="expression" dxfId="5321" priority="5446">
      <formula>$AG1032:$AG1218="Further Follow-Up"</formula>
    </cfRule>
    <cfRule type="expression" dxfId="5320" priority="5447">
      <formula>$AG1032:$AG1218="EOB Requested"</formula>
    </cfRule>
    <cfRule type="expression" dxfId="5319" priority="5448">
      <formula>$AG1032:$AG1218="EOB Not Found"</formula>
    </cfRule>
    <cfRule type="expression" dxfId="5318" priority="5449">
      <formula>$AG1032:$AG1218="EOB Downloaded"</formula>
    </cfRule>
  </conditionalFormatting>
  <conditionalFormatting sqref="R1032">
    <cfRule type="expression" dxfId="5317" priority="5440">
      <formula>$AG1032:$AG1218="Follow-Up Complete"</formula>
    </cfRule>
    <cfRule type="expression" dxfId="5316" priority="5441">
      <formula>$AG1032:$AG1218="Further Follow-Up"</formula>
    </cfRule>
    <cfRule type="expression" dxfId="5315" priority="5442">
      <formula>$AG1032:$AG1218="EOB Requested"</formula>
    </cfRule>
    <cfRule type="expression" dxfId="5314" priority="5443">
      <formula>$AG1032:$AG1218="EOB Not Found"</formula>
    </cfRule>
    <cfRule type="expression" dxfId="5313" priority="5444">
      <formula>$AG1032:$AG1218="EOB Downloaded"</formula>
    </cfRule>
  </conditionalFormatting>
  <conditionalFormatting sqref="T1032">
    <cfRule type="expression" dxfId="5312" priority="5435">
      <formula>$AG1032:$AG1218="Follow-Up Complete"</formula>
    </cfRule>
    <cfRule type="expression" dxfId="5311" priority="5436">
      <formula>$AG1032:$AG1218="Further Follow-Up"</formula>
    </cfRule>
    <cfRule type="expression" dxfId="5310" priority="5437">
      <formula>$AG1032:$AG1218="EOB Requested"</formula>
    </cfRule>
    <cfRule type="expression" dxfId="5309" priority="5438">
      <formula>$AG1032:$AG1218="EOB Not Found"</formula>
    </cfRule>
    <cfRule type="expression" dxfId="5308" priority="5439">
      <formula>$AG1032:$AG1218="EOB Downloaded"</formula>
    </cfRule>
  </conditionalFormatting>
  <conditionalFormatting sqref="V1032">
    <cfRule type="expression" dxfId="5307" priority="5430">
      <formula>$AG1032:$AG1218="Follow-Up Complete"</formula>
    </cfRule>
    <cfRule type="expression" dxfId="5306" priority="5431">
      <formula>$AG1032:$AG1218="Further Follow-Up"</formula>
    </cfRule>
    <cfRule type="expression" dxfId="5305" priority="5432">
      <formula>$AG1032:$AG1218="EOB Requested"</formula>
    </cfRule>
    <cfRule type="expression" dxfId="5304" priority="5433">
      <formula>$AG1032:$AG1218="EOB Not Found"</formula>
    </cfRule>
    <cfRule type="expression" dxfId="5303" priority="5434">
      <formula>$AG1032:$AG1218="EOB Downloaded"</formula>
    </cfRule>
  </conditionalFormatting>
  <conditionalFormatting sqref="X1032">
    <cfRule type="expression" dxfId="5302" priority="5425">
      <formula>$AG1032:$AG1218="Follow-Up Complete"</formula>
    </cfRule>
    <cfRule type="expression" dxfId="5301" priority="5426">
      <formula>$AG1032:$AG1218="Further Follow-Up"</formula>
    </cfRule>
    <cfRule type="expression" dxfId="5300" priority="5427">
      <formula>$AG1032:$AG1218="EOB Requested"</formula>
    </cfRule>
    <cfRule type="expression" dxfId="5299" priority="5428">
      <formula>$AG1032:$AG1218="EOB Not Found"</formula>
    </cfRule>
    <cfRule type="expression" dxfId="5298" priority="5429">
      <formula>$AG1032:$AG1218="EOB Downloaded"</formula>
    </cfRule>
  </conditionalFormatting>
  <conditionalFormatting sqref="AA1032">
    <cfRule type="expression" dxfId="5297" priority="5420">
      <formula>$AG1032:$AG1218="Follow-Up Complete"</formula>
    </cfRule>
    <cfRule type="expression" dxfId="5296" priority="5421">
      <formula>$AG1032:$AG1218="Further Follow-Up"</formula>
    </cfRule>
    <cfRule type="expression" dxfId="5295" priority="5422">
      <formula>$AG1032:$AG1218="EOB Requested"</formula>
    </cfRule>
    <cfRule type="expression" dxfId="5294" priority="5423">
      <formula>$AG1032:$AG1218="EOB Not Found"</formula>
    </cfRule>
    <cfRule type="expression" dxfId="5293" priority="5424">
      <formula>$AG1032:$AG1218="EOB Downloaded"</formula>
    </cfRule>
  </conditionalFormatting>
  <conditionalFormatting sqref="R1031">
    <cfRule type="expression" dxfId="5292" priority="5410">
      <formula>$AG1031:$AG1217="Follow-Up Complete"</formula>
    </cfRule>
    <cfRule type="expression" dxfId="5291" priority="5411">
      <formula>$AG1031:$AG1217="Further Follow-Up"</formula>
    </cfRule>
    <cfRule type="expression" dxfId="5290" priority="5412">
      <formula>$AG1031:$AG1217="EOB Requested"</formula>
    </cfRule>
    <cfRule type="expression" dxfId="5289" priority="5413">
      <formula>$AG1031:$AG1217="EOB Not Found"</formula>
    </cfRule>
    <cfRule type="expression" dxfId="5288" priority="5414">
      <formula>$AG1031:$AG1217="EOB Downloaded"</formula>
    </cfRule>
  </conditionalFormatting>
  <conditionalFormatting sqref="P1031">
    <cfRule type="expression" dxfId="5287" priority="5405">
      <formula>$AG1031:$AG1217="Follow-Up Complete"</formula>
    </cfRule>
    <cfRule type="expression" dxfId="5286" priority="5406">
      <formula>$AG1031:$AG1217="Further Follow-Up"</formula>
    </cfRule>
    <cfRule type="expression" dxfId="5285" priority="5407">
      <formula>$AG1031:$AG1217="EOB Requested"</formula>
    </cfRule>
    <cfRule type="expression" dxfId="5284" priority="5408">
      <formula>$AG1031:$AG1217="EOB Not Found"</formula>
    </cfRule>
    <cfRule type="expression" dxfId="5283" priority="5409">
      <formula>$AG1031:$AG1217="EOB Downloaded"</formula>
    </cfRule>
  </conditionalFormatting>
  <conditionalFormatting sqref="T1031">
    <cfRule type="expression" dxfId="5282" priority="5400">
      <formula>$AG1031:$AG1217="Follow-Up Complete"</formula>
    </cfRule>
    <cfRule type="expression" dxfId="5281" priority="5401">
      <formula>$AG1031:$AG1217="Further Follow-Up"</formula>
    </cfRule>
    <cfRule type="expression" dxfId="5280" priority="5402">
      <formula>$AG1031:$AG1217="EOB Requested"</formula>
    </cfRule>
    <cfRule type="expression" dxfId="5279" priority="5403">
      <formula>$AG1031:$AG1217="EOB Not Found"</formula>
    </cfRule>
    <cfRule type="expression" dxfId="5278" priority="5404">
      <formula>$AG1031:$AG1217="EOB Downloaded"</formula>
    </cfRule>
  </conditionalFormatting>
  <conditionalFormatting sqref="V1031">
    <cfRule type="expression" dxfId="5277" priority="5395">
      <formula>$AG1031:$AG1217="Follow-Up Complete"</formula>
    </cfRule>
    <cfRule type="expression" dxfId="5276" priority="5396">
      <formula>$AG1031:$AG1217="Further Follow-Up"</formula>
    </cfRule>
    <cfRule type="expression" dxfId="5275" priority="5397">
      <formula>$AG1031:$AG1217="EOB Requested"</formula>
    </cfRule>
    <cfRule type="expression" dxfId="5274" priority="5398">
      <formula>$AG1031:$AG1217="EOB Not Found"</formula>
    </cfRule>
    <cfRule type="expression" dxfId="5273" priority="5399">
      <formula>$AG1031:$AG1217="EOB Downloaded"</formula>
    </cfRule>
  </conditionalFormatting>
  <conditionalFormatting sqref="X1031">
    <cfRule type="expression" dxfId="5272" priority="5390">
      <formula>$AG1031:$AG1217="Follow-Up Complete"</formula>
    </cfRule>
    <cfRule type="expression" dxfId="5271" priority="5391">
      <formula>$AG1031:$AG1217="Further Follow-Up"</formula>
    </cfRule>
    <cfRule type="expression" dxfId="5270" priority="5392">
      <formula>$AG1031:$AG1217="EOB Requested"</formula>
    </cfRule>
    <cfRule type="expression" dxfId="5269" priority="5393">
      <formula>$AG1031:$AG1217="EOB Not Found"</formula>
    </cfRule>
    <cfRule type="expression" dxfId="5268" priority="5394">
      <formula>$AG1031:$AG1217="EOB Downloaded"</formula>
    </cfRule>
  </conditionalFormatting>
  <conditionalFormatting sqref="AA1031">
    <cfRule type="expression" dxfId="5267" priority="5385">
      <formula>$AG1031:$AG1217="Follow-Up Complete"</formula>
    </cfRule>
    <cfRule type="expression" dxfId="5266" priority="5386">
      <formula>$AG1031:$AG1217="Further Follow-Up"</formula>
    </cfRule>
    <cfRule type="expression" dxfId="5265" priority="5387">
      <formula>$AG1031:$AG1217="EOB Requested"</formula>
    </cfRule>
    <cfRule type="expression" dxfId="5264" priority="5388">
      <formula>$AG1031:$AG1217="EOB Not Found"</formula>
    </cfRule>
    <cfRule type="expression" dxfId="5263" priority="5389">
      <formula>$AG1031:$AG1217="EOB Downloaded"</formula>
    </cfRule>
  </conditionalFormatting>
  <conditionalFormatting sqref="P1030">
    <cfRule type="expression" dxfId="5262" priority="5380">
      <formula>$AG1030:$AG1216="Follow-Up Complete"</formula>
    </cfRule>
    <cfRule type="expression" dxfId="5261" priority="5381">
      <formula>$AG1030:$AG1216="Further Follow-Up"</formula>
    </cfRule>
    <cfRule type="expression" dxfId="5260" priority="5382">
      <formula>$AG1030:$AG1216="EOB Requested"</formula>
    </cfRule>
    <cfRule type="expression" dxfId="5259" priority="5383">
      <formula>$AG1030:$AG1216="EOB Not Found"</formula>
    </cfRule>
    <cfRule type="expression" dxfId="5258" priority="5384">
      <formula>$AG1030:$AG1216="EOB Downloaded"</formula>
    </cfRule>
  </conditionalFormatting>
  <conditionalFormatting sqref="R1030">
    <cfRule type="expression" dxfId="5257" priority="5375">
      <formula>$AG1030:$AG1216="Follow-Up Complete"</formula>
    </cfRule>
    <cfRule type="expression" dxfId="5256" priority="5376">
      <formula>$AG1030:$AG1216="Further Follow-Up"</formula>
    </cfRule>
    <cfRule type="expression" dxfId="5255" priority="5377">
      <formula>$AG1030:$AG1216="EOB Requested"</formula>
    </cfRule>
    <cfRule type="expression" dxfId="5254" priority="5378">
      <formula>$AG1030:$AG1216="EOB Not Found"</formula>
    </cfRule>
    <cfRule type="expression" dxfId="5253" priority="5379">
      <formula>$AG1030:$AG1216="EOB Downloaded"</formula>
    </cfRule>
  </conditionalFormatting>
  <conditionalFormatting sqref="AA1030">
    <cfRule type="expression" dxfId="5252" priority="5370">
      <formula>$AG1030:$AG1216="Follow-Up Complete"</formula>
    </cfRule>
    <cfRule type="expression" dxfId="5251" priority="5371">
      <formula>$AG1030:$AG1216="Further Follow-Up"</formula>
    </cfRule>
    <cfRule type="expression" dxfId="5250" priority="5372">
      <formula>$AG1030:$AG1216="EOB Requested"</formula>
    </cfRule>
    <cfRule type="expression" dxfId="5249" priority="5373">
      <formula>$AG1030:$AG1216="EOB Not Found"</formula>
    </cfRule>
    <cfRule type="expression" dxfId="5248" priority="5374">
      <formula>$AG1030:$AG1216="EOB Downloaded"</formula>
    </cfRule>
  </conditionalFormatting>
  <conditionalFormatting sqref="P1029">
    <cfRule type="expression" dxfId="5247" priority="5365">
      <formula>$AG1029:$AG1215="Follow-Up Complete"</formula>
    </cfRule>
    <cfRule type="expression" dxfId="5246" priority="5366">
      <formula>$AG1029:$AG1215="Further Follow-Up"</formula>
    </cfRule>
    <cfRule type="expression" dxfId="5245" priority="5367">
      <formula>$AG1029:$AG1215="EOB Requested"</formula>
    </cfRule>
    <cfRule type="expression" dxfId="5244" priority="5368">
      <formula>$AG1029:$AG1215="EOB Not Found"</formula>
    </cfRule>
    <cfRule type="expression" dxfId="5243" priority="5369">
      <formula>$AG1029:$AG1215="EOB Downloaded"</formula>
    </cfRule>
  </conditionalFormatting>
  <conditionalFormatting sqref="R1029">
    <cfRule type="expression" dxfId="5242" priority="5360">
      <formula>$AG1029:$AG1215="Follow-Up Complete"</formula>
    </cfRule>
    <cfRule type="expression" dxfId="5241" priority="5361">
      <formula>$AG1029:$AG1215="Further Follow-Up"</formula>
    </cfRule>
    <cfRule type="expression" dxfId="5240" priority="5362">
      <formula>$AG1029:$AG1215="EOB Requested"</formula>
    </cfRule>
    <cfRule type="expression" dxfId="5239" priority="5363">
      <formula>$AG1029:$AG1215="EOB Not Found"</formula>
    </cfRule>
    <cfRule type="expression" dxfId="5238" priority="5364">
      <formula>$AG1029:$AG1215="EOB Downloaded"</formula>
    </cfRule>
  </conditionalFormatting>
  <conditionalFormatting sqref="T1029">
    <cfRule type="expression" dxfId="5237" priority="5355">
      <formula>$AG1029:$AG1215="Follow-Up Complete"</formula>
    </cfRule>
    <cfRule type="expression" dxfId="5236" priority="5356">
      <formula>$AG1029:$AG1215="Further Follow-Up"</formula>
    </cfRule>
    <cfRule type="expression" dxfId="5235" priority="5357">
      <formula>$AG1029:$AG1215="EOB Requested"</formula>
    </cfRule>
    <cfRule type="expression" dxfId="5234" priority="5358">
      <formula>$AG1029:$AG1215="EOB Not Found"</formula>
    </cfRule>
    <cfRule type="expression" dxfId="5233" priority="5359">
      <formula>$AG1029:$AG1215="EOB Downloaded"</formula>
    </cfRule>
  </conditionalFormatting>
  <conditionalFormatting sqref="V1029">
    <cfRule type="expression" dxfId="5232" priority="5350">
      <formula>$AG1029:$AG1215="Follow-Up Complete"</formula>
    </cfRule>
    <cfRule type="expression" dxfId="5231" priority="5351">
      <formula>$AG1029:$AG1215="Further Follow-Up"</formula>
    </cfRule>
    <cfRule type="expression" dxfId="5230" priority="5352">
      <formula>$AG1029:$AG1215="EOB Requested"</formula>
    </cfRule>
    <cfRule type="expression" dxfId="5229" priority="5353">
      <formula>$AG1029:$AG1215="EOB Not Found"</formula>
    </cfRule>
    <cfRule type="expression" dxfId="5228" priority="5354">
      <formula>$AG1029:$AG1215="EOB Downloaded"</formula>
    </cfRule>
  </conditionalFormatting>
  <conditionalFormatting sqref="X1029">
    <cfRule type="expression" dxfId="5227" priority="5345">
      <formula>$AG1029:$AG1215="Follow-Up Complete"</formula>
    </cfRule>
    <cfRule type="expression" dxfId="5226" priority="5346">
      <formula>$AG1029:$AG1215="Further Follow-Up"</formula>
    </cfRule>
    <cfRule type="expression" dxfId="5225" priority="5347">
      <formula>$AG1029:$AG1215="EOB Requested"</formula>
    </cfRule>
    <cfRule type="expression" dxfId="5224" priority="5348">
      <formula>$AG1029:$AG1215="EOB Not Found"</formula>
    </cfRule>
    <cfRule type="expression" dxfId="5223" priority="5349">
      <formula>$AG1029:$AG1215="EOB Downloaded"</formula>
    </cfRule>
  </conditionalFormatting>
  <conditionalFormatting sqref="AA1029">
    <cfRule type="expression" dxfId="5222" priority="5340">
      <formula>$AG1029:$AG1215="Follow-Up Complete"</formula>
    </cfRule>
    <cfRule type="expression" dxfId="5221" priority="5341">
      <formula>$AG1029:$AG1215="Further Follow-Up"</formula>
    </cfRule>
    <cfRule type="expression" dxfId="5220" priority="5342">
      <formula>$AG1029:$AG1215="EOB Requested"</formula>
    </cfRule>
    <cfRule type="expression" dxfId="5219" priority="5343">
      <formula>$AG1029:$AG1215="EOB Not Found"</formula>
    </cfRule>
    <cfRule type="expression" dxfId="5218" priority="5344">
      <formula>$AG1029:$AG1215="EOB Downloaded"</formula>
    </cfRule>
  </conditionalFormatting>
  <conditionalFormatting sqref="AA1028">
    <cfRule type="expression" dxfId="5217" priority="5335">
      <formula>$AG1028:$AG1214="Follow-Up Complete"</formula>
    </cfRule>
    <cfRule type="expression" dxfId="5216" priority="5336">
      <formula>$AG1028:$AG1214="Further Follow-Up"</formula>
    </cfRule>
    <cfRule type="expression" dxfId="5215" priority="5337">
      <formula>$AG1028:$AG1214="EOB Requested"</formula>
    </cfRule>
    <cfRule type="expression" dxfId="5214" priority="5338">
      <formula>$AG1028:$AG1214="EOB Not Found"</formula>
    </cfRule>
    <cfRule type="expression" dxfId="5213" priority="5339">
      <formula>$AG1028:$AG1214="EOB Downloaded"</formula>
    </cfRule>
  </conditionalFormatting>
  <conditionalFormatting sqref="R1028">
    <cfRule type="expression" dxfId="5212" priority="5330">
      <formula>$AG1028:$AG1214="Follow-Up Complete"</formula>
    </cfRule>
    <cfRule type="expression" dxfId="5211" priority="5331">
      <formula>$AG1028:$AG1214="Further Follow-Up"</formula>
    </cfRule>
    <cfRule type="expression" dxfId="5210" priority="5332">
      <formula>$AG1028:$AG1214="EOB Requested"</formula>
    </cfRule>
    <cfRule type="expression" dxfId="5209" priority="5333">
      <formula>$AG1028:$AG1214="EOB Not Found"</formula>
    </cfRule>
    <cfRule type="expression" dxfId="5208" priority="5334">
      <formula>$AG1028:$AG1214="EOB Downloaded"</formula>
    </cfRule>
  </conditionalFormatting>
  <conditionalFormatting sqref="R1027">
    <cfRule type="expression" dxfId="5207" priority="5325">
      <formula>$AG1027:$AG1213="Follow-Up Complete"</formula>
    </cfRule>
    <cfRule type="expression" dxfId="5206" priority="5326">
      <formula>$AG1027:$AG1213="Further Follow-Up"</formula>
    </cfRule>
    <cfRule type="expression" dxfId="5205" priority="5327">
      <formula>$AG1027:$AG1213="EOB Requested"</formula>
    </cfRule>
    <cfRule type="expression" dxfId="5204" priority="5328">
      <formula>$AG1027:$AG1213="EOB Not Found"</formula>
    </cfRule>
    <cfRule type="expression" dxfId="5203" priority="5329">
      <formula>$AG1027:$AG1213="EOB Downloaded"</formula>
    </cfRule>
  </conditionalFormatting>
  <conditionalFormatting sqref="T1027">
    <cfRule type="expression" dxfId="5202" priority="5320">
      <formula>$AG1027:$AG1213="Follow-Up Complete"</formula>
    </cfRule>
    <cfRule type="expression" dxfId="5201" priority="5321">
      <formula>$AG1027:$AG1213="Further Follow-Up"</formula>
    </cfRule>
    <cfRule type="expression" dxfId="5200" priority="5322">
      <formula>$AG1027:$AG1213="EOB Requested"</formula>
    </cfRule>
    <cfRule type="expression" dxfId="5199" priority="5323">
      <formula>$AG1027:$AG1213="EOB Not Found"</formula>
    </cfRule>
    <cfRule type="expression" dxfId="5198" priority="5324">
      <formula>$AG1027:$AG1213="EOB Downloaded"</formula>
    </cfRule>
  </conditionalFormatting>
  <conditionalFormatting sqref="V1027">
    <cfRule type="expression" dxfId="5197" priority="5315">
      <formula>$AG1027:$AG1213="Follow-Up Complete"</formula>
    </cfRule>
    <cfRule type="expression" dxfId="5196" priority="5316">
      <formula>$AG1027:$AG1213="Further Follow-Up"</formula>
    </cfRule>
    <cfRule type="expression" dxfId="5195" priority="5317">
      <formula>$AG1027:$AG1213="EOB Requested"</formula>
    </cfRule>
    <cfRule type="expression" dxfId="5194" priority="5318">
      <formula>$AG1027:$AG1213="EOB Not Found"</formula>
    </cfRule>
    <cfRule type="expression" dxfId="5193" priority="5319">
      <formula>$AG1027:$AG1213="EOB Downloaded"</formula>
    </cfRule>
  </conditionalFormatting>
  <conditionalFormatting sqref="X1027">
    <cfRule type="expression" dxfId="5192" priority="5310">
      <formula>$AG1027:$AG1213="Follow-Up Complete"</formula>
    </cfRule>
    <cfRule type="expression" dxfId="5191" priority="5311">
      <formula>$AG1027:$AG1213="Further Follow-Up"</formula>
    </cfRule>
    <cfRule type="expression" dxfId="5190" priority="5312">
      <formula>$AG1027:$AG1213="EOB Requested"</formula>
    </cfRule>
    <cfRule type="expression" dxfId="5189" priority="5313">
      <formula>$AG1027:$AG1213="EOB Not Found"</formula>
    </cfRule>
    <cfRule type="expression" dxfId="5188" priority="5314">
      <formula>$AG1027:$AG1213="EOB Downloaded"</formula>
    </cfRule>
  </conditionalFormatting>
  <conditionalFormatting sqref="AA1027">
    <cfRule type="expression" dxfId="5187" priority="5305">
      <formula>$AG1027:$AG1213="Follow-Up Complete"</formula>
    </cfRule>
    <cfRule type="expression" dxfId="5186" priority="5306">
      <formula>$AG1027:$AG1213="Further Follow-Up"</formula>
    </cfRule>
    <cfRule type="expression" dxfId="5185" priority="5307">
      <formula>$AG1027:$AG1213="EOB Requested"</formula>
    </cfRule>
    <cfRule type="expression" dxfId="5184" priority="5308">
      <formula>$AG1027:$AG1213="EOB Not Found"</formula>
    </cfRule>
    <cfRule type="expression" dxfId="5183" priority="5309">
      <formula>$AG1027:$AG1213="EOB Downloaded"</formula>
    </cfRule>
  </conditionalFormatting>
  <conditionalFormatting sqref="R1026">
    <cfRule type="expression" dxfId="5182" priority="5300">
      <formula>$AG1026:$AG1212="Follow-Up Complete"</formula>
    </cfRule>
    <cfRule type="expression" dxfId="5181" priority="5301">
      <formula>$AG1026:$AG1212="Further Follow-Up"</formula>
    </cfRule>
    <cfRule type="expression" dxfId="5180" priority="5302">
      <formula>$AG1026:$AG1212="EOB Requested"</formula>
    </cfRule>
    <cfRule type="expression" dxfId="5179" priority="5303">
      <formula>$AG1026:$AG1212="EOB Not Found"</formula>
    </cfRule>
    <cfRule type="expression" dxfId="5178" priority="5304">
      <formula>$AG1026:$AG1212="EOB Downloaded"</formula>
    </cfRule>
  </conditionalFormatting>
  <conditionalFormatting sqref="V1026">
    <cfRule type="expression" dxfId="5177" priority="5295">
      <formula>$AG1026:$AG1212="Follow-Up Complete"</formula>
    </cfRule>
    <cfRule type="expression" dxfId="5176" priority="5296">
      <formula>$AG1026:$AG1212="Further Follow-Up"</formula>
    </cfRule>
    <cfRule type="expression" dxfId="5175" priority="5297">
      <formula>$AG1026:$AG1212="EOB Requested"</formula>
    </cfRule>
    <cfRule type="expression" dxfId="5174" priority="5298">
      <formula>$AG1026:$AG1212="EOB Not Found"</formula>
    </cfRule>
    <cfRule type="expression" dxfId="5173" priority="5299">
      <formula>$AG1026:$AG1212="EOB Downloaded"</formula>
    </cfRule>
  </conditionalFormatting>
  <conditionalFormatting sqref="X1026">
    <cfRule type="expression" dxfId="5172" priority="5290">
      <formula>$AG1026:$AG1212="Follow-Up Complete"</formula>
    </cfRule>
    <cfRule type="expression" dxfId="5171" priority="5291">
      <formula>$AG1026:$AG1212="Further Follow-Up"</formula>
    </cfRule>
    <cfRule type="expression" dxfId="5170" priority="5292">
      <formula>$AG1026:$AG1212="EOB Requested"</formula>
    </cfRule>
    <cfRule type="expression" dxfId="5169" priority="5293">
      <formula>$AG1026:$AG1212="EOB Not Found"</formula>
    </cfRule>
    <cfRule type="expression" dxfId="5168" priority="5294">
      <formula>$AG1026:$AG1212="EOB Downloaded"</formula>
    </cfRule>
  </conditionalFormatting>
  <conditionalFormatting sqref="AA1026">
    <cfRule type="expression" dxfId="5167" priority="5285">
      <formula>$AG1026:$AG1212="Follow-Up Complete"</formula>
    </cfRule>
    <cfRule type="expression" dxfId="5166" priority="5286">
      <formula>$AG1026:$AG1212="Further Follow-Up"</formula>
    </cfRule>
    <cfRule type="expression" dxfId="5165" priority="5287">
      <formula>$AG1026:$AG1212="EOB Requested"</formula>
    </cfRule>
    <cfRule type="expression" dxfId="5164" priority="5288">
      <formula>$AG1026:$AG1212="EOB Not Found"</formula>
    </cfRule>
    <cfRule type="expression" dxfId="5163" priority="5289">
      <formula>$AG1026:$AG1212="EOB Downloaded"</formula>
    </cfRule>
  </conditionalFormatting>
  <conditionalFormatting sqref="R1025">
    <cfRule type="expression" dxfId="5162" priority="5280">
      <formula>$AG1025:$AG1211="Follow-Up Complete"</formula>
    </cfRule>
    <cfRule type="expression" dxfId="5161" priority="5281">
      <formula>$AG1025:$AG1211="Further Follow-Up"</formula>
    </cfRule>
    <cfRule type="expression" dxfId="5160" priority="5282">
      <formula>$AG1025:$AG1211="EOB Requested"</formula>
    </cfRule>
    <cfRule type="expression" dxfId="5159" priority="5283">
      <formula>$AG1025:$AG1211="EOB Not Found"</formula>
    </cfRule>
    <cfRule type="expression" dxfId="5158" priority="5284">
      <formula>$AG1025:$AG1211="EOB Downloaded"</formula>
    </cfRule>
  </conditionalFormatting>
  <conditionalFormatting sqref="T1025">
    <cfRule type="expression" dxfId="5157" priority="5275">
      <formula>$AG1025:$AG1211="Follow-Up Complete"</formula>
    </cfRule>
    <cfRule type="expression" dxfId="5156" priority="5276">
      <formula>$AG1025:$AG1211="Further Follow-Up"</formula>
    </cfRule>
    <cfRule type="expression" dxfId="5155" priority="5277">
      <formula>$AG1025:$AG1211="EOB Requested"</formula>
    </cfRule>
    <cfRule type="expression" dxfId="5154" priority="5278">
      <formula>$AG1025:$AG1211="EOB Not Found"</formula>
    </cfRule>
    <cfRule type="expression" dxfId="5153" priority="5279">
      <formula>$AG1025:$AG1211="EOB Downloaded"</formula>
    </cfRule>
  </conditionalFormatting>
  <conditionalFormatting sqref="V1025">
    <cfRule type="expression" dxfId="5152" priority="5270">
      <formula>$AG1025:$AG1211="Follow-Up Complete"</formula>
    </cfRule>
    <cfRule type="expression" dxfId="5151" priority="5271">
      <formula>$AG1025:$AG1211="Further Follow-Up"</formula>
    </cfRule>
    <cfRule type="expression" dxfId="5150" priority="5272">
      <formula>$AG1025:$AG1211="EOB Requested"</formula>
    </cfRule>
    <cfRule type="expression" dxfId="5149" priority="5273">
      <formula>$AG1025:$AG1211="EOB Not Found"</formula>
    </cfRule>
    <cfRule type="expression" dxfId="5148" priority="5274">
      <formula>$AG1025:$AG1211="EOB Downloaded"</formula>
    </cfRule>
  </conditionalFormatting>
  <conditionalFormatting sqref="X1025">
    <cfRule type="expression" dxfId="5147" priority="5265">
      <formula>$AG1025:$AG1211="Follow-Up Complete"</formula>
    </cfRule>
    <cfRule type="expression" dxfId="5146" priority="5266">
      <formula>$AG1025:$AG1211="Further Follow-Up"</formula>
    </cfRule>
    <cfRule type="expression" dxfId="5145" priority="5267">
      <formula>$AG1025:$AG1211="EOB Requested"</formula>
    </cfRule>
    <cfRule type="expression" dxfId="5144" priority="5268">
      <formula>$AG1025:$AG1211="EOB Not Found"</formula>
    </cfRule>
    <cfRule type="expression" dxfId="5143" priority="5269">
      <formula>$AG1025:$AG1211="EOB Downloaded"</formula>
    </cfRule>
  </conditionalFormatting>
  <conditionalFormatting sqref="AA1025">
    <cfRule type="expression" dxfId="5142" priority="5260">
      <formula>$AG1025:$AG1211="Follow-Up Complete"</formula>
    </cfRule>
    <cfRule type="expression" dxfId="5141" priority="5261">
      <formula>$AG1025:$AG1211="Further Follow-Up"</formula>
    </cfRule>
    <cfRule type="expression" dxfId="5140" priority="5262">
      <formula>$AG1025:$AG1211="EOB Requested"</formula>
    </cfRule>
    <cfRule type="expression" dxfId="5139" priority="5263">
      <formula>$AG1025:$AG1211="EOB Not Found"</formula>
    </cfRule>
    <cfRule type="expression" dxfId="5138" priority="5264">
      <formula>$AG1025:$AG1211="EOB Downloaded"</formula>
    </cfRule>
  </conditionalFormatting>
  <conditionalFormatting sqref="R1024">
    <cfRule type="expression" dxfId="5137" priority="5255">
      <formula>$AG1024:$AG1210="Follow-Up Complete"</formula>
    </cfRule>
    <cfRule type="expression" dxfId="5136" priority="5256">
      <formula>$AG1024:$AG1210="Further Follow-Up"</formula>
    </cfRule>
    <cfRule type="expression" dxfId="5135" priority="5257">
      <formula>$AG1024:$AG1210="EOB Requested"</formula>
    </cfRule>
    <cfRule type="expression" dxfId="5134" priority="5258">
      <formula>$AG1024:$AG1210="EOB Not Found"</formula>
    </cfRule>
    <cfRule type="expression" dxfId="5133" priority="5259">
      <formula>$AG1024:$AG1210="EOB Downloaded"</formula>
    </cfRule>
  </conditionalFormatting>
  <conditionalFormatting sqref="T1024">
    <cfRule type="expression" dxfId="5132" priority="5250">
      <formula>$AG1024:$AG1210="Follow-Up Complete"</formula>
    </cfRule>
    <cfRule type="expression" dxfId="5131" priority="5251">
      <formula>$AG1024:$AG1210="Further Follow-Up"</formula>
    </cfRule>
    <cfRule type="expression" dxfId="5130" priority="5252">
      <formula>$AG1024:$AG1210="EOB Requested"</formula>
    </cfRule>
    <cfRule type="expression" dxfId="5129" priority="5253">
      <formula>$AG1024:$AG1210="EOB Not Found"</formula>
    </cfRule>
    <cfRule type="expression" dxfId="5128" priority="5254">
      <formula>$AG1024:$AG1210="EOB Downloaded"</formula>
    </cfRule>
  </conditionalFormatting>
  <conditionalFormatting sqref="AA1024">
    <cfRule type="expression" dxfId="5127" priority="5245">
      <formula>$AG1024:$AG1210="Follow-Up Complete"</formula>
    </cfRule>
    <cfRule type="expression" dxfId="5126" priority="5246">
      <formula>$AG1024:$AG1210="Further Follow-Up"</formula>
    </cfRule>
    <cfRule type="expression" dxfId="5125" priority="5247">
      <formula>$AG1024:$AG1210="EOB Requested"</formula>
    </cfRule>
    <cfRule type="expression" dxfId="5124" priority="5248">
      <formula>$AG1024:$AG1210="EOB Not Found"</formula>
    </cfRule>
    <cfRule type="expression" dxfId="5123" priority="5249">
      <formula>$AG1024:$AG1210="EOB Downloaded"</formula>
    </cfRule>
  </conditionalFormatting>
  <conditionalFormatting sqref="P1023">
    <cfRule type="expression" dxfId="5122" priority="5240">
      <formula>$AG1023:$AG1209="Follow-Up Complete"</formula>
    </cfRule>
    <cfRule type="expression" dxfId="5121" priority="5241">
      <formula>$AG1023:$AG1209="Further Follow-Up"</formula>
    </cfRule>
    <cfRule type="expression" dxfId="5120" priority="5242">
      <formula>$AG1023:$AG1209="EOB Requested"</formula>
    </cfRule>
    <cfRule type="expression" dxfId="5119" priority="5243">
      <formula>$AG1023:$AG1209="EOB Not Found"</formula>
    </cfRule>
    <cfRule type="expression" dxfId="5118" priority="5244">
      <formula>$AG1023:$AG1209="EOB Downloaded"</formula>
    </cfRule>
  </conditionalFormatting>
  <conditionalFormatting sqref="T1023">
    <cfRule type="expression" dxfId="5117" priority="5235">
      <formula>$AG1023:$AG1209="Follow-Up Complete"</formula>
    </cfRule>
    <cfRule type="expression" dxfId="5116" priority="5236">
      <formula>$AG1023:$AG1209="Further Follow-Up"</formula>
    </cfRule>
    <cfRule type="expression" dxfId="5115" priority="5237">
      <formula>$AG1023:$AG1209="EOB Requested"</formula>
    </cfRule>
    <cfRule type="expression" dxfId="5114" priority="5238">
      <formula>$AG1023:$AG1209="EOB Not Found"</formula>
    </cfRule>
    <cfRule type="expression" dxfId="5113" priority="5239">
      <formula>$AG1023:$AG1209="EOB Downloaded"</formula>
    </cfRule>
  </conditionalFormatting>
  <conditionalFormatting sqref="V1023">
    <cfRule type="expression" dxfId="5112" priority="5230">
      <formula>$AG1023:$AG1209="Follow-Up Complete"</formula>
    </cfRule>
    <cfRule type="expression" dxfId="5111" priority="5231">
      <formula>$AG1023:$AG1209="Further Follow-Up"</formula>
    </cfRule>
    <cfRule type="expression" dxfId="5110" priority="5232">
      <formula>$AG1023:$AG1209="EOB Requested"</formula>
    </cfRule>
    <cfRule type="expression" dxfId="5109" priority="5233">
      <formula>$AG1023:$AG1209="EOB Not Found"</formula>
    </cfRule>
    <cfRule type="expression" dxfId="5108" priority="5234">
      <formula>$AG1023:$AG1209="EOB Downloaded"</formula>
    </cfRule>
  </conditionalFormatting>
  <conditionalFormatting sqref="AA1023">
    <cfRule type="expression" dxfId="5107" priority="5225">
      <formula>$AG1023:$AG1209="Follow-Up Complete"</formula>
    </cfRule>
    <cfRule type="expression" dxfId="5106" priority="5226">
      <formula>$AG1023:$AG1209="Further Follow-Up"</formula>
    </cfRule>
    <cfRule type="expression" dxfId="5105" priority="5227">
      <formula>$AG1023:$AG1209="EOB Requested"</formula>
    </cfRule>
    <cfRule type="expression" dxfId="5104" priority="5228">
      <formula>$AG1023:$AG1209="EOB Not Found"</formula>
    </cfRule>
    <cfRule type="expression" dxfId="5103" priority="5229">
      <formula>$AG1023:$AG1209="EOB Downloaded"</formula>
    </cfRule>
  </conditionalFormatting>
  <conditionalFormatting sqref="P1022">
    <cfRule type="expression" dxfId="5102" priority="5220">
      <formula>$AG1022:$AG1208="Follow-Up Complete"</formula>
    </cfRule>
    <cfRule type="expression" dxfId="5101" priority="5221">
      <formula>$AG1022:$AG1208="Further Follow-Up"</formula>
    </cfRule>
    <cfRule type="expression" dxfId="5100" priority="5222">
      <formula>$AG1022:$AG1208="EOB Requested"</formula>
    </cfRule>
    <cfRule type="expression" dxfId="5099" priority="5223">
      <formula>$AG1022:$AG1208="EOB Not Found"</formula>
    </cfRule>
    <cfRule type="expression" dxfId="5098" priority="5224">
      <formula>$AG1022:$AG1208="EOB Downloaded"</formula>
    </cfRule>
  </conditionalFormatting>
  <conditionalFormatting sqref="R1022">
    <cfRule type="expression" dxfId="5097" priority="5215">
      <formula>$AG1022:$AG1208="Follow-Up Complete"</formula>
    </cfRule>
    <cfRule type="expression" dxfId="5096" priority="5216">
      <formula>$AG1022:$AG1208="Further Follow-Up"</formula>
    </cfRule>
    <cfRule type="expression" dxfId="5095" priority="5217">
      <formula>$AG1022:$AG1208="EOB Requested"</formula>
    </cfRule>
    <cfRule type="expression" dxfId="5094" priority="5218">
      <formula>$AG1022:$AG1208="EOB Not Found"</formula>
    </cfRule>
    <cfRule type="expression" dxfId="5093" priority="5219">
      <formula>$AG1022:$AG1208="EOB Downloaded"</formula>
    </cfRule>
  </conditionalFormatting>
  <conditionalFormatting sqref="T1022">
    <cfRule type="expression" dxfId="5092" priority="5210">
      <formula>$AG1022:$AG1208="Follow-Up Complete"</formula>
    </cfRule>
    <cfRule type="expression" dxfId="5091" priority="5211">
      <formula>$AG1022:$AG1208="Further Follow-Up"</formula>
    </cfRule>
    <cfRule type="expression" dxfId="5090" priority="5212">
      <formula>$AG1022:$AG1208="EOB Requested"</formula>
    </cfRule>
    <cfRule type="expression" dxfId="5089" priority="5213">
      <formula>$AG1022:$AG1208="EOB Not Found"</formula>
    </cfRule>
    <cfRule type="expression" dxfId="5088" priority="5214">
      <formula>$AG1022:$AG1208="EOB Downloaded"</formula>
    </cfRule>
  </conditionalFormatting>
  <conditionalFormatting sqref="V1022">
    <cfRule type="expression" dxfId="5087" priority="5205">
      <formula>$AG1022:$AG1208="Follow-Up Complete"</formula>
    </cfRule>
    <cfRule type="expression" dxfId="5086" priority="5206">
      <formula>$AG1022:$AG1208="Further Follow-Up"</formula>
    </cfRule>
    <cfRule type="expression" dxfId="5085" priority="5207">
      <formula>$AG1022:$AG1208="EOB Requested"</formula>
    </cfRule>
    <cfRule type="expression" dxfId="5084" priority="5208">
      <formula>$AG1022:$AG1208="EOB Not Found"</formula>
    </cfRule>
    <cfRule type="expression" dxfId="5083" priority="5209">
      <formula>$AG1022:$AG1208="EOB Downloaded"</formula>
    </cfRule>
  </conditionalFormatting>
  <conditionalFormatting sqref="X1022">
    <cfRule type="expression" dxfId="5082" priority="5200">
      <formula>$AG1022:$AG1208="Follow-Up Complete"</formula>
    </cfRule>
    <cfRule type="expression" dxfId="5081" priority="5201">
      <formula>$AG1022:$AG1208="Further Follow-Up"</formula>
    </cfRule>
    <cfRule type="expression" dxfId="5080" priority="5202">
      <formula>$AG1022:$AG1208="EOB Requested"</formula>
    </cfRule>
    <cfRule type="expression" dxfId="5079" priority="5203">
      <formula>$AG1022:$AG1208="EOB Not Found"</formula>
    </cfRule>
    <cfRule type="expression" dxfId="5078" priority="5204">
      <formula>$AG1022:$AG1208="EOB Downloaded"</formula>
    </cfRule>
  </conditionalFormatting>
  <conditionalFormatting sqref="AA1022">
    <cfRule type="expression" dxfId="5077" priority="5195">
      <formula>$AG1022:$AG1208="Follow-Up Complete"</formula>
    </cfRule>
    <cfRule type="expression" dxfId="5076" priority="5196">
      <formula>$AG1022:$AG1208="Further Follow-Up"</formula>
    </cfRule>
    <cfRule type="expression" dxfId="5075" priority="5197">
      <formula>$AG1022:$AG1208="EOB Requested"</formula>
    </cfRule>
    <cfRule type="expression" dxfId="5074" priority="5198">
      <formula>$AG1022:$AG1208="EOB Not Found"</formula>
    </cfRule>
    <cfRule type="expression" dxfId="5073" priority="5199">
      <formula>$AG1022:$AG1208="EOB Downloaded"</formula>
    </cfRule>
  </conditionalFormatting>
  <conditionalFormatting sqref="P1021">
    <cfRule type="expression" dxfId="5072" priority="5190">
      <formula>$AG1021:$AG1207="Follow-Up Complete"</formula>
    </cfRule>
    <cfRule type="expression" dxfId="5071" priority="5191">
      <formula>$AG1021:$AG1207="Further Follow-Up"</formula>
    </cfRule>
    <cfRule type="expression" dxfId="5070" priority="5192">
      <formula>$AG1021:$AG1207="EOB Requested"</formula>
    </cfRule>
    <cfRule type="expression" dxfId="5069" priority="5193">
      <formula>$AG1021:$AG1207="EOB Not Found"</formula>
    </cfRule>
    <cfRule type="expression" dxfId="5068" priority="5194">
      <formula>$AG1021:$AG1207="EOB Downloaded"</formula>
    </cfRule>
  </conditionalFormatting>
  <conditionalFormatting sqref="R1021">
    <cfRule type="expression" dxfId="5067" priority="5185">
      <formula>$AG1021:$AG1207="Follow-Up Complete"</formula>
    </cfRule>
    <cfRule type="expression" dxfId="5066" priority="5186">
      <formula>$AG1021:$AG1207="Further Follow-Up"</formula>
    </cfRule>
    <cfRule type="expression" dxfId="5065" priority="5187">
      <formula>$AG1021:$AG1207="EOB Requested"</formula>
    </cfRule>
    <cfRule type="expression" dxfId="5064" priority="5188">
      <formula>$AG1021:$AG1207="EOB Not Found"</formula>
    </cfRule>
    <cfRule type="expression" dxfId="5063" priority="5189">
      <formula>$AG1021:$AG1207="EOB Downloaded"</formula>
    </cfRule>
  </conditionalFormatting>
  <conditionalFormatting sqref="T1021">
    <cfRule type="expression" dxfId="5062" priority="5180">
      <formula>$AG1021:$AG1207="Follow-Up Complete"</formula>
    </cfRule>
    <cfRule type="expression" dxfId="5061" priority="5181">
      <formula>$AG1021:$AG1207="Further Follow-Up"</formula>
    </cfRule>
    <cfRule type="expression" dxfId="5060" priority="5182">
      <formula>$AG1021:$AG1207="EOB Requested"</formula>
    </cfRule>
    <cfRule type="expression" dxfId="5059" priority="5183">
      <formula>$AG1021:$AG1207="EOB Not Found"</formula>
    </cfRule>
    <cfRule type="expression" dxfId="5058" priority="5184">
      <formula>$AG1021:$AG1207="EOB Downloaded"</formula>
    </cfRule>
  </conditionalFormatting>
  <conditionalFormatting sqref="V1021">
    <cfRule type="expression" dxfId="5057" priority="5175">
      <formula>$AG1021:$AG1207="Follow-Up Complete"</formula>
    </cfRule>
    <cfRule type="expression" dxfId="5056" priority="5176">
      <formula>$AG1021:$AG1207="Further Follow-Up"</formula>
    </cfRule>
    <cfRule type="expression" dxfId="5055" priority="5177">
      <formula>$AG1021:$AG1207="EOB Requested"</formula>
    </cfRule>
    <cfRule type="expression" dxfId="5054" priority="5178">
      <formula>$AG1021:$AG1207="EOB Not Found"</formula>
    </cfRule>
    <cfRule type="expression" dxfId="5053" priority="5179">
      <formula>$AG1021:$AG1207="EOB Downloaded"</formula>
    </cfRule>
  </conditionalFormatting>
  <conditionalFormatting sqref="X1021">
    <cfRule type="expression" dxfId="5052" priority="5170">
      <formula>$AG1021:$AG1207="Follow-Up Complete"</formula>
    </cfRule>
    <cfRule type="expression" dxfId="5051" priority="5171">
      <formula>$AG1021:$AG1207="Further Follow-Up"</formula>
    </cfRule>
    <cfRule type="expression" dxfId="5050" priority="5172">
      <formula>$AG1021:$AG1207="EOB Requested"</formula>
    </cfRule>
    <cfRule type="expression" dxfId="5049" priority="5173">
      <formula>$AG1021:$AG1207="EOB Not Found"</formula>
    </cfRule>
    <cfRule type="expression" dxfId="5048" priority="5174">
      <formula>$AG1021:$AG1207="EOB Downloaded"</formula>
    </cfRule>
  </conditionalFormatting>
  <conditionalFormatting sqref="AA1021">
    <cfRule type="expression" dxfId="5047" priority="5165">
      <formula>$AG1021:$AG1207="Follow-Up Complete"</formula>
    </cfRule>
    <cfRule type="expression" dxfId="5046" priority="5166">
      <formula>$AG1021:$AG1207="Further Follow-Up"</formula>
    </cfRule>
    <cfRule type="expression" dxfId="5045" priority="5167">
      <formula>$AG1021:$AG1207="EOB Requested"</formula>
    </cfRule>
    <cfRule type="expression" dxfId="5044" priority="5168">
      <formula>$AG1021:$AG1207="EOB Not Found"</formula>
    </cfRule>
    <cfRule type="expression" dxfId="5043" priority="5169">
      <formula>$AG1021:$AG1207="EOB Downloaded"</formula>
    </cfRule>
  </conditionalFormatting>
  <conditionalFormatting sqref="P1020">
    <cfRule type="expression" dxfId="5042" priority="5160">
      <formula>$AG1020:$AG1206="Follow-Up Complete"</formula>
    </cfRule>
    <cfRule type="expression" dxfId="5041" priority="5161">
      <formula>$AG1020:$AG1206="Further Follow-Up"</formula>
    </cfRule>
    <cfRule type="expression" dxfId="5040" priority="5162">
      <formula>$AG1020:$AG1206="EOB Requested"</formula>
    </cfRule>
    <cfRule type="expression" dxfId="5039" priority="5163">
      <formula>$AG1020:$AG1206="EOB Not Found"</formula>
    </cfRule>
    <cfRule type="expression" dxfId="5038" priority="5164">
      <formula>$AG1020:$AG1206="EOB Downloaded"</formula>
    </cfRule>
  </conditionalFormatting>
  <conditionalFormatting sqref="R1020">
    <cfRule type="expression" dxfId="5037" priority="5155">
      <formula>$AG1020:$AG1206="Follow-Up Complete"</formula>
    </cfRule>
    <cfRule type="expression" dxfId="5036" priority="5156">
      <formula>$AG1020:$AG1206="Further Follow-Up"</formula>
    </cfRule>
    <cfRule type="expression" dxfId="5035" priority="5157">
      <formula>$AG1020:$AG1206="EOB Requested"</formula>
    </cfRule>
    <cfRule type="expression" dxfId="5034" priority="5158">
      <formula>$AG1020:$AG1206="EOB Not Found"</formula>
    </cfRule>
    <cfRule type="expression" dxfId="5033" priority="5159">
      <formula>$AG1020:$AG1206="EOB Downloaded"</formula>
    </cfRule>
  </conditionalFormatting>
  <conditionalFormatting sqref="T1020">
    <cfRule type="expression" dxfId="5032" priority="5150">
      <formula>$AG1020:$AG1206="Follow-Up Complete"</formula>
    </cfRule>
    <cfRule type="expression" dxfId="5031" priority="5151">
      <formula>$AG1020:$AG1206="Further Follow-Up"</formula>
    </cfRule>
    <cfRule type="expression" dxfId="5030" priority="5152">
      <formula>$AG1020:$AG1206="EOB Requested"</formula>
    </cfRule>
    <cfRule type="expression" dxfId="5029" priority="5153">
      <formula>$AG1020:$AG1206="EOB Not Found"</formula>
    </cfRule>
    <cfRule type="expression" dxfId="5028" priority="5154">
      <formula>$AG1020:$AG1206="EOB Downloaded"</formula>
    </cfRule>
  </conditionalFormatting>
  <conditionalFormatting sqref="V1020">
    <cfRule type="expression" dxfId="5027" priority="5145">
      <formula>$AG1020:$AG1206="Follow-Up Complete"</formula>
    </cfRule>
    <cfRule type="expression" dxfId="5026" priority="5146">
      <formula>$AG1020:$AG1206="Further Follow-Up"</formula>
    </cfRule>
    <cfRule type="expression" dxfId="5025" priority="5147">
      <formula>$AG1020:$AG1206="EOB Requested"</formula>
    </cfRule>
    <cfRule type="expression" dxfId="5024" priority="5148">
      <formula>$AG1020:$AG1206="EOB Not Found"</formula>
    </cfRule>
    <cfRule type="expression" dxfId="5023" priority="5149">
      <formula>$AG1020:$AG1206="EOB Downloaded"</formula>
    </cfRule>
  </conditionalFormatting>
  <conditionalFormatting sqref="X1020">
    <cfRule type="expression" dxfId="5022" priority="5140">
      <formula>$AG1020:$AG1206="Follow-Up Complete"</formula>
    </cfRule>
    <cfRule type="expression" dxfId="5021" priority="5141">
      <formula>$AG1020:$AG1206="Further Follow-Up"</formula>
    </cfRule>
    <cfRule type="expression" dxfId="5020" priority="5142">
      <formula>$AG1020:$AG1206="EOB Requested"</formula>
    </cfRule>
    <cfRule type="expression" dxfId="5019" priority="5143">
      <formula>$AG1020:$AG1206="EOB Not Found"</formula>
    </cfRule>
    <cfRule type="expression" dxfId="5018" priority="5144">
      <formula>$AG1020:$AG1206="EOB Downloaded"</formula>
    </cfRule>
  </conditionalFormatting>
  <conditionalFormatting sqref="AA1020">
    <cfRule type="expression" dxfId="5017" priority="5135">
      <formula>$AG1020:$AG1206="Follow-Up Complete"</formula>
    </cfRule>
    <cfRule type="expression" dxfId="5016" priority="5136">
      <formula>$AG1020:$AG1206="Further Follow-Up"</formula>
    </cfRule>
    <cfRule type="expression" dxfId="5015" priority="5137">
      <formula>$AG1020:$AG1206="EOB Requested"</formula>
    </cfRule>
    <cfRule type="expression" dxfId="5014" priority="5138">
      <formula>$AG1020:$AG1206="EOB Not Found"</formula>
    </cfRule>
    <cfRule type="expression" dxfId="5013" priority="5139">
      <formula>$AG1020:$AG1206="EOB Downloaded"</formula>
    </cfRule>
  </conditionalFormatting>
  <conditionalFormatting sqref="P1019">
    <cfRule type="expression" dxfId="5012" priority="5130">
      <formula>$AG1019:$AG1205="Follow-Up Complete"</formula>
    </cfRule>
    <cfRule type="expression" dxfId="5011" priority="5131">
      <formula>$AG1019:$AG1205="Further Follow-Up"</formula>
    </cfRule>
    <cfRule type="expression" dxfId="5010" priority="5132">
      <formula>$AG1019:$AG1205="EOB Requested"</formula>
    </cfRule>
    <cfRule type="expression" dxfId="5009" priority="5133">
      <formula>$AG1019:$AG1205="EOB Not Found"</formula>
    </cfRule>
    <cfRule type="expression" dxfId="5008" priority="5134">
      <formula>$AG1019:$AG1205="EOB Downloaded"</formula>
    </cfRule>
  </conditionalFormatting>
  <conditionalFormatting sqref="R1019">
    <cfRule type="expression" dxfId="5007" priority="5125">
      <formula>$AG1019:$AG1205="Follow-Up Complete"</formula>
    </cfRule>
    <cfRule type="expression" dxfId="5006" priority="5126">
      <formula>$AG1019:$AG1205="Further Follow-Up"</formula>
    </cfRule>
    <cfRule type="expression" dxfId="5005" priority="5127">
      <formula>$AG1019:$AG1205="EOB Requested"</formula>
    </cfRule>
    <cfRule type="expression" dxfId="5004" priority="5128">
      <formula>$AG1019:$AG1205="EOB Not Found"</formula>
    </cfRule>
    <cfRule type="expression" dxfId="5003" priority="5129">
      <formula>$AG1019:$AG1205="EOB Downloaded"</formula>
    </cfRule>
  </conditionalFormatting>
  <conditionalFormatting sqref="T1019">
    <cfRule type="expression" dxfId="5002" priority="5120">
      <formula>$AG1019:$AG1205="Follow-Up Complete"</formula>
    </cfRule>
    <cfRule type="expression" dxfId="5001" priority="5121">
      <formula>$AG1019:$AG1205="Further Follow-Up"</formula>
    </cfRule>
    <cfRule type="expression" dxfId="5000" priority="5122">
      <formula>$AG1019:$AG1205="EOB Requested"</formula>
    </cfRule>
    <cfRule type="expression" dxfId="4999" priority="5123">
      <formula>$AG1019:$AG1205="EOB Not Found"</formula>
    </cfRule>
    <cfRule type="expression" dxfId="4998" priority="5124">
      <formula>$AG1019:$AG1205="EOB Downloaded"</formula>
    </cfRule>
  </conditionalFormatting>
  <conditionalFormatting sqref="V1019">
    <cfRule type="expression" dxfId="4997" priority="5115">
      <formula>$AG1019:$AG1205="Follow-Up Complete"</formula>
    </cfRule>
    <cfRule type="expression" dxfId="4996" priority="5116">
      <formula>$AG1019:$AG1205="Further Follow-Up"</formula>
    </cfRule>
    <cfRule type="expression" dxfId="4995" priority="5117">
      <formula>$AG1019:$AG1205="EOB Requested"</formula>
    </cfRule>
    <cfRule type="expression" dxfId="4994" priority="5118">
      <formula>$AG1019:$AG1205="EOB Not Found"</formula>
    </cfRule>
    <cfRule type="expression" dxfId="4993" priority="5119">
      <formula>$AG1019:$AG1205="EOB Downloaded"</formula>
    </cfRule>
  </conditionalFormatting>
  <conditionalFormatting sqref="X1019">
    <cfRule type="expression" dxfId="4992" priority="5110">
      <formula>$AG1019:$AG1205="Follow-Up Complete"</formula>
    </cfRule>
    <cfRule type="expression" dxfId="4991" priority="5111">
      <formula>$AG1019:$AG1205="Further Follow-Up"</formula>
    </cfRule>
    <cfRule type="expression" dxfId="4990" priority="5112">
      <formula>$AG1019:$AG1205="EOB Requested"</formula>
    </cfRule>
    <cfRule type="expression" dxfId="4989" priority="5113">
      <formula>$AG1019:$AG1205="EOB Not Found"</formula>
    </cfRule>
    <cfRule type="expression" dxfId="4988" priority="5114">
      <formula>$AG1019:$AG1205="EOB Downloaded"</formula>
    </cfRule>
  </conditionalFormatting>
  <conditionalFormatting sqref="AA1019">
    <cfRule type="expression" dxfId="4987" priority="5105">
      <formula>$AG1019:$AG1205="Follow-Up Complete"</formula>
    </cfRule>
    <cfRule type="expression" dxfId="4986" priority="5106">
      <formula>$AG1019:$AG1205="Further Follow-Up"</formula>
    </cfRule>
    <cfRule type="expression" dxfId="4985" priority="5107">
      <formula>$AG1019:$AG1205="EOB Requested"</formula>
    </cfRule>
    <cfRule type="expression" dxfId="4984" priority="5108">
      <formula>$AG1019:$AG1205="EOB Not Found"</formula>
    </cfRule>
    <cfRule type="expression" dxfId="4983" priority="5109">
      <formula>$AG1019:$AG1205="EOB Downloaded"</formula>
    </cfRule>
  </conditionalFormatting>
  <conditionalFormatting sqref="R1018">
    <cfRule type="expression" dxfId="4982" priority="5100">
      <formula>$AG1018:$AG1204="Follow-Up Complete"</formula>
    </cfRule>
    <cfRule type="expression" dxfId="4981" priority="5101">
      <formula>$AG1018:$AG1204="Further Follow-Up"</formula>
    </cfRule>
    <cfRule type="expression" dxfId="4980" priority="5102">
      <formula>$AG1018:$AG1204="EOB Requested"</formula>
    </cfRule>
    <cfRule type="expression" dxfId="4979" priority="5103">
      <formula>$AG1018:$AG1204="EOB Not Found"</formula>
    </cfRule>
    <cfRule type="expression" dxfId="4978" priority="5104">
      <formula>$AG1018:$AG1204="EOB Downloaded"</formula>
    </cfRule>
  </conditionalFormatting>
  <conditionalFormatting sqref="T1018">
    <cfRule type="expression" dxfId="4977" priority="5095">
      <formula>$AG1018:$AG1204="Follow-Up Complete"</formula>
    </cfRule>
    <cfRule type="expression" dxfId="4976" priority="5096">
      <formula>$AG1018:$AG1204="Further Follow-Up"</formula>
    </cfRule>
    <cfRule type="expression" dxfId="4975" priority="5097">
      <formula>$AG1018:$AG1204="EOB Requested"</formula>
    </cfRule>
    <cfRule type="expression" dxfId="4974" priority="5098">
      <formula>$AG1018:$AG1204="EOB Not Found"</formula>
    </cfRule>
    <cfRule type="expression" dxfId="4973" priority="5099">
      <formula>$AG1018:$AG1204="EOB Downloaded"</formula>
    </cfRule>
  </conditionalFormatting>
  <conditionalFormatting sqref="V1018">
    <cfRule type="expression" dxfId="4972" priority="5090">
      <formula>$AG1018:$AG1204="Follow-Up Complete"</formula>
    </cfRule>
    <cfRule type="expression" dxfId="4971" priority="5091">
      <formula>$AG1018:$AG1204="Further Follow-Up"</formula>
    </cfRule>
    <cfRule type="expression" dxfId="4970" priority="5092">
      <formula>$AG1018:$AG1204="EOB Requested"</formula>
    </cfRule>
    <cfRule type="expression" dxfId="4969" priority="5093">
      <formula>$AG1018:$AG1204="EOB Not Found"</formula>
    </cfRule>
    <cfRule type="expression" dxfId="4968" priority="5094">
      <formula>$AG1018:$AG1204="EOB Downloaded"</formula>
    </cfRule>
  </conditionalFormatting>
  <conditionalFormatting sqref="X1018">
    <cfRule type="expression" dxfId="4967" priority="5085">
      <formula>$AG1018:$AG1204="Follow-Up Complete"</formula>
    </cfRule>
    <cfRule type="expression" dxfId="4966" priority="5086">
      <formula>$AG1018:$AG1204="Further Follow-Up"</formula>
    </cfRule>
    <cfRule type="expression" dxfId="4965" priority="5087">
      <formula>$AG1018:$AG1204="EOB Requested"</formula>
    </cfRule>
    <cfRule type="expression" dxfId="4964" priority="5088">
      <formula>$AG1018:$AG1204="EOB Not Found"</formula>
    </cfRule>
    <cfRule type="expression" dxfId="4963" priority="5089">
      <formula>$AG1018:$AG1204="EOB Downloaded"</formula>
    </cfRule>
  </conditionalFormatting>
  <conditionalFormatting sqref="AA1018">
    <cfRule type="expression" dxfId="4962" priority="5080">
      <formula>$AG1018:$AG1204="Follow-Up Complete"</formula>
    </cfRule>
    <cfRule type="expression" dxfId="4961" priority="5081">
      <formula>$AG1018:$AG1204="Further Follow-Up"</formula>
    </cfRule>
    <cfRule type="expression" dxfId="4960" priority="5082">
      <formula>$AG1018:$AG1204="EOB Requested"</formula>
    </cfRule>
    <cfRule type="expression" dxfId="4959" priority="5083">
      <formula>$AG1018:$AG1204="EOB Not Found"</formula>
    </cfRule>
    <cfRule type="expression" dxfId="4958" priority="5084">
      <formula>$AG1018:$AG1204="EOB Downloaded"</formula>
    </cfRule>
  </conditionalFormatting>
  <conditionalFormatting sqref="P1017">
    <cfRule type="expression" dxfId="4957" priority="5075">
      <formula>$AG1017:$AG1203="Follow-Up Complete"</formula>
    </cfRule>
    <cfRule type="expression" dxfId="4956" priority="5076">
      <formula>$AG1017:$AG1203="Further Follow-Up"</formula>
    </cfRule>
    <cfRule type="expression" dxfId="4955" priority="5077">
      <formula>$AG1017:$AG1203="EOB Requested"</formula>
    </cfRule>
    <cfRule type="expression" dxfId="4954" priority="5078">
      <formula>$AG1017:$AG1203="EOB Not Found"</formula>
    </cfRule>
    <cfRule type="expression" dxfId="4953" priority="5079">
      <formula>$AG1017:$AG1203="EOB Downloaded"</formula>
    </cfRule>
  </conditionalFormatting>
  <conditionalFormatting sqref="R1017">
    <cfRule type="expression" dxfId="4952" priority="5070">
      <formula>$AG1017:$AG1203="Follow-Up Complete"</formula>
    </cfRule>
    <cfRule type="expression" dxfId="4951" priority="5071">
      <formula>$AG1017:$AG1203="Further Follow-Up"</formula>
    </cfRule>
    <cfRule type="expression" dxfId="4950" priority="5072">
      <formula>$AG1017:$AG1203="EOB Requested"</formula>
    </cfRule>
    <cfRule type="expression" dxfId="4949" priority="5073">
      <formula>$AG1017:$AG1203="EOB Not Found"</formula>
    </cfRule>
    <cfRule type="expression" dxfId="4948" priority="5074">
      <formula>$AG1017:$AG1203="EOB Downloaded"</formula>
    </cfRule>
  </conditionalFormatting>
  <conditionalFormatting sqref="T1017">
    <cfRule type="expression" dxfId="4947" priority="5065">
      <formula>$AG1017:$AG1203="Follow-Up Complete"</formula>
    </cfRule>
    <cfRule type="expression" dxfId="4946" priority="5066">
      <formula>$AG1017:$AG1203="Further Follow-Up"</formula>
    </cfRule>
    <cfRule type="expression" dxfId="4945" priority="5067">
      <formula>$AG1017:$AG1203="EOB Requested"</formula>
    </cfRule>
    <cfRule type="expression" dxfId="4944" priority="5068">
      <formula>$AG1017:$AG1203="EOB Not Found"</formula>
    </cfRule>
    <cfRule type="expression" dxfId="4943" priority="5069">
      <formula>$AG1017:$AG1203="EOB Downloaded"</formula>
    </cfRule>
  </conditionalFormatting>
  <conditionalFormatting sqref="V1017">
    <cfRule type="expression" dxfId="4942" priority="5060">
      <formula>$AG1017:$AG1203="Follow-Up Complete"</formula>
    </cfRule>
    <cfRule type="expression" dxfId="4941" priority="5061">
      <formula>$AG1017:$AG1203="Further Follow-Up"</formula>
    </cfRule>
    <cfRule type="expression" dxfId="4940" priority="5062">
      <formula>$AG1017:$AG1203="EOB Requested"</formula>
    </cfRule>
    <cfRule type="expression" dxfId="4939" priority="5063">
      <formula>$AG1017:$AG1203="EOB Not Found"</formula>
    </cfRule>
    <cfRule type="expression" dxfId="4938" priority="5064">
      <formula>$AG1017:$AG1203="EOB Downloaded"</formula>
    </cfRule>
  </conditionalFormatting>
  <conditionalFormatting sqref="X1017">
    <cfRule type="expression" dxfId="4937" priority="5055">
      <formula>$AG1017:$AG1203="Follow-Up Complete"</formula>
    </cfRule>
    <cfRule type="expression" dxfId="4936" priority="5056">
      <formula>$AG1017:$AG1203="Further Follow-Up"</formula>
    </cfRule>
    <cfRule type="expression" dxfId="4935" priority="5057">
      <formula>$AG1017:$AG1203="EOB Requested"</formula>
    </cfRule>
    <cfRule type="expression" dxfId="4934" priority="5058">
      <formula>$AG1017:$AG1203="EOB Not Found"</formula>
    </cfRule>
    <cfRule type="expression" dxfId="4933" priority="5059">
      <formula>$AG1017:$AG1203="EOB Downloaded"</formula>
    </cfRule>
  </conditionalFormatting>
  <conditionalFormatting sqref="AA1017">
    <cfRule type="expression" dxfId="4932" priority="5050">
      <formula>$AG1017:$AG1203="Follow-Up Complete"</formula>
    </cfRule>
    <cfRule type="expression" dxfId="4931" priority="5051">
      <formula>$AG1017:$AG1203="Further Follow-Up"</formula>
    </cfRule>
    <cfRule type="expression" dxfId="4930" priority="5052">
      <formula>$AG1017:$AG1203="EOB Requested"</formula>
    </cfRule>
    <cfRule type="expression" dxfId="4929" priority="5053">
      <formula>$AG1017:$AG1203="EOB Not Found"</formula>
    </cfRule>
    <cfRule type="expression" dxfId="4928" priority="5054">
      <formula>$AG1017:$AG1203="EOB Downloaded"</formula>
    </cfRule>
  </conditionalFormatting>
  <conditionalFormatting sqref="P1016">
    <cfRule type="expression" dxfId="4927" priority="5045">
      <formula>$AG1016:$AG1202="Follow-Up Complete"</formula>
    </cfRule>
    <cfRule type="expression" dxfId="4926" priority="5046">
      <formula>$AG1016:$AG1202="Further Follow-Up"</formula>
    </cfRule>
    <cfRule type="expression" dxfId="4925" priority="5047">
      <formula>$AG1016:$AG1202="EOB Requested"</formula>
    </cfRule>
    <cfRule type="expression" dxfId="4924" priority="5048">
      <formula>$AG1016:$AG1202="EOB Not Found"</formula>
    </cfRule>
    <cfRule type="expression" dxfId="4923" priority="5049">
      <formula>$AG1016:$AG1202="EOB Downloaded"</formula>
    </cfRule>
  </conditionalFormatting>
  <conditionalFormatting sqref="R1016">
    <cfRule type="expression" dxfId="4922" priority="5040">
      <formula>$AG1016:$AG1202="Follow-Up Complete"</formula>
    </cfRule>
    <cfRule type="expression" dxfId="4921" priority="5041">
      <formula>$AG1016:$AG1202="Further Follow-Up"</formula>
    </cfRule>
    <cfRule type="expression" dxfId="4920" priority="5042">
      <formula>$AG1016:$AG1202="EOB Requested"</formula>
    </cfRule>
    <cfRule type="expression" dxfId="4919" priority="5043">
      <formula>$AG1016:$AG1202="EOB Not Found"</formula>
    </cfRule>
    <cfRule type="expression" dxfId="4918" priority="5044">
      <formula>$AG1016:$AG1202="EOB Downloaded"</formula>
    </cfRule>
  </conditionalFormatting>
  <conditionalFormatting sqref="T1016">
    <cfRule type="expression" dxfId="4917" priority="5035">
      <formula>$AG1016:$AG1202="Follow-Up Complete"</formula>
    </cfRule>
    <cfRule type="expression" dxfId="4916" priority="5036">
      <formula>$AG1016:$AG1202="Further Follow-Up"</formula>
    </cfRule>
    <cfRule type="expression" dxfId="4915" priority="5037">
      <formula>$AG1016:$AG1202="EOB Requested"</formula>
    </cfRule>
    <cfRule type="expression" dxfId="4914" priority="5038">
      <formula>$AG1016:$AG1202="EOB Not Found"</formula>
    </cfRule>
    <cfRule type="expression" dxfId="4913" priority="5039">
      <formula>$AG1016:$AG1202="EOB Downloaded"</formula>
    </cfRule>
  </conditionalFormatting>
  <conditionalFormatting sqref="V1016">
    <cfRule type="expression" dxfId="4912" priority="5030">
      <formula>$AG1016:$AG1202="Follow-Up Complete"</formula>
    </cfRule>
    <cfRule type="expression" dxfId="4911" priority="5031">
      <formula>$AG1016:$AG1202="Further Follow-Up"</formula>
    </cfRule>
    <cfRule type="expression" dxfId="4910" priority="5032">
      <formula>$AG1016:$AG1202="EOB Requested"</formula>
    </cfRule>
    <cfRule type="expression" dxfId="4909" priority="5033">
      <formula>$AG1016:$AG1202="EOB Not Found"</formula>
    </cfRule>
    <cfRule type="expression" dxfId="4908" priority="5034">
      <formula>$AG1016:$AG1202="EOB Downloaded"</formula>
    </cfRule>
  </conditionalFormatting>
  <conditionalFormatting sqref="X1016">
    <cfRule type="expression" dxfId="4907" priority="5025">
      <formula>$AG1016:$AG1202="Follow-Up Complete"</formula>
    </cfRule>
    <cfRule type="expression" dxfId="4906" priority="5026">
      <formula>$AG1016:$AG1202="Further Follow-Up"</formula>
    </cfRule>
    <cfRule type="expression" dxfId="4905" priority="5027">
      <formula>$AG1016:$AG1202="EOB Requested"</formula>
    </cfRule>
    <cfRule type="expression" dxfId="4904" priority="5028">
      <formula>$AG1016:$AG1202="EOB Not Found"</formula>
    </cfRule>
    <cfRule type="expression" dxfId="4903" priority="5029">
      <formula>$AG1016:$AG1202="EOB Downloaded"</formula>
    </cfRule>
  </conditionalFormatting>
  <conditionalFormatting sqref="AA1016">
    <cfRule type="expression" dxfId="4902" priority="5020">
      <formula>$AG1016:$AG1202="Follow-Up Complete"</formula>
    </cfRule>
    <cfRule type="expression" dxfId="4901" priority="5021">
      <formula>$AG1016:$AG1202="Further Follow-Up"</formula>
    </cfRule>
    <cfRule type="expression" dxfId="4900" priority="5022">
      <formula>$AG1016:$AG1202="EOB Requested"</formula>
    </cfRule>
    <cfRule type="expression" dxfId="4899" priority="5023">
      <formula>$AG1016:$AG1202="EOB Not Found"</formula>
    </cfRule>
    <cfRule type="expression" dxfId="4898" priority="5024">
      <formula>$AG1016:$AG1202="EOB Downloaded"</formula>
    </cfRule>
  </conditionalFormatting>
  <conditionalFormatting sqref="P1015">
    <cfRule type="expression" dxfId="4897" priority="5015">
      <formula>$AG1015:$AG1201="Follow-Up Complete"</formula>
    </cfRule>
    <cfRule type="expression" dxfId="4896" priority="5016">
      <formula>$AG1015:$AG1201="Further Follow-Up"</formula>
    </cfRule>
    <cfRule type="expression" dxfId="4895" priority="5017">
      <formula>$AG1015:$AG1201="EOB Requested"</formula>
    </cfRule>
    <cfRule type="expression" dxfId="4894" priority="5018">
      <formula>$AG1015:$AG1201="EOB Not Found"</formula>
    </cfRule>
    <cfRule type="expression" dxfId="4893" priority="5019">
      <formula>$AG1015:$AG1201="EOB Downloaded"</formula>
    </cfRule>
  </conditionalFormatting>
  <conditionalFormatting sqref="T1015">
    <cfRule type="expression" dxfId="4892" priority="5010">
      <formula>$AG1015:$AG1201="Follow-Up Complete"</formula>
    </cfRule>
    <cfRule type="expression" dxfId="4891" priority="5011">
      <formula>$AG1015:$AG1201="Further Follow-Up"</formula>
    </cfRule>
    <cfRule type="expression" dxfId="4890" priority="5012">
      <formula>$AG1015:$AG1201="EOB Requested"</formula>
    </cfRule>
    <cfRule type="expression" dxfId="4889" priority="5013">
      <formula>$AG1015:$AG1201="EOB Not Found"</formula>
    </cfRule>
    <cfRule type="expression" dxfId="4888" priority="5014">
      <formula>$AG1015:$AG1201="EOB Downloaded"</formula>
    </cfRule>
  </conditionalFormatting>
  <conditionalFormatting sqref="V1015">
    <cfRule type="expression" dxfId="4887" priority="5005">
      <formula>$AG1015:$AG1201="Follow-Up Complete"</formula>
    </cfRule>
    <cfRule type="expression" dxfId="4886" priority="5006">
      <formula>$AG1015:$AG1201="Further Follow-Up"</formula>
    </cfRule>
    <cfRule type="expression" dxfId="4885" priority="5007">
      <formula>$AG1015:$AG1201="EOB Requested"</formula>
    </cfRule>
    <cfRule type="expression" dxfId="4884" priority="5008">
      <formula>$AG1015:$AG1201="EOB Not Found"</formula>
    </cfRule>
    <cfRule type="expression" dxfId="4883" priority="5009">
      <formula>$AG1015:$AG1201="EOB Downloaded"</formula>
    </cfRule>
  </conditionalFormatting>
  <conditionalFormatting sqref="AA1015">
    <cfRule type="expression" dxfId="4882" priority="5000">
      <formula>$AG1015:$AG1201="Follow-Up Complete"</formula>
    </cfRule>
    <cfRule type="expression" dxfId="4881" priority="5001">
      <formula>$AG1015:$AG1201="Further Follow-Up"</formula>
    </cfRule>
    <cfRule type="expression" dxfId="4880" priority="5002">
      <formula>$AG1015:$AG1201="EOB Requested"</formula>
    </cfRule>
    <cfRule type="expression" dxfId="4879" priority="5003">
      <formula>$AG1015:$AG1201="EOB Not Found"</formula>
    </cfRule>
    <cfRule type="expression" dxfId="4878" priority="5004">
      <formula>$AG1015:$AG1201="EOB Downloaded"</formula>
    </cfRule>
  </conditionalFormatting>
  <conditionalFormatting sqref="P1014">
    <cfRule type="expression" dxfId="4877" priority="4995">
      <formula>$AG1014:$AG1200="Follow-Up Complete"</formula>
    </cfRule>
    <cfRule type="expression" dxfId="4876" priority="4996">
      <formula>$AG1014:$AG1200="Further Follow-Up"</formula>
    </cfRule>
    <cfRule type="expression" dxfId="4875" priority="4997">
      <formula>$AG1014:$AG1200="EOB Requested"</formula>
    </cfRule>
    <cfRule type="expression" dxfId="4874" priority="4998">
      <formula>$AG1014:$AG1200="EOB Not Found"</formula>
    </cfRule>
    <cfRule type="expression" dxfId="4873" priority="4999">
      <formula>$AG1014:$AG1200="EOB Downloaded"</formula>
    </cfRule>
  </conditionalFormatting>
  <conditionalFormatting sqref="T1014">
    <cfRule type="expression" dxfId="4872" priority="4990">
      <formula>$AG1014:$AG1200="Follow-Up Complete"</formula>
    </cfRule>
    <cfRule type="expression" dxfId="4871" priority="4991">
      <formula>$AG1014:$AG1200="Further Follow-Up"</formula>
    </cfRule>
    <cfRule type="expression" dxfId="4870" priority="4992">
      <formula>$AG1014:$AG1200="EOB Requested"</formula>
    </cfRule>
    <cfRule type="expression" dxfId="4869" priority="4993">
      <formula>$AG1014:$AG1200="EOB Not Found"</formula>
    </cfRule>
    <cfRule type="expression" dxfId="4868" priority="4994">
      <formula>$AG1014:$AG1200="EOB Downloaded"</formula>
    </cfRule>
  </conditionalFormatting>
  <conditionalFormatting sqref="V1014">
    <cfRule type="expression" dxfId="4867" priority="4985">
      <formula>$AG1014:$AG1200="Follow-Up Complete"</formula>
    </cfRule>
    <cfRule type="expression" dxfId="4866" priority="4986">
      <formula>$AG1014:$AG1200="Further Follow-Up"</formula>
    </cfRule>
    <cfRule type="expression" dxfId="4865" priority="4987">
      <formula>$AG1014:$AG1200="EOB Requested"</formula>
    </cfRule>
    <cfRule type="expression" dxfId="4864" priority="4988">
      <formula>$AG1014:$AG1200="EOB Not Found"</formula>
    </cfRule>
    <cfRule type="expression" dxfId="4863" priority="4989">
      <formula>$AG1014:$AG1200="EOB Downloaded"</formula>
    </cfRule>
  </conditionalFormatting>
  <conditionalFormatting sqref="AA1014">
    <cfRule type="expression" dxfId="4862" priority="4980">
      <formula>$AG1014:$AG1200="Follow-Up Complete"</formula>
    </cfRule>
    <cfRule type="expression" dxfId="4861" priority="4981">
      <formula>$AG1014:$AG1200="Further Follow-Up"</formula>
    </cfRule>
    <cfRule type="expression" dxfId="4860" priority="4982">
      <formula>$AG1014:$AG1200="EOB Requested"</formula>
    </cfRule>
    <cfRule type="expression" dxfId="4859" priority="4983">
      <formula>$AG1014:$AG1200="EOB Not Found"</formula>
    </cfRule>
    <cfRule type="expression" dxfId="4858" priority="4984">
      <formula>$AG1014:$AG1200="EOB Downloaded"</formula>
    </cfRule>
  </conditionalFormatting>
  <conditionalFormatting sqref="P1013">
    <cfRule type="expression" dxfId="4857" priority="4975">
      <formula>$AG1013:$AG1199="Follow-Up Complete"</formula>
    </cfRule>
    <cfRule type="expression" dxfId="4856" priority="4976">
      <formula>$AG1013:$AG1199="Further Follow-Up"</formula>
    </cfRule>
    <cfRule type="expression" dxfId="4855" priority="4977">
      <formula>$AG1013:$AG1199="EOB Requested"</formula>
    </cfRule>
    <cfRule type="expression" dxfId="4854" priority="4978">
      <formula>$AG1013:$AG1199="EOB Not Found"</formula>
    </cfRule>
    <cfRule type="expression" dxfId="4853" priority="4979">
      <formula>$AG1013:$AG1199="EOB Downloaded"</formula>
    </cfRule>
  </conditionalFormatting>
  <conditionalFormatting sqref="R1013">
    <cfRule type="expression" dxfId="4852" priority="4970">
      <formula>$AG1013:$AG1199="Follow-Up Complete"</formula>
    </cfRule>
    <cfRule type="expression" dxfId="4851" priority="4971">
      <formula>$AG1013:$AG1199="Further Follow-Up"</formula>
    </cfRule>
    <cfRule type="expression" dxfId="4850" priority="4972">
      <formula>$AG1013:$AG1199="EOB Requested"</formula>
    </cfRule>
    <cfRule type="expression" dxfId="4849" priority="4973">
      <formula>$AG1013:$AG1199="EOB Not Found"</formula>
    </cfRule>
    <cfRule type="expression" dxfId="4848" priority="4974">
      <formula>$AG1013:$AG1199="EOB Downloaded"</formula>
    </cfRule>
  </conditionalFormatting>
  <conditionalFormatting sqref="T1013">
    <cfRule type="expression" dxfId="4847" priority="4965">
      <formula>$AG1013:$AG1199="Follow-Up Complete"</formula>
    </cfRule>
    <cfRule type="expression" dxfId="4846" priority="4966">
      <formula>$AG1013:$AG1199="Further Follow-Up"</formula>
    </cfRule>
    <cfRule type="expression" dxfId="4845" priority="4967">
      <formula>$AG1013:$AG1199="EOB Requested"</formula>
    </cfRule>
    <cfRule type="expression" dxfId="4844" priority="4968">
      <formula>$AG1013:$AG1199="EOB Not Found"</formula>
    </cfRule>
    <cfRule type="expression" dxfId="4843" priority="4969">
      <formula>$AG1013:$AG1199="EOB Downloaded"</formula>
    </cfRule>
  </conditionalFormatting>
  <conditionalFormatting sqref="V1013">
    <cfRule type="expression" dxfId="4842" priority="4960">
      <formula>$AG1013:$AG1199="Follow-Up Complete"</formula>
    </cfRule>
    <cfRule type="expression" dxfId="4841" priority="4961">
      <formula>$AG1013:$AG1199="Further Follow-Up"</formula>
    </cfRule>
    <cfRule type="expression" dxfId="4840" priority="4962">
      <formula>$AG1013:$AG1199="EOB Requested"</formula>
    </cfRule>
    <cfRule type="expression" dxfId="4839" priority="4963">
      <formula>$AG1013:$AG1199="EOB Not Found"</formula>
    </cfRule>
    <cfRule type="expression" dxfId="4838" priority="4964">
      <formula>$AG1013:$AG1199="EOB Downloaded"</formula>
    </cfRule>
  </conditionalFormatting>
  <conditionalFormatting sqref="AA1013">
    <cfRule type="expression" dxfId="4837" priority="4955">
      <formula>$AG1013:$AG1199="Follow-Up Complete"</formula>
    </cfRule>
    <cfRule type="expression" dxfId="4836" priority="4956">
      <formula>$AG1013:$AG1199="Further Follow-Up"</formula>
    </cfRule>
    <cfRule type="expression" dxfId="4835" priority="4957">
      <formula>$AG1013:$AG1199="EOB Requested"</formula>
    </cfRule>
    <cfRule type="expression" dxfId="4834" priority="4958">
      <formula>$AG1013:$AG1199="EOB Not Found"</formula>
    </cfRule>
    <cfRule type="expression" dxfId="4833" priority="4959">
      <formula>$AG1013:$AG1199="EOB Downloaded"</formula>
    </cfRule>
  </conditionalFormatting>
  <conditionalFormatting sqref="P1012">
    <cfRule type="expression" dxfId="4832" priority="4950">
      <formula>$AG1012:$AG1198="Follow-Up Complete"</formula>
    </cfRule>
    <cfRule type="expression" dxfId="4831" priority="4951">
      <formula>$AG1012:$AG1198="Further Follow-Up"</formula>
    </cfRule>
    <cfRule type="expression" dxfId="4830" priority="4952">
      <formula>$AG1012:$AG1198="EOB Requested"</formula>
    </cfRule>
    <cfRule type="expression" dxfId="4829" priority="4953">
      <formula>$AG1012:$AG1198="EOB Not Found"</formula>
    </cfRule>
    <cfRule type="expression" dxfId="4828" priority="4954">
      <formula>$AG1012:$AG1198="EOB Downloaded"</formula>
    </cfRule>
  </conditionalFormatting>
  <conditionalFormatting sqref="R1012">
    <cfRule type="expression" dxfId="4827" priority="4945">
      <formula>$AG1012:$AG1198="Follow-Up Complete"</formula>
    </cfRule>
    <cfRule type="expression" dxfId="4826" priority="4946">
      <formula>$AG1012:$AG1198="Further Follow-Up"</formula>
    </cfRule>
    <cfRule type="expression" dxfId="4825" priority="4947">
      <formula>$AG1012:$AG1198="EOB Requested"</formula>
    </cfRule>
    <cfRule type="expression" dxfId="4824" priority="4948">
      <formula>$AG1012:$AG1198="EOB Not Found"</formula>
    </cfRule>
    <cfRule type="expression" dxfId="4823" priority="4949">
      <formula>$AG1012:$AG1198="EOB Downloaded"</formula>
    </cfRule>
  </conditionalFormatting>
  <conditionalFormatting sqref="T1012">
    <cfRule type="expression" dxfId="4822" priority="4940">
      <formula>$AG1012:$AG1198="Follow-Up Complete"</formula>
    </cfRule>
    <cfRule type="expression" dxfId="4821" priority="4941">
      <formula>$AG1012:$AG1198="Further Follow-Up"</formula>
    </cfRule>
    <cfRule type="expression" dxfId="4820" priority="4942">
      <formula>$AG1012:$AG1198="EOB Requested"</formula>
    </cfRule>
    <cfRule type="expression" dxfId="4819" priority="4943">
      <formula>$AG1012:$AG1198="EOB Not Found"</formula>
    </cfRule>
    <cfRule type="expression" dxfId="4818" priority="4944">
      <formula>$AG1012:$AG1198="EOB Downloaded"</formula>
    </cfRule>
  </conditionalFormatting>
  <conditionalFormatting sqref="V1012">
    <cfRule type="expression" dxfId="4817" priority="4935">
      <formula>$AG1012:$AG1198="Follow-Up Complete"</formula>
    </cfRule>
    <cfRule type="expression" dxfId="4816" priority="4936">
      <formula>$AG1012:$AG1198="Further Follow-Up"</formula>
    </cfRule>
    <cfRule type="expression" dxfId="4815" priority="4937">
      <formula>$AG1012:$AG1198="EOB Requested"</formula>
    </cfRule>
    <cfRule type="expression" dxfId="4814" priority="4938">
      <formula>$AG1012:$AG1198="EOB Not Found"</formula>
    </cfRule>
    <cfRule type="expression" dxfId="4813" priority="4939">
      <formula>$AG1012:$AG1198="EOB Downloaded"</formula>
    </cfRule>
  </conditionalFormatting>
  <conditionalFormatting sqref="X1012">
    <cfRule type="expression" dxfId="4812" priority="4930">
      <formula>$AG1012:$AG1198="Follow-Up Complete"</formula>
    </cfRule>
    <cfRule type="expression" dxfId="4811" priority="4931">
      <formula>$AG1012:$AG1198="Further Follow-Up"</formula>
    </cfRule>
    <cfRule type="expression" dxfId="4810" priority="4932">
      <formula>$AG1012:$AG1198="EOB Requested"</formula>
    </cfRule>
    <cfRule type="expression" dxfId="4809" priority="4933">
      <formula>$AG1012:$AG1198="EOB Not Found"</formula>
    </cfRule>
    <cfRule type="expression" dxfId="4808" priority="4934">
      <formula>$AG1012:$AG1198="EOB Downloaded"</formula>
    </cfRule>
  </conditionalFormatting>
  <conditionalFormatting sqref="AA1012">
    <cfRule type="expression" dxfId="4807" priority="4925">
      <formula>$AG1012:$AG1198="Follow-Up Complete"</formula>
    </cfRule>
    <cfRule type="expression" dxfId="4806" priority="4926">
      <formula>$AG1012:$AG1198="Further Follow-Up"</formula>
    </cfRule>
    <cfRule type="expression" dxfId="4805" priority="4927">
      <formula>$AG1012:$AG1198="EOB Requested"</formula>
    </cfRule>
    <cfRule type="expression" dxfId="4804" priority="4928">
      <formula>$AG1012:$AG1198="EOB Not Found"</formula>
    </cfRule>
    <cfRule type="expression" dxfId="4803" priority="4929">
      <formula>$AG1012:$AG1198="EOB Downloaded"</formula>
    </cfRule>
  </conditionalFormatting>
  <conditionalFormatting sqref="P1011">
    <cfRule type="expression" dxfId="4802" priority="4920">
      <formula>$AG1011:$AG1197="Follow-Up Complete"</formula>
    </cfRule>
    <cfRule type="expression" dxfId="4801" priority="4921">
      <formula>$AG1011:$AG1197="Further Follow-Up"</formula>
    </cfRule>
    <cfRule type="expression" dxfId="4800" priority="4922">
      <formula>$AG1011:$AG1197="EOB Requested"</formula>
    </cfRule>
    <cfRule type="expression" dxfId="4799" priority="4923">
      <formula>$AG1011:$AG1197="EOB Not Found"</formula>
    </cfRule>
    <cfRule type="expression" dxfId="4798" priority="4924">
      <formula>$AG1011:$AG1197="EOB Downloaded"</formula>
    </cfRule>
  </conditionalFormatting>
  <conditionalFormatting sqref="T1011">
    <cfRule type="expression" dxfId="4797" priority="4915">
      <formula>$AG1011:$AG1197="Follow-Up Complete"</formula>
    </cfRule>
    <cfRule type="expression" dxfId="4796" priority="4916">
      <formula>$AG1011:$AG1197="Further Follow-Up"</formula>
    </cfRule>
    <cfRule type="expression" dxfId="4795" priority="4917">
      <formula>$AG1011:$AG1197="EOB Requested"</formula>
    </cfRule>
    <cfRule type="expression" dxfId="4794" priority="4918">
      <formula>$AG1011:$AG1197="EOB Not Found"</formula>
    </cfRule>
    <cfRule type="expression" dxfId="4793" priority="4919">
      <formula>$AG1011:$AG1197="EOB Downloaded"</formula>
    </cfRule>
  </conditionalFormatting>
  <conditionalFormatting sqref="V1011">
    <cfRule type="expression" dxfId="4792" priority="4910">
      <formula>$AG1011:$AG1197="Follow-Up Complete"</formula>
    </cfRule>
    <cfRule type="expression" dxfId="4791" priority="4911">
      <formula>$AG1011:$AG1197="Further Follow-Up"</formula>
    </cfRule>
    <cfRule type="expression" dxfId="4790" priority="4912">
      <formula>$AG1011:$AG1197="EOB Requested"</formula>
    </cfRule>
    <cfRule type="expression" dxfId="4789" priority="4913">
      <formula>$AG1011:$AG1197="EOB Not Found"</formula>
    </cfRule>
    <cfRule type="expression" dxfId="4788" priority="4914">
      <formula>$AG1011:$AG1197="EOB Downloaded"</formula>
    </cfRule>
  </conditionalFormatting>
  <conditionalFormatting sqref="AA1011">
    <cfRule type="expression" dxfId="4787" priority="4905">
      <formula>$AG1011:$AG1197="Follow-Up Complete"</formula>
    </cfRule>
    <cfRule type="expression" dxfId="4786" priority="4906">
      <formula>$AG1011:$AG1197="Further Follow-Up"</formula>
    </cfRule>
    <cfRule type="expression" dxfId="4785" priority="4907">
      <formula>$AG1011:$AG1197="EOB Requested"</formula>
    </cfRule>
    <cfRule type="expression" dxfId="4784" priority="4908">
      <formula>$AG1011:$AG1197="EOB Not Found"</formula>
    </cfRule>
    <cfRule type="expression" dxfId="4783" priority="4909">
      <formula>$AG1011:$AG1197="EOB Downloaded"</formula>
    </cfRule>
  </conditionalFormatting>
  <conditionalFormatting sqref="P1010">
    <cfRule type="expression" dxfId="4782" priority="4900">
      <formula>$AG1010:$AG1196="Follow-Up Complete"</formula>
    </cfRule>
    <cfRule type="expression" dxfId="4781" priority="4901">
      <formula>$AG1010:$AG1196="Further Follow-Up"</formula>
    </cfRule>
    <cfRule type="expression" dxfId="4780" priority="4902">
      <formula>$AG1010:$AG1196="EOB Requested"</formula>
    </cfRule>
    <cfRule type="expression" dxfId="4779" priority="4903">
      <formula>$AG1010:$AG1196="EOB Not Found"</formula>
    </cfRule>
    <cfRule type="expression" dxfId="4778" priority="4904">
      <formula>$AG1010:$AG1196="EOB Downloaded"</formula>
    </cfRule>
  </conditionalFormatting>
  <conditionalFormatting sqref="R1010">
    <cfRule type="expression" dxfId="4777" priority="4895">
      <formula>$AG1010:$AG1196="Follow-Up Complete"</formula>
    </cfRule>
    <cfRule type="expression" dxfId="4776" priority="4896">
      <formula>$AG1010:$AG1196="Further Follow-Up"</formula>
    </cfRule>
    <cfRule type="expression" dxfId="4775" priority="4897">
      <formula>$AG1010:$AG1196="EOB Requested"</formula>
    </cfRule>
    <cfRule type="expression" dxfId="4774" priority="4898">
      <formula>$AG1010:$AG1196="EOB Not Found"</formula>
    </cfRule>
    <cfRule type="expression" dxfId="4773" priority="4899">
      <formula>$AG1010:$AG1196="EOB Downloaded"</formula>
    </cfRule>
  </conditionalFormatting>
  <conditionalFormatting sqref="AA1010">
    <cfRule type="expression" dxfId="4772" priority="4890">
      <formula>$AG1010:$AG1196="Follow-Up Complete"</formula>
    </cfRule>
    <cfRule type="expression" dxfId="4771" priority="4891">
      <formula>$AG1010:$AG1196="Further Follow-Up"</formula>
    </cfRule>
    <cfRule type="expression" dxfId="4770" priority="4892">
      <formula>$AG1010:$AG1196="EOB Requested"</formula>
    </cfRule>
    <cfRule type="expression" dxfId="4769" priority="4893">
      <formula>$AG1010:$AG1196="EOB Not Found"</formula>
    </cfRule>
    <cfRule type="expression" dxfId="4768" priority="4894">
      <formula>$AG1010:$AG1196="EOB Downloaded"</formula>
    </cfRule>
  </conditionalFormatting>
  <conditionalFormatting sqref="P1009">
    <cfRule type="expression" dxfId="4767" priority="4885">
      <formula>$AG1009:$AG1195="Follow-Up Complete"</formula>
    </cfRule>
    <cfRule type="expression" dxfId="4766" priority="4886">
      <formula>$AG1009:$AG1195="Further Follow-Up"</formula>
    </cfRule>
    <cfRule type="expression" dxfId="4765" priority="4887">
      <formula>$AG1009:$AG1195="EOB Requested"</formula>
    </cfRule>
    <cfRule type="expression" dxfId="4764" priority="4888">
      <formula>$AG1009:$AG1195="EOB Not Found"</formula>
    </cfRule>
    <cfRule type="expression" dxfId="4763" priority="4889">
      <formula>$AG1009:$AG1195="EOB Downloaded"</formula>
    </cfRule>
  </conditionalFormatting>
  <conditionalFormatting sqref="R1009">
    <cfRule type="expression" dxfId="4762" priority="4880">
      <formula>$AG1009:$AG1195="Follow-Up Complete"</formula>
    </cfRule>
    <cfRule type="expression" dxfId="4761" priority="4881">
      <formula>$AG1009:$AG1195="Further Follow-Up"</formula>
    </cfRule>
    <cfRule type="expression" dxfId="4760" priority="4882">
      <formula>$AG1009:$AG1195="EOB Requested"</formula>
    </cfRule>
    <cfRule type="expression" dxfId="4759" priority="4883">
      <formula>$AG1009:$AG1195="EOB Not Found"</formula>
    </cfRule>
    <cfRule type="expression" dxfId="4758" priority="4884">
      <formula>$AG1009:$AG1195="EOB Downloaded"</formula>
    </cfRule>
  </conditionalFormatting>
  <conditionalFormatting sqref="T1009">
    <cfRule type="expression" dxfId="4757" priority="4875">
      <formula>$AG1009:$AG1195="Follow-Up Complete"</formula>
    </cfRule>
    <cfRule type="expression" dxfId="4756" priority="4876">
      <formula>$AG1009:$AG1195="Further Follow-Up"</formula>
    </cfRule>
    <cfRule type="expression" dxfId="4755" priority="4877">
      <formula>$AG1009:$AG1195="EOB Requested"</formula>
    </cfRule>
    <cfRule type="expression" dxfId="4754" priority="4878">
      <formula>$AG1009:$AG1195="EOB Not Found"</formula>
    </cfRule>
    <cfRule type="expression" dxfId="4753" priority="4879">
      <formula>$AG1009:$AG1195="EOB Downloaded"</formula>
    </cfRule>
  </conditionalFormatting>
  <conditionalFormatting sqref="V1009">
    <cfRule type="expression" dxfId="4752" priority="4870">
      <formula>$AG1009:$AG1195="Follow-Up Complete"</formula>
    </cfRule>
    <cfRule type="expression" dxfId="4751" priority="4871">
      <formula>$AG1009:$AG1195="Further Follow-Up"</formula>
    </cfRule>
    <cfRule type="expression" dxfId="4750" priority="4872">
      <formula>$AG1009:$AG1195="EOB Requested"</formula>
    </cfRule>
    <cfRule type="expression" dxfId="4749" priority="4873">
      <formula>$AG1009:$AG1195="EOB Not Found"</formula>
    </cfRule>
    <cfRule type="expression" dxfId="4748" priority="4874">
      <formula>$AG1009:$AG1195="EOB Downloaded"</formula>
    </cfRule>
  </conditionalFormatting>
  <conditionalFormatting sqref="X1009">
    <cfRule type="expression" dxfId="4747" priority="4865">
      <formula>$AG1009:$AG1195="Follow-Up Complete"</formula>
    </cfRule>
    <cfRule type="expression" dxfId="4746" priority="4866">
      <formula>$AG1009:$AG1195="Further Follow-Up"</formula>
    </cfRule>
    <cfRule type="expression" dxfId="4745" priority="4867">
      <formula>$AG1009:$AG1195="EOB Requested"</formula>
    </cfRule>
    <cfRule type="expression" dxfId="4744" priority="4868">
      <formula>$AG1009:$AG1195="EOB Not Found"</formula>
    </cfRule>
    <cfRule type="expression" dxfId="4743" priority="4869">
      <formula>$AG1009:$AG1195="EOB Downloaded"</formula>
    </cfRule>
  </conditionalFormatting>
  <conditionalFormatting sqref="AA1009">
    <cfRule type="expression" dxfId="4742" priority="4860">
      <formula>$AG1009:$AG1195="Follow-Up Complete"</formula>
    </cfRule>
    <cfRule type="expression" dxfId="4741" priority="4861">
      <formula>$AG1009:$AG1195="Further Follow-Up"</formula>
    </cfRule>
    <cfRule type="expression" dxfId="4740" priority="4862">
      <formula>$AG1009:$AG1195="EOB Requested"</formula>
    </cfRule>
    <cfRule type="expression" dxfId="4739" priority="4863">
      <formula>$AG1009:$AG1195="EOB Not Found"</formula>
    </cfRule>
    <cfRule type="expression" dxfId="4738" priority="4864">
      <formula>$AG1009:$AG1195="EOB Downloaded"</formula>
    </cfRule>
  </conditionalFormatting>
  <conditionalFormatting sqref="AF1009">
    <cfRule type="expression" dxfId="4737" priority="4855">
      <formula>$AG1009:$AG1195="Follow-Up Complete"</formula>
    </cfRule>
    <cfRule type="expression" dxfId="4736" priority="4856">
      <formula>$AG1009:$AG1195="Further Follow-Up"</formula>
    </cfRule>
    <cfRule type="expression" dxfId="4735" priority="4857">
      <formula>$AG1009:$AG1195="EOB Requested"</formula>
    </cfRule>
    <cfRule type="expression" dxfId="4734" priority="4858">
      <formula>$AG1009:$AG1195="EOB Not Found"</formula>
    </cfRule>
    <cfRule type="expression" dxfId="4733" priority="4859">
      <formula>$AG1009:$AG1195="EOB Downloaded"</formula>
    </cfRule>
  </conditionalFormatting>
  <conditionalFormatting sqref="P1008">
    <cfRule type="expression" dxfId="4732" priority="4850">
      <formula>$AG1008:$AG1194="Follow-Up Complete"</formula>
    </cfRule>
    <cfRule type="expression" dxfId="4731" priority="4851">
      <formula>$AG1008:$AG1194="Further Follow-Up"</formula>
    </cfRule>
    <cfRule type="expression" dxfId="4730" priority="4852">
      <formula>$AG1008:$AG1194="EOB Requested"</formula>
    </cfRule>
    <cfRule type="expression" dxfId="4729" priority="4853">
      <formula>$AG1008:$AG1194="EOB Not Found"</formula>
    </cfRule>
    <cfRule type="expression" dxfId="4728" priority="4854">
      <formula>$AG1008:$AG1194="EOB Downloaded"</formula>
    </cfRule>
  </conditionalFormatting>
  <conditionalFormatting sqref="R1008">
    <cfRule type="expression" dxfId="4727" priority="4845">
      <formula>$AG1008:$AG1194="Follow-Up Complete"</formula>
    </cfRule>
    <cfRule type="expression" dxfId="4726" priority="4846">
      <formula>$AG1008:$AG1194="Further Follow-Up"</formula>
    </cfRule>
    <cfRule type="expression" dxfId="4725" priority="4847">
      <formula>$AG1008:$AG1194="EOB Requested"</formula>
    </cfRule>
    <cfRule type="expression" dxfId="4724" priority="4848">
      <formula>$AG1008:$AG1194="EOB Not Found"</formula>
    </cfRule>
    <cfRule type="expression" dxfId="4723" priority="4849">
      <formula>$AG1008:$AG1194="EOB Downloaded"</formula>
    </cfRule>
  </conditionalFormatting>
  <conditionalFormatting sqref="T1008">
    <cfRule type="expression" dxfId="4722" priority="4840">
      <formula>$AG1008:$AG1194="Follow-Up Complete"</formula>
    </cfRule>
    <cfRule type="expression" dxfId="4721" priority="4841">
      <formula>$AG1008:$AG1194="Further Follow-Up"</formula>
    </cfRule>
    <cfRule type="expression" dxfId="4720" priority="4842">
      <formula>$AG1008:$AG1194="EOB Requested"</formula>
    </cfRule>
    <cfRule type="expression" dxfId="4719" priority="4843">
      <formula>$AG1008:$AG1194="EOB Not Found"</formula>
    </cfRule>
    <cfRule type="expression" dxfId="4718" priority="4844">
      <formula>$AG1008:$AG1194="EOB Downloaded"</formula>
    </cfRule>
  </conditionalFormatting>
  <conditionalFormatting sqref="V1008">
    <cfRule type="expression" dxfId="4717" priority="4835">
      <formula>$AG1008:$AG1194="Follow-Up Complete"</formula>
    </cfRule>
    <cfRule type="expression" dxfId="4716" priority="4836">
      <formula>$AG1008:$AG1194="Further Follow-Up"</formula>
    </cfRule>
    <cfRule type="expression" dxfId="4715" priority="4837">
      <formula>$AG1008:$AG1194="EOB Requested"</formula>
    </cfRule>
    <cfRule type="expression" dxfId="4714" priority="4838">
      <formula>$AG1008:$AG1194="EOB Not Found"</formula>
    </cfRule>
    <cfRule type="expression" dxfId="4713" priority="4839">
      <formula>$AG1008:$AG1194="EOB Downloaded"</formula>
    </cfRule>
  </conditionalFormatting>
  <conditionalFormatting sqref="X1008">
    <cfRule type="expression" dxfId="4712" priority="4830">
      <formula>$AG1008:$AG1194="Follow-Up Complete"</formula>
    </cfRule>
    <cfRule type="expression" dxfId="4711" priority="4831">
      <formula>$AG1008:$AG1194="Further Follow-Up"</formula>
    </cfRule>
    <cfRule type="expression" dxfId="4710" priority="4832">
      <formula>$AG1008:$AG1194="EOB Requested"</formula>
    </cfRule>
    <cfRule type="expression" dxfId="4709" priority="4833">
      <formula>$AG1008:$AG1194="EOB Not Found"</formula>
    </cfRule>
    <cfRule type="expression" dxfId="4708" priority="4834">
      <formula>$AG1008:$AG1194="EOB Downloaded"</formula>
    </cfRule>
  </conditionalFormatting>
  <conditionalFormatting sqref="AA1008">
    <cfRule type="expression" dxfId="4707" priority="4825">
      <formula>$AG1008:$AG1194="Follow-Up Complete"</formula>
    </cfRule>
    <cfRule type="expression" dxfId="4706" priority="4826">
      <formula>$AG1008:$AG1194="Further Follow-Up"</formula>
    </cfRule>
    <cfRule type="expression" dxfId="4705" priority="4827">
      <formula>$AG1008:$AG1194="EOB Requested"</formula>
    </cfRule>
    <cfRule type="expression" dxfId="4704" priority="4828">
      <formula>$AG1008:$AG1194="EOB Not Found"</formula>
    </cfRule>
    <cfRule type="expression" dxfId="4703" priority="4829">
      <formula>$AG1008:$AG1194="EOB Downloaded"</formula>
    </cfRule>
  </conditionalFormatting>
  <conditionalFormatting sqref="AF1003:AF1008">
    <cfRule type="expression" dxfId="4702" priority="4820">
      <formula>$AG1003:$AG1189="Follow-Up Complete"</formula>
    </cfRule>
    <cfRule type="expression" dxfId="4701" priority="4821">
      <formula>$AG1003:$AG1189="Further Follow-Up"</formula>
    </cfRule>
    <cfRule type="expression" dxfId="4700" priority="4822">
      <formula>$AG1003:$AG1189="EOB Requested"</formula>
    </cfRule>
    <cfRule type="expression" dxfId="4699" priority="4823">
      <formula>$AG1003:$AG1189="EOB Not Found"</formula>
    </cfRule>
    <cfRule type="expression" dxfId="4698" priority="4824">
      <formula>$AG1003:$AG1189="EOB Downloaded"</formula>
    </cfRule>
  </conditionalFormatting>
  <conditionalFormatting sqref="P1007">
    <cfRule type="expression" dxfId="4697" priority="4815">
      <formula>$AG1007:$AG1193="Follow-Up Complete"</formula>
    </cfRule>
    <cfRule type="expression" dxfId="4696" priority="4816">
      <formula>$AG1007:$AG1193="Further Follow-Up"</formula>
    </cfRule>
    <cfRule type="expression" dxfId="4695" priority="4817">
      <formula>$AG1007:$AG1193="EOB Requested"</formula>
    </cfRule>
    <cfRule type="expression" dxfId="4694" priority="4818">
      <formula>$AG1007:$AG1193="EOB Not Found"</formula>
    </cfRule>
    <cfRule type="expression" dxfId="4693" priority="4819">
      <formula>$AG1007:$AG1193="EOB Downloaded"</formula>
    </cfRule>
  </conditionalFormatting>
  <conditionalFormatting sqref="T1007">
    <cfRule type="expression" dxfId="4692" priority="4810">
      <formula>$AG1007:$AG1193="Follow-Up Complete"</formula>
    </cfRule>
    <cfRule type="expression" dxfId="4691" priority="4811">
      <formula>$AG1007:$AG1193="Further Follow-Up"</formula>
    </cfRule>
    <cfRule type="expression" dxfId="4690" priority="4812">
      <formula>$AG1007:$AG1193="EOB Requested"</formula>
    </cfRule>
    <cfRule type="expression" dxfId="4689" priority="4813">
      <formula>$AG1007:$AG1193="EOB Not Found"</formula>
    </cfRule>
    <cfRule type="expression" dxfId="4688" priority="4814">
      <formula>$AG1007:$AG1193="EOB Downloaded"</formula>
    </cfRule>
  </conditionalFormatting>
  <conditionalFormatting sqref="V1007">
    <cfRule type="expression" dxfId="4687" priority="4805">
      <formula>$AG1007:$AG1193="Follow-Up Complete"</formula>
    </cfRule>
    <cfRule type="expression" dxfId="4686" priority="4806">
      <formula>$AG1007:$AG1193="Further Follow-Up"</formula>
    </cfRule>
    <cfRule type="expression" dxfId="4685" priority="4807">
      <formula>$AG1007:$AG1193="EOB Requested"</formula>
    </cfRule>
    <cfRule type="expression" dxfId="4684" priority="4808">
      <formula>$AG1007:$AG1193="EOB Not Found"</formula>
    </cfRule>
    <cfRule type="expression" dxfId="4683" priority="4809">
      <formula>$AG1007:$AG1193="EOB Downloaded"</formula>
    </cfRule>
  </conditionalFormatting>
  <conditionalFormatting sqref="AA1007">
    <cfRule type="expression" dxfId="4682" priority="4800">
      <formula>$AG1007:$AG1193="Follow-Up Complete"</formula>
    </cfRule>
    <cfRule type="expression" dxfId="4681" priority="4801">
      <formula>$AG1007:$AG1193="Further Follow-Up"</formula>
    </cfRule>
    <cfRule type="expression" dxfId="4680" priority="4802">
      <formula>$AG1007:$AG1193="EOB Requested"</formula>
    </cfRule>
    <cfRule type="expression" dxfId="4679" priority="4803">
      <formula>$AG1007:$AG1193="EOB Not Found"</formula>
    </cfRule>
    <cfRule type="expression" dxfId="4678" priority="4804">
      <formula>$AG1007:$AG1193="EOB Downloaded"</formula>
    </cfRule>
  </conditionalFormatting>
  <conditionalFormatting sqref="P1006">
    <cfRule type="expression" dxfId="4677" priority="4795">
      <formula>$AG1006:$AG1192="Follow-Up Complete"</formula>
    </cfRule>
    <cfRule type="expression" dxfId="4676" priority="4796">
      <formula>$AG1006:$AG1192="Further Follow-Up"</formula>
    </cfRule>
    <cfRule type="expression" dxfId="4675" priority="4797">
      <formula>$AG1006:$AG1192="EOB Requested"</formula>
    </cfRule>
    <cfRule type="expression" dxfId="4674" priority="4798">
      <formula>$AG1006:$AG1192="EOB Not Found"</formula>
    </cfRule>
    <cfRule type="expression" dxfId="4673" priority="4799">
      <formula>$AG1006:$AG1192="EOB Downloaded"</formula>
    </cfRule>
  </conditionalFormatting>
  <conditionalFormatting sqref="R1006">
    <cfRule type="expression" dxfId="4672" priority="4790">
      <formula>$AG1006:$AG1192="Follow-Up Complete"</formula>
    </cfRule>
    <cfRule type="expression" dxfId="4671" priority="4791">
      <formula>$AG1006:$AG1192="Further Follow-Up"</formula>
    </cfRule>
    <cfRule type="expression" dxfId="4670" priority="4792">
      <formula>$AG1006:$AG1192="EOB Requested"</formula>
    </cfRule>
    <cfRule type="expression" dxfId="4669" priority="4793">
      <formula>$AG1006:$AG1192="EOB Not Found"</formula>
    </cfRule>
    <cfRule type="expression" dxfId="4668" priority="4794">
      <formula>$AG1006:$AG1192="EOB Downloaded"</formula>
    </cfRule>
  </conditionalFormatting>
  <conditionalFormatting sqref="T1006">
    <cfRule type="expression" dxfId="4667" priority="4785">
      <formula>$AG1006:$AG1192="Follow-Up Complete"</formula>
    </cfRule>
    <cfRule type="expression" dxfId="4666" priority="4786">
      <formula>$AG1006:$AG1192="Further Follow-Up"</formula>
    </cfRule>
    <cfRule type="expression" dxfId="4665" priority="4787">
      <formula>$AG1006:$AG1192="EOB Requested"</formula>
    </cfRule>
    <cfRule type="expression" dxfId="4664" priority="4788">
      <formula>$AG1006:$AG1192="EOB Not Found"</formula>
    </cfRule>
    <cfRule type="expression" dxfId="4663" priority="4789">
      <formula>$AG1006:$AG1192="EOB Downloaded"</formula>
    </cfRule>
  </conditionalFormatting>
  <conditionalFormatting sqref="V1006">
    <cfRule type="expression" dxfId="4662" priority="4780">
      <formula>$AG1006:$AG1192="Follow-Up Complete"</formula>
    </cfRule>
    <cfRule type="expression" dxfId="4661" priority="4781">
      <formula>$AG1006:$AG1192="Further Follow-Up"</formula>
    </cfRule>
    <cfRule type="expression" dxfId="4660" priority="4782">
      <formula>$AG1006:$AG1192="EOB Requested"</formula>
    </cfRule>
    <cfRule type="expression" dxfId="4659" priority="4783">
      <formula>$AG1006:$AG1192="EOB Not Found"</formula>
    </cfRule>
    <cfRule type="expression" dxfId="4658" priority="4784">
      <formula>$AG1006:$AG1192="EOB Downloaded"</formula>
    </cfRule>
  </conditionalFormatting>
  <conditionalFormatting sqref="X1006">
    <cfRule type="expression" dxfId="4657" priority="4775">
      <formula>$AG1006:$AG1192="Follow-Up Complete"</formula>
    </cfRule>
    <cfRule type="expression" dxfId="4656" priority="4776">
      <formula>$AG1006:$AG1192="Further Follow-Up"</formula>
    </cfRule>
    <cfRule type="expression" dxfId="4655" priority="4777">
      <formula>$AG1006:$AG1192="EOB Requested"</formula>
    </cfRule>
    <cfRule type="expression" dxfId="4654" priority="4778">
      <formula>$AG1006:$AG1192="EOB Not Found"</formula>
    </cfRule>
    <cfRule type="expression" dxfId="4653" priority="4779">
      <formula>$AG1006:$AG1192="EOB Downloaded"</formula>
    </cfRule>
  </conditionalFormatting>
  <conditionalFormatting sqref="AA1006">
    <cfRule type="expression" dxfId="4652" priority="4770">
      <formula>$AG1006:$AG1192="Follow-Up Complete"</formula>
    </cfRule>
    <cfRule type="expression" dxfId="4651" priority="4771">
      <formula>$AG1006:$AG1192="Further Follow-Up"</formula>
    </cfRule>
    <cfRule type="expression" dxfId="4650" priority="4772">
      <formula>$AG1006:$AG1192="EOB Requested"</formula>
    </cfRule>
    <cfRule type="expression" dxfId="4649" priority="4773">
      <formula>$AG1006:$AG1192="EOB Not Found"</formula>
    </cfRule>
    <cfRule type="expression" dxfId="4648" priority="4774">
      <formula>$AG1006:$AG1192="EOB Downloaded"</formula>
    </cfRule>
  </conditionalFormatting>
  <conditionalFormatting sqref="P1005">
    <cfRule type="expression" dxfId="4647" priority="4765">
      <formula>$AG1005:$AG1191="Follow-Up Complete"</formula>
    </cfRule>
    <cfRule type="expression" dxfId="4646" priority="4766">
      <formula>$AG1005:$AG1191="Further Follow-Up"</formula>
    </cfRule>
    <cfRule type="expression" dxfId="4645" priority="4767">
      <formula>$AG1005:$AG1191="EOB Requested"</formula>
    </cfRule>
    <cfRule type="expression" dxfId="4644" priority="4768">
      <formula>$AG1005:$AG1191="EOB Not Found"</formula>
    </cfRule>
    <cfRule type="expression" dxfId="4643" priority="4769">
      <formula>$AG1005:$AG1191="EOB Downloaded"</formula>
    </cfRule>
  </conditionalFormatting>
  <conditionalFormatting sqref="R1005">
    <cfRule type="expression" dxfId="4642" priority="4760">
      <formula>$AG1005:$AG1191="Follow-Up Complete"</formula>
    </cfRule>
    <cfRule type="expression" dxfId="4641" priority="4761">
      <formula>$AG1005:$AG1191="Further Follow-Up"</formula>
    </cfRule>
    <cfRule type="expression" dxfId="4640" priority="4762">
      <formula>$AG1005:$AG1191="EOB Requested"</formula>
    </cfRule>
    <cfRule type="expression" dxfId="4639" priority="4763">
      <formula>$AG1005:$AG1191="EOB Not Found"</formula>
    </cfRule>
    <cfRule type="expression" dxfId="4638" priority="4764">
      <formula>$AG1005:$AG1191="EOB Downloaded"</formula>
    </cfRule>
  </conditionalFormatting>
  <conditionalFormatting sqref="T1005">
    <cfRule type="expression" dxfId="4637" priority="4755">
      <formula>$AG1005:$AG1191="Follow-Up Complete"</formula>
    </cfRule>
    <cfRule type="expression" dxfId="4636" priority="4756">
      <formula>$AG1005:$AG1191="Further Follow-Up"</formula>
    </cfRule>
    <cfRule type="expression" dxfId="4635" priority="4757">
      <formula>$AG1005:$AG1191="EOB Requested"</formula>
    </cfRule>
    <cfRule type="expression" dxfId="4634" priority="4758">
      <formula>$AG1005:$AG1191="EOB Not Found"</formula>
    </cfRule>
    <cfRule type="expression" dxfId="4633" priority="4759">
      <formula>$AG1005:$AG1191="EOB Downloaded"</formula>
    </cfRule>
  </conditionalFormatting>
  <conditionalFormatting sqref="V1005">
    <cfRule type="expression" dxfId="4632" priority="4750">
      <formula>$AG1005:$AG1191="Follow-Up Complete"</formula>
    </cfRule>
    <cfRule type="expression" dxfId="4631" priority="4751">
      <formula>$AG1005:$AG1191="Further Follow-Up"</formula>
    </cfRule>
    <cfRule type="expression" dxfId="4630" priority="4752">
      <formula>$AG1005:$AG1191="EOB Requested"</formula>
    </cfRule>
    <cfRule type="expression" dxfId="4629" priority="4753">
      <formula>$AG1005:$AG1191="EOB Not Found"</formula>
    </cfRule>
    <cfRule type="expression" dxfId="4628" priority="4754">
      <formula>$AG1005:$AG1191="EOB Downloaded"</formula>
    </cfRule>
  </conditionalFormatting>
  <conditionalFormatting sqref="X1005">
    <cfRule type="expression" dxfId="4627" priority="4745">
      <formula>$AG1005:$AG1191="Follow-Up Complete"</formula>
    </cfRule>
    <cfRule type="expression" dxfId="4626" priority="4746">
      <formula>$AG1005:$AG1191="Further Follow-Up"</formula>
    </cfRule>
    <cfRule type="expression" dxfId="4625" priority="4747">
      <formula>$AG1005:$AG1191="EOB Requested"</formula>
    </cfRule>
    <cfRule type="expression" dxfId="4624" priority="4748">
      <formula>$AG1005:$AG1191="EOB Not Found"</formula>
    </cfRule>
    <cfRule type="expression" dxfId="4623" priority="4749">
      <formula>$AG1005:$AG1191="EOB Downloaded"</formula>
    </cfRule>
  </conditionalFormatting>
  <conditionalFormatting sqref="AA1005">
    <cfRule type="expression" dxfId="4622" priority="4740">
      <formula>$AG1005:$AG1191="Follow-Up Complete"</formula>
    </cfRule>
    <cfRule type="expression" dxfId="4621" priority="4741">
      <formula>$AG1005:$AG1191="Further Follow-Up"</formula>
    </cfRule>
    <cfRule type="expression" dxfId="4620" priority="4742">
      <formula>$AG1005:$AG1191="EOB Requested"</formula>
    </cfRule>
    <cfRule type="expression" dxfId="4619" priority="4743">
      <formula>$AG1005:$AG1191="EOB Not Found"</formula>
    </cfRule>
    <cfRule type="expression" dxfId="4618" priority="4744">
      <formula>$AG1005:$AG1191="EOB Downloaded"</formula>
    </cfRule>
  </conditionalFormatting>
  <conditionalFormatting sqref="P1004">
    <cfRule type="expression" dxfId="4617" priority="4735">
      <formula>$AG1004:$AG1190="Follow-Up Complete"</formula>
    </cfRule>
    <cfRule type="expression" dxfId="4616" priority="4736">
      <formula>$AG1004:$AG1190="Further Follow-Up"</formula>
    </cfRule>
    <cfRule type="expression" dxfId="4615" priority="4737">
      <formula>$AG1004:$AG1190="EOB Requested"</formula>
    </cfRule>
    <cfRule type="expression" dxfId="4614" priority="4738">
      <formula>$AG1004:$AG1190="EOB Not Found"</formula>
    </cfRule>
    <cfRule type="expression" dxfId="4613" priority="4739">
      <formula>$AG1004:$AG1190="EOB Downloaded"</formula>
    </cfRule>
  </conditionalFormatting>
  <conditionalFormatting sqref="R1004">
    <cfRule type="expression" dxfId="4612" priority="4730">
      <formula>$AG1004:$AG1190="Follow-Up Complete"</formula>
    </cfRule>
    <cfRule type="expression" dxfId="4611" priority="4731">
      <formula>$AG1004:$AG1190="Further Follow-Up"</formula>
    </cfRule>
    <cfRule type="expression" dxfId="4610" priority="4732">
      <formula>$AG1004:$AG1190="EOB Requested"</formula>
    </cfRule>
    <cfRule type="expression" dxfId="4609" priority="4733">
      <formula>$AG1004:$AG1190="EOB Not Found"</formula>
    </cfRule>
    <cfRule type="expression" dxfId="4608" priority="4734">
      <formula>$AG1004:$AG1190="EOB Downloaded"</formula>
    </cfRule>
  </conditionalFormatting>
  <conditionalFormatting sqref="T1004">
    <cfRule type="expression" dxfId="4607" priority="4725">
      <formula>$AG1004:$AG1190="Follow-Up Complete"</formula>
    </cfRule>
    <cfRule type="expression" dxfId="4606" priority="4726">
      <formula>$AG1004:$AG1190="Further Follow-Up"</formula>
    </cfRule>
    <cfRule type="expression" dxfId="4605" priority="4727">
      <formula>$AG1004:$AG1190="EOB Requested"</formula>
    </cfRule>
    <cfRule type="expression" dxfId="4604" priority="4728">
      <formula>$AG1004:$AG1190="EOB Not Found"</formula>
    </cfRule>
    <cfRule type="expression" dxfId="4603" priority="4729">
      <formula>$AG1004:$AG1190="EOB Downloaded"</formula>
    </cfRule>
  </conditionalFormatting>
  <conditionalFormatting sqref="V1004">
    <cfRule type="expression" dxfId="4602" priority="4720">
      <formula>$AG1004:$AG1190="Follow-Up Complete"</formula>
    </cfRule>
    <cfRule type="expression" dxfId="4601" priority="4721">
      <formula>$AG1004:$AG1190="Further Follow-Up"</formula>
    </cfRule>
    <cfRule type="expression" dxfId="4600" priority="4722">
      <formula>$AG1004:$AG1190="EOB Requested"</formula>
    </cfRule>
    <cfRule type="expression" dxfId="4599" priority="4723">
      <formula>$AG1004:$AG1190="EOB Not Found"</formula>
    </cfRule>
    <cfRule type="expression" dxfId="4598" priority="4724">
      <formula>$AG1004:$AG1190="EOB Downloaded"</formula>
    </cfRule>
  </conditionalFormatting>
  <conditionalFormatting sqref="X1004">
    <cfRule type="expression" dxfId="4597" priority="4715">
      <formula>$AG1004:$AG1190="Follow-Up Complete"</formula>
    </cfRule>
    <cfRule type="expression" dxfId="4596" priority="4716">
      <formula>$AG1004:$AG1190="Further Follow-Up"</formula>
    </cfRule>
    <cfRule type="expression" dxfId="4595" priority="4717">
      <formula>$AG1004:$AG1190="EOB Requested"</formula>
    </cfRule>
    <cfRule type="expression" dxfId="4594" priority="4718">
      <formula>$AG1004:$AG1190="EOB Not Found"</formula>
    </cfRule>
    <cfRule type="expression" dxfId="4593" priority="4719">
      <formula>$AG1004:$AG1190="EOB Downloaded"</formula>
    </cfRule>
  </conditionalFormatting>
  <conditionalFormatting sqref="AA1004">
    <cfRule type="expression" dxfId="4592" priority="4710">
      <formula>$AG1004:$AG1190="Follow-Up Complete"</formula>
    </cfRule>
    <cfRule type="expression" dxfId="4591" priority="4711">
      <formula>$AG1004:$AG1190="Further Follow-Up"</formula>
    </cfRule>
    <cfRule type="expression" dxfId="4590" priority="4712">
      <formula>$AG1004:$AG1190="EOB Requested"</formula>
    </cfRule>
    <cfRule type="expression" dxfId="4589" priority="4713">
      <formula>$AG1004:$AG1190="EOB Not Found"</formula>
    </cfRule>
    <cfRule type="expression" dxfId="4588" priority="4714">
      <formula>$AG1004:$AG1190="EOB Downloaded"</formula>
    </cfRule>
  </conditionalFormatting>
  <conditionalFormatting sqref="P1003">
    <cfRule type="expression" dxfId="4587" priority="4705">
      <formula>$AG1003:$AG1189="Follow-Up Complete"</formula>
    </cfRule>
    <cfRule type="expression" dxfId="4586" priority="4706">
      <formula>$AG1003:$AG1189="Further Follow-Up"</formula>
    </cfRule>
    <cfRule type="expression" dxfId="4585" priority="4707">
      <formula>$AG1003:$AG1189="EOB Requested"</formula>
    </cfRule>
    <cfRule type="expression" dxfId="4584" priority="4708">
      <formula>$AG1003:$AG1189="EOB Not Found"</formula>
    </cfRule>
    <cfRule type="expression" dxfId="4583" priority="4709">
      <formula>$AG1003:$AG1189="EOB Downloaded"</formula>
    </cfRule>
  </conditionalFormatting>
  <conditionalFormatting sqref="R1003">
    <cfRule type="expression" dxfId="4582" priority="4700">
      <formula>$AG1003:$AG1189="Follow-Up Complete"</formula>
    </cfRule>
    <cfRule type="expression" dxfId="4581" priority="4701">
      <formula>$AG1003:$AG1189="Further Follow-Up"</formula>
    </cfRule>
    <cfRule type="expression" dxfId="4580" priority="4702">
      <formula>$AG1003:$AG1189="EOB Requested"</formula>
    </cfRule>
    <cfRule type="expression" dxfId="4579" priority="4703">
      <formula>$AG1003:$AG1189="EOB Not Found"</formula>
    </cfRule>
    <cfRule type="expression" dxfId="4578" priority="4704">
      <formula>$AG1003:$AG1189="EOB Downloaded"</formula>
    </cfRule>
  </conditionalFormatting>
  <conditionalFormatting sqref="T1003">
    <cfRule type="expression" dxfId="4577" priority="4695">
      <formula>$AG1003:$AG1189="Follow-Up Complete"</formula>
    </cfRule>
    <cfRule type="expression" dxfId="4576" priority="4696">
      <formula>$AG1003:$AG1189="Further Follow-Up"</formula>
    </cfRule>
    <cfRule type="expression" dxfId="4575" priority="4697">
      <formula>$AG1003:$AG1189="EOB Requested"</formula>
    </cfRule>
    <cfRule type="expression" dxfId="4574" priority="4698">
      <formula>$AG1003:$AG1189="EOB Not Found"</formula>
    </cfRule>
    <cfRule type="expression" dxfId="4573" priority="4699">
      <formula>$AG1003:$AG1189="EOB Downloaded"</formula>
    </cfRule>
  </conditionalFormatting>
  <conditionalFormatting sqref="V1003">
    <cfRule type="expression" dxfId="4572" priority="4690">
      <formula>$AG1003:$AG1189="Follow-Up Complete"</formula>
    </cfRule>
    <cfRule type="expression" dxfId="4571" priority="4691">
      <formula>$AG1003:$AG1189="Further Follow-Up"</formula>
    </cfRule>
    <cfRule type="expression" dxfId="4570" priority="4692">
      <formula>$AG1003:$AG1189="EOB Requested"</formula>
    </cfRule>
    <cfRule type="expression" dxfId="4569" priority="4693">
      <formula>$AG1003:$AG1189="EOB Not Found"</formula>
    </cfRule>
    <cfRule type="expression" dxfId="4568" priority="4694">
      <formula>$AG1003:$AG1189="EOB Downloaded"</formula>
    </cfRule>
  </conditionalFormatting>
  <conditionalFormatting sqref="X1003">
    <cfRule type="expression" dxfId="4567" priority="4685">
      <formula>$AG1003:$AG1189="Follow-Up Complete"</formula>
    </cfRule>
    <cfRule type="expression" dxfId="4566" priority="4686">
      <formula>$AG1003:$AG1189="Further Follow-Up"</formula>
    </cfRule>
    <cfRule type="expression" dxfId="4565" priority="4687">
      <formula>$AG1003:$AG1189="EOB Requested"</formula>
    </cfRule>
    <cfRule type="expression" dxfId="4564" priority="4688">
      <formula>$AG1003:$AG1189="EOB Not Found"</formula>
    </cfRule>
    <cfRule type="expression" dxfId="4563" priority="4689">
      <formula>$AG1003:$AG1189="EOB Downloaded"</formula>
    </cfRule>
  </conditionalFormatting>
  <conditionalFormatting sqref="AA1003">
    <cfRule type="expression" dxfId="4562" priority="4680">
      <formula>$AG1003:$AG1189="Follow-Up Complete"</formula>
    </cfRule>
    <cfRule type="expression" dxfId="4561" priority="4681">
      <formula>$AG1003:$AG1189="Further Follow-Up"</formula>
    </cfRule>
    <cfRule type="expression" dxfId="4560" priority="4682">
      <formula>$AG1003:$AG1189="EOB Requested"</formula>
    </cfRule>
    <cfRule type="expression" dxfId="4559" priority="4683">
      <formula>$AG1003:$AG1189="EOB Not Found"</formula>
    </cfRule>
    <cfRule type="expression" dxfId="4558" priority="4684">
      <formula>$AG1003:$AG1189="EOB Downloaded"</formula>
    </cfRule>
  </conditionalFormatting>
  <conditionalFormatting sqref="P1002">
    <cfRule type="expression" dxfId="4557" priority="4675">
      <formula>$AG1002:$AG1188="Follow-Up Complete"</formula>
    </cfRule>
    <cfRule type="expression" dxfId="4556" priority="4676">
      <formula>$AG1002:$AG1188="Further Follow-Up"</formula>
    </cfRule>
    <cfRule type="expression" dxfId="4555" priority="4677">
      <formula>$AG1002:$AG1188="EOB Requested"</formula>
    </cfRule>
    <cfRule type="expression" dxfId="4554" priority="4678">
      <formula>$AG1002:$AG1188="EOB Not Found"</formula>
    </cfRule>
    <cfRule type="expression" dxfId="4553" priority="4679">
      <formula>$AG1002:$AG1188="EOB Downloaded"</formula>
    </cfRule>
  </conditionalFormatting>
  <conditionalFormatting sqref="R1002">
    <cfRule type="expression" dxfId="4552" priority="4670">
      <formula>$AG1002:$AG1188="Follow-Up Complete"</formula>
    </cfRule>
    <cfRule type="expression" dxfId="4551" priority="4671">
      <formula>$AG1002:$AG1188="Further Follow-Up"</formula>
    </cfRule>
    <cfRule type="expression" dxfId="4550" priority="4672">
      <formula>$AG1002:$AG1188="EOB Requested"</formula>
    </cfRule>
    <cfRule type="expression" dxfId="4549" priority="4673">
      <formula>$AG1002:$AG1188="EOB Not Found"</formula>
    </cfRule>
    <cfRule type="expression" dxfId="4548" priority="4674">
      <formula>$AG1002:$AG1188="EOB Downloaded"</formula>
    </cfRule>
  </conditionalFormatting>
  <conditionalFormatting sqref="T1002">
    <cfRule type="expression" dxfId="4547" priority="4665">
      <formula>$AG1002:$AG1188="Follow-Up Complete"</formula>
    </cfRule>
    <cfRule type="expression" dxfId="4546" priority="4666">
      <formula>$AG1002:$AG1188="Further Follow-Up"</formula>
    </cfRule>
    <cfRule type="expression" dxfId="4545" priority="4667">
      <formula>$AG1002:$AG1188="EOB Requested"</formula>
    </cfRule>
    <cfRule type="expression" dxfId="4544" priority="4668">
      <formula>$AG1002:$AG1188="EOB Not Found"</formula>
    </cfRule>
    <cfRule type="expression" dxfId="4543" priority="4669">
      <formula>$AG1002:$AG1188="EOB Downloaded"</formula>
    </cfRule>
  </conditionalFormatting>
  <conditionalFormatting sqref="V1002">
    <cfRule type="expression" dxfId="4542" priority="4660">
      <formula>$AG1002:$AG1188="Follow-Up Complete"</formula>
    </cfRule>
    <cfRule type="expression" dxfId="4541" priority="4661">
      <formula>$AG1002:$AG1188="Further Follow-Up"</formula>
    </cfRule>
    <cfRule type="expression" dxfId="4540" priority="4662">
      <formula>$AG1002:$AG1188="EOB Requested"</formula>
    </cfRule>
    <cfRule type="expression" dxfId="4539" priority="4663">
      <formula>$AG1002:$AG1188="EOB Not Found"</formula>
    </cfRule>
    <cfRule type="expression" dxfId="4538" priority="4664">
      <formula>$AG1002:$AG1188="EOB Downloaded"</formula>
    </cfRule>
  </conditionalFormatting>
  <conditionalFormatting sqref="X1002">
    <cfRule type="expression" dxfId="4537" priority="4655">
      <formula>$AG1002:$AG1188="Follow-Up Complete"</formula>
    </cfRule>
    <cfRule type="expression" dxfId="4536" priority="4656">
      <formula>$AG1002:$AG1188="Further Follow-Up"</formula>
    </cfRule>
    <cfRule type="expression" dxfId="4535" priority="4657">
      <formula>$AG1002:$AG1188="EOB Requested"</formula>
    </cfRule>
    <cfRule type="expression" dxfId="4534" priority="4658">
      <formula>$AG1002:$AG1188="EOB Not Found"</formula>
    </cfRule>
    <cfRule type="expression" dxfId="4533" priority="4659">
      <formula>$AG1002:$AG1188="EOB Downloaded"</formula>
    </cfRule>
  </conditionalFormatting>
  <conditionalFormatting sqref="AA1002">
    <cfRule type="expression" dxfId="4532" priority="4650">
      <formula>$AG1002:$AG1188="Follow-Up Complete"</formula>
    </cfRule>
    <cfRule type="expression" dxfId="4531" priority="4651">
      <formula>$AG1002:$AG1188="Further Follow-Up"</formula>
    </cfRule>
    <cfRule type="expression" dxfId="4530" priority="4652">
      <formula>$AG1002:$AG1188="EOB Requested"</formula>
    </cfRule>
    <cfRule type="expression" dxfId="4529" priority="4653">
      <formula>$AG1002:$AG1188="EOB Not Found"</formula>
    </cfRule>
    <cfRule type="expression" dxfId="4528" priority="4654">
      <formula>$AG1002:$AG1188="EOB Downloaded"</formula>
    </cfRule>
  </conditionalFormatting>
  <conditionalFormatting sqref="P1001">
    <cfRule type="expression" dxfId="4527" priority="4645">
      <formula>$AG1001:$AG1187="Follow-Up Complete"</formula>
    </cfRule>
    <cfRule type="expression" dxfId="4526" priority="4646">
      <formula>$AG1001:$AG1187="Further Follow-Up"</formula>
    </cfRule>
    <cfRule type="expression" dxfId="4525" priority="4647">
      <formula>$AG1001:$AG1187="EOB Requested"</formula>
    </cfRule>
    <cfRule type="expression" dxfId="4524" priority="4648">
      <formula>$AG1001:$AG1187="EOB Not Found"</formula>
    </cfRule>
    <cfRule type="expression" dxfId="4523" priority="4649">
      <formula>$AG1001:$AG1187="EOB Downloaded"</formula>
    </cfRule>
  </conditionalFormatting>
  <conditionalFormatting sqref="V1001">
    <cfRule type="expression" dxfId="4522" priority="4640">
      <formula>$AG1001:$AG1187="Follow-Up Complete"</formula>
    </cfRule>
    <cfRule type="expression" dxfId="4521" priority="4641">
      <formula>$AG1001:$AG1187="Further Follow-Up"</formula>
    </cfRule>
    <cfRule type="expression" dxfId="4520" priority="4642">
      <formula>$AG1001:$AG1187="EOB Requested"</formula>
    </cfRule>
    <cfRule type="expression" dxfId="4519" priority="4643">
      <formula>$AG1001:$AG1187="EOB Not Found"</formula>
    </cfRule>
    <cfRule type="expression" dxfId="4518" priority="4644">
      <formula>$AG1001:$AG1187="EOB Downloaded"</formula>
    </cfRule>
  </conditionalFormatting>
  <conditionalFormatting sqref="AA1001">
    <cfRule type="expression" dxfId="4517" priority="4635">
      <formula>$AG1001:$AG1187="Follow-Up Complete"</formula>
    </cfRule>
    <cfRule type="expression" dxfId="4516" priority="4636">
      <formula>$AG1001:$AG1187="Further Follow-Up"</formula>
    </cfRule>
    <cfRule type="expression" dxfId="4515" priority="4637">
      <formula>$AG1001:$AG1187="EOB Requested"</formula>
    </cfRule>
    <cfRule type="expression" dxfId="4514" priority="4638">
      <formula>$AG1001:$AG1187="EOB Not Found"</formula>
    </cfRule>
    <cfRule type="expression" dxfId="4513" priority="4639">
      <formula>$AG1001:$AG1187="EOB Downloaded"</formula>
    </cfRule>
  </conditionalFormatting>
  <conditionalFormatting sqref="P1000">
    <cfRule type="expression" dxfId="4512" priority="4630">
      <formula>$AG1000:$AG1186="Follow-Up Complete"</formula>
    </cfRule>
    <cfRule type="expression" dxfId="4511" priority="4631">
      <formula>$AG1000:$AG1186="Further Follow-Up"</formula>
    </cfRule>
    <cfRule type="expression" dxfId="4510" priority="4632">
      <formula>$AG1000:$AG1186="EOB Requested"</formula>
    </cfRule>
    <cfRule type="expression" dxfId="4509" priority="4633">
      <formula>$AG1000:$AG1186="EOB Not Found"</formula>
    </cfRule>
    <cfRule type="expression" dxfId="4508" priority="4634">
      <formula>$AG1000:$AG1186="EOB Downloaded"</formula>
    </cfRule>
  </conditionalFormatting>
  <conditionalFormatting sqref="R1000">
    <cfRule type="expression" dxfId="4507" priority="4625">
      <formula>$AG1000:$AG1186="Follow-Up Complete"</formula>
    </cfRule>
    <cfRule type="expression" dxfId="4506" priority="4626">
      <formula>$AG1000:$AG1186="Further Follow-Up"</formula>
    </cfRule>
    <cfRule type="expression" dxfId="4505" priority="4627">
      <formula>$AG1000:$AG1186="EOB Requested"</formula>
    </cfRule>
    <cfRule type="expression" dxfId="4504" priority="4628">
      <formula>$AG1000:$AG1186="EOB Not Found"</formula>
    </cfRule>
    <cfRule type="expression" dxfId="4503" priority="4629">
      <formula>$AG1000:$AG1186="EOB Downloaded"</formula>
    </cfRule>
  </conditionalFormatting>
  <conditionalFormatting sqref="T1000">
    <cfRule type="expression" dxfId="4502" priority="4620">
      <formula>$AG1000:$AG1186="Follow-Up Complete"</formula>
    </cfRule>
    <cfRule type="expression" dxfId="4501" priority="4621">
      <formula>$AG1000:$AG1186="Further Follow-Up"</formula>
    </cfRule>
    <cfRule type="expression" dxfId="4500" priority="4622">
      <formula>$AG1000:$AG1186="EOB Requested"</formula>
    </cfRule>
    <cfRule type="expression" dxfId="4499" priority="4623">
      <formula>$AG1000:$AG1186="EOB Not Found"</formula>
    </cfRule>
    <cfRule type="expression" dxfId="4498" priority="4624">
      <formula>$AG1000:$AG1186="EOB Downloaded"</formula>
    </cfRule>
  </conditionalFormatting>
  <conditionalFormatting sqref="V1000">
    <cfRule type="expression" dxfId="4497" priority="4615">
      <formula>$AG1000:$AG1186="Follow-Up Complete"</formula>
    </cfRule>
    <cfRule type="expression" dxfId="4496" priority="4616">
      <formula>$AG1000:$AG1186="Further Follow-Up"</formula>
    </cfRule>
    <cfRule type="expression" dxfId="4495" priority="4617">
      <formula>$AG1000:$AG1186="EOB Requested"</formula>
    </cfRule>
    <cfRule type="expression" dxfId="4494" priority="4618">
      <formula>$AG1000:$AG1186="EOB Not Found"</formula>
    </cfRule>
    <cfRule type="expression" dxfId="4493" priority="4619">
      <formula>$AG1000:$AG1186="EOB Downloaded"</formula>
    </cfRule>
  </conditionalFormatting>
  <conditionalFormatting sqref="X1000">
    <cfRule type="expression" dxfId="4492" priority="4610">
      <formula>$AG1000:$AG1186="Follow-Up Complete"</formula>
    </cfRule>
    <cfRule type="expression" dxfId="4491" priority="4611">
      <formula>$AG1000:$AG1186="Further Follow-Up"</formula>
    </cfRule>
    <cfRule type="expression" dxfId="4490" priority="4612">
      <formula>$AG1000:$AG1186="EOB Requested"</formula>
    </cfRule>
    <cfRule type="expression" dxfId="4489" priority="4613">
      <formula>$AG1000:$AG1186="EOB Not Found"</formula>
    </cfRule>
    <cfRule type="expression" dxfId="4488" priority="4614">
      <formula>$AG1000:$AG1186="EOB Downloaded"</formula>
    </cfRule>
  </conditionalFormatting>
  <conditionalFormatting sqref="AA1000">
    <cfRule type="expression" dxfId="4487" priority="4605">
      <formula>$AG1000:$AG1186="Follow-Up Complete"</formula>
    </cfRule>
    <cfRule type="expression" dxfId="4486" priority="4606">
      <formula>$AG1000:$AG1186="Further Follow-Up"</formula>
    </cfRule>
    <cfRule type="expression" dxfId="4485" priority="4607">
      <formula>$AG1000:$AG1186="EOB Requested"</formula>
    </cfRule>
    <cfRule type="expression" dxfId="4484" priority="4608">
      <formula>$AG1000:$AG1186="EOB Not Found"</formula>
    </cfRule>
    <cfRule type="expression" dxfId="4483" priority="4609">
      <formula>$AG1000:$AG1186="EOB Downloaded"</formula>
    </cfRule>
  </conditionalFormatting>
  <conditionalFormatting sqref="R999">
    <cfRule type="expression" dxfId="4482" priority="4600">
      <formula>$AG999:$AG1185="Follow-Up Complete"</formula>
    </cfRule>
    <cfRule type="expression" dxfId="4481" priority="4601">
      <formula>$AG999:$AG1185="Further Follow-Up"</formula>
    </cfRule>
    <cfRule type="expression" dxfId="4480" priority="4602">
      <formula>$AG999:$AG1185="EOB Requested"</formula>
    </cfRule>
    <cfRule type="expression" dxfId="4479" priority="4603">
      <formula>$AG999:$AG1185="EOB Not Found"</formula>
    </cfRule>
    <cfRule type="expression" dxfId="4478" priority="4604">
      <formula>$AG999:$AG1185="EOB Downloaded"</formula>
    </cfRule>
  </conditionalFormatting>
  <conditionalFormatting sqref="T999">
    <cfRule type="expression" dxfId="4477" priority="4595">
      <formula>$AG999:$AG1185="Follow-Up Complete"</formula>
    </cfRule>
    <cfRule type="expression" dxfId="4476" priority="4596">
      <formula>$AG999:$AG1185="Further Follow-Up"</formula>
    </cfRule>
    <cfRule type="expression" dxfId="4475" priority="4597">
      <formula>$AG999:$AG1185="EOB Requested"</formula>
    </cfRule>
    <cfRule type="expression" dxfId="4474" priority="4598">
      <formula>$AG999:$AG1185="EOB Not Found"</formula>
    </cfRule>
    <cfRule type="expression" dxfId="4473" priority="4599">
      <formula>$AG999:$AG1185="EOB Downloaded"</formula>
    </cfRule>
  </conditionalFormatting>
  <conditionalFormatting sqref="V999">
    <cfRule type="expression" dxfId="4472" priority="4590">
      <formula>$AG999:$AG1185="Follow-Up Complete"</formula>
    </cfRule>
    <cfRule type="expression" dxfId="4471" priority="4591">
      <formula>$AG999:$AG1185="Further Follow-Up"</formula>
    </cfRule>
    <cfRule type="expression" dxfId="4470" priority="4592">
      <formula>$AG999:$AG1185="EOB Requested"</formula>
    </cfRule>
    <cfRule type="expression" dxfId="4469" priority="4593">
      <formula>$AG999:$AG1185="EOB Not Found"</formula>
    </cfRule>
    <cfRule type="expression" dxfId="4468" priority="4594">
      <formula>$AG999:$AG1185="EOB Downloaded"</formula>
    </cfRule>
  </conditionalFormatting>
  <conditionalFormatting sqref="X999">
    <cfRule type="expression" dxfId="4467" priority="4585">
      <formula>$AG999:$AG1185="Follow-Up Complete"</formula>
    </cfRule>
    <cfRule type="expression" dxfId="4466" priority="4586">
      <formula>$AG999:$AG1185="Further Follow-Up"</formula>
    </cfRule>
    <cfRule type="expression" dxfId="4465" priority="4587">
      <formula>$AG999:$AG1185="EOB Requested"</formula>
    </cfRule>
    <cfRule type="expression" dxfId="4464" priority="4588">
      <formula>$AG999:$AG1185="EOB Not Found"</formula>
    </cfRule>
    <cfRule type="expression" dxfId="4463" priority="4589">
      <formula>$AG999:$AG1185="EOB Downloaded"</formula>
    </cfRule>
  </conditionalFormatting>
  <conditionalFormatting sqref="AA999">
    <cfRule type="expression" dxfId="4462" priority="4580">
      <formula>$AG999:$AG1185="Follow-Up Complete"</formula>
    </cfRule>
    <cfRule type="expression" dxfId="4461" priority="4581">
      <formula>$AG999:$AG1185="Further Follow-Up"</formula>
    </cfRule>
    <cfRule type="expression" dxfId="4460" priority="4582">
      <formula>$AG999:$AG1185="EOB Requested"</formula>
    </cfRule>
    <cfRule type="expression" dxfId="4459" priority="4583">
      <formula>$AG999:$AG1185="EOB Not Found"</formula>
    </cfRule>
    <cfRule type="expression" dxfId="4458" priority="4584">
      <formula>$AG999:$AG1185="EOB Downloaded"</formula>
    </cfRule>
  </conditionalFormatting>
  <conditionalFormatting sqref="P998">
    <cfRule type="expression" dxfId="4457" priority="4575">
      <formula>$AG998:$AG1184="Follow-Up Complete"</formula>
    </cfRule>
    <cfRule type="expression" dxfId="4456" priority="4576">
      <formula>$AG998:$AG1184="Further Follow-Up"</formula>
    </cfRule>
    <cfRule type="expression" dxfId="4455" priority="4577">
      <formula>$AG998:$AG1184="EOB Requested"</formula>
    </cfRule>
    <cfRule type="expression" dxfId="4454" priority="4578">
      <formula>$AG998:$AG1184="EOB Not Found"</formula>
    </cfRule>
    <cfRule type="expression" dxfId="4453" priority="4579">
      <formula>$AG998:$AG1184="EOB Downloaded"</formula>
    </cfRule>
  </conditionalFormatting>
  <conditionalFormatting sqref="AA998">
    <cfRule type="expression" dxfId="4452" priority="4570">
      <formula>$AG998:$AG1184="Follow-Up Complete"</formula>
    </cfRule>
    <cfRule type="expression" dxfId="4451" priority="4571">
      <formula>$AG998:$AG1184="Further Follow-Up"</formula>
    </cfRule>
    <cfRule type="expression" dxfId="4450" priority="4572">
      <formula>$AG998:$AG1184="EOB Requested"</formula>
    </cfRule>
    <cfRule type="expression" dxfId="4449" priority="4573">
      <formula>$AG998:$AG1184="EOB Not Found"</formula>
    </cfRule>
    <cfRule type="expression" dxfId="4448" priority="4574">
      <formula>$AG998:$AG1184="EOB Downloaded"</formula>
    </cfRule>
  </conditionalFormatting>
  <conditionalFormatting sqref="P997">
    <cfRule type="expression" dxfId="4447" priority="4565">
      <formula>$AG997:$AG1183="Follow-Up Complete"</formula>
    </cfRule>
    <cfRule type="expression" dxfId="4446" priority="4566">
      <formula>$AG997:$AG1183="Further Follow-Up"</formula>
    </cfRule>
    <cfRule type="expression" dxfId="4445" priority="4567">
      <formula>$AG997:$AG1183="EOB Requested"</formula>
    </cfRule>
    <cfRule type="expression" dxfId="4444" priority="4568">
      <formula>$AG997:$AG1183="EOB Not Found"</formula>
    </cfRule>
    <cfRule type="expression" dxfId="4443" priority="4569">
      <formula>$AG997:$AG1183="EOB Downloaded"</formula>
    </cfRule>
  </conditionalFormatting>
  <conditionalFormatting sqref="AA997">
    <cfRule type="expression" dxfId="4442" priority="4560">
      <formula>$AG997:$AG1183="Follow-Up Complete"</formula>
    </cfRule>
    <cfRule type="expression" dxfId="4441" priority="4561">
      <formula>$AG997:$AG1183="Further Follow-Up"</formula>
    </cfRule>
    <cfRule type="expression" dxfId="4440" priority="4562">
      <formula>$AG997:$AG1183="EOB Requested"</formula>
    </cfRule>
    <cfRule type="expression" dxfId="4439" priority="4563">
      <formula>$AG997:$AG1183="EOB Not Found"</formula>
    </cfRule>
    <cfRule type="expression" dxfId="4438" priority="4564">
      <formula>$AG997:$AG1183="EOB Downloaded"</formula>
    </cfRule>
  </conditionalFormatting>
  <conditionalFormatting sqref="P996">
    <cfRule type="expression" dxfId="4437" priority="4555">
      <formula>$AG996:$AG1182="Follow-Up Complete"</formula>
    </cfRule>
    <cfRule type="expression" dxfId="4436" priority="4556">
      <formula>$AG996:$AG1182="Further Follow-Up"</formula>
    </cfRule>
    <cfRule type="expression" dxfId="4435" priority="4557">
      <formula>$AG996:$AG1182="EOB Requested"</formula>
    </cfRule>
    <cfRule type="expression" dxfId="4434" priority="4558">
      <formula>$AG996:$AG1182="EOB Not Found"</formula>
    </cfRule>
    <cfRule type="expression" dxfId="4433" priority="4559">
      <formula>$AG996:$AG1182="EOB Downloaded"</formula>
    </cfRule>
  </conditionalFormatting>
  <conditionalFormatting sqref="R996">
    <cfRule type="expression" dxfId="4432" priority="4550">
      <formula>$AG996:$AG1182="Follow-Up Complete"</formula>
    </cfRule>
    <cfRule type="expression" dxfId="4431" priority="4551">
      <formula>$AG996:$AG1182="Further Follow-Up"</formula>
    </cfRule>
    <cfRule type="expression" dxfId="4430" priority="4552">
      <formula>$AG996:$AG1182="EOB Requested"</formula>
    </cfRule>
    <cfRule type="expression" dxfId="4429" priority="4553">
      <formula>$AG996:$AG1182="EOB Not Found"</formula>
    </cfRule>
    <cfRule type="expression" dxfId="4428" priority="4554">
      <formula>$AG996:$AG1182="EOB Downloaded"</formula>
    </cfRule>
  </conditionalFormatting>
  <conditionalFormatting sqref="T996">
    <cfRule type="expression" dxfId="4427" priority="4545">
      <formula>$AG996:$AG1182="Follow-Up Complete"</formula>
    </cfRule>
    <cfRule type="expression" dxfId="4426" priority="4546">
      <formula>$AG996:$AG1182="Further Follow-Up"</formula>
    </cfRule>
    <cfRule type="expression" dxfId="4425" priority="4547">
      <formula>$AG996:$AG1182="EOB Requested"</formula>
    </cfRule>
    <cfRule type="expression" dxfId="4424" priority="4548">
      <formula>$AG996:$AG1182="EOB Not Found"</formula>
    </cfRule>
    <cfRule type="expression" dxfId="4423" priority="4549">
      <formula>$AG996:$AG1182="EOB Downloaded"</formula>
    </cfRule>
  </conditionalFormatting>
  <conditionalFormatting sqref="V996">
    <cfRule type="expression" dxfId="4422" priority="4540">
      <formula>$AG996:$AG1182="Follow-Up Complete"</formula>
    </cfRule>
    <cfRule type="expression" dxfId="4421" priority="4541">
      <formula>$AG996:$AG1182="Further Follow-Up"</formula>
    </cfRule>
    <cfRule type="expression" dxfId="4420" priority="4542">
      <formula>$AG996:$AG1182="EOB Requested"</formula>
    </cfRule>
    <cfRule type="expression" dxfId="4419" priority="4543">
      <formula>$AG996:$AG1182="EOB Not Found"</formula>
    </cfRule>
    <cfRule type="expression" dxfId="4418" priority="4544">
      <formula>$AG996:$AG1182="EOB Downloaded"</formula>
    </cfRule>
  </conditionalFormatting>
  <conditionalFormatting sqref="X996">
    <cfRule type="expression" dxfId="4417" priority="4535">
      <formula>$AG996:$AG1182="Follow-Up Complete"</formula>
    </cfRule>
    <cfRule type="expression" dxfId="4416" priority="4536">
      <formula>$AG996:$AG1182="Further Follow-Up"</formula>
    </cfRule>
    <cfRule type="expression" dxfId="4415" priority="4537">
      <formula>$AG996:$AG1182="EOB Requested"</formula>
    </cfRule>
    <cfRule type="expression" dxfId="4414" priority="4538">
      <formula>$AG996:$AG1182="EOB Not Found"</formula>
    </cfRule>
    <cfRule type="expression" dxfId="4413" priority="4539">
      <formula>$AG996:$AG1182="EOB Downloaded"</formula>
    </cfRule>
  </conditionalFormatting>
  <conditionalFormatting sqref="AA996">
    <cfRule type="expression" dxfId="4412" priority="4530">
      <formula>$AG996:$AG1182="Follow-Up Complete"</formula>
    </cfRule>
    <cfRule type="expression" dxfId="4411" priority="4531">
      <formula>$AG996:$AG1182="Further Follow-Up"</formula>
    </cfRule>
    <cfRule type="expression" dxfId="4410" priority="4532">
      <formula>$AG996:$AG1182="EOB Requested"</formula>
    </cfRule>
    <cfRule type="expression" dxfId="4409" priority="4533">
      <formula>$AG996:$AG1182="EOB Not Found"</formula>
    </cfRule>
    <cfRule type="expression" dxfId="4408" priority="4534">
      <formula>$AG996:$AG1182="EOB Downloaded"</formula>
    </cfRule>
  </conditionalFormatting>
  <conditionalFormatting sqref="P995">
    <cfRule type="expression" dxfId="4407" priority="4525">
      <formula>$AG995:$AG1181="Follow-Up Complete"</formula>
    </cfRule>
    <cfRule type="expression" dxfId="4406" priority="4526">
      <formula>$AG995:$AG1181="Further Follow-Up"</formula>
    </cfRule>
    <cfRule type="expression" dxfId="4405" priority="4527">
      <formula>$AG995:$AG1181="EOB Requested"</formula>
    </cfRule>
    <cfRule type="expression" dxfId="4404" priority="4528">
      <formula>$AG995:$AG1181="EOB Not Found"</formula>
    </cfRule>
    <cfRule type="expression" dxfId="4403" priority="4529">
      <formula>$AG995:$AG1181="EOB Downloaded"</formula>
    </cfRule>
  </conditionalFormatting>
  <conditionalFormatting sqref="T995">
    <cfRule type="expression" dxfId="4402" priority="4520">
      <formula>$AG995:$AG1181="Follow-Up Complete"</formula>
    </cfRule>
    <cfRule type="expression" dxfId="4401" priority="4521">
      <formula>$AG995:$AG1181="Further Follow-Up"</formula>
    </cfRule>
    <cfRule type="expression" dxfId="4400" priority="4522">
      <formula>$AG995:$AG1181="EOB Requested"</formula>
    </cfRule>
    <cfRule type="expression" dxfId="4399" priority="4523">
      <formula>$AG995:$AG1181="EOB Not Found"</formula>
    </cfRule>
    <cfRule type="expression" dxfId="4398" priority="4524">
      <formula>$AG995:$AG1181="EOB Downloaded"</formula>
    </cfRule>
  </conditionalFormatting>
  <conditionalFormatting sqref="V995">
    <cfRule type="expression" dxfId="4397" priority="4515">
      <formula>$AG995:$AG1181="Follow-Up Complete"</formula>
    </cfRule>
    <cfRule type="expression" dxfId="4396" priority="4516">
      <formula>$AG995:$AG1181="Further Follow-Up"</formula>
    </cfRule>
    <cfRule type="expression" dxfId="4395" priority="4517">
      <formula>$AG995:$AG1181="EOB Requested"</formula>
    </cfRule>
    <cfRule type="expression" dxfId="4394" priority="4518">
      <formula>$AG995:$AG1181="EOB Not Found"</formula>
    </cfRule>
    <cfRule type="expression" dxfId="4393" priority="4519">
      <formula>$AG995:$AG1181="EOB Downloaded"</formula>
    </cfRule>
  </conditionalFormatting>
  <conditionalFormatting sqref="X995">
    <cfRule type="expression" dxfId="4392" priority="4510">
      <formula>$AG995:$AG1181="Follow-Up Complete"</formula>
    </cfRule>
    <cfRule type="expression" dxfId="4391" priority="4511">
      <formula>$AG995:$AG1181="Further Follow-Up"</formula>
    </cfRule>
    <cfRule type="expression" dxfId="4390" priority="4512">
      <formula>$AG995:$AG1181="EOB Requested"</formula>
    </cfRule>
    <cfRule type="expression" dxfId="4389" priority="4513">
      <formula>$AG995:$AG1181="EOB Not Found"</formula>
    </cfRule>
    <cfRule type="expression" dxfId="4388" priority="4514">
      <formula>$AG995:$AG1181="EOB Downloaded"</formula>
    </cfRule>
  </conditionalFormatting>
  <conditionalFormatting sqref="AA995">
    <cfRule type="expression" dxfId="4387" priority="4505">
      <formula>$AG995:$AG1181="Follow-Up Complete"</formula>
    </cfRule>
    <cfRule type="expression" dxfId="4386" priority="4506">
      <formula>$AG995:$AG1181="Further Follow-Up"</formula>
    </cfRule>
    <cfRule type="expression" dxfId="4385" priority="4507">
      <formula>$AG995:$AG1181="EOB Requested"</formula>
    </cfRule>
    <cfRule type="expression" dxfId="4384" priority="4508">
      <formula>$AG995:$AG1181="EOB Not Found"</formula>
    </cfRule>
    <cfRule type="expression" dxfId="4383" priority="4509">
      <formula>$AG995:$AG1181="EOB Downloaded"</formula>
    </cfRule>
  </conditionalFormatting>
  <conditionalFormatting sqref="P994">
    <cfRule type="expression" dxfId="4382" priority="4500">
      <formula>$AG994:$AG1180="Follow-Up Complete"</formula>
    </cfRule>
    <cfRule type="expression" dxfId="4381" priority="4501">
      <formula>$AG994:$AG1180="Further Follow-Up"</formula>
    </cfRule>
    <cfRule type="expression" dxfId="4380" priority="4502">
      <formula>$AG994:$AG1180="EOB Requested"</formula>
    </cfRule>
    <cfRule type="expression" dxfId="4379" priority="4503">
      <formula>$AG994:$AG1180="EOB Not Found"</formula>
    </cfRule>
    <cfRule type="expression" dxfId="4378" priority="4504">
      <formula>$AG994:$AG1180="EOB Downloaded"</formula>
    </cfRule>
  </conditionalFormatting>
  <conditionalFormatting sqref="AA994">
    <cfRule type="expression" dxfId="4377" priority="4495">
      <formula>$AG994:$AG1180="Follow-Up Complete"</formula>
    </cfRule>
    <cfRule type="expression" dxfId="4376" priority="4496">
      <formula>$AG994:$AG1180="Further Follow-Up"</formula>
    </cfRule>
    <cfRule type="expression" dxfId="4375" priority="4497">
      <formula>$AG994:$AG1180="EOB Requested"</formula>
    </cfRule>
    <cfRule type="expression" dxfId="4374" priority="4498">
      <formula>$AG994:$AG1180="EOB Not Found"</formula>
    </cfRule>
    <cfRule type="expression" dxfId="4373" priority="4499">
      <formula>$AG994:$AG1180="EOB Downloaded"</formula>
    </cfRule>
  </conditionalFormatting>
  <conditionalFormatting sqref="P993">
    <cfRule type="expression" dxfId="4372" priority="4490">
      <formula>$AG993:$AG1179="Follow-Up Complete"</formula>
    </cfRule>
    <cfRule type="expression" dxfId="4371" priority="4491">
      <formula>$AG993:$AG1179="Further Follow-Up"</formula>
    </cfRule>
    <cfRule type="expression" dxfId="4370" priority="4492">
      <formula>$AG993:$AG1179="EOB Requested"</formula>
    </cfRule>
    <cfRule type="expression" dxfId="4369" priority="4493">
      <formula>$AG993:$AG1179="EOB Not Found"</formula>
    </cfRule>
    <cfRule type="expression" dxfId="4368" priority="4494">
      <formula>$AG993:$AG1179="EOB Downloaded"</formula>
    </cfRule>
  </conditionalFormatting>
  <conditionalFormatting sqref="R993">
    <cfRule type="expression" dxfId="4367" priority="4485">
      <formula>$AG993:$AG1179="Follow-Up Complete"</formula>
    </cfRule>
    <cfRule type="expression" dxfId="4366" priority="4486">
      <formula>$AG993:$AG1179="Further Follow-Up"</formula>
    </cfRule>
    <cfRule type="expression" dxfId="4365" priority="4487">
      <formula>$AG993:$AG1179="EOB Requested"</formula>
    </cfRule>
    <cfRule type="expression" dxfId="4364" priority="4488">
      <formula>$AG993:$AG1179="EOB Not Found"</formula>
    </cfRule>
    <cfRule type="expression" dxfId="4363" priority="4489">
      <formula>$AG993:$AG1179="EOB Downloaded"</formula>
    </cfRule>
  </conditionalFormatting>
  <conditionalFormatting sqref="T993">
    <cfRule type="expression" dxfId="4362" priority="4480">
      <formula>$AG993:$AG1179="Follow-Up Complete"</formula>
    </cfRule>
    <cfRule type="expression" dxfId="4361" priority="4481">
      <formula>$AG993:$AG1179="Further Follow-Up"</formula>
    </cfRule>
    <cfRule type="expression" dxfId="4360" priority="4482">
      <formula>$AG993:$AG1179="EOB Requested"</formula>
    </cfRule>
    <cfRule type="expression" dxfId="4359" priority="4483">
      <formula>$AG993:$AG1179="EOB Not Found"</formula>
    </cfRule>
    <cfRule type="expression" dxfId="4358" priority="4484">
      <formula>$AG993:$AG1179="EOB Downloaded"</formula>
    </cfRule>
  </conditionalFormatting>
  <conditionalFormatting sqref="AA993">
    <cfRule type="expression" dxfId="4357" priority="4475">
      <formula>$AG993:$AG1179="Follow-Up Complete"</formula>
    </cfRule>
    <cfRule type="expression" dxfId="4356" priority="4476">
      <formula>$AG993:$AG1179="Further Follow-Up"</formula>
    </cfRule>
    <cfRule type="expression" dxfId="4355" priority="4477">
      <formula>$AG993:$AG1179="EOB Requested"</formula>
    </cfRule>
    <cfRule type="expression" dxfId="4354" priority="4478">
      <formula>$AG993:$AG1179="EOB Not Found"</formula>
    </cfRule>
    <cfRule type="expression" dxfId="4353" priority="4479">
      <formula>$AG993:$AG1179="EOB Downloaded"</formula>
    </cfRule>
  </conditionalFormatting>
  <conditionalFormatting sqref="R991">
    <cfRule type="expression" dxfId="4352" priority="4470">
      <formula>$AG991:$AG1177="Follow-Up Complete"</formula>
    </cfRule>
    <cfRule type="expression" dxfId="4351" priority="4471">
      <formula>$AG991:$AG1177="Further Follow-Up"</formula>
    </cfRule>
    <cfRule type="expression" dxfId="4350" priority="4472">
      <formula>$AG991:$AG1177="EOB Requested"</formula>
    </cfRule>
    <cfRule type="expression" dxfId="4349" priority="4473">
      <formula>$AG991:$AG1177="EOB Not Found"</formula>
    </cfRule>
    <cfRule type="expression" dxfId="4348" priority="4474">
      <formula>$AG991:$AG1177="EOB Downloaded"</formula>
    </cfRule>
  </conditionalFormatting>
  <conditionalFormatting sqref="AA991">
    <cfRule type="expression" dxfId="4347" priority="4465">
      <formula>$AG991:$AG1177="Follow-Up Complete"</formula>
    </cfRule>
    <cfRule type="expression" dxfId="4346" priority="4466">
      <formula>$AG991:$AG1177="Further Follow-Up"</formula>
    </cfRule>
    <cfRule type="expression" dxfId="4345" priority="4467">
      <formula>$AG991:$AG1177="EOB Requested"</formula>
    </cfRule>
    <cfRule type="expression" dxfId="4344" priority="4468">
      <formula>$AG991:$AG1177="EOB Not Found"</formula>
    </cfRule>
    <cfRule type="expression" dxfId="4343" priority="4469">
      <formula>$AG991:$AG1177="EOB Downloaded"</formula>
    </cfRule>
  </conditionalFormatting>
  <conditionalFormatting sqref="P974:P976">
    <cfRule type="expression" dxfId="4342" priority="4460">
      <formula>$AG974:$AG1160="Follow-Up Complete"</formula>
    </cfRule>
    <cfRule type="expression" dxfId="4341" priority="4461">
      <formula>$AG974:$AG1160="Further Follow-Up"</formula>
    </cfRule>
    <cfRule type="expression" dxfId="4340" priority="4462">
      <formula>$AG974:$AG1160="EOB Requested"</formula>
    </cfRule>
    <cfRule type="expression" dxfId="4339" priority="4463">
      <formula>$AG974:$AG1160="EOB Not Found"</formula>
    </cfRule>
    <cfRule type="expression" dxfId="4338" priority="4464">
      <formula>$AG974:$AG1160="EOB Downloaded"</formula>
    </cfRule>
  </conditionalFormatting>
  <conditionalFormatting sqref="R974:R976">
    <cfRule type="expression" dxfId="4337" priority="4455">
      <formula>$AG974:$AG1160="Follow-Up Complete"</formula>
    </cfRule>
    <cfRule type="expression" dxfId="4336" priority="4456">
      <formula>$AG974:$AG1160="Further Follow-Up"</formula>
    </cfRule>
    <cfRule type="expression" dxfId="4335" priority="4457">
      <formula>$AG974:$AG1160="EOB Requested"</formula>
    </cfRule>
    <cfRule type="expression" dxfId="4334" priority="4458">
      <formula>$AG974:$AG1160="EOB Not Found"</formula>
    </cfRule>
    <cfRule type="expression" dxfId="4333" priority="4459">
      <formula>$AG974:$AG1160="EOB Downloaded"</formula>
    </cfRule>
  </conditionalFormatting>
  <conditionalFormatting sqref="T974:T976">
    <cfRule type="expression" dxfId="4332" priority="4450">
      <formula>$AG974:$AG1160="Follow-Up Complete"</formula>
    </cfRule>
    <cfRule type="expression" dxfId="4331" priority="4451">
      <formula>$AG974:$AG1160="Further Follow-Up"</formula>
    </cfRule>
    <cfRule type="expression" dxfId="4330" priority="4452">
      <formula>$AG974:$AG1160="EOB Requested"</formula>
    </cfRule>
    <cfRule type="expression" dxfId="4329" priority="4453">
      <formula>$AG974:$AG1160="EOB Not Found"</formula>
    </cfRule>
    <cfRule type="expression" dxfId="4328" priority="4454">
      <formula>$AG974:$AG1160="EOB Downloaded"</formula>
    </cfRule>
  </conditionalFormatting>
  <conditionalFormatting sqref="V974:V976">
    <cfRule type="expression" dxfId="4327" priority="4445">
      <formula>$AG974:$AG1160="Follow-Up Complete"</formula>
    </cfRule>
    <cfRule type="expression" dxfId="4326" priority="4446">
      <formula>$AG974:$AG1160="Further Follow-Up"</formula>
    </cfRule>
    <cfRule type="expression" dxfId="4325" priority="4447">
      <formula>$AG974:$AG1160="EOB Requested"</formula>
    </cfRule>
    <cfRule type="expression" dxfId="4324" priority="4448">
      <formula>$AG974:$AG1160="EOB Not Found"</formula>
    </cfRule>
    <cfRule type="expression" dxfId="4323" priority="4449">
      <formula>$AG974:$AG1160="EOB Downloaded"</formula>
    </cfRule>
  </conditionalFormatting>
  <conditionalFormatting sqref="AA976">
    <cfRule type="expression" dxfId="4322" priority="4440">
      <formula>$AG976:$AG1162="Follow-Up Complete"</formula>
    </cfRule>
    <cfRule type="expression" dxfId="4321" priority="4441">
      <formula>$AG976:$AG1162="Further Follow-Up"</formula>
    </cfRule>
    <cfRule type="expression" dxfId="4320" priority="4442">
      <formula>$AG976:$AG1162="EOB Requested"</formula>
    </cfRule>
    <cfRule type="expression" dxfId="4319" priority="4443">
      <formula>$AG976:$AG1162="EOB Not Found"</formula>
    </cfRule>
    <cfRule type="expression" dxfId="4318" priority="4444">
      <formula>$AG976:$AG1162="EOB Downloaded"</formula>
    </cfRule>
  </conditionalFormatting>
  <conditionalFormatting sqref="AA974">
    <cfRule type="expression" dxfId="4317" priority="4435">
      <formula>$AG974:$AG1160="Follow-Up Complete"</formula>
    </cfRule>
    <cfRule type="expression" dxfId="4316" priority="4436">
      <formula>$AG974:$AG1160="Further Follow-Up"</formula>
    </cfRule>
    <cfRule type="expression" dxfId="4315" priority="4437">
      <formula>$AG974:$AG1160="EOB Requested"</formula>
    </cfRule>
    <cfRule type="expression" dxfId="4314" priority="4438">
      <formula>$AG974:$AG1160="EOB Not Found"</formula>
    </cfRule>
    <cfRule type="expression" dxfId="4313" priority="4439">
      <formula>$AG974:$AG1160="EOB Downloaded"</formula>
    </cfRule>
  </conditionalFormatting>
  <conditionalFormatting sqref="AA975">
    <cfRule type="expression" dxfId="4312" priority="4430">
      <formula>$AG975:$AG1161="Follow-Up Complete"</formula>
    </cfRule>
    <cfRule type="expression" dxfId="4311" priority="4431">
      <formula>$AG975:$AG1161="Further Follow-Up"</formula>
    </cfRule>
    <cfRule type="expression" dxfId="4310" priority="4432">
      <formula>$AG975:$AG1161="EOB Requested"</formula>
    </cfRule>
    <cfRule type="expression" dxfId="4309" priority="4433">
      <formula>$AG975:$AG1161="EOB Not Found"</formula>
    </cfRule>
    <cfRule type="expression" dxfId="4308" priority="4434">
      <formula>$AG975:$AG1161="EOB Downloaded"</formula>
    </cfRule>
  </conditionalFormatting>
  <conditionalFormatting sqref="P973">
    <cfRule type="expression" dxfId="4307" priority="4425">
      <formula>$AG973:$AG1159="Follow-Up Complete"</formula>
    </cfRule>
    <cfRule type="expression" dxfId="4306" priority="4426">
      <formula>$AG973:$AG1159="Further Follow-Up"</formula>
    </cfRule>
    <cfRule type="expression" dxfId="4305" priority="4427">
      <formula>$AG973:$AG1159="EOB Requested"</formula>
    </cfRule>
    <cfRule type="expression" dxfId="4304" priority="4428">
      <formula>$AG973:$AG1159="EOB Not Found"</formula>
    </cfRule>
    <cfRule type="expression" dxfId="4303" priority="4429">
      <formula>$AG973:$AG1159="EOB Downloaded"</formula>
    </cfRule>
  </conditionalFormatting>
  <conditionalFormatting sqref="R973">
    <cfRule type="expression" dxfId="4302" priority="4420">
      <formula>$AG973:$AG1159="Follow-Up Complete"</formula>
    </cfRule>
    <cfRule type="expression" dxfId="4301" priority="4421">
      <formula>$AG973:$AG1159="Further Follow-Up"</formula>
    </cfRule>
    <cfRule type="expression" dxfId="4300" priority="4422">
      <formula>$AG973:$AG1159="EOB Requested"</formula>
    </cfRule>
    <cfRule type="expression" dxfId="4299" priority="4423">
      <formula>$AG973:$AG1159="EOB Not Found"</formula>
    </cfRule>
    <cfRule type="expression" dxfId="4298" priority="4424">
      <formula>$AG973:$AG1159="EOB Downloaded"</formula>
    </cfRule>
  </conditionalFormatting>
  <conditionalFormatting sqref="T973">
    <cfRule type="expression" dxfId="4297" priority="4415">
      <formula>$AG973:$AG1159="Follow-Up Complete"</formula>
    </cfRule>
    <cfRule type="expression" dxfId="4296" priority="4416">
      <formula>$AG973:$AG1159="Further Follow-Up"</formula>
    </cfRule>
    <cfRule type="expression" dxfId="4295" priority="4417">
      <formula>$AG973:$AG1159="EOB Requested"</formula>
    </cfRule>
    <cfRule type="expression" dxfId="4294" priority="4418">
      <formula>$AG973:$AG1159="EOB Not Found"</formula>
    </cfRule>
    <cfRule type="expression" dxfId="4293" priority="4419">
      <formula>$AG973:$AG1159="EOB Downloaded"</formula>
    </cfRule>
  </conditionalFormatting>
  <conditionalFormatting sqref="V973">
    <cfRule type="expression" dxfId="4292" priority="4410">
      <formula>$AG973:$AG1159="Follow-Up Complete"</formula>
    </cfRule>
    <cfRule type="expression" dxfId="4291" priority="4411">
      <formula>$AG973:$AG1159="Further Follow-Up"</formula>
    </cfRule>
    <cfRule type="expression" dxfId="4290" priority="4412">
      <formula>$AG973:$AG1159="EOB Requested"</formula>
    </cfRule>
    <cfRule type="expression" dxfId="4289" priority="4413">
      <formula>$AG973:$AG1159="EOB Not Found"</formula>
    </cfRule>
    <cfRule type="expression" dxfId="4288" priority="4414">
      <formula>$AG973:$AG1159="EOB Downloaded"</formula>
    </cfRule>
  </conditionalFormatting>
  <conditionalFormatting sqref="X973">
    <cfRule type="expression" dxfId="4287" priority="4405">
      <formula>$AG973:$AG1159="Follow-Up Complete"</formula>
    </cfRule>
    <cfRule type="expression" dxfId="4286" priority="4406">
      <formula>$AG973:$AG1159="Further Follow-Up"</formula>
    </cfRule>
    <cfRule type="expression" dxfId="4285" priority="4407">
      <formula>$AG973:$AG1159="EOB Requested"</formula>
    </cfRule>
    <cfRule type="expression" dxfId="4284" priority="4408">
      <formula>$AG973:$AG1159="EOB Not Found"</formula>
    </cfRule>
    <cfRule type="expression" dxfId="4283" priority="4409">
      <formula>$AG973:$AG1159="EOB Downloaded"</formula>
    </cfRule>
  </conditionalFormatting>
  <conditionalFormatting sqref="AA973">
    <cfRule type="expression" dxfId="4282" priority="4400">
      <formula>$AG973:$AG1159="Follow-Up Complete"</formula>
    </cfRule>
    <cfRule type="expression" dxfId="4281" priority="4401">
      <formula>$AG973:$AG1159="Further Follow-Up"</formula>
    </cfRule>
    <cfRule type="expression" dxfId="4280" priority="4402">
      <formula>$AG973:$AG1159="EOB Requested"</formula>
    </cfRule>
    <cfRule type="expression" dxfId="4279" priority="4403">
      <formula>$AG973:$AG1159="EOB Not Found"</formula>
    </cfRule>
    <cfRule type="expression" dxfId="4278" priority="4404">
      <formula>$AG973:$AG1159="EOB Downloaded"</formula>
    </cfRule>
  </conditionalFormatting>
  <conditionalFormatting sqref="P972">
    <cfRule type="expression" dxfId="4277" priority="4395">
      <formula>$AG972:$AG1158="Follow-Up Complete"</formula>
    </cfRule>
    <cfRule type="expression" dxfId="4276" priority="4396">
      <formula>$AG972:$AG1158="Further Follow-Up"</formula>
    </cfRule>
    <cfRule type="expression" dxfId="4275" priority="4397">
      <formula>$AG972:$AG1158="EOB Requested"</formula>
    </cfRule>
    <cfRule type="expression" dxfId="4274" priority="4398">
      <formula>$AG972:$AG1158="EOB Not Found"</formula>
    </cfRule>
    <cfRule type="expression" dxfId="4273" priority="4399">
      <formula>$AG972:$AG1158="EOB Downloaded"</formula>
    </cfRule>
  </conditionalFormatting>
  <conditionalFormatting sqref="R972">
    <cfRule type="expression" dxfId="4272" priority="4390">
      <formula>$AG972:$AG1158="Follow-Up Complete"</formula>
    </cfRule>
    <cfRule type="expression" dxfId="4271" priority="4391">
      <formula>$AG972:$AG1158="Further Follow-Up"</formula>
    </cfRule>
    <cfRule type="expression" dxfId="4270" priority="4392">
      <formula>$AG972:$AG1158="EOB Requested"</formula>
    </cfRule>
    <cfRule type="expression" dxfId="4269" priority="4393">
      <formula>$AG972:$AG1158="EOB Not Found"</formula>
    </cfRule>
    <cfRule type="expression" dxfId="4268" priority="4394">
      <formula>$AG972:$AG1158="EOB Downloaded"</formula>
    </cfRule>
  </conditionalFormatting>
  <conditionalFormatting sqref="V972">
    <cfRule type="expression" dxfId="4267" priority="4385">
      <formula>$AG972:$AG1158="Follow-Up Complete"</formula>
    </cfRule>
    <cfRule type="expression" dxfId="4266" priority="4386">
      <formula>$AG972:$AG1158="Further Follow-Up"</formula>
    </cfRule>
    <cfRule type="expression" dxfId="4265" priority="4387">
      <formula>$AG972:$AG1158="EOB Requested"</formula>
    </cfRule>
    <cfRule type="expression" dxfId="4264" priority="4388">
      <formula>$AG972:$AG1158="EOB Not Found"</formula>
    </cfRule>
    <cfRule type="expression" dxfId="4263" priority="4389">
      <formula>$AG972:$AG1158="EOB Downloaded"</formula>
    </cfRule>
  </conditionalFormatting>
  <conditionalFormatting sqref="X972">
    <cfRule type="expression" dxfId="4262" priority="4380">
      <formula>$AG972:$AG1158="Follow-Up Complete"</formula>
    </cfRule>
    <cfRule type="expression" dxfId="4261" priority="4381">
      <formula>$AG972:$AG1158="Further Follow-Up"</formula>
    </cfRule>
    <cfRule type="expression" dxfId="4260" priority="4382">
      <formula>$AG972:$AG1158="EOB Requested"</formula>
    </cfRule>
    <cfRule type="expression" dxfId="4259" priority="4383">
      <formula>$AG972:$AG1158="EOB Not Found"</formula>
    </cfRule>
    <cfRule type="expression" dxfId="4258" priority="4384">
      <formula>$AG972:$AG1158="EOB Downloaded"</formula>
    </cfRule>
  </conditionalFormatting>
  <conditionalFormatting sqref="AA972">
    <cfRule type="expression" dxfId="4257" priority="4375">
      <formula>$AG972:$AG1158="Follow-Up Complete"</formula>
    </cfRule>
    <cfRule type="expression" dxfId="4256" priority="4376">
      <formula>$AG972:$AG1158="Further Follow-Up"</formula>
    </cfRule>
    <cfRule type="expression" dxfId="4255" priority="4377">
      <formula>$AG972:$AG1158="EOB Requested"</formula>
    </cfRule>
    <cfRule type="expression" dxfId="4254" priority="4378">
      <formula>$AG972:$AG1158="EOB Not Found"</formula>
    </cfRule>
    <cfRule type="expression" dxfId="4253" priority="4379">
      <formula>$AG972:$AG1158="EOB Downloaded"</formula>
    </cfRule>
  </conditionalFormatting>
  <conditionalFormatting sqref="P971">
    <cfRule type="expression" dxfId="4252" priority="4370">
      <formula>$AG971:$AG1157="Follow-Up Complete"</formula>
    </cfRule>
    <cfRule type="expression" dxfId="4251" priority="4371">
      <formula>$AG971:$AG1157="Further Follow-Up"</formula>
    </cfRule>
    <cfRule type="expression" dxfId="4250" priority="4372">
      <formula>$AG971:$AG1157="EOB Requested"</formula>
    </cfRule>
    <cfRule type="expression" dxfId="4249" priority="4373">
      <formula>$AG971:$AG1157="EOB Not Found"</formula>
    </cfRule>
    <cfRule type="expression" dxfId="4248" priority="4374">
      <formula>$AG971:$AG1157="EOB Downloaded"</formula>
    </cfRule>
  </conditionalFormatting>
  <conditionalFormatting sqref="R971">
    <cfRule type="expression" dxfId="4247" priority="4365">
      <formula>$AG971:$AG1157="Follow-Up Complete"</formula>
    </cfRule>
    <cfRule type="expression" dxfId="4246" priority="4366">
      <formula>$AG971:$AG1157="Further Follow-Up"</formula>
    </cfRule>
    <cfRule type="expression" dxfId="4245" priority="4367">
      <formula>$AG971:$AG1157="EOB Requested"</formula>
    </cfRule>
    <cfRule type="expression" dxfId="4244" priority="4368">
      <formula>$AG971:$AG1157="EOB Not Found"</formula>
    </cfRule>
    <cfRule type="expression" dxfId="4243" priority="4369">
      <formula>$AG971:$AG1157="EOB Downloaded"</formula>
    </cfRule>
  </conditionalFormatting>
  <conditionalFormatting sqref="V971">
    <cfRule type="expression" dxfId="4242" priority="4360">
      <formula>$AG971:$AG1157="Follow-Up Complete"</formula>
    </cfRule>
    <cfRule type="expression" dxfId="4241" priority="4361">
      <formula>$AG971:$AG1157="Further Follow-Up"</formula>
    </cfRule>
    <cfRule type="expression" dxfId="4240" priority="4362">
      <formula>$AG971:$AG1157="EOB Requested"</formula>
    </cfRule>
    <cfRule type="expression" dxfId="4239" priority="4363">
      <formula>$AG971:$AG1157="EOB Not Found"</formula>
    </cfRule>
    <cfRule type="expression" dxfId="4238" priority="4364">
      <formula>$AG971:$AG1157="EOB Downloaded"</formula>
    </cfRule>
  </conditionalFormatting>
  <conditionalFormatting sqref="X971">
    <cfRule type="expression" dxfId="4237" priority="4355">
      <formula>$AG971:$AG1157="Follow-Up Complete"</formula>
    </cfRule>
    <cfRule type="expression" dxfId="4236" priority="4356">
      <formula>$AG971:$AG1157="Further Follow-Up"</formula>
    </cfRule>
    <cfRule type="expression" dxfId="4235" priority="4357">
      <formula>$AG971:$AG1157="EOB Requested"</formula>
    </cfRule>
    <cfRule type="expression" dxfId="4234" priority="4358">
      <formula>$AG971:$AG1157="EOB Not Found"</formula>
    </cfRule>
    <cfRule type="expression" dxfId="4233" priority="4359">
      <formula>$AG971:$AG1157="EOB Downloaded"</formula>
    </cfRule>
  </conditionalFormatting>
  <conditionalFormatting sqref="AA971">
    <cfRule type="expression" dxfId="4232" priority="4350">
      <formula>$AG971:$AG1157="Follow-Up Complete"</formula>
    </cfRule>
    <cfRule type="expression" dxfId="4231" priority="4351">
      <formula>$AG971:$AG1157="Further Follow-Up"</formula>
    </cfRule>
    <cfRule type="expression" dxfId="4230" priority="4352">
      <formula>$AG971:$AG1157="EOB Requested"</formula>
    </cfRule>
    <cfRule type="expression" dxfId="4229" priority="4353">
      <formula>$AG971:$AG1157="EOB Not Found"</formula>
    </cfRule>
    <cfRule type="expression" dxfId="4228" priority="4354">
      <formula>$AG971:$AG1157="EOB Downloaded"</formula>
    </cfRule>
  </conditionalFormatting>
  <conditionalFormatting sqref="P969">
    <cfRule type="expression" dxfId="4227" priority="4345">
      <formula>$AG969:$AG1155="Follow-Up Complete"</formula>
    </cfRule>
    <cfRule type="expression" dxfId="4226" priority="4346">
      <formula>$AG969:$AG1155="Further Follow-Up"</formula>
    </cfRule>
    <cfRule type="expression" dxfId="4225" priority="4347">
      <formula>$AG969:$AG1155="EOB Requested"</formula>
    </cfRule>
    <cfRule type="expression" dxfId="4224" priority="4348">
      <formula>$AG969:$AG1155="EOB Not Found"</formula>
    </cfRule>
    <cfRule type="expression" dxfId="4223" priority="4349">
      <formula>$AG969:$AG1155="EOB Downloaded"</formula>
    </cfRule>
  </conditionalFormatting>
  <conditionalFormatting sqref="P970">
    <cfRule type="expression" dxfId="4222" priority="4340">
      <formula>$AG970:$AG1156="Follow-Up Complete"</formula>
    </cfRule>
    <cfRule type="expression" dxfId="4221" priority="4341">
      <formula>$AG970:$AG1156="Further Follow-Up"</formula>
    </cfRule>
    <cfRule type="expression" dxfId="4220" priority="4342">
      <formula>$AG970:$AG1156="EOB Requested"</formula>
    </cfRule>
    <cfRule type="expression" dxfId="4219" priority="4343">
      <formula>$AG970:$AG1156="EOB Not Found"</formula>
    </cfRule>
    <cfRule type="expression" dxfId="4218" priority="4344">
      <formula>$AG970:$AG1156="EOB Downloaded"</formula>
    </cfRule>
  </conditionalFormatting>
  <conditionalFormatting sqref="R970">
    <cfRule type="expression" dxfId="4217" priority="4335">
      <formula>$AG970:$AG1156="Follow-Up Complete"</formula>
    </cfRule>
    <cfRule type="expression" dxfId="4216" priority="4336">
      <formula>$AG970:$AG1156="Further Follow-Up"</formula>
    </cfRule>
    <cfRule type="expression" dxfId="4215" priority="4337">
      <formula>$AG970:$AG1156="EOB Requested"</formula>
    </cfRule>
    <cfRule type="expression" dxfId="4214" priority="4338">
      <formula>$AG970:$AG1156="EOB Not Found"</formula>
    </cfRule>
    <cfRule type="expression" dxfId="4213" priority="4339">
      <formula>$AG970:$AG1156="EOB Downloaded"</formula>
    </cfRule>
  </conditionalFormatting>
  <conditionalFormatting sqref="R969">
    <cfRule type="expression" dxfId="4212" priority="4330">
      <formula>$AG969:$AG1155="Follow-Up Complete"</formula>
    </cfRule>
    <cfRule type="expression" dxfId="4211" priority="4331">
      <formula>$AG969:$AG1155="Further Follow-Up"</formula>
    </cfRule>
    <cfRule type="expression" dxfId="4210" priority="4332">
      <formula>$AG969:$AG1155="EOB Requested"</formula>
    </cfRule>
    <cfRule type="expression" dxfId="4209" priority="4333">
      <formula>$AG969:$AG1155="EOB Not Found"</formula>
    </cfRule>
    <cfRule type="expression" dxfId="4208" priority="4334">
      <formula>$AG969:$AG1155="EOB Downloaded"</formula>
    </cfRule>
  </conditionalFormatting>
  <conditionalFormatting sqref="V969">
    <cfRule type="expression" dxfId="4207" priority="4325">
      <formula>$AG969:$AG1155="Follow-Up Complete"</formula>
    </cfRule>
    <cfRule type="expression" dxfId="4206" priority="4326">
      <formula>$AG969:$AG1155="Further Follow-Up"</formula>
    </cfRule>
    <cfRule type="expression" dxfId="4205" priority="4327">
      <formula>$AG969:$AG1155="EOB Requested"</formula>
    </cfRule>
    <cfRule type="expression" dxfId="4204" priority="4328">
      <formula>$AG969:$AG1155="EOB Not Found"</formula>
    </cfRule>
    <cfRule type="expression" dxfId="4203" priority="4329">
      <formula>$AG969:$AG1155="EOB Downloaded"</formula>
    </cfRule>
  </conditionalFormatting>
  <conditionalFormatting sqref="V970">
    <cfRule type="expression" dxfId="4202" priority="4320">
      <formula>$AG970:$AG1156="Follow-Up Complete"</formula>
    </cfRule>
    <cfRule type="expression" dxfId="4201" priority="4321">
      <formula>$AG970:$AG1156="Further Follow-Up"</formula>
    </cfRule>
    <cfRule type="expression" dxfId="4200" priority="4322">
      <formula>$AG970:$AG1156="EOB Requested"</formula>
    </cfRule>
    <cfRule type="expression" dxfId="4199" priority="4323">
      <formula>$AG970:$AG1156="EOB Not Found"</formula>
    </cfRule>
    <cfRule type="expression" dxfId="4198" priority="4324">
      <formula>$AG970:$AG1156="EOB Downloaded"</formula>
    </cfRule>
  </conditionalFormatting>
  <conditionalFormatting sqref="X969">
    <cfRule type="expression" dxfId="4197" priority="4315">
      <formula>$AG969:$AG1155="Follow-Up Complete"</formula>
    </cfRule>
    <cfRule type="expression" dxfId="4196" priority="4316">
      <formula>$AG969:$AG1155="Further Follow-Up"</formula>
    </cfRule>
    <cfRule type="expression" dxfId="4195" priority="4317">
      <formula>$AG969:$AG1155="EOB Requested"</formula>
    </cfRule>
    <cfRule type="expression" dxfId="4194" priority="4318">
      <formula>$AG969:$AG1155="EOB Not Found"</formula>
    </cfRule>
    <cfRule type="expression" dxfId="4193" priority="4319">
      <formula>$AG969:$AG1155="EOB Downloaded"</formula>
    </cfRule>
  </conditionalFormatting>
  <conditionalFormatting sqref="X970">
    <cfRule type="expression" dxfId="4192" priority="4310">
      <formula>$AG970:$AG1156="Follow-Up Complete"</formula>
    </cfRule>
    <cfRule type="expression" dxfId="4191" priority="4311">
      <formula>$AG970:$AG1156="Further Follow-Up"</formula>
    </cfRule>
    <cfRule type="expression" dxfId="4190" priority="4312">
      <formula>$AG970:$AG1156="EOB Requested"</formula>
    </cfRule>
    <cfRule type="expression" dxfId="4189" priority="4313">
      <formula>$AG970:$AG1156="EOB Not Found"</formula>
    </cfRule>
    <cfRule type="expression" dxfId="4188" priority="4314">
      <formula>$AG970:$AG1156="EOB Downloaded"</formula>
    </cfRule>
  </conditionalFormatting>
  <conditionalFormatting sqref="AA970">
    <cfRule type="expression" dxfId="4187" priority="4290">
      <formula>$AG970:$AG1156="Follow-Up Complete"</formula>
    </cfRule>
    <cfRule type="expression" dxfId="4186" priority="4291">
      <formula>$AG970:$AG1156="Further Follow-Up"</formula>
    </cfRule>
    <cfRule type="expression" dxfId="4185" priority="4292">
      <formula>$AG970:$AG1156="EOB Requested"</formula>
    </cfRule>
    <cfRule type="expression" dxfId="4184" priority="4293">
      <formula>$AG970:$AG1156="EOB Not Found"</formula>
    </cfRule>
    <cfRule type="expression" dxfId="4183" priority="4294">
      <formula>$AG970:$AG1156="EOB Downloaded"</formula>
    </cfRule>
  </conditionalFormatting>
  <conditionalFormatting sqref="AA969">
    <cfRule type="expression" dxfId="4182" priority="4285">
      <formula>$AG969:$AG1155="Follow-Up Complete"</formula>
    </cfRule>
    <cfRule type="expression" dxfId="4181" priority="4286">
      <formula>$AG969:$AG1155="Further Follow-Up"</formula>
    </cfRule>
    <cfRule type="expression" dxfId="4180" priority="4287">
      <formula>$AG969:$AG1155="EOB Requested"</formula>
    </cfRule>
    <cfRule type="expression" dxfId="4179" priority="4288">
      <formula>$AG969:$AG1155="EOB Not Found"</formula>
    </cfRule>
    <cfRule type="expression" dxfId="4178" priority="4289">
      <formula>$AG969:$AG1155="EOB Downloaded"</formula>
    </cfRule>
  </conditionalFormatting>
  <conditionalFormatting sqref="R968">
    <cfRule type="expression" dxfId="4177" priority="4280">
      <formula>$AG968:$AG1154="Follow-Up Complete"</formula>
    </cfRule>
    <cfRule type="expression" dxfId="4176" priority="4281">
      <formula>$AG968:$AG1154="Further Follow-Up"</formula>
    </cfRule>
    <cfRule type="expression" dxfId="4175" priority="4282">
      <formula>$AG968:$AG1154="EOB Requested"</formula>
    </cfRule>
    <cfRule type="expression" dxfId="4174" priority="4283">
      <formula>$AG968:$AG1154="EOB Not Found"</formula>
    </cfRule>
    <cfRule type="expression" dxfId="4173" priority="4284">
      <formula>$AG968:$AG1154="EOB Downloaded"</formula>
    </cfRule>
  </conditionalFormatting>
  <conditionalFormatting sqref="V968">
    <cfRule type="expression" dxfId="4172" priority="4275">
      <formula>$AG968:$AG1154="Follow-Up Complete"</formula>
    </cfRule>
    <cfRule type="expression" dxfId="4171" priority="4276">
      <formula>$AG968:$AG1154="Further Follow-Up"</formula>
    </cfRule>
    <cfRule type="expression" dxfId="4170" priority="4277">
      <formula>$AG968:$AG1154="EOB Requested"</formula>
    </cfRule>
    <cfRule type="expression" dxfId="4169" priority="4278">
      <formula>$AG968:$AG1154="EOB Not Found"</formula>
    </cfRule>
    <cfRule type="expression" dxfId="4168" priority="4279">
      <formula>$AG968:$AG1154="EOB Downloaded"</formula>
    </cfRule>
  </conditionalFormatting>
  <conditionalFormatting sqref="X968">
    <cfRule type="expression" dxfId="4167" priority="4270">
      <formula>$AG968:$AG1154="Follow-Up Complete"</formula>
    </cfRule>
    <cfRule type="expression" dxfId="4166" priority="4271">
      <formula>$AG968:$AG1154="Further Follow-Up"</formula>
    </cfRule>
    <cfRule type="expression" dxfId="4165" priority="4272">
      <formula>$AG968:$AG1154="EOB Requested"</formula>
    </cfRule>
    <cfRule type="expression" dxfId="4164" priority="4273">
      <formula>$AG968:$AG1154="EOB Not Found"</formula>
    </cfRule>
    <cfRule type="expression" dxfId="4163" priority="4274">
      <formula>$AG968:$AG1154="EOB Downloaded"</formula>
    </cfRule>
  </conditionalFormatting>
  <conditionalFormatting sqref="AA968">
    <cfRule type="expression" dxfId="4162" priority="4265">
      <formula>$AG968:$AG1154="Follow-Up Complete"</formula>
    </cfRule>
    <cfRule type="expression" dxfId="4161" priority="4266">
      <formula>$AG968:$AG1154="Further Follow-Up"</formula>
    </cfRule>
    <cfRule type="expression" dxfId="4160" priority="4267">
      <formula>$AG968:$AG1154="EOB Requested"</formula>
    </cfRule>
    <cfRule type="expression" dxfId="4159" priority="4268">
      <formula>$AG968:$AG1154="EOB Not Found"</formula>
    </cfRule>
    <cfRule type="expression" dxfId="4158" priority="4269">
      <formula>$AG968:$AG1154="EOB Downloaded"</formula>
    </cfRule>
  </conditionalFormatting>
  <conditionalFormatting sqref="R967">
    <cfRule type="expression" dxfId="4157" priority="4260">
      <formula>$AG967:$AG1153="Follow-Up Complete"</formula>
    </cfRule>
    <cfRule type="expression" dxfId="4156" priority="4261">
      <formula>$AG967:$AG1153="Further Follow-Up"</formula>
    </cfRule>
    <cfRule type="expression" dxfId="4155" priority="4262">
      <formula>$AG967:$AG1153="EOB Requested"</formula>
    </cfRule>
    <cfRule type="expression" dxfId="4154" priority="4263">
      <formula>$AG967:$AG1153="EOB Not Found"</formula>
    </cfRule>
    <cfRule type="expression" dxfId="4153" priority="4264">
      <formula>$AG967:$AG1153="EOB Downloaded"</formula>
    </cfRule>
  </conditionalFormatting>
  <conditionalFormatting sqref="V967">
    <cfRule type="expression" dxfId="4152" priority="4255">
      <formula>$AG967:$AG1153="Follow-Up Complete"</formula>
    </cfRule>
    <cfRule type="expression" dxfId="4151" priority="4256">
      <formula>$AG967:$AG1153="Further Follow-Up"</formula>
    </cfRule>
    <cfRule type="expression" dxfId="4150" priority="4257">
      <formula>$AG967:$AG1153="EOB Requested"</formula>
    </cfRule>
    <cfRule type="expression" dxfId="4149" priority="4258">
      <formula>$AG967:$AG1153="EOB Not Found"</formula>
    </cfRule>
    <cfRule type="expression" dxfId="4148" priority="4259">
      <formula>$AG967:$AG1153="EOB Downloaded"</formula>
    </cfRule>
  </conditionalFormatting>
  <conditionalFormatting sqref="AA967">
    <cfRule type="expression" dxfId="4147" priority="4250">
      <formula>$AG967:$AG1153="Follow-Up Complete"</formula>
    </cfRule>
    <cfRule type="expression" dxfId="4146" priority="4251">
      <formula>$AG967:$AG1153="Further Follow-Up"</formula>
    </cfRule>
    <cfRule type="expression" dxfId="4145" priority="4252">
      <formula>$AG967:$AG1153="EOB Requested"</formula>
    </cfRule>
    <cfRule type="expression" dxfId="4144" priority="4253">
      <formula>$AG967:$AG1153="EOB Not Found"</formula>
    </cfRule>
    <cfRule type="expression" dxfId="4143" priority="4254">
      <formula>$AG967:$AG1153="EOB Downloaded"</formula>
    </cfRule>
  </conditionalFormatting>
  <conditionalFormatting sqref="P954">
    <cfRule type="expression" dxfId="4142" priority="4245">
      <formula>$AG954:$AG1140="Follow-Up Complete"</formula>
    </cfRule>
    <cfRule type="expression" dxfId="4141" priority="4246">
      <formula>$AG954:$AG1140="Further Follow-Up"</formula>
    </cfRule>
    <cfRule type="expression" dxfId="4140" priority="4247">
      <formula>$AG954:$AG1140="EOB Requested"</formula>
    </cfRule>
    <cfRule type="expression" dxfId="4139" priority="4248">
      <formula>$AG954:$AG1140="EOB Not Found"</formula>
    </cfRule>
    <cfRule type="expression" dxfId="4138" priority="4249">
      <formula>$AG954:$AG1140="EOB Downloaded"</formula>
    </cfRule>
  </conditionalFormatting>
  <conditionalFormatting sqref="T954">
    <cfRule type="expression" dxfId="4137" priority="4240">
      <formula>$AG954:$AG1140="Follow-Up Complete"</formula>
    </cfRule>
    <cfRule type="expression" dxfId="4136" priority="4241">
      <formula>$AG954:$AG1140="Further Follow-Up"</formula>
    </cfRule>
    <cfRule type="expression" dxfId="4135" priority="4242">
      <formula>$AG954:$AG1140="EOB Requested"</formula>
    </cfRule>
    <cfRule type="expression" dxfId="4134" priority="4243">
      <formula>$AG954:$AG1140="EOB Not Found"</formula>
    </cfRule>
    <cfRule type="expression" dxfId="4133" priority="4244">
      <formula>$AG954:$AG1140="EOB Downloaded"</formula>
    </cfRule>
  </conditionalFormatting>
  <conditionalFormatting sqref="AA954">
    <cfRule type="expression" dxfId="4132" priority="4235">
      <formula>$AG954:$AG1140="Follow-Up Complete"</formula>
    </cfRule>
    <cfRule type="expression" dxfId="4131" priority="4236">
      <formula>$AG954:$AG1140="Further Follow-Up"</formula>
    </cfRule>
    <cfRule type="expression" dxfId="4130" priority="4237">
      <formula>$AG954:$AG1140="EOB Requested"</formula>
    </cfRule>
    <cfRule type="expression" dxfId="4129" priority="4238">
      <formula>$AG954:$AG1140="EOB Not Found"</formula>
    </cfRule>
    <cfRule type="expression" dxfId="4128" priority="4239">
      <formula>$AG954:$AG1140="EOB Downloaded"</formula>
    </cfRule>
  </conditionalFormatting>
  <conditionalFormatting sqref="P952">
    <cfRule type="expression" dxfId="4127" priority="4230">
      <formula>$AG952:$AG1138="Follow-Up Complete"</formula>
    </cfRule>
    <cfRule type="expression" dxfId="4126" priority="4231">
      <formula>$AG952:$AG1138="Further Follow-Up"</formula>
    </cfRule>
    <cfRule type="expression" dxfId="4125" priority="4232">
      <formula>$AG952:$AG1138="EOB Requested"</formula>
    </cfRule>
    <cfRule type="expression" dxfId="4124" priority="4233">
      <formula>$AG952:$AG1138="EOB Not Found"</formula>
    </cfRule>
    <cfRule type="expression" dxfId="4123" priority="4234">
      <formula>$AG952:$AG1138="EOB Downloaded"</formula>
    </cfRule>
  </conditionalFormatting>
  <conditionalFormatting sqref="P953">
    <cfRule type="expression" dxfId="4122" priority="4225">
      <formula>$AG953:$AG1139="Follow-Up Complete"</formula>
    </cfRule>
    <cfRule type="expression" dxfId="4121" priority="4226">
      <formula>$AG953:$AG1139="Further Follow-Up"</formula>
    </cfRule>
    <cfRule type="expression" dxfId="4120" priority="4227">
      <formula>$AG953:$AG1139="EOB Requested"</formula>
    </cfRule>
    <cfRule type="expression" dxfId="4119" priority="4228">
      <formula>$AG953:$AG1139="EOB Not Found"</formula>
    </cfRule>
    <cfRule type="expression" dxfId="4118" priority="4229">
      <formula>$AG953:$AG1139="EOB Downloaded"</formula>
    </cfRule>
  </conditionalFormatting>
  <conditionalFormatting sqref="R952">
    <cfRule type="expression" dxfId="4117" priority="4220">
      <formula>$AG952:$AG1138="Follow-Up Complete"</formula>
    </cfRule>
    <cfRule type="expression" dxfId="4116" priority="4221">
      <formula>$AG952:$AG1138="Further Follow-Up"</formula>
    </cfRule>
    <cfRule type="expression" dxfId="4115" priority="4222">
      <formula>$AG952:$AG1138="EOB Requested"</formula>
    </cfRule>
    <cfRule type="expression" dxfId="4114" priority="4223">
      <formula>$AG952:$AG1138="EOB Not Found"</formula>
    </cfRule>
    <cfRule type="expression" dxfId="4113" priority="4224">
      <formula>$AG952:$AG1138="EOB Downloaded"</formula>
    </cfRule>
  </conditionalFormatting>
  <conditionalFormatting sqref="R953">
    <cfRule type="expression" dxfId="4112" priority="4215">
      <formula>$AG953:$AG1139="Follow-Up Complete"</formula>
    </cfRule>
    <cfRule type="expression" dxfId="4111" priority="4216">
      <formula>$AG953:$AG1139="Further Follow-Up"</formula>
    </cfRule>
    <cfRule type="expression" dxfId="4110" priority="4217">
      <formula>$AG953:$AG1139="EOB Requested"</formula>
    </cfRule>
    <cfRule type="expression" dxfId="4109" priority="4218">
      <formula>$AG953:$AG1139="EOB Not Found"</formula>
    </cfRule>
    <cfRule type="expression" dxfId="4108" priority="4219">
      <formula>$AG953:$AG1139="EOB Downloaded"</formula>
    </cfRule>
  </conditionalFormatting>
  <conditionalFormatting sqref="V952">
    <cfRule type="expression" dxfId="4107" priority="4210">
      <formula>$AG952:$AG1138="Follow-Up Complete"</formula>
    </cfRule>
    <cfRule type="expression" dxfId="4106" priority="4211">
      <formula>$AG952:$AG1138="Further Follow-Up"</formula>
    </cfRule>
    <cfRule type="expression" dxfId="4105" priority="4212">
      <formula>$AG952:$AG1138="EOB Requested"</formula>
    </cfRule>
    <cfRule type="expression" dxfId="4104" priority="4213">
      <formula>$AG952:$AG1138="EOB Not Found"</formula>
    </cfRule>
    <cfRule type="expression" dxfId="4103" priority="4214">
      <formula>$AG952:$AG1138="EOB Downloaded"</formula>
    </cfRule>
  </conditionalFormatting>
  <conditionalFormatting sqref="V953">
    <cfRule type="expression" dxfId="4102" priority="4205">
      <formula>$AG953:$AG1139="Follow-Up Complete"</formula>
    </cfRule>
    <cfRule type="expression" dxfId="4101" priority="4206">
      <formula>$AG953:$AG1139="Further Follow-Up"</formula>
    </cfRule>
    <cfRule type="expression" dxfId="4100" priority="4207">
      <formula>$AG953:$AG1139="EOB Requested"</formula>
    </cfRule>
    <cfRule type="expression" dxfId="4099" priority="4208">
      <formula>$AG953:$AG1139="EOB Not Found"</formula>
    </cfRule>
    <cfRule type="expression" dxfId="4098" priority="4209">
      <formula>$AG953:$AG1139="EOB Downloaded"</formula>
    </cfRule>
  </conditionalFormatting>
  <conditionalFormatting sqref="X952">
    <cfRule type="expression" dxfId="4097" priority="4200">
      <formula>$AG952:$AG1138="Follow-Up Complete"</formula>
    </cfRule>
    <cfRule type="expression" dxfId="4096" priority="4201">
      <formula>$AG952:$AG1138="Further Follow-Up"</formula>
    </cfRule>
    <cfRule type="expression" dxfId="4095" priority="4202">
      <formula>$AG952:$AG1138="EOB Requested"</formula>
    </cfRule>
    <cfRule type="expression" dxfId="4094" priority="4203">
      <formula>$AG952:$AG1138="EOB Not Found"</formula>
    </cfRule>
    <cfRule type="expression" dxfId="4093" priority="4204">
      <formula>$AG952:$AG1138="EOB Downloaded"</formula>
    </cfRule>
  </conditionalFormatting>
  <conditionalFormatting sqref="AA952">
    <cfRule type="expression" dxfId="4092" priority="4195">
      <formula>$AG952:$AG1138="Follow-Up Complete"</formula>
    </cfRule>
    <cfRule type="expression" dxfId="4091" priority="4196">
      <formula>$AG952:$AG1138="Further Follow-Up"</formula>
    </cfRule>
    <cfRule type="expression" dxfId="4090" priority="4197">
      <formula>$AG952:$AG1138="EOB Requested"</formula>
    </cfRule>
    <cfRule type="expression" dxfId="4089" priority="4198">
      <formula>$AG952:$AG1138="EOB Not Found"</formula>
    </cfRule>
    <cfRule type="expression" dxfId="4088" priority="4199">
      <formula>$AG952:$AG1138="EOB Downloaded"</formula>
    </cfRule>
  </conditionalFormatting>
  <conditionalFormatting sqref="AA953">
    <cfRule type="expression" dxfId="4087" priority="4190">
      <formula>$AG953:$AG1139="Follow-Up Complete"</formula>
    </cfRule>
    <cfRule type="expression" dxfId="4086" priority="4191">
      <formula>$AG953:$AG1139="Further Follow-Up"</formula>
    </cfRule>
    <cfRule type="expression" dxfId="4085" priority="4192">
      <formula>$AG953:$AG1139="EOB Requested"</formula>
    </cfRule>
    <cfRule type="expression" dxfId="4084" priority="4193">
      <formula>$AG953:$AG1139="EOB Not Found"</formula>
    </cfRule>
    <cfRule type="expression" dxfId="4083" priority="4194">
      <formula>$AG953:$AG1139="EOB Downloaded"</formula>
    </cfRule>
  </conditionalFormatting>
  <conditionalFormatting sqref="P877:P878">
    <cfRule type="expression" dxfId="4082" priority="4185">
      <formula>$AG877:$AG1063="Follow-Up Complete"</formula>
    </cfRule>
    <cfRule type="expression" dxfId="4081" priority="4186">
      <formula>$AG877:$AG1063="Further Follow-Up"</formula>
    </cfRule>
    <cfRule type="expression" dxfId="4080" priority="4187">
      <formula>$AG877:$AG1063="EOB Requested"</formula>
    </cfRule>
    <cfRule type="expression" dxfId="4079" priority="4188">
      <formula>$AG877:$AG1063="EOB Not Found"</formula>
    </cfRule>
    <cfRule type="expression" dxfId="4078" priority="4189">
      <formula>$AG877:$AG1063="EOB Downloaded"</formula>
    </cfRule>
  </conditionalFormatting>
  <conditionalFormatting sqref="T877:T878">
    <cfRule type="expression" dxfId="4077" priority="4180">
      <formula>$AG877:$AG1063="Follow-Up Complete"</formula>
    </cfRule>
    <cfRule type="expression" dxfId="4076" priority="4181">
      <formula>$AG877:$AG1063="Further Follow-Up"</formula>
    </cfRule>
    <cfRule type="expression" dxfId="4075" priority="4182">
      <formula>$AG877:$AG1063="EOB Requested"</formula>
    </cfRule>
    <cfRule type="expression" dxfId="4074" priority="4183">
      <formula>$AG877:$AG1063="EOB Not Found"</formula>
    </cfRule>
    <cfRule type="expression" dxfId="4073" priority="4184">
      <formula>$AG877:$AG1063="EOB Downloaded"</formula>
    </cfRule>
  </conditionalFormatting>
  <conditionalFormatting sqref="V877:V878">
    <cfRule type="expression" dxfId="4072" priority="4175">
      <formula>$AG877:$AG1063="Follow-Up Complete"</formula>
    </cfRule>
    <cfRule type="expression" dxfId="4071" priority="4176">
      <formula>$AG877:$AG1063="Further Follow-Up"</formula>
    </cfRule>
    <cfRule type="expression" dxfId="4070" priority="4177">
      <formula>$AG877:$AG1063="EOB Requested"</formula>
    </cfRule>
    <cfRule type="expression" dxfId="4069" priority="4178">
      <formula>$AG877:$AG1063="EOB Not Found"</formula>
    </cfRule>
    <cfRule type="expression" dxfId="4068" priority="4179">
      <formula>$AG877:$AG1063="EOB Downloaded"</formula>
    </cfRule>
  </conditionalFormatting>
  <conditionalFormatting sqref="X877:X878">
    <cfRule type="expression" dxfId="4067" priority="4170">
      <formula>$AG877:$AG1063="Follow-Up Complete"</formula>
    </cfRule>
    <cfRule type="expression" dxfId="4066" priority="4171">
      <formula>$AG877:$AG1063="Further Follow-Up"</formula>
    </cfRule>
    <cfRule type="expression" dxfId="4065" priority="4172">
      <formula>$AG877:$AG1063="EOB Requested"</formula>
    </cfRule>
    <cfRule type="expression" dxfId="4064" priority="4173">
      <formula>$AG877:$AG1063="EOB Not Found"</formula>
    </cfRule>
    <cfRule type="expression" dxfId="4063" priority="4174">
      <formula>$AG877:$AG1063="EOB Downloaded"</formula>
    </cfRule>
  </conditionalFormatting>
  <conditionalFormatting sqref="AA878">
    <cfRule type="expression" dxfId="4062" priority="4165">
      <formula>$AG878:$AG1064="Follow-Up Complete"</formula>
    </cfRule>
    <cfRule type="expression" dxfId="4061" priority="4166">
      <formula>$AG878:$AG1064="Further Follow-Up"</formula>
    </cfRule>
    <cfRule type="expression" dxfId="4060" priority="4167">
      <formula>$AG878:$AG1064="EOB Requested"</formula>
    </cfRule>
    <cfRule type="expression" dxfId="4059" priority="4168">
      <formula>$AG878:$AG1064="EOB Not Found"</formula>
    </cfRule>
    <cfRule type="expression" dxfId="4058" priority="4169">
      <formula>$AG878:$AG1064="EOB Downloaded"</formula>
    </cfRule>
  </conditionalFormatting>
  <conditionalFormatting sqref="AA877">
    <cfRule type="expression" dxfId="4057" priority="4160">
      <formula>$AG877:$AG1063="Follow-Up Complete"</formula>
    </cfRule>
    <cfRule type="expression" dxfId="4056" priority="4161">
      <formula>$AG877:$AG1063="Further Follow-Up"</formula>
    </cfRule>
    <cfRule type="expression" dxfId="4055" priority="4162">
      <formula>$AG877:$AG1063="EOB Requested"</formula>
    </cfRule>
    <cfRule type="expression" dxfId="4054" priority="4163">
      <formula>$AG877:$AG1063="EOB Not Found"</formula>
    </cfRule>
    <cfRule type="expression" dxfId="4053" priority="4164">
      <formula>$AG877:$AG1063="EOB Downloaded"</formula>
    </cfRule>
  </conditionalFormatting>
  <conditionalFormatting sqref="R876">
    <cfRule type="expression" dxfId="4052" priority="4155">
      <formula>$AG876:$AG1062="Follow-Up Complete"</formula>
    </cfRule>
    <cfRule type="expression" dxfId="4051" priority="4156">
      <formula>$AG876:$AG1062="Further Follow-Up"</formula>
    </cfRule>
    <cfRule type="expression" dxfId="4050" priority="4157">
      <formula>$AG876:$AG1062="EOB Requested"</formula>
    </cfRule>
    <cfRule type="expression" dxfId="4049" priority="4158">
      <formula>$AG876:$AG1062="EOB Not Found"</formula>
    </cfRule>
    <cfRule type="expression" dxfId="4048" priority="4159">
      <formula>$AG876:$AG1062="EOB Downloaded"</formula>
    </cfRule>
  </conditionalFormatting>
  <conditionalFormatting sqref="AA876">
    <cfRule type="expression" dxfId="4047" priority="4150">
      <formula>$AG876:$AG1062="Follow-Up Complete"</formula>
    </cfRule>
    <cfRule type="expression" dxfId="4046" priority="4151">
      <formula>$AG876:$AG1062="Further Follow-Up"</formula>
    </cfRule>
    <cfRule type="expression" dxfId="4045" priority="4152">
      <formula>$AG876:$AG1062="EOB Requested"</formula>
    </cfRule>
    <cfRule type="expression" dxfId="4044" priority="4153">
      <formula>$AG876:$AG1062="EOB Not Found"</formula>
    </cfRule>
    <cfRule type="expression" dxfId="4043" priority="4154">
      <formula>$AG876:$AG1062="EOB Downloaded"</formula>
    </cfRule>
  </conditionalFormatting>
  <conditionalFormatting sqref="R875">
    <cfRule type="expression" dxfId="4042" priority="4145">
      <formula>$AG875:$AG1061="Follow-Up Complete"</formula>
    </cfRule>
    <cfRule type="expression" dxfId="4041" priority="4146">
      <formula>$AG875:$AG1061="Further Follow-Up"</formula>
    </cfRule>
    <cfRule type="expression" dxfId="4040" priority="4147">
      <formula>$AG875:$AG1061="EOB Requested"</formula>
    </cfRule>
    <cfRule type="expression" dxfId="4039" priority="4148">
      <formula>$AG875:$AG1061="EOB Not Found"</formula>
    </cfRule>
    <cfRule type="expression" dxfId="4038" priority="4149">
      <formula>$AG875:$AG1061="EOB Downloaded"</formula>
    </cfRule>
  </conditionalFormatting>
  <conditionalFormatting sqref="AA875">
    <cfRule type="expression" dxfId="4037" priority="4140">
      <formula>$AG875:$AG1061="Follow-Up Complete"</formula>
    </cfRule>
    <cfRule type="expression" dxfId="4036" priority="4141">
      <formula>$AG875:$AG1061="Further Follow-Up"</formula>
    </cfRule>
    <cfRule type="expression" dxfId="4035" priority="4142">
      <formula>$AG875:$AG1061="EOB Requested"</formula>
    </cfRule>
    <cfRule type="expression" dxfId="4034" priority="4143">
      <formula>$AG875:$AG1061="EOB Not Found"</formula>
    </cfRule>
    <cfRule type="expression" dxfId="4033" priority="4144">
      <formula>$AG875:$AG1061="EOB Downloaded"</formula>
    </cfRule>
  </conditionalFormatting>
  <conditionalFormatting sqref="R874">
    <cfRule type="expression" dxfId="4032" priority="4135">
      <formula>$AG874:$AG1060="Follow-Up Complete"</formula>
    </cfRule>
    <cfRule type="expression" dxfId="4031" priority="4136">
      <formula>$AG874:$AG1060="Further Follow-Up"</formula>
    </cfRule>
    <cfRule type="expression" dxfId="4030" priority="4137">
      <formula>$AG874:$AG1060="EOB Requested"</formula>
    </cfRule>
    <cfRule type="expression" dxfId="4029" priority="4138">
      <formula>$AG874:$AG1060="EOB Not Found"</formula>
    </cfRule>
    <cfRule type="expression" dxfId="4028" priority="4139">
      <formula>$AG874:$AG1060="EOB Downloaded"</formula>
    </cfRule>
  </conditionalFormatting>
  <conditionalFormatting sqref="AA874">
    <cfRule type="expression" dxfId="4027" priority="4130">
      <formula>$AG874:$AG1060="Follow-Up Complete"</formula>
    </cfRule>
    <cfRule type="expression" dxfId="4026" priority="4131">
      <formula>$AG874:$AG1060="Further Follow-Up"</formula>
    </cfRule>
    <cfRule type="expression" dxfId="4025" priority="4132">
      <formula>$AG874:$AG1060="EOB Requested"</formula>
    </cfRule>
    <cfRule type="expression" dxfId="4024" priority="4133">
      <formula>$AG874:$AG1060="EOB Not Found"</formula>
    </cfRule>
    <cfRule type="expression" dxfId="4023" priority="4134">
      <formula>$AG874:$AG1060="EOB Downloaded"</formula>
    </cfRule>
  </conditionalFormatting>
  <conditionalFormatting sqref="R873">
    <cfRule type="expression" dxfId="4022" priority="4125">
      <formula>$AG873:$AG1059="Follow-Up Complete"</formula>
    </cfRule>
    <cfRule type="expression" dxfId="4021" priority="4126">
      <formula>$AG873:$AG1059="Further Follow-Up"</formula>
    </cfRule>
    <cfRule type="expression" dxfId="4020" priority="4127">
      <formula>$AG873:$AG1059="EOB Requested"</formula>
    </cfRule>
    <cfRule type="expression" dxfId="4019" priority="4128">
      <formula>$AG873:$AG1059="EOB Not Found"</formula>
    </cfRule>
    <cfRule type="expression" dxfId="4018" priority="4129">
      <formula>$AG873:$AG1059="EOB Downloaded"</formula>
    </cfRule>
  </conditionalFormatting>
  <conditionalFormatting sqref="AA873">
    <cfRule type="expression" dxfId="4017" priority="4120">
      <formula>$AG873:$AG1059="Follow-Up Complete"</formula>
    </cfRule>
    <cfRule type="expression" dxfId="4016" priority="4121">
      <formula>$AG873:$AG1059="Further Follow-Up"</formula>
    </cfRule>
    <cfRule type="expression" dxfId="4015" priority="4122">
      <formula>$AG873:$AG1059="EOB Requested"</formula>
    </cfRule>
    <cfRule type="expression" dxfId="4014" priority="4123">
      <formula>$AG873:$AG1059="EOB Not Found"</formula>
    </cfRule>
    <cfRule type="expression" dxfId="4013" priority="4124">
      <formula>$AG873:$AG1059="EOB Downloaded"</formula>
    </cfRule>
  </conditionalFormatting>
  <conditionalFormatting sqref="P871:P872">
    <cfRule type="expression" dxfId="4012" priority="4115">
      <formula>$AG871:$AG1057="Follow-Up Complete"</formula>
    </cfRule>
    <cfRule type="expression" dxfId="4011" priority="4116">
      <formula>$AG871:$AG1057="Further Follow-Up"</formula>
    </cfRule>
    <cfRule type="expression" dxfId="4010" priority="4117">
      <formula>$AG871:$AG1057="EOB Requested"</formula>
    </cfRule>
    <cfRule type="expression" dxfId="4009" priority="4118">
      <formula>$AG871:$AG1057="EOB Not Found"</formula>
    </cfRule>
    <cfRule type="expression" dxfId="4008" priority="4119">
      <formula>$AG871:$AG1057="EOB Downloaded"</formula>
    </cfRule>
  </conditionalFormatting>
  <conditionalFormatting sqref="T872">
    <cfRule type="expression" dxfId="4007" priority="4110">
      <formula>$AG872:$AG1058="Follow-Up Complete"</formula>
    </cfRule>
    <cfRule type="expression" dxfId="4006" priority="4111">
      <formula>$AG872:$AG1058="Further Follow-Up"</formula>
    </cfRule>
    <cfRule type="expression" dxfId="4005" priority="4112">
      <formula>$AG872:$AG1058="EOB Requested"</formula>
    </cfRule>
    <cfRule type="expression" dxfId="4004" priority="4113">
      <formula>$AG872:$AG1058="EOB Not Found"</formula>
    </cfRule>
    <cfRule type="expression" dxfId="4003" priority="4114">
      <formula>$AG872:$AG1058="EOB Downloaded"</formula>
    </cfRule>
  </conditionalFormatting>
  <conditionalFormatting sqref="V872">
    <cfRule type="expression" dxfId="4002" priority="4105">
      <formula>$AG872:$AG1058="Follow-Up Complete"</formula>
    </cfRule>
    <cfRule type="expression" dxfId="4001" priority="4106">
      <formula>$AG872:$AG1058="Further Follow-Up"</formula>
    </cfRule>
    <cfRule type="expression" dxfId="4000" priority="4107">
      <formula>$AG872:$AG1058="EOB Requested"</formula>
    </cfRule>
    <cfRule type="expression" dxfId="3999" priority="4108">
      <formula>$AG872:$AG1058="EOB Not Found"</formula>
    </cfRule>
    <cfRule type="expression" dxfId="3998" priority="4109">
      <formula>$AG872:$AG1058="EOB Downloaded"</formula>
    </cfRule>
  </conditionalFormatting>
  <conditionalFormatting sqref="X871:X872">
    <cfRule type="expression" dxfId="3997" priority="4100">
      <formula>$AG871:$AG1057="Follow-Up Complete"</formula>
    </cfRule>
    <cfRule type="expression" dxfId="3996" priority="4101">
      <formula>$AG871:$AG1057="Further Follow-Up"</formula>
    </cfRule>
    <cfRule type="expression" dxfId="3995" priority="4102">
      <formula>$AG871:$AG1057="EOB Requested"</formula>
    </cfRule>
    <cfRule type="expression" dxfId="3994" priority="4103">
      <formula>$AG871:$AG1057="EOB Not Found"</formula>
    </cfRule>
    <cfRule type="expression" dxfId="3993" priority="4104">
      <formula>$AG871:$AG1057="EOB Downloaded"</formula>
    </cfRule>
  </conditionalFormatting>
  <conditionalFormatting sqref="AA872">
    <cfRule type="expression" dxfId="3992" priority="4095">
      <formula>$AG872:$AG1058="Follow-Up Complete"</formula>
    </cfRule>
    <cfRule type="expression" dxfId="3991" priority="4096">
      <formula>$AG872:$AG1058="Further Follow-Up"</formula>
    </cfRule>
    <cfRule type="expression" dxfId="3990" priority="4097">
      <formula>$AG872:$AG1058="EOB Requested"</formula>
    </cfRule>
    <cfRule type="expression" dxfId="3989" priority="4098">
      <formula>$AG872:$AG1058="EOB Not Found"</formula>
    </cfRule>
    <cfRule type="expression" dxfId="3988" priority="4099">
      <formula>$AG872:$AG1058="EOB Downloaded"</formula>
    </cfRule>
  </conditionalFormatting>
  <conditionalFormatting sqref="T871">
    <cfRule type="expression" dxfId="3987" priority="4090">
      <formula>$AG871:$AG1057="Follow-Up Complete"</formula>
    </cfRule>
    <cfRule type="expression" dxfId="3986" priority="4091">
      <formula>$AG871:$AG1057="Further Follow-Up"</formula>
    </cfRule>
    <cfRule type="expression" dxfId="3985" priority="4092">
      <formula>$AG871:$AG1057="EOB Requested"</formula>
    </cfRule>
    <cfRule type="expression" dxfId="3984" priority="4093">
      <formula>$AG871:$AG1057="EOB Not Found"</formula>
    </cfRule>
    <cfRule type="expression" dxfId="3983" priority="4094">
      <formula>$AG871:$AG1057="EOB Downloaded"</formula>
    </cfRule>
  </conditionalFormatting>
  <conditionalFormatting sqref="V871">
    <cfRule type="expression" dxfId="3982" priority="4085">
      <formula>$AG871:$AG1057="Follow-Up Complete"</formula>
    </cfRule>
    <cfRule type="expression" dxfId="3981" priority="4086">
      <formula>$AG871:$AG1057="Further Follow-Up"</formula>
    </cfRule>
    <cfRule type="expression" dxfId="3980" priority="4087">
      <formula>$AG871:$AG1057="EOB Requested"</formula>
    </cfRule>
    <cfRule type="expression" dxfId="3979" priority="4088">
      <formula>$AG871:$AG1057="EOB Not Found"</formula>
    </cfRule>
    <cfRule type="expression" dxfId="3978" priority="4089">
      <formula>$AG871:$AG1057="EOB Downloaded"</formula>
    </cfRule>
  </conditionalFormatting>
  <conditionalFormatting sqref="AA871">
    <cfRule type="expression" dxfId="3977" priority="4080">
      <formula>$AG871:$AG1057="Follow-Up Complete"</formula>
    </cfRule>
    <cfRule type="expression" dxfId="3976" priority="4081">
      <formula>$AG871:$AG1057="Further Follow-Up"</formula>
    </cfRule>
    <cfRule type="expression" dxfId="3975" priority="4082">
      <formula>$AG871:$AG1057="EOB Requested"</formula>
    </cfRule>
    <cfRule type="expression" dxfId="3974" priority="4083">
      <formula>$AG871:$AG1057="EOB Not Found"</formula>
    </cfRule>
    <cfRule type="expression" dxfId="3973" priority="4084">
      <formula>$AG871:$AG1057="EOB Downloaded"</formula>
    </cfRule>
  </conditionalFormatting>
  <conditionalFormatting sqref="R869">
    <cfRule type="expression" dxfId="3972" priority="4075">
      <formula>$AG869:$AG1055="Follow-Up Complete"</formula>
    </cfRule>
    <cfRule type="expression" dxfId="3971" priority="4076">
      <formula>$AG869:$AG1055="Further Follow-Up"</formula>
    </cfRule>
    <cfRule type="expression" dxfId="3970" priority="4077">
      <formula>$AG869:$AG1055="EOB Requested"</formula>
    </cfRule>
    <cfRule type="expression" dxfId="3969" priority="4078">
      <formula>$AG869:$AG1055="EOB Not Found"</formula>
    </cfRule>
    <cfRule type="expression" dxfId="3968" priority="4079">
      <formula>$AG869:$AG1055="EOB Downloaded"</formula>
    </cfRule>
  </conditionalFormatting>
  <conditionalFormatting sqref="AA869">
    <cfRule type="expression" dxfId="3967" priority="4070">
      <formula>$AG869:$AG1055="Follow-Up Complete"</formula>
    </cfRule>
    <cfRule type="expression" dxfId="3966" priority="4071">
      <formula>$AG869:$AG1055="Further Follow-Up"</formula>
    </cfRule>
    <cfRule type="expression" dxfId="3965" priority="4072">
      <formula>$AG869:$AG1055="EOB Requested"</formula>
    </cfRule>
    <cfRule type="expression" dxfId="3964" priority="4073">
      <formula>$AG869:$AG1055="EOB Not Found"</formula>
    </cfRule>
    <cfRule type="expression" dxfId="3963" priority="4074">
      <formula>$AG869:$AG1055="EOB Downloaded"</formula>
    </cfRule>
  </conditionalFormatting>
  <conditionalFormatting sqref="R868">
    <cfRule type="expression" dxfId="3962" priority="4065">
      <formula>$AG868:$AG1054="Follow-Up Complete"</formula>
    </cfRule>
    <cfRule type="expression" dxfId="3961" priority="4066">
      <formula>$AG868:$AG1054="Further Follow-Up"</formula>
    </cfRule>
    <cfRule type="expression" dxfId="3960" priority="4067">
      <formula>$AG868:$AG1054="EOB Requested"</formula>
    </cfRule>
    <cfRule type="expression" dxfId="3959" priority="4068">
      <formula>$AG868:$AG1054="EOB Not Found"</formula>
    </cfRule>
    <cfRule type="expression" dxfId="3958" priority="4069">
      <formula>$AG868:$AG1054="EOB Downloaded"</formula>
    </cfRule>
  </conditionalFormatting>
  <conditionalFormatting sqref="AA868">
    <cfRule type="expression" dxfId="3957" priority="4060">
      <formula>$AG868:$AG1054="Follow-Up Complete"</formula>
    </cfRule>
    <cfRule type="expression" dxfId="3956" priority="4061">
      <formula>$AG868:$AG1054="Further Follow-Up"</formula>
    </cfRule>
    <cfRule type="expression" dxfId="3955" priority="4062">
      <formula>$AG868:$AG1054="EOB Requested"</formula>
    </cfRule>
    <cfRule type="expression" dxfId="3954" priority="4063">
      <formula>$AG868:$AG1054="EOB Not Found"</formula>
    </cfRule>
    <cfRule type="expression" dxfId="3953" priority="4064">
      <formula>$AG868:$AG1054="EOB Downloaded"</formula>
    </cfRule>
  </conditionalFormatting>
  <conditionalFormatting sqref="R867">
    <cfRule type="expression" dxfId="3952" priority="4055">
      <formula>$AG867:$AG1053="Follow-Up Complete"</formula>
    </cfRule>
    <cfRule type="expression" dxfId="3951" priority="4056">
      <formula>$AG867:$AG1053="Further Follow-Up"</formula>
    </cfRule>
    <cfRule type="expression" dxfId="3950" priority="4057">
      <formula>$AG867:$AG1053="EOB Requested"</formula>
    </cfRule>
    <cfRule type="expression" dxfId="3949" priority="4058">
      <formula>$AG867:$AG1053="EOB Not Found"</formula>
    </cfRule>
    <cfRule type="expression" dxfId="3948" priority="4059">
      <formula>$AG867:$AG1053="EOB Downloaded"</formula>
    </cfRule>
  </conditionalFormatting>
  <conditionalFormatting sqref="AA867">
    <cfRule type="expression" dxfId="3947" priority="4050">
      <formula>$AG867:$AG1053="Follow-Up Complete"</formula>
    </cfRule>
    <cfRule type="expression" dxfId="3946" priority="4051">
      <formula>$AG867:$AG1053="Further Follow-Up"</formula>
    </cfRule>
    <cfRule type="expression" dxfId="3945" priority="4052">
      <formula>$AG867:$AG1053="EOB Requested"</formula>
    </cfRule>
    <cfRule type="expression" dxfId="3944" priority="4053">
      <formula>$AG867:$AG1053="EOB Not Found"</formula>
    </cfRule>
    <cfRule type="expression" dxfId="3943" priority="4054">
      <formula>$AG867:$AG1053="EOB Downloaded"</formula>
    </cfRule>
  </conditionalFormatting>
  <conditionalFormatting sqref="P866">
    <cfRule type="expression" dxfId="3942" priority="4045">
      <formula>$AG866:$AG1052="Follow-Up Complete"</formula>
    </cfRule>
    <cfRule type="expression" dxfId="3941" priority="4046">
      <formula>$AG866:$AG1052="Further Follow-Up"</formula>
    </cfRule>
    <cfRule type="expression" dxfId="3940" priority="4047">
      <formula>$AG866:$AG1052="EOB Requested"</formula>
    </cfRule>
    <cfRule type="expression" dxfId="3939" priority="4048">
      <formula>$AG866:$AG1052="EOB Not Found"</formula>
    </cfRule>
    <cfRule type="expression" dxfId="3938" priority="4049">
      <formula>$AG866:$AG1052="EOB Downloaded"</formula>
    </cfRule>
  </conditionalFormatting>
  <conditionalFormatting sqref="R866">
    <cfRule type="expression" dxfId="3937" priority="4040">
      <formula>$AG866:$AG1052="Follow-Up Complete"</formula>
    </cfRule>
    <cfRule type="expression" dxfId="3936" priority="4041">
      <formula>$AG866:$AG1052="Further Follow-Up"</formula>
    </cfRule>
    <cfRule type="expression" dxfId="3935" priority="4042">
      <formula>$AG866:$AG1052="EOB Requested"</formula>
    </cfRule>
    <cfRule type="expression" dxfId="3934" priority="4043">
      <formula>$AG866:$AG1052="EOB Not Found"</formula>
    </cfRule>
    <cfRule type="expression" dxfId="3933" priority="4044">
      <formula>$AG866:$AG1052="EOB Downloaded"</formula>
    </cfRule>
  </conditionalFormatting>
  <conditionalFormatting sqref="T866">
    <cfRule type="expression" dxfId="3932" priority="4035">
      <formula>$AG866:$AG1052="Follow-Up Complete"</formula>
    </cfRule>
    <cfRule type="expression" dxfId="3931" priority="4036">
      <formula>$AG866:$AG1052="Further Follow-Up"</formula>
    </cfRule>
    <cfRule type="expression" dxfId="3930" priority="4037">
      <formula>$AG866:$AG1052="EOB Requested"</formula>
    </cfRule>
    <cfRule type="expression" dxfId="3929" priority="4038">
      <formula>$AG866:$AG1052="EOB Not Found"</formula>
    </cfRule>
    <cfRule type="expression" dxfId="3928" priority="4039">
      <formula>$AG866:$AG1052="EOB Downloaded"</formula>
    </cfRule>
  </conditionalFormatting>
  <conditionalFormatting sqref="AA866">
    <cfRule type="expression" dxfId="3927" priority="4030">
      <formula>$AG866:$AG1052="Follow-Up Complete"</formula>
    </cfRule>
    <cfRule type="expression" dxfId="3926" priority="4031">
      <formula>$AG866:$AG1052="Further Follow-Up"</formula>
    </cfRule>
    <cfRule type="expression" dxfId="3925" priority="4032">
      <formula>$AG866:$AG1052="EOB Requested"</formula>
    </cfRule>
    <cfRule type="expression" dxfId="3924" priority="4033">
      <formula>$AG866:$AG1052="EOB Not Found"</formula>
    </cfRule>
    <cfRule type="expression" dxfId="3923" priority="4034">
      <formula>$AG866:$AG1052="EOB Downloaded"</formula>
    </cfRule>
  </conditionalFormatting>
  <conditionalFormatting sqref="R865">
    <cfRule type="expression" dxfId="3922" priority="4025">
      <formula>$AG865:$AG1051="Follow-Up Complete"</formula>
    </cfRule>
    <cfRule type="expression" dxfId="3921" priority="4026">
      <formula>$AG865:$AG1051="Further Follow-Up"</formula>
    </cfRule>
    <cfRule type="expression" dxfId="3920" priority="4027">
      <formula>$AG865:$AG1051="EOB Requested"</formula>
    </cfRule>
    <cfRule type="expression" dxfId="3919" priority="4028">
      <formula>$AG865:$AG1051="EOB Not Found"</formula>
    </cfRule>
    <cfRule type="expression" dxfId="3918" priority="4029">
      <formula>$AG865:$AG1051="EOB Downloaded"</formula>
    </cfRule>
  </conditionalFormatting>
  <conditionalFormatting sqref="AA865">
    <cfRule type="expression" dxfId="3917" priority="4020">
      <formula>$AG865:$AG1051="Follow-Up Complete"</formula>
    </cfRule>
    <cfRule type="expression" dxfId="3916" priority="4021">
      <formula>$AG865:$AG1051="Further Follow-Up"</formula>
    </cfRule>
    <cfRule type="expression" dxfId="3915" priority="4022">
      <formula>$AG865:$AG1051="EOB Requested"</formula>
    </cfRule>
    <cfRule type="expression" dxfId="3914" priority="4023">
      <formula>$AG865:$AG1051="EOB Not Found"</formula>
    </cfRule>
    <cfRule type="expression" dxfId="3913" priority="4024">
      <formula>$AG865:$AG1051="EOB Downloaded"</formula>
    </cfRule>
  </conditionalFormatting>
  <conditionalFormatting sqref="R864">
    <cfRule type="expression" dxfId="3912" priority="4015">
      <formula>$AG864:$AG1050="Follow-Up Complete"</formula>
    </cfRule>
    <cfRule type="expression" dxfId="3911" priority="4016">
      <formula>$AG864:$AG1050="Further Follow-Up"</formula>
    </cfRule>
    <cfRule type="expression" dxfId="3910" priority="4017">
      <formula>$AG864:$AG1050="EOB Requested"</formula>
    </cfRule>
    <cfRule type="expression" dxfId="3909" priority="4018">
      <formula>$AG864:$AG1050="EOB Not Found"</formula>
    </cfRule>
    <cfRule type="expression" dxfId="3908" priority="4019">
      <formula>$AG864:$AG1050="EOB Downloaded"</formula>
    </cfRule>
  </conditionalFormatting>
  <conditionalFormatting sqref="AA864">
    <cfRule type="expression" dxfId="3907" priority="4010">
      <formula>$AG864:$AG1050="Follow-Up Complete"</formula>
    </cfRule>
    <cfRule type="expression" dxfId="3906" priority="4011">
      <formula>$AG864:$AG1050="Further Follow-Up"</formula>
    </cfRule>
    <cfRule type="expression" dxfId="3905" priority="4012">
      <formula>$AG864:$AG1050="EOB Requested"</formula>
    </cfRule>
    <cfRule type="expression" dxfId="3904" priority="4013">
      <formula>$AG864:$AG1050="EOB Not Found"</formula>
    </cfRule>
    <cfRule type="expression" dxfId="3903" priority="4014">
      <formula>$AG864:$AG1050="EOB Downloaded"</formula>
    </cfRule>
  </conditionalFormatting>
  <conditionalFormatting sqref="P863">
    <cfRule type="expression" dxfId="3902" priority="4005">
      <formula>$AG863:$AG1049="Follow-Up Complete"</formula>
    </cfRule>
    <cfRule type="expression" dxfId="3901" priority="4006">
      <formula>$AG863:$AG1049="Further Follow-Up"</formula>
    </cfRule>
    <cfRule type="expression" dxfId="3900" priority="4007">
      <formula>$AG863:$AG1049="EOB Requested"</formula>
    </cfRule>
    <cfRule type="expression" dxfId="3899" priority="4008">
      <formula>$AG863:$AG1049="EOB Not Found"</formula>
    </cfRule>
    <cfRule type="expression" dxfId="3898" priority="4009">
      <formula>$AG863:$AG1049="EOB Downloaded"</formula>
    </cfRule>
  </conditionalFormatting>
  <conditionalFormatting sqref="R863">
    <cfRule type="expression" dxfId="3897" priority="4000">
      <formula>$AG863:$AG1049="Follow-Up Complete"</formula>
    </cfRule>
    <cfRule type="expression" dxfId="3896" priority="4001">
      <formula>$AG863:$AG1049="Further Follow-Up"</formula>
    </cfRule>
    <cfRule type="expression" dxfId="3895" priority="4002">
      <formula>$AG863:$AG1049="EOB Requested"</formula>
    </cfRule>
    <cfRule type="expression" dxfId="3894" priority="4003">
      <formula>$AG863:$AG1049="EOB Not Found"</formula>
    </cfRule>
    <cfRule type="expression" dxfId="3893" priority="4004">
      <formula>$AG863:$AG1049="EOB Downloaded"</formula>
    </cfRule>
  </conditionalFormatting>
  <conditionalFormatting sqref="V863">
    <cfRule type="expression" dxfId="3892" priority="3995">
      <formula>$AG863:$AG1049="Follow-Up Complete"</formula>
    </cfRule>
    <cfRule type="expression" dxfId="3891" priority="3996">
      <formula>$AG863:$AG1049="Further Follow-Up"</formula>
    </cfRule>
    <cfRule type="expression" dxfId="3890" priority="3997">
      <formula>$AG863:$AG1049="EOB Requested"</formula>
    </cfRule>
    <cfRule type="expression" dxfId="3889" priority="3998">
      <formula>$AG863:$AG1049="EOB Not Found"</formula>
    </cfRule>
    <cfRule type="expression" dxfId="3888" priority="3999">
      <formula>$AG863:$AG1049="EOB Downloaded"</formula>
    </cfRule>
  </conditionalFormatting>
  <conditionalFormatting sqref="AA863">
    <cfRule type="expression" dxfId="3887" priority="3990">
      <formula>$AG863:$AG1049="Follow-Up Complete"</formula>
    </cfRule>
    <cfRule type="expression" dxfId="3886" priority="3991">
      <formula>$AG863:$AG1049="Further Follow-Up"</formula>
    </cfRule>
    <cfRule type="expression" dxfId="3885" priority="3992">
      <formula>$AG863:$AG1049="EOB Requested"</formula>
    </cfRule>
    <cfRule type="expression" dxfId="3884" priority="3993">
      <formula>$AG863:$AG1049="EOB Not Found"</formula>
    </cfRule>
    <cfRule type="expression" dxfId="3883" priority="3994">
      <formula>$AG863:$AG1049="EOB Downloaded"</formula>
    </cfRule>
  </conditionalFormatting>
  <conditionalFormatting sqref="R862">
    <cfRule type="expression" dxfId="3882" priority="3985">
      <formula>$AG862:$AG1048="Follow-Up Complete"</formula>
    </cfRule>
    <cfRule type="expression" dxfId="3881" priority="3986">
      <formula>$AG862:$AG1048="Further Follow-Up"</formula>
    </cfRule>
    <cfRule type="expression" dxfId="3880" priority="3987">
      <formula>$AG862:$AG1048="EOB Requested"</formula>
    </cfRule>
    <cfRule type="expression" dxfId="3879" priority="3988">
      <formula>$AG862:$AG1048="EOB Not Found"</formula>
    </cfRule>
    <cfRule type="expression" dxfId="3878" priority="3989">
      <formula>$AG862:$AG1048="EOB Downloaded"</formula>
    </cfRule>
  </conditionalFormatting>
  <conditionalFormatting sqref="AA862">
    <cfRule type="expression" dxfId="3877" priority="3980">
      <formula>$AG862:$AG1048="Follow-Up Complete"</formula>
    </cfRule>
    <cfRule type="expression" dxfId="3876" priority="3981">
      <formula>$AG862:$AG1048="Further Follow-Up"</formula>
    </cfRule>
    <cfRule type="expression" dxfId="3875" priority="3982">
      <formula>$AG862:$AG1048="EOB Requested"</formula>
    </cfRule>
    <cfRule type="expression" dxfId="3874" priority="3983">
      <formula>$AG862:$AG1048="EOB Not Found"</formula>
    </cfRule>
    <cfRule type="expression" dxfId="3873" priority="3984">
      <formula>$AG862:$AG1048="EOB Downloaded"</formula>
    </cfRule>
  </conditionalFormatting>
  <conditionalFormatting sqref="R861">
    <cfRule type="expression" dxfId="3872" priority="3975">
      <formula>$AG861:$AG1047="Follow-Up Complete"</formula>
    </cfRule>
    <cfRule type="expression" dxfId="3871" priority="3976">
      <formula>$AG861:$AG1047="Further Follow-Up"</formula>
    </cfRule>
    <cfRule type="expression" dxfId="3870" priority="3977">
      <formula>$AG861:$AG1047="EOB Requested"</formula>
    </cfRule>
    <cfRule type="expression" dxfId="3869" priority="3978">
      <formula>$AG861:$AG1047="EOB Not Found"</formula>
    </cfRule>
    <cfRule type="expression" dxfId="3868" priority="3979">
      <formula>$AG861:$AG1047="EOB Downloaded"</formula>
    </cfRule>
  </conditionalFormatting>
  <conditionalFormatting sqref="AA861">
    <cfRule type="expression" dxfId="3867" priority="3970">
      <formula>$AG861:$AG1047="Follow-Up Complete"</formula>
    </cfRule>
    <cfRule type="expression" dxfId="3866" priority="3971">
      <formula>$AG861:$AG1047="Further Follow-Up"</formula>
    </cfRule>
    <cfRule type="expression" dxfId="3865" priority="3972">
      <formula>$AG861:$AG1047="EOB Requested"</formula>
    </cfRule>
    <cfRule type="expression" dxfId="3864" priority="3973">
      <formula>$AG861:$AG1047="EOB Not Found"</formula>
    </cfRule>
    <cfRule type="expression" dxfId="3863" priority="3974">
      <formula>$AG861:$AG1047="EOB Downloaded"</formula>
    </cfRule>
  </conditionalFormatting>
  <conditionalFormatting sqref="R860">
    <cfRule type="expression" dxfId="3862" priority="3965">
      <formula>$AG860:$AG1046="Follow-Up Complete"</formula>
    </cfRule>
    <cfRule type="expression" dxfId="3861" priority="3966">
      <formula>$AG860:$AG1046="Further Follow-Up"</formula>
    </cfRule>
    <cfRule type="expression" dxfId="3860" priority="3967">
      <formula>$AG860:$AG1046="EOB Requested"</formula>
    </cfRule>
    <cfRule type="expression" dxfId="3859" priority="3968">
      <formula>$AG860:$AG1046="EOB Not Found"</formula>
    </cfRule>
    <cfRule type="expression" dxfId="3858" priority="3969">
      <formula>$AG860:$AG1046="EOB Downloaded"</formula>
    </cfRule>
  </conditionalFormatting>
  <conditionalFormatting sqref="AA860">
    <cfRule type="expression" dxfId="3857" priority="3960">
      <formula>$AG860:$AG1046="Follow-Up Complete"</formula>
    </cfRule>
    <cfRule type="expression" dxfId="3856" priority="3961">
      <formula>$AG860:$AG1046="Further Follow-Up"</formula>
    </cfRule>
    <cfRule type="expression" dxfId="3855" priority="3962">
      <formula>$AG860:$AG1046="EOB Requested"</formula>
    </cfRule>
    <cfRule type="expression" dxfId="3854" priority="3963">
      <formula>$AG860:$AG1046="EOB Not Found"</formula>
    </cfRule>
    <cfRule type="expression" dxfId="3853" priority="3964">
      <formula>$AG860:$AG1046="EOB Downloaded"</formula>
    </cfRule>
  </conditionalFormatting>
  <conditionalFormatting sqref="R859">
    <cfRule type="expression" dxfId="3852" priority="3955">
      <formula>$AG859:$AG1045="Follow-Up Complete"</formula>
    </cfRule>
    <cfRule type="expression" dxfId="3851" priority="3956">
      <formula>$AG859:$AG1045="Further Follow-Up"</formula>
    </cfRule>
    <cfRule type="expression" dxfId="3850" priority="3957">
      <formula>$AG859:$AG1045="EOB Requested"</formula>
    </cfRule>
    <cfRule type="expression" dxfId="3849" priority="3958">
      <formula>$AG859:$AG1045="EOB Not Found"</formula>
    </cfRule>
    <cfRule type="expression" dxfId="3848" priority="3959">
      <formula>$AG859:$AG1045="EOB Downloaded"</formula>
    </cfRule>
  </conditionalFormatting>
  <conditionalFormatting sqref="AA859">
    <cfRule type="expression" dxfId="3847" priority="3950">
      <formula>$AG859:$AG1045="Follow-Up Complete"</formula>
    </cfRule>
    <cfRule type="expression" dxfId="3846" priority="3951">
      <formula>$AG859:$AG1045="Further Follow-Up"</formula>
    </cfRule>
    <cfRule type="expression" dxfId="3845" priority="3952">
      <formula>$AG859:$AG1045="EOB Requested"</formula>
    </cfRule>
    <cfRule type="expression" dxfId="3844" priority="3953">
      <formula>$AG859:$AG1045="EOB Not Found"</formula>
    </cfRule>
    <cfRule type="expression" dxfId="3843" priority="3954">
      <formula>$AG859:$AG1045="EOB Downloaded"</formula>
    </cfRule>
  </conditionalFormatting>
  <conditionalFormatting sqref="R858">
    <cfRule type="expression" dxfId="3842" priority="3945">
      <formula>$AG858:$AG1044="Follow-Up Complete"</formula>
    </cfRule>
    <cfRule type="expression" dxfId="3841" priority="3946">
      <formula>$AG858:$AG1044="Further Follow-Up"</formula>
    </cfRule>
    <cfRule type="expression" dxfId="3840" priority="3947">
      <formula>$AG858:$AG1044="EOB Requested"</formula>
    </cfRule>
    <cfRule type="expression" dxfId="3839" priority="3948">
      <formula>$AG858:$AG1044="EOB Not Found"</formula>
    </cfRule>
    <cfRule type="expression" dxfId="3838" priority="3949">
      <formula>$AG858:$AG1044="EOB Downloaded"</formula>
    </cfRule>
  </conditionalFormatting>
  <conditionalFormatting sqref="AA858">
    <cfRule type="expression" dxfId="3837" priority="3940">
      <formula>$AG858:$AG1044="Follow-Up Complete"</formula>
    </cfRule>
    <cfRule type="expression" dxfId="3836" priority="3941">
      <formula>$AG858:$AG1044="Further Follow-Up"</formula>
    </cfRule>
    <cfRule type="expression" dxfId="3835" priority="3942">
      <formula>$AG858:$AG1044="EOB Requested"</formula>
    </cfRule>
    <cfRule type="expression" dxfId="3834" priority="3943">
      <formula>$AG858:$AG1044="EOB Not Found"</formula>
    </cfRule>
    <cfRule type="expression" dxfId="3833" priority="3944">
      <formula>$AG858:$AG1044="EOB Downloaded"</formula>
    </cfRule>
  </conditionalFormatting>
  <conditionalFormatting sqref="R857">
    <cfRule type="expression" dxfId="3832" priority="3935">
      <formula>$AG857:$AG1043="Follow-Up Complete"</formula>
    </cfRule>
    <cfRule type="expression" dxfId="3831" priority="3936">
      <formula>$AG857:$AG1043="Further Follow-Up"</formula>
    </cfRule>
    <cfRule type="expression" dxfId="3830" priority="3937">
      <formula>$AG857:$AG1043="EOB Requested"</formula>
    </cfRule>
    <cfRule type="expression" dxfId="3829" priority="3938">
      <formula>$AG857:$AG1043="EOB Not Found"</formula>
    </cfRule>
    <cfRule type="expression" dxfId="3828" priority="3939">
      <formula>$AG857:$AG1043="EOB Downloaded"</formula>
    </cfRule>
  </conditionalFormatting>
  <conditionalFormatting sqref="AA857">
    <cfRule type="expression" dxfId="3827" priority="3930">
      <formula>$AG857:$AG1043="Follow-Up Complete"</formula>
    </cfRule>
    <cfRule type="expression" dxfId="3826" priority="3931">
      <formula>$AG857:$AG1043="Further Follow-Up"</formula>
    </cfRule>
    <cfRule type="expression" dxfId="3825" priority="3932">
      <formula>$AG857:$AG1043="EOB Requested"</formula>
    </cfRule>
    <cfRule type="expression" dxfId="3824" priority="3933">
      <formula>$AG857:$AG1043="EOB Not Found"</formula>
    </cfRule>
    <cfRule type="expression" dxfId="3823" priority="3934">
      <formula>$AG857:$AG1043="EOB Downloaded"</formula>
    </cfRule>
  </conditionalFormatting>
  <conditionalFormatting sqref="P856">
    <cfRule type="expression" dxfId="3822" priority="3925">
      <formula>$AG856:$AG1042="Follow-Up Complete"</formula>
    </cfRule>
    <cfRule type="expression" dxfId="3821" priority="3926">
      <formula>$AG856:$AG1042="Further Follow-Up"</formula>
    </cfRule>
    <cfRule type="expression" dxfId="3820" priority="3927">
      <formula>$AG856:$AG1042="EOB Requested"</formula>
    </cfRule>
    <cfRule type="expression" dxfId="3819" priority="3928">
      <formula>$AG856:$AG1042="EOB Not Found"</formula>
    </cfRule>
    <cfRule type="expression" dxfId="3818" priority="3929">
      <formula>$AG856:$AG1042="EOB Downloaded"</formula>
    </cfRule>
  </conditionalFormatting>
  <conditionalFormatting sqref="T856">
    <cfRule type="expression" dxfId="3817" priority="3920">
      <formula>$AG856:$AG1042="Follow-Up Complete"</formula>
    </cfRule>
    <cfRule type="expression" dxfId="3816" priority="3921">
      <formula>$AG856:$AG1042="Further Follow-Up"</formula>
    </cfRule>
    <cfRule type="expression" dxfId="3815" priority="3922">
      <formula>$AG856:$AG1042="EOB Requested"</formula>
    </cfRule>
    <cfRule type="expression" dxfId="3814" priority="3923">
      <formula>$AG856:$AG1042="EOB Not Found"</formula>
    </cfRule>
    <cfRule type="expression" dxfId="3813" priority="3924">
      <formula>$AG856:$AG1042="EOB Downloaded"</formula>
    </cfRule>
  </conditionalFormatting>
  <conditionalFormatting sqref="V856">
    <cfRule type="expression" dxfId="3812" priority="3915">
      <formula>$AG856:$AG1042="Follow-Up Complete"</formula>
    </cfRule>
    <cfRule type="expression" dxfId="3811" priority="3916">
      <formula>$AG856:$AG1042="Further Follow-Up"</formula>
    </cfRule>
    <cfRule type="expression" dxfId="3810" priority="3917">
      <formula>$AG856:$AG1042="EOB Requested"</formula>
    </cfRule>
    <cfRule type="expression" dxfId="3809" priority="3918">
      <formula>$AG856:$AG1042="EOB Not Found"</formula>
    </cfRule>
    <cfRule type="expression" dxfId="3808" priority="3919">
      <formula>$AG856:$AG1042="EOB Downloaded"</formula>
    </cfRule>
  </conditionalFormatting>
  <conditionalFormatting sqref="X856">
    <cfRule type="expression" dxfId="3807" priority="3910">
      <formula>$AG856:$AG1042="Follow-Up Complete"</formula>
    </cfRule>
    <cfRule type="expression" dxfId="3806" priority="3911">
      <formula>$AG856:$AG1042="Further Follow-Up"</formula>
    </cfRule>
    <cfRule type="expression" dxfId="3805" priority="3912">
      <formula>$AG856:$AG1042="EOB Requested"</formula>
    </cfRule>
    <cfRule type="expression" dxfId="3804" priority="3913">
      <formula>$AG856:$AG1042="EOB Not Found"</formula>
    </cfRule>
    <cfRule type="expression" dxfId="3803" priority="3914">
      <formula>$AG856:$AG1042="EOB Downloaded"</formula>
    </cfRule>
  </conditionalFormatting>
  <conditionalFormatting sqref="AA856">
    <cfRule type="expression" dxfId="3802" priority="3905">
      <formula>$AG856:$AG1042="Follow-Up Complete"</formula>
    </cfRule>
    <cfRule type="expression" dxfId="3801" priority="3906">
      <formula>$AG856:$AG1042="Further Follow-Up"</formula>
    </cfRule>
    <cfRule type="expression" dxfId="3800" priority="3907">
      <formula>$AG856:$AG1042="EOB Requested"</formula>
    </cfRule>
    <cfRule type="expression" dxfId="3799" priority="3908">
      <formula>$AG856:$AG1042="EOB Not Found"</formula>
    </cfRule>
    <cfRule type="expression" dxfId="3798" priority="3909">
      <formula>$AG856:$AG1042="EOB Downloaded"</formula>
    </cfRule>
  </conditionalFormatting>
  <conditionalFormatting sqref="R855">
    <cfRule type="expression" dxfId="3797" priority="3900">
      <formula>$AG855:$AG1041="Follow-Up Complete"</formula>
    </cfRule>
    <cfRule type="expression" dxfId="3796" priority="3901">
      <formula>$AG855:$AG1041="Further Follow-Up"</formula>
    </cfRule>
    <cfRule type="expression" dxfId="3795" priority="3902">
      <formula>$AG855:$AG1041="EOB Requested"</formula>
    </cfRule>
    <cfRule type="expression" dxfId="3794" priority="3903">
      <formula>$AG855:$AG1041="EOB Not Found"</formula>
    </cfRule>
    <cfRule type="expression" dxfId="3793" priority="3904">
      <formula>$AG855:$AG1041="EOB Downloaded"</formula>
    </cfRule>
  </conditionalFormatting>
  <conditionalFormatting sqref="AA855">
    <cfRule type="expression" dxfId="3792" priority="3895">
      <formula>$AG855:$AG1041="Follow-Up Complete"</formula>
    </cfRule>
    <cfRule type="expression" dxfId="3791" priority="3896">
      <formula>$AG855:$AG1041="Further Follow-Up"</formula>
    </cfRule>
    <cfRule type="expression" dxfId="3790" priority="3897">
      <formula>$AG855:$AG1041="EOB Requested"</formula>
    </cfRule>
    <cfRule type="expression" dxfId="3789" priority="3898">
      <formula>$AG855:$AG1041="EOB Not Found"</formula>
    </cfRule>
    <cfRule type="expression" dxfId="3788" priority="3899">
      <formula>$AG855:$AG1041="EOB Downloaded"</formula>
    </cfRule>
  </conditionalFormatting>
  <conditionalFormatting sqref="P854">
    <cfRule type="expression" dxfId="3787" priority="3890">
      <formula>$AG854:$AG1040="Follow-Up Complete"</formula>
    </cfRule>
    <cfRule type="expression" dxfId="3786" priority="3891">
      <formula>$AG854:$AG1040="Further Follow-Up"</formula>
    </cfRule>
    <cfRule type="expression" dxfId="3785" priority="3892">
      <formula>$AG854:$AG1040="EOB Requested"</formula>
    </cfRule>
    <cfRule type="expression" dxfId="3784" priority="3893">
      <formula>$AG854:$AG1040="EOB Not Found"</formula>
    </cfRule>
    <cfRule type="expression" dxfId="3783" priority="3894">
      <formula>$AG854:$AG1040="EOB Downloaded"</formula>
    </cfRule>
  </conditionalFormatting>
  <conditionalFormatting sqref="R854">
    <cfRule type="expression" dxfId="3782" priority="3885">
      <formula>$AG854:$AG1040="Follow-Up Complete"</formula>
    </cfRule>
    <cfRule type="expression" dxfId="3781" priority="3886">
      <formula>$AG854:$AG1040="Further Follow-Up"</formula>
    </cfRule>
    <cfRule type="expression" dxfId="3780" priority="3887">
      <formula>$AG854:$AG1040="EOB Requested"</formula>
    </cfRule>
    <cfRule type="expression" dxfId="3779" priority="3888">
      <formula>$AG854:$AG1040="EOB Not Found"</formula>
    </cfRule>
    <cfRule type="expression" dxfId="3778" priority="3889">
      <formula>$AG854:$AG1040="EOB Downloaded"</formula>
    </cfRule>
  </conditionalFormatting>
  <conditionalFormatting sqref="AA854">
    <cfRule type="expression" dxfId="3777" priority="3880">
      <formula>$AG854:$AG1040="Follow-Up Complete"</formula>
    </cfRule>
    <cfRule type="expression" dxfId="3776" priority="3881">
      <formula>$AG854:$AG1040="Further Follow-Up"</formula>
    </cfRule>
    <cfRule type="expression" dxfId="3775" priority="3882">
      <formula>$AG854:$AG1040="EOB Requested"</formula>
    </cfRule>
    <cfRule type="expression" dxfId="3774" priority="3883">
      <formula>$AG854:$AG1040="EOB Not Found"</formula>
    </cfRule>
    <cfRule type="expression" dxfId="3773" priority="3884">
      <formula>$AG854:$AG1040="EOB Downloaded"</formula>
    </cfRule>
  </conditionalFormatting>
  <conditionalFormatting sqref="R852">
    <cfRule type="expression" dxfId="3772" priority="3875">
      <formula>$AG852:$AG1038="Follow-Up Complete"</formula>
    </cfRule>
    <cfRule type="expression" dxfId="3771" priority="3876">
      <formula>$AG852:$AG1038="Further Follow-Up"</formula>
    </cfRule>
    <cfRule type="expression" dxfId="3770" priority="3877">
      <formula>$AG852:$AG1038="EOB Requested"</formula>
    </cfRule>
    <cfRule type="expression" dxfId="3769" priority="3878">
      <formula>$AG852:$AG1038="EOB Not Found"</formula>
    </cfRule>
    <cfRule type="expression" dxfId="3768" priority="3879">
      <formula>$AG852:$AG1038="EOB Downloaded"</formula>
    </cfRule>
  </conditionalFormatting>
  <conditionalFormatting sqref="T852">
    <cfRule type="expression" dxfId="3767" priority="3870">
      <formula>$AG852:$AG1038="Follow-Up Complete"</formula>
    </cfRule>
    <cfRule type="expression" dxfId="3766" priority="3871">
      <formula>$AG852:$AG1038="Further Follow-Up"</formula>
    </cfRule>
    <cfRule type="expression" dxfId="3765" priority="3872">
      <formula>$AG852:$AG1038="EOB Requested"</formula>
    </cfRule>
    <cfRule type="expression" dxfId="3764" priority="3873">
      <formula>$AG852:$AG1038="EOB Not Found"</formula>
    </cfRule>
    <cfRule type="expression" dxfId="3763" priority="3874">
      <formula>$AG852:$AG1038="EOB Downloaded"</formula>
    </cfRule>
  </conditionalFormatting>
  <conditionalFormatting sqref="AA852">
    <cfRule type="expression" dxfId="3762" priority="3865">
      <formula>$AG852:$AG1038="Follow-Up Complete"</formula>
    </cfRule>
    <cfRule type="expression" dxfId="3761" priority="3866">
      <formula>$AG852:$AG1038="Further Follow-Up"</formula>
    </cfRule>
    <cfRule type="expression" dxfId="3760" priority="3867">
      <formula>$AG852:$AG1038="EOB Requested"</formula>
    </cfRule>
    <cfRule type="expression" dxfId="3759" priority="3868">
      <formula>$AG852:$AG1038="EOB Not Found"</formula>
    </cfRule>
    <cfRule type="expression" dxfId="3758" priority="3869">
      <formula>$AG852:$AG1038="EOB Downloaded"</formula>
    </cfRule>
  </conditionalFormatting>
  <conditionalFormatting sqref="AA851">
    <cfRule type="expression" dxfId="3757" priority="3858">
      <formula>$AG851:$AG1037="Follow-Up Complete"</formula>
    </cfRule>
    <cfRule type="expression" dxfId="3756" priority="3859">
      <formula>$AG851:$AG1037="Further Follow-Up"</formula>
    </cfRule>
    <cfRule type="expression" dxfId="3755" priority="3860">
      <formula>$AG851:$AG1037="EOB Requested"</formula>
    </cfRule>
    <cfRule type="expression" dxfId="3754" priority="3861">
      <formula>$AG851:$AG1037="EOB Not Found"</formula>
    </cfRule>
    <cfRule type="expression" dxfId="3753" priority="3862">
      <formula>$AG851:$AG1037="EOB Downloaded"</formula>
    </cfRule>
  </conditionalFormatting>
  <conditionalFormatting sqref="AA850">
    <cfRule type="expression" dxfId="3752" priority="3853">
      <formula>$AG850:$AG1036="Follow-Up Complete"</formula>
    </cfRule>
    <cfRule type="expression" dxfId="3751" priority="3854">
      <formula>$AG850:$AG1036="Further Follow-Up"</formula>
    </cfRule>
    <cfRule type="expression" dxfId="3750" priority="3855">
      <formula>$AG850:$AG1036="EOB Requested"</formula>
    </cfRule>
    <cfRule type="expression" dxfId="3749" priority="3856">
      <formula>$AG850:$AG1036="EOB Not Found"</formula>
    </cfRule>
    <cfRule type="expression" dxfId="3748" priority="3857">
      <formula>$AG850:$AG1036="EOB Downloaded"</formula>
    </cfRule>
  </conditionalFormatting>
  <conditionalFormatting sqref="P849">
    <cfRule type="expression" dxfId="3747" priority="3848">
      <formula>$AG849:$AG1035="Follow-Up Complete"</formula>
    </cfRule>
    <cfRule type="expression" dxfId="3746" priority="3849">
      <formula>$AG849:$AG1035="Further Follow-Up"</formula>
    </cfRule>
    <cfRule type="expression" dxfId="3745" priority="3850">
      <formula>$AG849:$AG1035="EOB Requested"</formula>
    </cfRule>
    <cfRule type="expression" dxfId="3744" priority="3851">
      <formula>$AG849:$AG1035="EOB Not Found"</formula>
    </cfRule>
    <cfRule type="expression" dxfId="3743" priority="3852">
      <formula>$AG849:$AG1035="EOB Downloaded"</formula>
    </cfRule>
  </conditionalFormatting>
  <conditionalFormatting sqref="AA849">
    <cfRule type="expression" dxfId="3742" priority="3843">
      <formula>$AG849:$AG1035="Follow-Up Complete"</formula>
    </cfRule>
    <cfRule type="expression" dxfId="3741" priority="3844">
      <formula>$AG849:$AG1035="Further Follow-Up"</formula>
    </cfRule>
    <cfRule type="expression" dxfId="3740" priority="3845">
      <formula>$AG849:$AG1035="EOB Requested"</formula>
    </cfRule>
    <cfRule type="expression" dxfId="3739" priority="3846">
      <formula>$AG849:$AG1035="EOB Not Found"</formula>
    </cfRule>
    <cfRule type="expression" dxfId="3738" priority="3847">
      <formula>$AG849:$AG1035="EOB Downloaded"</formula>
    </cfRule>
  </conditionalFormatting>
  <conditionalFormatting sqref="P842">
    <cfRule type="expression" dxfId="3737" priority="3838">
      <formula>$AG842:$AG1028="Follow-Up Complete"</formula>
    </cfRule>
    <cfRule type="expression" dxfId="3736" priority="3839">
      <formula>$AG842:$AG1028="Further Follow-Up"</formula>
    </cfRule>
    <cfRule type="expression" dxfId="3735" priority="3840">
      <formula>$AG842:$AG1028="EOB Requested"</formula>
    </cfRule>
    <cfRule type="expression" dxfId="3734" priority="3841">
      <formula>$AG842:$AG1028="EOB Not Found"</formula>
    </cfRule>
    <cfRule type="expression" dxfId="3733" priority="3842">
      <formula>$AG842:$AG1028="EOB Downloaded"</formula>
    </cfRule>
  </conditionalFormatting>
  <conditionalFormatting sqref="R842">
    <cfRule type="expression" dxfId="3732" priority="3833">
      <formula>$AG842:$AG1028="Follow-Up Complete"</formula>
    </cfRule>
    <cfRule type="expression" dxfId="3731" priority="3834">
      <formula>$AG842:$AG1028="Further Follow-Up"</formula>
    </cfRule>
    <cfRule type="expression" dxfId="3730" priority="3835">
      <formula>$AG842:$AG1028="EOB Requested"</formula>
    </cfRule>
    <cfRule type="expression" dxfId="3729" priority="3836">
      <formula>$AG842:$AG1028="EOB Not Found"</formula>
    </cfRule>
    <cfRule type="expression" dxfId="3728" priority="3837">
      <formula>$AG842:$AG1028="EOB Downloaded"</formula>
    </cfRule>
  </conditionalFormatting>
  <conditionalFormatting sqref="T842">
    <cfRule type="expression" dxfId="3727" priority="3828">
      <formula>$AG842:$AG1028="Follow-Up Complete"</formula>
    </cfRule>
    <cfRule type="expression" dxfId="3726" priority="3829">
      <formula>$AG842:$AG1028="Further Follow-Up"</formula>
    </cfRule>
    <cfRule type="expression" dxfId="3725" priority="3830">
      <formula>$AG842:$AG1028="EOB Requested"</formula>
    </cfRule>
    <cfRule type="expression" dxfId="3724" priority="3831">
      <formula>$AG842:$AG1028="EOB Not Found"</formula>
    </cfRule>
    <cfRule type="expression" dxfId="3723" priority="3832">
      <formula>$AG842:$AG1028="EOB Downloaded"</formula>
    </cfRule>
  </conditionalFormatting>
  <conditionalFormatting sqref="V842">
    <cfRule type="expression" dxfId="3722" priority="3823">
      <formula>$AG842:$AG1028="Follow-Up Complete"</formula>
    </cfRule>
    <cfRule type="expression" dxfId="3721" priority="3824">
      <formula>$AG842:$AG1028="Further Follow-Up"</formula>
    </cfRule>
    <cfRule type="expression" dxfId="3720" priority="3825">
      <formula>$AG842:$AG1028="EOB Requested"</formula>
    </cfRule>
    <cfRule type="expression" dxfId="3719" priority="3826">
      <formula>$AG842:$AG1028="EOB Not Found"</formula>
    </cfRule>
    <cfRule type="expression" dxfId="3718" priority="3827">
      <formula>$AG842:$AG1028="EOB Downloaded"</formula>
    </cfRule>
  </conditionalFormatting>
  <conditionalFormatting sqref="X842">
    <cfRule type="expression" dxfId="3717" priority="3818">
      <formula>$AG842:$AG1028="Follow-Up Complete"</formula>
    </cfRule>
    <cfRule type="expression" dxfId="3716" priority="3819">
      <formula>$AG842:$AG1028="Further Follow-Up"</formula>
    </cfRule>
    <cfRule type="expression" dxfId="3715" priority="3820">
      <formula>$AG842:$AG1028="EOB Requested"</formula>
    </cfRule>
    <cfRule type="expression" dxfId="3714" priority="3821">
      <formula>$AG842:$AG1028="EOB Not Found"</formula>
    </cfRule>
    <cfRule type="expression" dxfId="3713" priority="3822">
      <formula>$AG842:$AG1028="EOB Downloaded"</formula>
    </cfRule>
  </conditionalFormatting>
  <conditionalFormatting sqref="AA842">
    <cfRule type="expression" dxfId="3712" priority="3813">
      <formula>$AG842:$AG1028="Follow-Up Complete"</formula>
    </cfRule>
    <cfRule type="expression" dxfId="3711" priority="3814">
      <formula>$AG842:$AG1028="Further Follow-Up"</formula>
    </cfRule>
    <cfRule type="expression" dxfId="3710" priority="3815">
      <formula>$AG842:$AG1028="EOB Requested"</formula>
    </cfRule>
    <cfRule type="expression" dxfId="3709" priority="3816">
      <formula>$AG842:$AG1028="EOB Not Found"</formula>
    </cfRule>
    <cfRule type="expression" dxfId="3708" priority="3817">
      <formula>$AG842:$AG1028="EOB Downloaded"</formula>
    </cfRule>
  </conditionalFormatting>
  <conditionalFormatting sqref="P841">
    <cfRule type="expression" dxfId="3707" priority="3808">
      <formula>$AG841:$AG1027="Follow-Up Complete"</formula>
    </cfRule>
    <cfRule type="expression" dxfId="3706" priority="3809">
      <formula>$AG841:$AG1027="Further Follow-Up"</formula>
    </cfRule>
    <cfRule type="expression" dxfId="3705" priority="3810">
      <formula>$AG841:$AG1027="EOB Requested"</formula>
    </cfRule>
    <cfRule type="expression" dxfId="3704" priority="3811">
      <formula>$AG841:$AG1027="EOB Not Found"</formula>
    </cfRule>
    <cfRule type="expression" dxfId="3703" priority="3812">
      <formula>$AG841:$AG1027="EOB Downloaded"</formula>
    </cfRule>
  </conditionalFormatting>
  <conditionalFormatting sqref="R841">
    <cfRule type="expression" dxfId="3702" priority="3803">
      <formula>$AG841:$AG1027="Follow-Up Complete"</formula>
    </cfRule>
    <cfRule type="expression" dxfId="3701" priority="3804">
      <formula>$AG841:$AG1027="Further Follow-Up"</formula>
    </cfRule>
    <cfRule type="expression" dxfId="3700" priority="3805">
      <formula>$AG841:$AG1027="EOB Requested"</formula>
    </cfRule>
    <cfRule type="expression" dxfId="3699" priority="3806">
      <formula>$AG841:$AG1027="EOB Not Found"</formula>
    </cfRule>
    <cfRule type="expression" dxfId="3698" priority="3807">
      <formula>$AG841:$AG1027="EOB Downloaded"</formula>
    </cfRule>
  </conditionalFormatting>
  <conditionalFormatting sqref="T841">
    <cfRule type="expression" dxfId="3697" priority="3798">
      <formula>$AG841:$AG1027="Follow-Up Complete"</formula>
    </cfRule>
    <cfRule type="expression" dxfId="3696" priority="3799">
      <formula>$AG841:$AG1027="Further Follow-Up"</formula>
    </cfRule>
    <cfRule type="expression" dxfId="3695" priority="3800">
      <formula>$AG841:$AG1027="EOB Requested"</formula>
    </cfRule>
    <cfRule type="expression" dxfId="3694" priority="3801">
      <formula>$AG841:$AG1027="EOB Not Found"</formula>
    </cfRule>
    <cfRule type="expression" dxfId="3693" priority="3802">
      <formula>$AG841:$AG1027="EOB Downloaded"</formula>
    </cfRule>
  </conditionalFormatting>
  <conditionalFormatting sqref="V841">
    <cfRule type="expression" dxfId="3692" priority="3793">
      <formula>$AG841:$AG1027="Follow-Up Complete"</formula>
    </cfRule>
    <cfRule type="expression" dxfId="3691" priority="3794">
      <formula>$AG841:$AG1027="Further Follow-Up"</formula>
    </cfRule>
    <cfRule type="expression" dxfId="3690" priority="3795">
      <formula>$AG841:$AG1027="EOB Requested"</formula>
    </cfRule>
    <cfRule type="expression" dxfId="3689" priority="3796">
      <formula>$AG841:$AG1027="EOB Not Found"</formula>
    </cfRule>
    <cfRule type="expression" dxfId="3688" priority="3797">
      <formula>$AG841:$AG1027="EOB Downloaded"</formula>
    </cfRule>
  </conditionalFormatting>
  <conditionalFormatting sqref="X841">
    <cfRule type="expression" dxfId="3687" priority="3788">
      <formula>$AG841:$AG1027="Follow-Up Complete"</formula>
    </cfRule>
    <cfRule type="expression" dxfId="3686" priority="3789">
      <formula>$AG841:$AG1027="Further Follow-Up"</formula>
    </cfRule>
    <cfRule type="expression" dxfId="3685" priority="3790">
      <formula>$AG841:$AG1027="EOB Requested"</formula>
    </cfRule>
    <cfRule type="expression" dxfId="3684" priority="3791">
      <formula>$AG841:$AG1027="EOB Not Found"</formula>
    </cfRule>
    <cfRule type="expression" dxfId="3683" priority="3792">
      <formula>$AG841:$AG1027="EOB Downloaded"</formula>
    </cfRule>
  </conditionalFormatting>
  <conditionalFormatting sqref="AA841">
    <cfRule type="expression" dxfId="3682" priority="3783">
      <formula>$AG841:$AG1027="Follow-Up Complete"</formula>
    </cfRule>
    <cfRule type="expression" dxfId="3681" priority="3784">
      <formula>$AG841:$AG1027="Further Follow-Up"</formula>
    </cfRule>
    <cfRule type="expression" dxfId="3680" priority="3785">
      <formula>$AG841:$AG1027="EOB Requested"</formula>
    </cfRule>
    <cfRule type="expression" dxfId="3679" priority="3786">
      <formula>$AG841:$AG1027="EOB Not Found"</formula>
    </cfRule>
    <cfRule type="expression" dxfId="3678" priority="3787">
      <formula>$AG841:$AG1027="EOB Downloaded"</formula>
    </cfRule>
  </conditionalFormatting>
  <conditionalFormatting sqref="P840">
    <cfRule type="expression" dxfId="3677" priority="3778">
      <formula>$AG840:$AG1026="Follow-Up Complete"</formula>
    </cfRule>
    <cfRule type="expression" dxfId="3676" priority="3779">
      <formula>$AG840:$AG1026="Further Follow-Up"</formula>
    </cfRule>
    <cfRule type="expression" dxfId="3675" priority="3780">
      <formula>$AG840:$AG1026="EOB Requested"</formula>
    </cfRule>
    <cfRule type="expression" dxfId="3674" priority="3781">
      <formula>$AG840:$AG1026="EOB Not Found"</formula>
    </cfRule>
    <cfRule type="expression" dxfId="3673" priority="3782">
      <formula>$AG840:$AG1026="EOB Downloaded"</formula>
    </cfRule>
  </conditionalFormatting>
  <conditionalFormatting sqref="R840">
    <cfRule type="expression" dxfId="3672" priority="3773">
      <formula>$AG840:$AG1026="Follow-Up Complete"</formula>
    </cfRule>
    <cfRule type="expression" dxfId="3671" priority="3774">
      <formula>$AG840:$AG1026="Further Follow-Up"</formula>
    </cfRule>
    <cfRule type="expression" dxfId="3670" priority="3775">
      <formula>$AG840:$AG1026="EOB Requested"</formula>
    </cfRule>
    <cfRule type="expression" dxfId="3669" priority="3776">
      <formula>$AG840:$AG1026="EOB Not Found"</formula>
    </cfRule>
    <cfRule type="expression" dxfId="3668" priority="3777">
      <formula>$AG840:$AG1026="EOB Downloaded"</formula>
    </cfRule>
  </conditionalFormatting>
  <conditionalFormatting sqref="V840">
    <cfRule type="expression" dxfId="3667" priority="3768">
      <formula>$AG840:$AG1026="Follow-Up Complete"</formula>
    </cfRule>
    <cfRule type="expression" dxfId="3666" priority="3769">
      <formula>$AG840:$AG1026="Further Follow-Up"</formula>
    </cfRule>
    <cfRule type="expression" dxfId="3665" priority="3770">
      <formula>$AG840:$AG1026="EOB Requested"</formula>
    </cfRule>
    <cfRule type="expression" dxfId="3664" priority="3771">
      <formula>$AG840:$AG1026="EOB Not Found"</formula>
    </cfRule>
    <cfRule type="expression" dxfId="3663" priority="3772">
      <formula>$AG840:$AG1026="EOB Downloaded"</formula>
    </cfRule>
  </conditionalFormatting>
  <conditionalFormatting sqref="X840">
    <cfRule type="expression" dxfId="3662" priority="3763">
      <formula>$AG840:$AG1026="Follow-Up Complete"</formula>
    </cfRule>
    <cfRule type="expression" dxfId="3661" priority="3764">
      <formula>$AG840:$AG1026="Further Follow-Up"</formula>
    </cfRule>
    <cfRule type="expression" dxfId="3660" priority="3765">
      <formula>$AG840:$AG1026="EOB Requested"</formula>
    </cfRule>
    <cfRule type="expression" dxfId="3659" priority="3766">
      <formula>$AG840:$AG1026="EOB Not Found"</formula>
    </cfRule>
    <cfRule type="expression" dxfId="3658" priority="3767">
      <formula>$AG840:$AG1026="EOB Downloaded"</formula>
    </cfRule>
  </conditionalFormatting>
  <conditionalFormatting sqref="AB840">
    <cfRule type="expression" dxfId="3657" priority="3758">
      <formula>$AG840:$AG1026="Follow-Up Complete"</formula>
    </cfRule>
    <cfRule type="expression" dxfId="3656" priority="3759">
      <formula>$AG840:$AG1026="Further Follow-Up"</formula>
    </cfRule>
    <cfRule type="expression" dxfId="3655" priority="3760">
      <formula>$AG840:$AG1026="EOB Requested"</formula>
    </cfRule>
    <cfRule type="expression" dxfId="3654" priority="3761">
      <formula>$AG840:$AG1026="EOB Not Found"</formula>
    </cfRule>
    <cfRule type="expression" dxfId="3653" priority="3762">
      <formula>$AG840:$AG1026="EOB Downloaded"</formula>
    </cfRule>
  </conditionalFormatting>
  <conditionalFormatting sqref="AA840">
    <cfRule type="expression" dxfId="3652" priority="3753">
      <formula>$AG840:$AG1026="Follow-Up Complete"</formula>
    </cfRule>
    <cfRule type="expression" dxfId="3651" priority="3754">
      <formula>$AG840:$AG1026="Further Follow-Up"</formula>
    </cfRule>
    <cfRule type="expression" dxfId="3650" priority="3755">
      <formula>$AG840:$AG1026="EOB Requested"</formula>
    </cfRule>
    <cfRule type="expression" dxfId="3649" priority="3756">
      <formula>$AG840:$AG1026="EOB Not Found"</formula>
    </cfRule>
    <cfRule type="expression" dxfId="3648" priority="3757">
      <formula>$AG840:$AG1026="EOB Downloaded"</formula>
    </cfRule>
  </conditionalFormatting>
  <conditionalFormatting sqref="P839">
    <cfRule type="expression" dxfId="3647" priority="3748">
      <formula>$AG839:$AG1025="Follow-Up Complete"</formula>
    </cfRule>
    <cfRule type="expression" dxfId="3646" priority="3749">
      <formula>$AG839:$AG1025="Further Follow-Up"</formula>
    </cfRule>
    <cfRule type="expression" dxfId="3645" priority="3750">
      <formula>$AG839:$AG1025="EOB Requested"</formula>
    </cfRule>
    <cfRule type="expression" dxfId="3644" priority="3751">
      <formula>$AG839:$AG1025="EOB Not Found"</formula>
    </cfRule>
    <cfRule type="expression" dxfId="3643" priority="3752">
      <formula>$AG839:$AG1025="EOB Downloaded"</formula>
    </cfRule>
  </conditionalFormatting>
  <conditionalFormatting sqref="R839">
    <cfRule type="expression" dxfId="3642" priority="3743">
      <formula>$AG839:$AG1025="Follow-Up Complete"</formula>
    </cfRule>
    <cfRule type="expression" dxfId="3641" priority="3744">
      <formula>$AG839:$AG1025="Further Follow-Up"</formula>
    </cfRule>
    <cfRule type="expression" dxfId="3640" priority="3745">
      <formula>$AG839:$AG1025="EOB Requested"</formula>
    </cfRule>
    <cfRule type="expression" dxfId="3639" priority="3746">
      <formula>$AG839:$AG1025="EOB Not Found"</formula>
    </cfRule>
    <cfRule type="expression" dxfId="3638" priority="3747">
      <formula>$AG839:$AG1025="EOB Downloaded"</formula>
    </cfRule>
  </conditionalFormatting>
  <conditionalFormatting sqref="T839">
    <cfRule type="expression" dxfId="3637" priority="3738">
      <formula>$AG839:$AG1025="Follow-Up Complete"</formula>
    </cfRule>
    <cfRule type="expression" dxfId="3636" priority="3739">
      <formula>$AG839:$AG1025="Further Follow-Up"</formula>
    </cfRule>
    <cfRule type="expression" dxfId="3635" priority="3740">
      <formula>$AG839:$AG1025="EOB Requested"</formula>
    </cfRule>
    <cfRule type="expression" dxfId="3634" priority="3741">
      <formula>$AG839:$AG1025="EOB Not Found"</formula>
    </cfRule>
    <cfRule type="expression" dxfId="3633" priority="3742">
      <formula>$AG839:$AG1025="EOB Downloaded"</formula>
    </cfRule>
  </conditionalFormatting>
  <conditionalFormatting sqref="V839">
    <cfRule type="expression" dxfId="3632" priority="3733">
      <formula>$AG839:$AG1025="Follow-Up Complete"</formula>
    </cfRule>
    <cfRule type="expression" dxfId="3631" priority="3734">
      <formula>$AG839:$AG1025="Further Follow-Up"</formula>
    </cfRule>
    <cfRule type="expression" dxfId="3630" priority="3735">
      <formula>$AG839:$AG1025="EOB Requested"</formula>
    </cfRule>
    <cfRule type="expression" dxfId="3629" priority="3736">
      <formula>$AG839:$AG1025="EOB Not Found"</formula>
    </cfRule>
    <cfRule type="expression" dxfId="3628" priority="3737">
      <formula>$AG839:$AG1025="EOB Downloaded"</formula>
    </cfRule>
  </conditionalFormatting>
  <conditionalFormatting sqref="X839">
    <cfRule type="expression" dxfId="3627" priority="3728">
      <formula>$AG839:$AG1025="Follow-Up Complete"</formula>
    </cfRule>
    <cfRule type="expression" dxfId="3626" priority="3729">
      <formula>$AG839:$AG1025="Further Follow-Up"</formula>
    </cfRule>
    <cfRule type="expression" dxfId="3625" priority="3730">
      <formula>$AG839:$AG1025="EOB Requested"</formula>
    </cfRule>
    <cfRule type="expression" dxfId="3624" priority="3731">
      <formula>$AG839:$AG1025="EOB Not Found"</formula>
    </cfRule>
    <cfRule type="expression" dxfId="3623" priority="3732">
      <formula>$AG839:$AG1025="EOB Downloaded"</formula>
    </cfRule>
  </conditionalFormatting>
  <conditionalFormatting sqref="AA839">
    <cfRule type="expression" dxfId="3622" priority="3723">
      <formula>$AG839:$AG1025="Follow-Up Complete"</formula>
    </cfRule>
    <cfRule type="expression" dxfId="3621" priority="3724">
      <formula>$AG839:$AG1025="Further Follow-Up"</formula>
    </cfRule>
    <cfRule type="expression" dxfId="3620" priority="3725">
      <formula>$AG839:$AG1025="EOB Requested"</formula>
    </cfRule>
    <cfRule type="expression" dxfId="3619" priority="3726">
      <formula>$AG839:$AG1025="EOB Not Found"</formula>
    </cfRule>
    <cfRule type="expression" dxfId="3618" priority="3727">
      <formula>$AG839:$AG1025="EOB Downloaded"</formula>
    </cfRule>
  </conditionalFormatting>
  <conditionalFormatting sqref="P838">
    <cfRule type="expression" dxfId="3617" priority="3718">
      <formula>$AG838:$AG1024="Follow-Up Complete"</formula>
    </cfRule>
    <cfRule type="expression" dxfId="3616" priority="3719">
      <formula>$AG838:$AG1024="Further Follow-Up"</formula>
    </cfRule>
    <cfRule type="expression" dxfId="3615" priority="3720">
      <formula>$AG838:$AG1024="EOB Requested"</formula>
    </cfRule>
    <cfRule type="expression" dxfId="3614" priority="3721">
      <formula>$AG838:$AG1024="EOB Not Found"</formula>
    </cfRule>
    <cfRule type="expression" dxfId="3613" priority="3722">
      <formula>$AG838:$AG1024="EOB Downloaded"</formula>
    </cfRule>
  </conditionalFormatting>
  <conditionalFormatting sqref="R838">
    <cfRule type="expression" dxfId="3612" priority="3713">
      <formula>$AG838:$AG1024="Follow-Up Complete"</formula>
    </cfRule>
    <cfRule type="expression" dxfId="3611" priority="3714">
      <formula>$AG838:$AG1024="Further Follow-Up"</formula>
    </cfRule>
    <cfRule type="expression" dxfId="3610" priority="3715">
      <formula>$AG838:$AG1024="EOB Requested"</formula>
    </cfRule>
    <cfRule type="expression" dxfId="3609" priority="3716">
      <formula>$AG838:$AG1024="EOB Not Found"</formula>
    </cfRule>
    <cfRule type="expression" dxfId="3608" priority="3717">
      <formula>$AG838:$AG1024="EOB Downloaded"</formula>
    </cfRule>
  </conditionalFormatting>
  <conditionalFormatting sqref="T838">
    <cfRule type="expression" dxfId="3607" priority="3708">
      <formula>$AG838:$AG1024="Follow-Up Complete"</formula>
    </cfRule>
    <cfRule type="expression" dxfId="3606" priority="3709">
      <formula>$AG838:$AG1024="Further Follow-Up"</formula>
    </cfRule>
    <cfRule type="expression" dxfId="3605" priority="3710">
      <formula>$AG838:$AG1024="EOB Requested"</formula>
    </cfRule>
    <cfRule type="expression" dxfId="3604" priority="3711">
      <formula>$AG838:$AG1024="EOB Not Found"</formula>
    </cfRule>
    <cfRule type="expression" dxfId="3603" priority="3712">
      <formula>$AG838:$AG1024="EOB Downloaded"</formula>
    </cfRule>
  </conditionalFormatting>
  <conditionalFormatting sqref="V838">
    <cfRule type="expression" dxfId="3602" priority="3703">
      <formula>$AG838:$AG1024="Follow-Up Complete"</formula>
    </cfRule>
    <cfRule type="expression" dxfId="3601" priority="3704">
      <formula>$AG838:$AG1024="Further Follow-Up"</formula>
    </cfRule>
    <cfRule type="expression" dxfId="3600" priority="3705">
      <formula>$AG838:$AG1024="EOB Requested"</formula>
    </cfRule>
    <cfRule type="expression" dxfId="3599" priority="3706">
      <formula>$AG838:$AG1024="EOB Not Found"</formula>
    </cfRule>
    <cfRule type="expression" dxfId="3598" priority="3707">
      <formula>$AG838:$AG1024="EOB Downloaded"</formula>
    </cfRule>
  </conditionalFormatting>
  <conditionalFormatting sqref="X838">
    <cfRule type="expression" dxfId="3597" priority="3698">
      <formula>$AG838:$AG1024="Follow-Up Complete"</formula>
    </cfRule>
    <cfRule type="expression" dxfId="3596" priority="3699">
      <formula>$AG838:$AG1024="Further Follow-Up"</formula>
    </cfRule>
    <cfRule type="expression" dxfId="3595" priority="3700">
      <formula>$AG838:$AG1024="EOB Requested"</formula>
    </cfRule>
    <cfRule type="expression" dxfId="3594" priority="3701">
      <formula>$AG838:$AG1024="EOB Not Found"</formula>
    </cfRule>
    <cfRule type="expression" dxfId="3593" priority="3702">
      <formula>$AG838:$AG1024="EOB Downloaded"</formula>
    </cfRule>
  </conditionalFormatting>
  <conditionalFormatting sqref="AA838">
    <cfRule type="expression" dxfId="3592" priority="3693">
      <formula>$AG838:$AG1024="Follow-Up Complete"</formula>
    </cfRule>
    <cfRule type="expression" dxfId="3591" priority="3694">
      <formula>$AG838:$AG1024="Further Follow-Up"</formula>
    </cfRule>
    <cfRule type="expression" dxfId="3590" priority="3695">
      <formula>$AG838:$AG1024="EOB Requested"</formula>
    </cfRule>
    <cfRule type="expression" dxfId="3589" priority="3696">
      <formula>$AG838:$AG1024="EOB Not Found"</formula>
    </cfRule>
    <cfRule type="expression" dxfId="3588" priority="3697">
      <formula>$AG838:$AG1024="EOB Downloaded"</formula>
    </cfRule>
  </conditionalFormatting>
  <conditionalFormatting sqref="P837">
    <cfRule type="expression" dxfId="3587" priority="3688">
      <formula>$AG837:$AG1023="Follow-Up Complete"</formula>
    </cfRule>
    <cfRule type="expression" dxfId="3586" priority="3689">
      <formula>$AG837:$AG1023="Further Follow-Up"</formula>
    </cfRule>
    <cfRule type="expression" dxfId="3585" priority="3690">
      <formula>$AG837:$AG1023="EOB Requested"</formula>
    </cfRule>
    <cfRule type="expression" dxfId="3584" priority="3691">
      <formula>$AG837:$AG1023="EOB Not Found"</formula>
    </cfRule>
    <cfRule type="expression" dxfId="3583" priority="3692">
      <formula>$AG837:$AG1023="EOB Downloaded"</formula>
    </cfRule>
  </conditionalFormatting>
  <conditionalFormatting sqref="R837">
    <cfRule type="expression" dxfId="3582" priority="3683">
      <formula>$AG837:$AG1023="Follow-Up Complete"</formula>
    </cfRule>
    <cfRule type="expression" dxfId="3581" priority="3684">
      <formula>$AG837:$AG1023="Further Follow-Up"</formula>
    </cfRule>
    <cfRule type="expression" dxfId="3580" priority="3685">
      <formula>$AG837:$AG1023="EOB Requested"</formula>
    </cfRule>
    <cfRule type="expression" dxfId="3579" priority="3686">
      <formula>$AG837:$AG1023="EOB Not Found"</formula>
    </cfRule>
    <cfRule type="expression" dxfId="3578" priority="3687">
      <formula>$AG837:$AG1023="EOB Downloaded"</formula>
    </cfRule>
  </conditionalFormatting>
  <conditionalFormatting sqref="V837">
    <cfRule type="expression" dxfId="3577" priority="3678">
      <formula>$AG837:$AG1023="Follow-Up Complete"</formula>
    </cfRule>
    <cfRule type="expression" dxfId="3576" priority="3679">
      <formula>$AG837:$AG1023="Further Follow-Up"</formula>
    </cfRule>
    <cfRule type="expression" dxfId="3575" priority="3680">
      <formula>$AG837:$AG1023="EOB Requested"</formula>
    </cfRule>
    <cfRule type="expression" dxfId="3574" priority="3681">
      <formula>$AG837:$AG1023="EOB Not Found"</formula>
    </cfRule>
    <cfRule type="expression" dxfId="3573" priority="3682">
      <formula>$AG837:$AG1023="EOB Downloaded"</formula>
    </cfRule>
  </conditionalFormatting>
  <conditionalFormatting sqref="X837">
    <cfRule type="expression" dxfId="3572" priority="3673">
      <formula>$AG837:$AG1023="Follow-Up Complete"</formula>
    </cfRule>
    <cfRule type="expression" dxfId="3571" priority="3674">
      <formula>$AG837:$AG1023="Further Follow-Up"</formula>
    </cfRule>
    <cfRule type="expression" dxfId="3570" priority="3675">
      <formula>$AG837:$AG1023="EOB Requested"</formula>
    </cfRule>
    <cfRule type="expression" dxfId="3569" priority="3676">
      <formula>$AG837:$AG1023="EOB Not Found"</formula>
    </cfRule>
    <cfRule type="expression" dxfId="3568" priority="3677">
      <formula>$AG837:$AG1023="EOB Downloaded"</formula>
    </cfRule>
  </conditionalFormatting>
  <conditionalFormatting sqref="AA837">
    <cfRule type="expression" dxfId="3567" priority="3668">
      <formula>$AG837:$AG1023="Follow-Up Complete"</formula>
    </cfRule>
    <cfRule type="expression" dxfId="3566" priority="3669">
      <formula>$AG837:$AG1023="Further Follow-Up"</formula>
    </cfRule>
    <cfRule type="expression" dxfId="3565" priority="3670">
      <formula>$AG837:$AG1023="EOB Requested"</formula>
    </cfRule>
    <cfRule type="expression" dxfId="3564" priority="3671">
      <formula>$AG837:$AG1023="EOB Not Found"</formula>
    </cfRule>
    <cfRule type="expression" dxfId="3563" priority="3672">
      <formula>$AG837:$AG1023="EOB Downloaded"</formula>
    </cfRule>
  </conditionalFormatting>
  <conditionalFormatting sqref="AF837">
    <cfRule type="expression" dxfId="3562" priority="3663">
      <formula>$AG837:$AG1023="Follow-Up Complete"</formula>
    </cfRule>
    <cfRule type="expression" dxfId="3561" priority="3664">
      <formula>$AG837:$AG1023="Further Follow-Up"</formula>
    </cfRule>
    <cfRule type="expression" dxfId="3560" priority="3665">
      <formula>$AG837:$AG1023="EOB Requested"</formula>
    </cfRule>
    <cfRule type="expression" dxfId="3559" priority="3666">
      <formula>$AG837:$AG1023="EOB Not Found"</formula>
    </cfRule>
    <cfRule type="expression" dxfId="3558" priority="3667">
      <formula>$AG837:$AG1023="EOB Downloaded"</formula>
    </cfRule>
  </conditionalFormatting>
  <conditionalFormatting sqref="P836">
    <cfRule type="expression" dxfId="3557" priority="3658">
      <formula>$AG836:$AG1022="Follow-Up Complete"</formula>
    </cfRule>
    <cfRule type="expression" dxfId="3556" priority="3659">
      <formula>$AG836:$AG1022="Further Follow-Up"</formula>
    </cfRule>
    <cfRule type="expression" dxfId="3555" priority="3660">
      <formula>$AG836:$AG1022="EOB Requested"</formula>
    </cfRule>
    <cfRule type="expression" dxfId="3554" priority="3661">
      <formula>$AG836:$AG1022="EOB Not Found"</formula>
    </cfRule>
    <cfRule type="expression" dxfId="3553" priority="3662">
      <formula>$AG836:$AG1022="EOB Downloaded"</formula>
    </cfRule>
  </conditionalFormatting>
  <conditionalFormatting sqref="R836">
    <cfRule type="expression" dxfId="3552" priority="3653">
      <formula>$AG836:$AG1022="Follow-Up Complete"</formula>
    </cfRule>
    <cfRule type="expression" dxfId="3551" priority="3654">
      <formula>$AG836:$AG1022="Further Follow-Up"</formula>
    </cfRule>
    <cfRule type="expression" dxfId="3550" priority="3655">
      <formula>$AG836:$AG1022="EOB Requested"</formula>
    </cfRule>
    <cfRule type="expression" dxfId="3549" priority="3656">
      <formula>$AG836:$AG1022="EOB Not Found"</formula>
    </cfRule>
    <cfRule type="expression" dxfId="3548" priority="3657">
      <formula>$AG836:$AG1022="EOB Downloaded"</formula>
    </cfRule>
  </conditionalFormatting>
  <conditionalFormatting sqref="T836">
    <cfRule type="expression" dxfId="3547" priority="3648">
      <formula>$AG836:$AG1022="Follow-Up Complete"</formula>
    </cfRule>
    <cfRule type="expression" dxfId="3546" priority="3649">
      <formula>$AG836:$AG1022="Further Follow-Up"</formula>
    </cfRule>
    <cfRule type="expression" dxfId="3545" priority="3650">
      <formula>$AG836:$AG1022="EOB Requested"</formula>
    </cfRule>
    <cfRule type="expression" dxfId="3544" priority="3651">
      <formula>$AG836:$AG1022="EOB Not Found"</formula>
    </cfRule>
    <cfRule type="expression" dxfId="3543" priority="3652">
      <formula>$AG836:$AG1022="EOB Downloaded"</formula>
    </cfRule>
  </conditionalFormatting>
  <conditionalFormatting sqref="V836">
    <cfRule type="expression" dxfId="3542" priority="3643">
      <formula>$AG836:$AG1022="Follow-Up Complete"</formula>
    </cfRule>
    <cfRule type="expression" dxfId="3541" priority="3644">
      <formula>$AG836:$AG1022="Further Follow-Up"</formula>
    </cfRule>
    <cfRule type="expression" dxfId="3540" priority="3645">
      <formula>$AG836:$AG1022="EOB Requested"</formula>
    </cfRule>
    <cfRule type="expression" dxfId="3539" priority="3646">
      <formula>$AG836:$AG1022="EOB Not Found"</formula>
    </cfRule>
    <cfRule type="expression" dxfId="3538" priority="3647">
      <formula>$AG836:$AG1022="EOB Downloaded"</formula>
    </cfRule>
  </conditionalFormatting>
  <conditionalFormatting sqref="AA836">
    <cfRule type="expression" dxfId="3537" priority="3638">
      <formula>$AG836:$AG1022="Follow-Up Complete"</formula>
    </cfRule>
    <cfRule type="expression" dxfId="3536" priority="3639">
      <formula>$AG836:$AG1022="Further Follow-Up"</formula>
    </cfRule>
    <cfRule type="expression" dxfId="3535" priority="3640">
      <formula>$AG836:$AG1022="EOB Requested"</formula>
    </cfRule>
    <cfRule type="expression" dxfId="3534" priority="3641">
      <formula>$AG836:$AG1022="EOB Not Found"</formula>
    </cfRule>
    <cfRule type="expression" dxfId="3533" priority="3642">
      <formula>$AG836:$AG1022="EOB Downloaded"</formula>
    </cfRule>
  </conditionalFormatting>
  <conditionalFormatting sqref="P835">
    <cfRule type="expression" dxfId="3532" priority="3633">
      <formula>$AG835:$AG1021="Follow-Up Complete"</formula>
    </cfRule>
    <cfRule type="expression" dxfId="3531" priority="3634">
      <formula>$AG835:$AG1021="Further Follow-Up"</formula>
    </cfRule>
    <cfRule type="expression" dxfId="3530" priority="3635">
      <formula>$AG835:$AG1021="EOB Requested"</formula>
    </cfRule>
    <cfRule type="expression" dxfId="3529" priority="3636">
      <formula>$AG835:$AG1021="EOB Not Found"</formula>
    </cfRule>
    <cfRule type="expression" dxfId="3528" priority="3637">
      <formula>$AG835:$AG1021="EOB Downloaded"</formula>
    </cfRule>
  </conditionalFormatting>
  <conditionalFormatting sqref="R835">
    <cfRule type="expression" dxfId="3527" priority="3628">
      <formula>$AG835:$AG1021="Follow-Up Complete"</formula>
    </cfRule>
    <cfRule type="expression" dxfId="3526" priority="3629">
      <formula>$AG835:$AG1021="Further Follow-Up"</formula>
    </cfRule>
    <cfRule type="expression" dxfId="3525" priority="3630">
      <formula>$AG835:$AG1021="EOB Requested"</formula>
    </cfRule>
    <cfRule type="expression" dxfId="3524" priority="3631">
      <formula>$AG835:$AG1021="EOB Not Found"</formula>
    </cfRule>
    <cfRule type="expression" dxfId="3523" priority="3632">
      <formula>$AG835:$AG1021="EOB Downloaded"</formula>
    </cfRule>
  </conditionalFormatting>
  <conditionalFormatting sqref="V835">
    <cfRule type="expression" dxfId="3522" priority="3623">
      <formula>$AG835:$AG1021="Follow-Up Complete"</formula>
    </cfRule>
    <cfRule type="expression" dxfId="3521" priority="3624">
      <formula>$AG835:$AG1021="Further Follow-Up"</formula>
    </cfRule>
    <cfRule type="expression" dxfId="3520" priority="3625">
      <formula>$AG835:$AG1021="EOB Requested"</formula>
    </cfRule>
    <cfRule type="expression" dxfId="3519" priority="3626">
      <formula>$AG835:$AG1021="EOB Not Found"</formula>
    </cfRule>
    <cfRule type="expression" dxfId="3518" priority="3627">
      <formula>$AG835:$AG1021="EOB Downloaded"</formula>
    </cfRule>
  </conditionalFormatting>
  <conditionalFormatting sqref="X835">
    <cfRule type="expression" dxfId="3517" priority="3618">
      <formula>$AG835:$AG1021="Follow-Up Complete"</formula>
    </cfRule>
    <cfRule type="expression" dxfId="3516" priority="3619">
      <formula>$AG835:$AG1021="Further Follow-Up"</formula>
    </cfRule>
    <cfRule type="expression" dxfId="3515" priority="3620">
      <formula>$AG835:$AG1021="EOB Requested"</formula>
    </cfRule>
    <cfRule type="expression" dxfId="3514" priority="3621">
      <formula>$AG835:$AG1021="EOB Not Found"</formula>
    </cfRule>
    <cfRule type="expression" dxfId="3513" priority="3622">
      <formula>$AG835:$AG1021="EOB Downloaded"</formula>
    </cfRule>
  </conditionalFormatting>
  <conditionalFormatting sqref="AA835">
    <cfRule type="expression" dxfId="3512" priority="3613">
      <formula>$AG835:$AG1021="Follow-Up Complete"</formula>
    </cfRule>
    <cfRule type="expression" dxfId="3511" priority="3614">
      <formula>$AG835:$AG1021="Further Follow-Up"</formula>
    </cfRule>
    <cfRule type="expression" dxfId="3510" priority="3615">
      <formula>$AG835:$AG1021="EOB Requested"</formula>
    </cfRule>
    <cfRule type="expression" dxfId="3509" priority="3616">
      <formula>$AG835:$AG1021="EOB Not Found"</formula>
    </cfRule>
    <cfRule type="expression" dxfId="3508" priority="3617">
      <formula>$AG835:$AG1021="EOB Downloaded"</formula>
    </cfRule>
  </conditionalFormatting>
  <conditionalFormatting sqref="P834">
    <cfRule type="expression" dxfId="3507" priority="3608">
      <formula>$AG834:$AG1020="Follow-Up Complete"</formula>
    </cfRule>
    <cfRule type="expression" dxfId="3506" priority="3609">
      <formula>$AG834:$AG1020="Further Follow-Up"</formula>
    </cfRule>
    <cfRule type="expression" dxfId="3505" priority="3610">
      <formula>$AG834:$AG1020="EOB Requested"</formula>
    </cfRule>
    <cfRule type="expression" dxfId="3504" priority="3611">
      <formula>$AG834:$AG1020="EOB Not Found"</formula>
    </cfRule>
    <cfRule type="expression" dxfId="3503" priority="3612">
      <formula>$AG834:$AG1020="EOB Downloaded"</formula>
    </cfRule>
  </conditionalFormatting>
  <conditionalFormatting sqref="R834">
    <cfRule type="expression" dxfId="3502" priority="3603">
      <formula>$AG834:$AG1020="Follow-Up Complete"</formula>
    </cfRule>
    <cfRule type="expression" dxfId="3501" priority="3604">
      <formula>$AG834:$AG1020="Further Follow-Up"</formula>
    </cfRule>
    <cfRule type="expression" dxfId="3500" priority="3605">
      <formula>$AG834:$AG1020="EOB Requested"</formula>
    </cfRule>
    <cfRule type="expression" dxfId="3499" priority="3606">
      <formula>$AG834:$AG1020="EOB Not Found"</formula>
    </cfRule>
    <cfRule type="expression" dxfId="3498" priority="3607">
      <formula>$AG834:$AG1020="EOB Downloaded"</formula>
    </cfRule>
  </conditionalFormatting>
  <conditionalFormatting sqref="AA834">
    <cfRule type="expression" dxfId="3497" priority="3598">
      <formula>$AG834:$AG1020="Follow-Up Complete"</formula>
    </cfRule>
    <cfRule type="expression" dxfId="3496" priority="3599">
      <formula>$AG834:$AG1020="Further Follow-Up"</formula>
    </cfRule>
    <cfRule type="expression" dxfId="3495" priority="3600">
      <formula>$AG834:$AG1020="EOB Requested"</formula>
    </cfRule>
    <cfRule type="expression" dxfId="3494" priority="3601">
      <formula>$AG834:$AG1020="EOB Not Found"</formula>
    </cfRule>
    <cfRule type="expression" dxfId="3493" priority="3602">
      <formula>$AG834:$AG1020="EOB Downloaded"</formula>
    </cfRule>
  </conditionalFormatting>
  <conditionalFormatting sqref="AF833:AF834">
    <cfRule type="expression" dxfId="3492" priority="3593">
      <formula>$AG833:$AG1019="Follow-Up Complete"</formula>
    </cfRule>
    <cfRule type="expression" dxfId="3491" priority="3594">
      <formula>$AG833:$AG1019="Further Follow-Up"</formula>
    </cfRule>
    <cfRule type="expression" dxfId="3490" priority="3595">
      <formula>$AG833:$AG1019="EOB Requested"</formula>
    </cfRule>
    <cfRule type="expression" dxfId="3489" priority="3596">
      <formula>$AG833:$AG1019="EOB Not Found"</formula>
    </cfRule>
    <cfRule type="expression" dxfId="3488" priority="3597">
      <formula>$AG833:$AG1019="EOB Downloaded"</formula>
    </cfRule>
  </conditionalFormatting>
  <conditionalFormatting sqref="P833">
    <cfRule type="expression" dxfId="3487" priority="3588">
      <formula>$AG833:$AG1019="Follow-Up Complete"</formula>
    </cfRule>
    <cfRule type="expression" dxfId="3486" priority="3589">
      <formula>$AG833:$AG1019="Further Follow-Up"</formula>
    </cfRule>
    <cfRule type="expression" dxfId="3485" priority="3590">
      <formula>$AG833:$AG1019="EOB Requested"</formula>
    </cfRule>
    <cfRule type="expression" dxfId="3484" priority="3591">
      <formula>$AG833:$AG1019="EOB Not Found"</formula>
    </cfRule>
    <cfRule type="expression" dxfId="3483" priority="3592">
      <formula>$AG833:$AG1019="EOB Downloaded"</formula>
    </cfRule>
  </conditionalFormatting>
  <conditionalFormatting sqref="R833">
    <cfRule type="expression" dxfId="3482" priority="3583">
      <formula>$AG833:$AG1019="Follow-Up Complete"</formula>
    </cfRule>
    <cfRule type="expression" dxfId="3481" priority="3584">
      <formula>$AG833:$AG1019="Further Follow-Up"</formula>
    </cfRule>
    <cfRule type="expression" dxfId="3480" priority="3585">
      <formula>$AG833:$AG1019="EOB Requested"</formula>
    </cfRule>
    <cfRule type="expression" dxfId="3479" priority="3586">
      <formula>$AG833:$AG1019="EOB Not Found"</formula>
    </cfRule>
    <cfRule type="expression" dxfId="3478" priority="3587">
      <formula>$AG833:$AG1019="EOB Downloaded"</formula>
    </cfRule>
  </conditionalFormatting>
  <conditionalFormatting sqref="AA833">
    <cfRule type="expression" dxfId="3477" priority="3578">
      <formula>$AG833:$AG1019="Follow-Up Complete"</formula>
    </cfRule>
    <cfRule type="expression" dxfId="3476" priority="3579">
      <formula>$AG833:$AG1019="Further Follow-Up"</formula>
    </cfRule>
    <cfRule type="expression" dxfId="3475" priority="3580">
      <formula>$AG833:$AG1019="EOB Requested"</formula>
    </cfRule>
    <cfRule type="expression" dxfId="3474" priority="3581">
      <formula>$AG833:$AG1019="EOB Not Found"</formula>
    </cfRule>
    <cfRule type="expression" dxfId="3473" priority="3582">
      <formula>$AG833:$AG1019="EOB Downloaded"</formula>
    </cfRule>
  </conditionalFormatting>
  <conditionalFormatting sqref="AA831">
    <cfRule type="expression" dxfId="3472" priority="3573">
      <formula>$AG831:$AG1017="Follow-Up Complete"</formula>
    </cfRule>
    <cfRule type="expression" dxfId="3471" priority="3574">
      <formula>$AG831:$AG1017="Further Follow-Up"</formula>
    </cfRule>
    <cfRule type="expression" dxfId="3470" priority="3575">
      <formula>$AG831:$AG1017="EOB Requested"</formula>
    </cfRule>
    <cfRule type="expression" dxfId="3469" priority="3576">
      <formula>$AG831:$AG1017="EOB Not Found"</formula>
    </cfRule>
    <cfRule type="expression" dxfId="3468" priority="3577">
      <formula>$AG831:$AG1017="EOB Downloaded"</formula>
    </cfRule>
  </conditionalFormatting>
  <conditionalFormatting sqref="AA832">
    <cfRule type="expression" dxfId="3467" priority="3568">
      <formula>$AG832:$AG1018="Follow-Up Complete"</formula>
    </cfRule>
    <cfRule type="expression" dxfId="3466" priority="3569">
      <formula>$AG832:$AG1018="Further Follow-Up"</formula>
    </cfRule>
    <cfRule type="expression" dxfId="3465" priority="3570">
      <formula>$AG832:$AG1018="EOB Requested"</formula>
    </cfRule>
    <cfRule type="expression" dxfId="3464" priority="3571">
      <formula>$AG832:$AG1018="EOB Not Found"</formula>
    </cfRule>
    <cfRule type="expression" dxfId="3463" priority="3572">
      <formula>$AG832:$AG1018="EOB Downloaded"</formula>
    </cfRule>
  </conditionalFormatting>
  <conditionalFormatting sqref="AF831">
    <cfRule type="expression" dxfId="3462" priority="3563">
      <formula>$AG831:$AG1017="Follow-Up Complete"</formula>
    </cfRule>
    <cfRule type="expression" dxfId="3461" priority="3564">
      <formula>$AG831:$AG1017="Further Follow-Up"</formula>
    </cfRule>
    <cfRule type="expression" dxfId="3460" priority="3565">
      <formula>$AG831:$AG1017="EOB Requested"</formula>
    </cfRule>
    <cfRule type="expression" dxfId="3459" priority="3566">
      <formula>$AG831:$AG1017="EOB Not Found"</formula>
    </cfRule>
    <cfRule type="expression" dxfId="3458" priority="3567">
      <formula>$AG831:$AG1017="EOB Downloaded"</formula>
    </cfRule>
  </conditionalFormatting>
  <conditionalFormatting sqref="AF832">
    <cfRule type="expression" dxfId="3457" priority="3558">
      <formula>$AG832:$AG1018="Follow-Up Complete"</formula>
    </cfRule>
    <cfRule type="expression" dxfId="3456" priority="3559">
      <formula>$AG832:$AG1018="Further Follow-Up"</formula>
    </cfRule>
    <cfRule type="expression" dxfId="3455" priority="3560">
      <formula>$AG832:$AG1018="EOB Requested"</formula>
    </cfRule>
    <cfRule type="expression" dxfId="3454" priority="3561">
      <formula>$AG832:$AG1018="EOB Not Found"</formula>
    </cfRule>
    <cfRule type="expression" dxfId="3453" priority="3562">
      <formula>$AG832:$AG1018="EOB Downloaded"</formula>
    </cfRule>
  </conditionalFormatting>
  <conditionalFormatting sqref="P830">
    <cfRule type="expression" dxfId="3452" priority="3553">
      <formula>$AG830:$AG1016="Follow-Up Complete"</formula>
    </cfRule>
    <cfRule type="expression" dxfId="3451" priority="3554">
      <formula>$AG830:$AG1016="Further Follow-Up"</formula>
    </cfRule>
    <cfRule type="expression" dxfId="3450" priority="3555">
      <formula>$AG830:$AG1016="EOB Requested"</formula>
    </cfRule>
    <cfRule type="expression" dxfId="3449" priority="3556">
      <formula>$AG830:$AG1016="EOB Not Found"</formula>
    </cfRule>
    <cfRule type="expression" dxfId="3448" priority="3557">
      <formula>$AG830:$AG1016="EOB Downloaded"</formula>
    </cfRule>
  </conditionalFormatting>
  <conditionalFormatting sqref="R830">
    <cfRule type="expression" dxfId="3447" priority="3548">
      <formula>$AG830:$AG1016="Follow-Up Complete"</formula>
    </cfRule>
    <cfRule type="expression" dxfId="3446" priority="3549">
      <formula>$AG830:$AG1016="Further Follow-Up"</formula>
    </cfRule>
    <cfRule type="expression" dxfId="3445" priority="3550">
      <formula>$AG830:$AG1016="EOB Requested"</formula>
    </cfRule>
    <cfRule type="expression" dxfId="3444" priority="3551">
      <formula>$AG830:$AG1016="EOB Not Found"</formula>
    </cfRule>
    <cfRule type="expression" dxfId="3443" priority="3552">
      <formula>$AG830:$AG1016="EOB Downloaded"</formula>
    </cfRule>
  </conditionalFormatting>
  <conditionalFormatting sqref="AA830">
    <cfRule type="expression" dxfId="3442" priority="3543">
      <formula>$AG830:$AG1016="Follow-Up Complete"</formula>
    </cfRule>
    <cfRule type="expression" dxfId="3441" priority="3544">
      <formula>$AG830:$AG1016="Further Follow-Up"</formula>
    </cfRule>
    <cfRule type="expression" dxfId="3440" priority="3545">
      <formula>$AG830:$AG1016="EOB Requested"</formula>
    </cfRule>
    <cfRule type="expression" dxfId="3439" priority="3546">
      <formula>$AG830:$AG1016="EOB Not Found"</formula>
    </cfRule>
    <cfRule type="expression" dxfId="3438" priority="3547">
      <formula>$AG830:$AG1016="EOB Downloaded"</formula>
    </cfRule>
  </conditionalFormatting>
  <conditionalFormatting sqref="P827">
    <cfRule type="expression" dxfId="3437" priority="3538">
      <formula>$AG827:$AG1013="Follow-Up Complete"</formula>
    </cfRule>
    <cfRule type="expression" dxfId="3436" priority="3539">
      <formula>$AG827:$AG1013="Further Follow-Up"</formula>
    </cfRule>
    <cfRule type="expression" dxfId="3435" priority="3540">
      <formula>$AG827:$AG1013="EOB Requested"</formula>
    </cfRule>
    <cfRule type="expression" dxfId="3434" priority="3541">
      <formula>$AG827:$AG1013="EOB Not Found"</formula>
    </cfRule>
    <cfRule type="expression" dxfId="3433" priority="3542">
      <formula>$AG827:$AG1013="EOB Downloaded"</formula>
    </cfRule>
  </conditionalFormatting>
  <conditionalFormatting sqref="R827">
    <cfRule type="expression" dxfId="3432" priority="3533">
      <formula>$AG827:$AG1013="Follow-Up Complete"</formula>
    </cfRule>
    <cfRule type="expression" dxfId="3431" priority="3534">
      <formula>$AG827:$AG1013="Further Follow-Up"</formula>
    </cfRule>
    <cfRule type="expression" dxfId="3430" priority="3535">
      <formula>$AG827:$AG1013="EOB Requested"</formula>
    </cfRule>
    <cfRule type="expression" dxfId="3429" priority="3536">
      <formula>$AG827:$AG1013="EOB Not Found"</formula>
    </cfRule>
    <cfRule type="expression" dxfId="3428" priority="3537">
      <formula>$AG827:$AG1013="EOB Downloaded"</formula>
    </cfRule>
  </conditionalFormatting>
  <conditionalFormatting sqref="T827">
    <cfRule type="expression" dxfId="3427" priority="3528">
      <formula>$AG827:$AG1013="Follow-Up Complete"</formula>
    </cfRule>
    <cfRule type="expression" dxfId="3426" priority="3529">
      <formula>$AG827:$AG1013="Further Follow-Up"</formula>
    </cfRule>
    <cfRule type="expression" dxfId="3425" priority="3530">
      <formula>$AG827:$AG1013="EOB Requested"</formula>
    </cfRule>
    <cfRule type="expression" dxfId="3424" priority="3531">
      <formula>$AG827:$AG1013="EOB Not Found"</formula>
    </cfRule>
    <cfRule type="expression" dxfId="3423" priority="3532">
      <formula>$AG827:$AG1013="EOB Downloaded"</formula>
    </cfRule>
  </conditionalFormatting>
  <conditionalFormatting sqref="AA827">
    <cfRule type="expression" dxfId="3422" priority="3523">
      <formula>$AG827:$AG1013="Follow-Up Complete"</formula>
    </cfRule>
    <cfRule type="expression" dxfId="3421" priority="3524">
      <formula>$AG827:$AG1013="Further Follow-Up"</formula>
    </cfRule>
    <cfRule type="expression" dxfId="3420" priority="3525">
      <formula>$AG827:$AG1013="EOB Requested"</formula>
    </cfRule>
    <cfRule type="expression" dxfId="3419" priority="3526">
      <formula>$AG827:$AG1013="EOB Not Found"</formula>
    </cfRule>
    <cfRule type="expression" dxfId="3418" priority="3527">
      <formula>$AG827:$AG1013="EOB Downloaded"</formula>
    </cfRule>
  </conditionalFormatting>
  <conditionalFormatting sqref="P826">
    <cfRule type="expression" dxfId="3417" priority="3518">
      <formula>$AG826:$AG1012="Follow-Up Complete"</formula>
    </cfRule>
    <cfRule type="expression" dxfId="3416" priority="3519">
      <formula>$AG826:$AG1012="Further Follow-Up"</formula>
    </cfRule>
    <cfRule type="expression" dxfId="3415" priority="3520">
      <formula>$AG826:$AG1012="EOB Requested"</formula>
    </cfRule>
    <cfRule type="expression" dxfId="3414" priority="3521">
      <formula>$AG826:$AG1012="EOB Not Found"</formula>
    </cfRule>
    <cfRule type="expression" dxfId="3413" priority="3522">
      <formula>$AG826:$AG1012="EOB Downloaded"</formula>
    </cfRule>
  </conditionalFormatting>
  <conditionalFormatting sqref="AA826">
    <cfRule type="expression" dxfId="3412" priority="3513">
      <formula>$AG826:$AG1012="Follow-Up Complete"</formula>
    </cfRule>
    <cfRule type="expression" dxfId="3411" priority="3514">
      <formula>$AG826:$AG1012="Further Follow-Up"</formula>
    </cfRule>
    <cfRule type="expression" dxfId="3410" priority="3515">
      <formula>$AG826:$AG1012="EOB Requested"</formula>
    </cfRule>
    <cfRule type="expression" dxfId="3409" priority="3516">
      <formula>$AG826:$AG1012="EOB Not Found"</formula>
    </cfRule>
    <cfRule type="expression" dxfId="3408" priority="3517">
      <formula>$AG826:$AG1012="EOB Downloaded"</formula>
    </cfRule>
  </conditionalFormatting>
  <conditionalFormatting sqref="P825">
    <cfRule type="expression" dxfId="3407" priority="3508">
      <formula>$AG825:$AG1011="Follow-Up Complete"</formula>
    </cfRule>
    <cfRule type="expression" dxfId="3406" priority="3509">
      <formula>$AG825:$AG1011="Further Follow-Up"</formula>
    </cfRule>
    <cfRule type="expression" dxfId="3405" priority="3510">
      <formula>$AG825:$AG1011="EOB Requested"</formula>
    </cfRule>
    <cfRule type="expression" dxfId="3404" priority="3511">
      <formula>$AG825:$AG1011="EOB Not Found"</formula>
    </cfRule>
    <cfRule type="expression" dxfId="3403" priority="3512">
      <formula>$AG825:$AG1011="EOB Downloaded"</formula>
    </cfRule>
  </conditionalFormatting>
  <conditionalFormatting sqref="R825">
    <cfRule type="expression" dxfId="3402" priority="3503">
      <formula>$AG825:$AG1011="Follow-Up Complete"</formula>
    </cfRule>
    <cfRule type="expression" dxfId="3401" priority="3504">
      <formula>$AG825:$AG1011="Further Follow-Up"</formula>
    </cfRule>
    <cfRule type="expression" dxfId="3400" priority="3505">
      <formula>$AG825:$AG1011="EOB Requested"</formula>
    </cfRule>
    <cfRule type="expression" dxfId="3399" priority="3506">
      <formula>$AG825:$AG1011="EOB Not Found"</formula>
    </cfRule>
    <cfRule type="expression" dxfId="3398" priority="3507">
      <formula>$AG825:$AG1011="EOB Downloaded"</formula>
    </cfRule>
  </conditionalFormatting>
  <conditionalFormatting sqref="T825">
    <cfRule type="expression" dxfId="3397" priority="3498">
      <formula>$AG825:$AG1011="Follow-Up Complete"</formula>
    </cfRule>
    <cfRule type="expression" dxfId="3396" priority="3499">
      <formula>$AG825:$AG1011="Further Follow-Up"</formula>
    </cfRule>
    <cfRule type="expression" dxfId="3395" priority="3500">
      <formula>$AG825:$AG1011="EOB Requested"</formula>
    </cfRule>
    <cfRule type="expression" dxfId="3394" priority="3501">
      <formula>$AG825:$AG1011="EOB Not Found"</formula>
    </cfRule>
    <cfRule type="expression" dxfId="3393" priority="3502">
      <formula>$AG825:$AG1011="EOB Downloaded"</formula>
    </cfRule>
  </conditionalFormatting>
  <conditionalFormatting sqref="AA825">
    <cfRule type="expression" dxfId="3392" priority="3493">
      <formula>$AG825:$AG1011="Follow-Up Complete"</formula>
    </cfRule>
    <cfRule type="expression" dxfId="3391" priority="3494">
      <formula>$AG825:$AG1011="Further Follow-Up"</formula>
    </cfRule>
    <cfRule type="expression" dxfId="3390" priority="3495">
      <formula>$AG825:$AG1011="EOB Requested"</formula>
    </cfRule>
    <cfRule type="expression" dxfId="3389" priority="3496">
      <formula>$AG825:$AG1011="EOB Not Found"</formula>
    </cfRule>
    <cfRule type="expression" dxfId="3388" priority="3497">
      <formula>$AG825:$AG1011="EOB Downloaded"</formula>
    </cfRule>
  </conditionalFormatting>
  <conditionalFormatting sqref="P824">
    <cfRule type="expression" dxfId="3387" priority="3488">
      <formula>$AG824:$AG1010="Follow-Up Complete"</formula>
    </cfRule>
    <cfRule type="expression" dxfId="3386" priority="3489">
      <formula>$AG824:$AG1010="Further Follow-Up"</formula>
    </cfRule>
    <cfRule type="expression" dxfId="3385" priority="3490">
      <formula>$AG824:$AG1010="EOB Requested"</formula>
    </cfRule>
    <cfRule type="expression" dxfId="3384" priority="3491">
      <formula>$AG824:$AG1010="EOB Not Found"</formula>
    </cfRule>
    <cfRule type="expression" dxfId="3383" priority="3492">
      <formula>$AG824:$AG1010="EOB Downloaded"</formula>
    </cfRule>
  </conditionalFormatting>
  <conditionalFormatting sqref="AA824">
    <cfRule type="expression" dxfId="3382" priority="3483">
      <formula>$AG824:$AG1010="Follow-Up Complete"</formula>
    </cfRule>
    <cfRule type="expression" dxfId="3381" priority="3484">
      <formula>$AG824:$AG1010="Further Follow-Up"</formula>
    </cfRule>
    <cfRule type="expression" dxfId="3380" priority="3485">
      <formula>$AG824:$AG1010="EOB Requested"</formula>
    </cfRule>
    <cfRule type="expression" dxfId="3379" priority="3486">
      <formula>$AG824:$AG1010="EOB Not Found"</formula>
    </cfRule>
    <cfRule type="expression" dxfId="3378" priority="3487">
      <formula>$AG824:$AG1010="EOB Downloaded"</formula>
    </cfRule>
  </conditionalFormatting>
  <conditionalFormatting sqref="P823">
    <cfRule type="expression" dxfId="3377" priority="3478">
      <formula>$AG823:$AG1009="Follow-Up Complete"</formula>
    </cfRule>
    <cfRule type="expression" dxfId="3376" priority="3479">
      <formula>$AG823:$AG1009="Further Follow-Up"</formula>
    </cfRule>
    <cfRule type="expression" dxfId="3375" priority="3480">
      <formula>$AG823:$AG1009="EOB Requested"</formula>
    </cfRule>
    <cfRule type="expression" dxfId="3374" priority="3481">
      <formula>$AG823:$AG1009="EOB Not Found"</formula>
    </cfRule>
    <cfRule type="expression" dxfId="3373" priority="3482">
      <formula>$AG823:$AG1009="EOB Downloaded"</formula>
    </cfRule>
  </conditionalFormatting>
  <conditionalFormatting sqref="AA823">
    <cfRule type="expression" dxfId="3372" priority="3473">
      <formula>$AG823:$AG1009="Follow-Up Complete"</formula>
    </cfRule>
    <cfRule type="expression" dxfId="3371" priority="3474">
      <formula>$AG823:$AG1009="Further Follow-Up"</formula>
    </cfRule>
    <cfRule type="expression" dxfId="3370" priority="3475">
      <formula>$AG823:$AG1009="EOB Requested"</formula>
    </cfRule>
    <cfRule type="expression" dxfId="3369" priority="3476">
      <formula>$AG823:$AG1009="EOB Not Found"</formula>
    </cfRule>
    <cfRule type="expression" dxfId="3368" priority="3477">
      <formula>$AG823:$AG1009="EOB Downloaded"</formula>
    </cfRule>
  </conditionalFormatting>
  <conditionalFormatting sqref="P822">
    <cfRule type="expression" dxfId="3367" priority="3468">
      <formula>$AG822:$AG1008="Follow-Up Complete"</formula>
    </cfRule>
    <cfRule type="expression" dxfId="3366" priority="3469">
      <formula>$AG822:$AG1008="Further Follow-Up"</formula>
    </cfRule>
    <cfRule type="expression" dxfId="3365" priority="3470">
      <formula>$AG822:$AG1008="EOB Requested"</formula>
    </cfRule>
    <cfRule type="expression" dxfId="3364" priority="3471">
      <formula>$AG822:$AG1008="EOB Not Found"</formula>
    </cfRule>
    <cfRule type="expression" dxfId="3363" priority="3472">
      <formula>$AG822:$AG1008="EOB Downloaded"</formula>
    </cfRule>
  </conditionalFormatting>
  <conditionalFormatting sqref="AA822">
    <cfRule type="expression" dxfId="3362" priority="3463">
      <formula>$AG822:$AG1008="Follow-Up Complete"</formula>
    </cfRule>
    <cfRule type="expression" dxfId="3361" priority="3464">
      <formula>$AG822:$AG1008="Further Follow-Up"</formula>
    </cfRule>
    <cfRule type="expression" dxfId="3360" priority="3465">
      <formula>$AG822:$AG1008="EOB Requested"</formula>
    </cfRule>
    <cfRule type="expression" dxfId="3359" priority="3466">
      <formula>$AG822:$AG1008="EOB Not Found"</formula>
    </cfRule>
    <cfRule type="expression" dxfId="3358" priority="3467">
      <formula>$AG822:$AG1008="EOB Downloaded"</formula>
    </cfRule>
  </conditionalFormatting>
  <conditionalFormatting sqref="P821">
    <cfRule type="expression" dxfId="3357" priority="3458">
      <formula>$AG821:$AG1007="Follow-Up Complete"</formula>
    </cfRule>
    <cfRule type="expression" dxfId="3356" priority="3459">
      <formula>$AG821:$AG1007="Further Follow-Up"</formula>
    </cfRule>
    <cfRule type="expression" dxfId="3355" priority="3460">
      <formula>$AG821:$AG1007="EOB Requested"</formula>
    </cfRule>
    <cfRule type="expression" dxfId="3354" priority="3461">
      <formula>$AG821:$AG1007="EOB Not Found"</formula>
    </cfRule>
    <cfRule type="expression" dxfId="3353" priority="3462">
      <formula>$AG821:$AG1007="EOB Downloaded"</formula>
    </cfRule>
  </conditionalFormatting>
  <conditionalFormatting sqref="AA821">
    <cfRule type="expression" dxfId="3352" priority="3453">
      <formula>$AG821:$AG1007="Follow-Up Complete"</formula>
    </cfRule>
    <cfRule type="expression" dxfId="3351" priority="3454">
      <formula>$AG821:$AG1007="Further Follow-Up"</formula>
    </cfRule>
    <cfRule type="expression" dxfId="3350" priority="3455">
      <formula>$AG821:$AG1007="EOB Requested"</formula>
    </cfRule>
    <cfRule type="expression" dxfId="3349" priority="3456">
      <formula>$AG821:$AG1007="EOB Not Found"</formula>
    </cfRule>
    <cfRule type="expression" dxfId="3348" priority="3457">
      <formula>$AG821:$AG1007="EOB Downloaded"</formula>
    </cfRule>
  </conditionalFormatting>
  <conditionalFormatting sqref="AA820">
    <cfRule type="expression" dxfId="3347" priority="3448">
      <formula>$AG820:$AG1006="Follow-Up Complete"</formula>
    </cfRule>
    <cfRule type="expression" dxfId="3346" priority="3449">
      <formula>$AG820:$AG1006="Further Follow-Up"</formula>
    </cfRule>
    <cfRule type="expression" dxfId="3345" priority="3450">
      <formula>$AG820:$AG1006="EOB Requested"</formula>
    </cfRule>
    <cfRule type="expression" dxfId="3344" priority="3451">
      <formula>$AG820:$AG1006="EOB Not Found"</formula>
    </cfRule>
    <cfRule type="expression" dxfId="3343" priority="3452">
      <formula>$AG820:$AG1006="EOB Downloaded"</formula>
    </cfRule>
  </conditionalFormatting>
  <conditionalFormatting sqref="P819">
    <cfRule type="expression" dxfId="3342" priority="3443">
      <formula>$AG819:$AG1005="Follow-Up Complete"</formula>
    </cfRule>
    <cfRule type="expression" dxfId="3341" priority="3444">
      <formula>$AG819:$AG1005="Further Follow-Up"</formula>
    </cfRule>
    <cfRule type="expression" dxfId="3340" priority="3445">
      <formula>$AG819:$AG1005="EOB Requested"</formula>
    </cfRule>
    <cfRule type="expression" dxfId="3339" priority="3446">
      <formula>$AG819:$AG1005="EOB Not Found"</formula>
    </cfRule>
    <cfRule type="expression" dxfId="3338" priority="3447">
      <formula>$AG819:$AG1005="EOB Downloaded"</formula>
    </cfRule>
  </conditionalFormatting>
  <conditionalFormatting sqref="AA819">
    <cfRule type="expression" dxfId="3337" priority="3438">
      <formula>$AG819:$AG1005="Follow-Up Complete"</formula>
    </cfRule>
    <cfRule type="expression" dxfId="3336" priority="3439">
      <formula>$AG819:$AG1005="Further Follow-Up"</formula>
    </cfRule>
    <cfRule type="expression" dxfId="3335" priority="3440">
      <formula>$AG819:$AG1005="EOB Requested"</formula>
    </cfRule>
    <cfRule type="expression" dxfId="3334" priority="3441">
      <formula>$AG819:$AG1005="EOB Not Found"</formula>
    </cfRule>
    <cfRule type="expression" dxfId="3333" priority="3442">
      <formula>$AG819:$AG1005="EOB Downloaded"</formula>
    </cfRule>
  </conditionalFormatting>
  <conditionalFormatting sqref="P817">
    <cfRule type="expression" dxfId="3332" priority="3433">
      <formula>$AG817:$AG1003="Follow-Up Complete"</formula>
    </cfRule>
    <cfRule type="expression" dxfId="3331" priority="3434">
      <formula>$AG817:$AG1003="Further Follow-Up"</formula>
    </cfRule>
    <cfRule type="expression" dxfId="3330" priority="3435">
      <formula>$AG817:$AG1003="EOB Requested"</formula>
    </cfRule>
    <cfRule type="expression" dxfId="3329" priority="3436">
      <formula>$AG817:$AG1003="EOB Not Found"</formula>
    </cfRule>
    <cfRule type="expression" dxfId="3328" priority="3437">
      <formula>$AG817:$AG1003="EOB Downloaded"</formula>
    </cfRule>
  </conditionalFormatting>
  <conditionalFormatting sqref="P818">
    <cfRule type="expression" dxfId="3327" priority="3428">
      <formula>$AG818:$AG1004="Follow-Up Complete"</formula>
    </cfRule>
    <cfRule type="expression" dxfId="3326" priority="3429">
      <formula>$AG818:$AG1004="Further Follow-Up"</formula>
    </cfRule>
    <cfRule type="expression" dxfId="3325" priority="3430">
      <formula>$AG818:$AG1004="EOB Requested"</formula>
    </cfRule>
    <cfRule type="expression" dxfId="3324" priority="3431">
      <formula>$AG818:$AG1004="EOB Not Found"</formula>
    </cfRule>
    <cfRule type="expression" dxfId="3323" priority="3432">
      <formula>$AG818:$AG1004="EOB Downloaded"</formula>
    </cfRule>
  </conditionalFormatting>
  <conditionalFormatting sqref="AA817">
    <cfRule type="expression" dxfId="3322" priority="3423">
      <formula>$AG817:$AG1003="Follow-Up Complete"</formula>
    </cfRule>
    <cfRule type="expression" dxfId="3321" priority="3424">
      <formula>$AG817:$AG1003="Further Follow-Up"</formula>
    </cfRule>
    <cfRule type="expression" dxfId="3320" priority="3425">
      <formula>$AG817:$AG1003="EOB Requested"</formula>
    </cfRule>
    <cfRule type="expression" dxfId="3319" priority="3426">
      <formula>$AG817:$AG1003="EOB Not Found"</formula>
    </cfRule>
    <cfRule type="expression" dxfId="3318" priority="3427">
      <formula>$AG817:$AG1003="EOB Downloaded"</formula>
    </cfRule>
  </conditionalFormatting>
  <conditionalFormatting sqref="AA818">
    <cfRule type="expression" dxfId="3317" priority="3418">
      <formula>$AG818:$AG1004="Follow-Up Complete"</formula>
    </cfRule>
    <cfRule type="expression" dxfId="3316" priority="3419">
      <formula>$AG818:$AG1004="Further Follow-Up"</formula>
    </cfRule>
    <cfRule type="expression" dxfId="3315" priority="3420">
      <formula>$AG818:$AG1004="EOB Requested"</formula>
    </cfRule>
    <cfRule type="expression" dxfId="3314" priority="3421">
      <formula>$AG818:$AG1004="EOB Not Found"</formula>
    </cfRule>
    <cfRule type="expression" dxfId="3313" priority="3422">
      <formula>$AG818:$AG1004="EOB Downloaded"</formula>
    </cfRule>
  </conditionalFormatting>
  <conditionalFormatting sqref="P816">
    <cfRule type="expression" dxfId="3312" priority="3413">
      <formula>$AG816:$AG1002="Follow-Up Complete"</formula>
    </cfRule>
    <cfRule type="expression" dxfId="3311" priority="3414">
      <formula>$AG816:$AG1002="Further Follow-Up"</formula>
    </cfRule>
    <cfRule type="expression" dxfId="3310" priority="3415">
      <formula>$AG816:$AG1002="EOB Requested"</formula>
    </cfRule>
    <cfRule type="expression" dxfId="3309" priority="3416">
      <formula>$AG816:$AG1002="EOB Not Found"</formula>
    </cfRule>
    <cfRule type="expression" dxfId="3308" priority="3417">
      <formula>$AG816:$AG1002="EOB Downloaded"</formula>
    </cfRule>
  </conditionalFormatting>
  <conditionalFormatting sqref="AA816">
    <cfRule type="expression" dxfId="3307" priority="3408">
      <formula>$AG816:$AG1002="Follow-Up Complete"</formula>
    </cfRule>
    <cfRule type="expression" dxfId="3306" priority="3409">
      <formula>$AG816:$AG1002="Further Follow-Up"</formula>
    </cfRule>
    <cfRule type="expression" dxfId="3305" priority="3410">
      <formula>$AG816:$AG1002="EOB Requested"</formula>
    </cfRule>
    <cfRule type="expression" dxfId="3304" priority="3411">
      <formula>$AG816:$AG1002="EOB Not Found"</formula>
    </cfRule>
    <cfRule type="expression" dxfId="3303" priority="3412">
      <formula>$AG816:$AG1002="EOB Downloaded"</formula>
    </cfRule>
  </conditionalFormatting>
  <conditionalFormatting sqref="P815">
    <cfRule type="expression" dxfId="3302" priority="3403">
      <formula>$AG815:$AG1001="Follow-Up Complete"</formula>
    </cfRule>
    <cfRule type="expression" dxfId="3301" priority="3404">
      <formula>$AG815:$AG1001="Further Follow-Up"</formula>
    </cfRule>
    <cfRule type="expression" dxfId="3300" priority="3405">
      <formula>$AG815:$AG1001="EOB Requested"</formula>
    </cfRule>
    <cfRule type="expression" dxfId="3299" priority="3406">
      <formula>$AG815:$AG1001="EOB Not Found"</formula>
    </cfRule>
    <cfRule type="expression" dxfId="3298" priority="3407">
      <formula>$AG815:$AG1001="EOB Downloaded"</formula>
    </cfRule>
  </conditionalFormatting>
  <conditionalFormatting sqref="T815">
    <cfRule type="expression" dxfId="3297" priority="3398">
      <formula>$AG815:$AG1001="Follow-Up Complete"</formula>
    </cfRule>
    <cfRule type="expression" dxfId="3296" priority="3399">
      <formula>$AG815:$AG1001="Further Follow-Up"</formula>
    </cfRule>
    <cfRule type="expression" dxfId="3295" priority="3400">
      <formula>$AG815:$AG1001="EOB Requested"</formula>
    </cfRule>
    <cfRule type="expression" dxfId="3294" priority="3401">
      <formula>$AG815:$AG1001="EOB Not Found"</formula>
    </cfRule>
    <cfRule type="expression" dxfId="3293" priority="3402">
      <formula>$AG815:$AG1001="EOB Downloaded"</formula>
    </cfRule>
  </conditionalFormatting>
  <conditionalFormatting sqref="V815">
    <cfRule type="expression" dxfId="3292" priority="3393">
      <formula>$AG815:$AG1001="Follow-Up Complete"</formula>
    </cfRule>
    <cfRule type="expression" dxfId="3291" priority="3394">
      <formula>$AG815:$AG1001="Further Follow-Up"</formula>
    </cfRule>
    <cfRule type="expression" dxfId="3290" priority="3395">
      <formula>$AG815:$AG1001="EOB Requested"</formula>
    </cfRule>
    <cfRule type="expression" dxfId="3289" priority="3396">
      <formula>$AG815:$AG1001="EOB Not Found"</formula>
    </cfRule>
    <cfRule type="expression" dxfId="3288" priority="3397">
      <formula>$AG815:$AG1001="EOB Downloaded"</formula>
    </cfRule>
  </conditionalFormatting>
  <conditionalFormatting sqref="X815">
    <cfRule type="expression" dxfId="3287" priority="3388">
      <formula>$AG815:$AG1001="Follow-Up Complete"</formula>
    </cfRule>
    <cfRule type="expression" dxfId="3286" priority="3389">
      <formula>$AG815:$AG1001="Further Follow-Up"</formula>
    </cfRule>
    <cfRule type="expression" dxfId="3285" priority="3390">
      <formula>$AG815:$AG1001="EOB Requested"</formula>
    </cfRule>
    <cfRule type="expression" dxfId="3284" priority="3391">
      <formula>$AG815:$AG1001="EOB Not Found"</formula>
    </cfRule>
    <cfRule type="expression" dxfId="3283" priority="3392">
      <formula>$AG815:$AG1001="EOB Downloaded"</formula>
    </cfRule>
  </conditionalFormatting>
  <conditionalFormatting sqref="AA815">
    <cfRule type="expression" dxfId="3282" priority="3383">
      <formula>$AG815:$AG1001="Follow-Up Complete"</formula>
    </cfRule>
    <cfRule type="expression" dxfId="3281" priority="3384">
      <formula>$AG815:$AG1001="Further Follow-Up"</formula>
    </cfRule>
    <cfRule type="expression" dxfId="3280" priority="3385">
      <formula>$AG815:$AG1001="EOB Requested"</formula>
    </cfRule>
    <cfRule type="expression" dxfId="3279" priority="3386">
      <formula>$AG815:$AG1001="EOB Not Found"</formula>
    </cfRule>
    <cfRule type="expression" dxfId="3278" priority="3387">
      <formula>$AG815:$AG1001="EOB Downloaded"</formula>
    </cfRule>
  </conditionalFormatting>
  <conditionalFormatting sqref="AA814">
    <cfRule type="expression" dxfId="3277" priority="3378">
      <formula>$AG814:$AG1000="Follow-Up Complete"</formula>
    </cfRule>
    <cfRule type="expression" dxfId="3276" priority="3379">
      <formula>$AG814:$AG1000="Further Follow-Up"</formula>
    </cfRule>
    <cfRule type="expression" dxfId="3275" priority="3380">
      <formula>$AG814:$AG1000="EOB Requested"</formula>
    </cfRule>
    <cfRule type="expression" dxfId="3274" priority="3381">
      <formula>$AG814:$AG1000="EOB Not Found"</formula>
    </cfRule>
    <cfRule type="expression" dxfId="3273" priority="3382">
      <formula>$AG814:$AG1000="EOB Downloaded"</formula>
    </cfRule>
  </conditionalFormatting>
  <conditionalFormatting sqref="P813">
    <cfRule type="expression" dxfId="3272" priority="3373">
      <formula>$AG813:$AG999="Follow-Up Complete"</formula>
    </cfRule>
    <cfRule type="expression" dxfId="3271" priority="3374">
      <formula>$AG813:$AG999="Further Follow-Up"</formula>
    </cfRule>
    <cfRule type="expression" dxfId="3270" priority="3375">
      <formula>$AG813:$AG999="EOB Requested"</formula>
    </cfRule>
    <cfRule type="expression" dxfId="3269" priority="3376">
      <formula>$AG813:$AG999="EOB Not Found"</formula>
    </cfRule>
    <cfRule type="expression" dxfId="3268" priority="3377">
      <formula>$AG813:$AG999="EOB Downloaded"</formula>
    </cfRule>
  </conditionalFormatting>
  <conditionalFormatting sqref="R813">
    <cfRule type="expression" dxfId="3267" priority="3368">
      <formula>$AG813:$AG999="Follow-Up Complete"</formula>
    </cfRule>
    <cfRule type="expression" dxfId="3266" priority="3369">
      <formula>$AG813:$AG999="Further Follow-Up"</formula>
    </cfRule>
    <cfRule type="expression" dxfId="3265" priority="3370">
      <formula>$AG813:$AG999="EOB Requested"</formula>
    </cfRule>
    <cfRule type="expression" dxfId="3264" priority="3371">
      <formula>$AG813:$AG999="EOB Not Found"</formula>
    </cfRule>
    <cfRule type="expression" dxfId="3263" priority="3372">
      <formula>$AG813:$AG999="EOB Downloaded"</formula>
    </cfRule>
  </conditionalFormatting>
  <conditionalFormatting sqref="T813">
    <cfRule type="expression" dxfId="3262" priority="3363">
      <formula>$AG813:$AG999="Follow-Up Complete"</formula>
    </cfRule>
    <cfRule type="expression" dxfId="3261" priority="3364">
      <formula>$AG813:$AG999="Further Follow-Up"</formula>
    </cfRule>
    <cfRule type="expression" dxfId="3260" priority="3365">
      <formula>$AG813:$AG999="EOB Requested"</formula>
    </cfRule>
    <cfRule type="expression" dxfId="3259" priority="3366">
      <formula>$AG813:$AG999="EOB Not Found"</formula>
    </cfRule>
    <cfRule type="expression" dxfId="3258" priority="3367">
      <formula>$AG813:$AG999="EOB Downloaded"</formula>
    </cfRule>
  </conditionalFormatting>
  <conditionalFormatting sqref="V813">
    <cfRule type="expression" dxfId="3257" priority="3358">
      <formula>$AG813:$AG999="Follow-Up Complete"</formula>
    </cfRule>
    <cfRule type="expression" dxfId="3256" priority="3359">
      <formula>$AG813:$AG999="Further Follow-Up"</formula>
    </cfRule>
    <cfRule type="expression" dxfId="3255" priority="3360">
      <formula>$AG813:$AG999="EOB Requested"</formula>
    </cfRule>
    <cfRule type="expression" dxfId="3254" priority="3361">
      <formula>$AG813:$AG999="EOB Not Found"</formula>
    </cfRule>
    <cfRule type="expression" dxfId="3253" priority="3362">
      <formula>$AG813:$AG999="EOB Downloaded"</formula>
    </cfRule>
  </conditionalFormatting>
  <conditionalFormatting sqref="X813">
    <cfRule type="expression" dxfId="3252" priority="3353">
      <formula>$AG813:$AG999="Follow-Up Complete"</formula>
    </cfRule>
    <cfRule type="expression" dxfId="3251" priority="3354">
      <formula>$AG813:$AG999="Further Follow-Up"</formula>
    </cfRule>
    <cfRule type="expression" dxfId="3250" priority="3355">
      <formula>$AG813:$AG999="EOB Requested"</formula>
    </cfRule>
    <cfRule type="expression" dxfId="3249" priority="3356">
      <formula>$AG813:$AG999="EOB Not Found"</formula>
    </cfRule>
    <cfRule type="expression" dxfId="3248" priority="3357">
      <formula>$AG813:$AG999="EOB Downloaded"</formula>
    </cfRule>
  </conditionalFormatting>
  <conditionalFormatting sqref="AA813">
    <cfRule type="expression" dxfId="3247" priority="3348">
      <formula>$AG813:$AG999="Follow-Up Complete"</formula>
    </cfRule>
    <cfRule type="expression" dxfId="3246" priority="3349">
      <formula>$AG813:$AG999="Further Follow-Up"</formula>
    </cfRule>
    <cfRule type="expression" dxfId="3245" priority="3350">
      <formula>$AG813:$AG999="EOB Requested"</formula>
    </cfRule>
    <cfRule type="expression" dxfId="3244" priority="3351">
      <formula>$AG813:$AG999="EOB Not Found"</formula>
    </cfRule>
    <cfRule type="expression" dxfId="3243" priority="3352">
      <formula>$AG813:$AG999="EOB Downloaded"</formula>
    </cfRule>
  </conditionalFormatting>
  <conditionalFormatting sqref="P812">
    <cfRule type="expression" dxfId="3242" priority="3343">
      <formula>$AG812:$AG998="Follow-Up Complete"</formula>
    </cfRule>
    <cfRule type="expression" dxfId="3241" priority="3344">
      <formula>$AG812:$AG998="Further Follow-Up"</formula>
    </cfRule>
    <cfRule type="expression" dxfId="3240" priority="3345">
      <formula>$AG812:$AG998="EOB Requested"</formula>
    </cfRule>
    <cfRule type="expression" dxfId="3239" priority="3346">
      <formula>$AG812:$AG998="EOB Not Found"</formula>
    </cfRule>
    <cfRule type="expression" dxfId="3238" priority="3347">
      <formula>$AG812:$AG998="EOB Downloaded"</formula>
    </cfRule>
  </conditionalFormatting>
  <conditionalFormatting sqref="R812">
    <cfRule type="expression" dxfId="3237" priority="3338">
      <formula>$AG812:$AG998="Follow-Up Complete"</formula>
    </cfRule>
    <cfRule type="expression" dxfId="3236" priority="3339">
      <formula>$AG812:$AG998="Further Follow-Up"</formula>
    </cfRule>
    <cfRule type="expression" dxfId="3235" priority="3340">
      <formula>$AG812:$AG998="EOB Requested"</formula>
    </cfRule>
    <cfRule type="expression" dxfId="3234" priority="3341">
      <formula>$AG812:$AG998="EOB Not Found"</formula>
    </cfRule>
    <cfRule type="expression" dxfId="3233" priority="3342">
      <formula>$AG812:$AG998="EOB Downloaded"</formula>
    </cfRule>
  </conditionalFormatting>
  <conditionalFormatting sqref="T812">
    <cfRule type="expression" dxfId="3232" priority="3333">
      <formula>$AG812:$AG998="Follow-Up Complete"</formula>
    </cfRule>
    <cfRule type="expression" dxfId="3231" priority="3334">
      <formula>$AG812:$AG998="Further Follow-Up"</formula>
    </cfRule>
    <cfRule type="expression" dxfId="3230" priority="3335">
      <formula>$AG812:$AG998="EOB Requested"</formula>
    </cfRule>
    <cfRule type="expression" dxfId="3229" priority="3336">
      <formula>$AG812:$AG998="EOB Not Found"</formula>
    </cfRule>
    <cfRule type="expression" dxfId="3228" priority="3337">
      <formula>$AG812:$AG998="EOB Downloaded"</formula>
    </cfRule>
  </conditionalFormatting>
  <conditionalFormatting sqref="V812">
    <cfRule type="expression" dxfId="3227" priority="3328">
      <formula>$AG812:$AG998="Follow-Up Complete"</formula>
    </cfRule>
    <cfRule type="expression" dxfId="3226" priority="3329">
      <formula>$AG812:$AG998="Further Follow-Up"</formula>
    </cfRule>
    <cfRule type="expression" dxfId="3225" priority="3330">
      <formula>$AG812:$AG998="EOB Requested"</formula>
    </cfRule>
    <cfRule type="expression" dxfId="3224" priority="3331">
      <formula>$AG812:$AG998="EOB Not Found"</formula>
    </cfRule>
    <cfRule type="expression" dxfId="3223" priority="3332">
      <formula>$AG812:$AG998="EOB Downloaded"</formula>
    </cfRule>
  </conditionalFormatting>
  <conditionalFormatting sqref="AA812">
    <cfRule type="expression" dxfId="3222" priority="3323">
      <formula>$AG812:$AG998="Follow-Up Complete"</formula>
    </cfRule>
    <cfRule type="expression" dxfId="3221" priority="3324">
      <formula>$AG812:$AG998="Further Follow-Up"</formula>
    </cfRule>
    <cfRule type="expression" dxfId="3220" priority="3325">
      <formula>$AG812:$AG998="EOB Requested"</formula>
    </cfRule>
    <cfRule type="expression" dxfId="3219" priority="3326">
      <formula>$AG812:$AG998="EOB Not Found"</formula>
    </cfRule>
    <cfRule type="expression" dxfId="3218" priority="3327">
      <formula>$AG812:$AG998="EOB Downloaded"</formula>
    </cfRule>
  </conditionalFormatting>
  <conditionalFormatting sqref="P811">
    <cfRule type="expression" dxfId="3217" priority="3318">
      <formula>$AG811:$AG997="Follow-Up Complete"</formula>
    </cfRule>
    <cfRule type="expression" dxfId="3216" priority="3319">
      <formula>$AG811:$AG997="Further Follow-Up"</formula>
    </cfRule>
    <cfRule type="expression" dxfId="3215" priority="3320">
      <formula>$AG811:$AG997="EOB Requested"</formula>
    </cfRule>
    <cfRule type="expression" dxfId="3214" priority="3321">
      <formula>$AG811:$AG997="EOB Not Found"</formula>
    </cfRule>
    <cfRule type="expression" dxfId="3213" priority="3322">
      <formula>$AG811:$AG997="EOB Downloaded"</formula>
    </cfRule>
  </conditionalFormatting>
  <conditionalFormatting sqref="R811">
    <cfRule type="expression" dxfId="3212" priority="3313">
      <formula>$AG811:$AG997="Follow-Up Complete"</formula>
    </cfRule>
    <cfRule type="expression" dxfId="3211" priority="3314">
      <formula>$AG811:$AG997="Further Follow-Up"</formula>
    </cfRule>
    <cfRule type="expression" dxfId="3210" priority="3315">
      <formula>$AG811:$AG997="EOB Requested"</formula>
    </cfRule>
    <cfRule type="expression" dxfId="3209" priority="3316">
      <formula>$AG811:$AG997="EOB Not Found"</formula>
    </cfRule>
    <cfRule type="expression" dxfId="3208" priority="3317">
      <formula>$AG811:$AG997="EOB Downloaded"</formula>
    </cfRule>
  </conditionalFormatting>
  <conditionalFormatting sqref="V811">
    <cfRule type="expression" dxfId="3207" priority="3308">
      <formula>$AG811:$AG997="Follow-Up Complete"</formula>
    </cfRule>
    <cfRule type="expression" dxfId="3206" priority="3309">
      <formula>$AG811:$AG997="Further Follow-Up"</formula>
    </cfRule>
    <cfRule type="expression" dxfId="3205" priority="3310">
      <formula>$AG811:$AG997="EOB Requested"</formula>
    </cfRule>
    <cfRule type="expression" dxfId="3204" priority="3311">
      <formula>$AG811:$AG997="EOB Not Found"</formula>
    </cfRule>
    <cfRule type="expression" dxfId="3203" priority="3312">
      <formula>$AG811:$AG997="EOB Downloaded"</formula>
    </cfRule>
  </conditionalFormatting>
  <conditionalFormatting sqref="AA811">
    <cfRule type="expression" dxfId="3202" priority="3303">
      <formula>$AG811:$AG997="Follow-Up Complete"</formula>
    </cfRule>
    <cfRule type="expression" dxfId="3201" priority="3304">
      <formula>$AG811:$AG997="Further Follow-Up"</formula>
    </cfRule>
    <cfRule type="expression" dxfId="3200" priority="3305">
      <formula>$AG811:$AG997="EOB Requested"</formula>
    </cfRule>
    <cfRule type="expression" dxfId="3199" priority="3306">
      <formula>$AG811:$AG997="EOB Not Found"</formula>
    </cfRule>
    <cfRule type="expression" dxfId="3198" priority="3307">
      <formula>$AG811:$AG997="EOB Downloaded"</formula>
    </cfRule>
  </conditionalFormatting>
  <conditionalFormatting sqref="P810">
    <cfRule type="expression" dxfId="3197" priority="3298">
      <formula>$AG810:$AG996="Follow-Up Complete"</formula>
    </cfRule>
    <cfRule type="expression" dxfId="3196" priority="3299">
      <formula>$AG810:$AG996="Further Follow-Up"</formula>
    </cfRule>
    <cfRule type="expression" dxfId="3195" priority="3300">
      <formula>$AG810:$AG996="EOB Requested"</formula>
    </cfRule>
    <cfRule type="expression" dxfId="3194" priority="3301">
      <formula>$AG810:$AG996="EOB Not Found"</formula>
    </cfRule>
    <cfRule type="expression" dxfId="3193" priority="3302">
      <formula>$AG810:$AG996="EOB Downloaded"</formula>
    </cfRule>
  </conditionalFormatting>
  <conditionalFormatting sqref="T810">
    <cfRule type="expression" dxfId="3192" priority="3293">
      <formula>$AG810:$AG996="Follow-Up Complete"</formula>
    </cfRule>
    <cfRule type="expression" dxfId="3191" priority="3294">
      <formula>$AG810:$AG996="Further Follow-Up"</formula>
    </cfRule>
    <cfRule type="expression" dxfId="3190" priority="3295">
      <formula>$AG810:$AG996="EOB Requested"</formula>
    </cfRule>
    <cfRule type="expression" dxfId="3189" priority="3296">
      <formula>$AG810:$AG996="EOB Not Found"</formula>
    </cfRule>
    <cfRule type="expression" dxfId="3188" priority="3297">
      <formula>$AG810:$AG996="EOB Downloaded"</formula>
    </cfRule>
  </conditionalFormatting>
  <conditionalFormatting sqref="V810">
    <cfRule type="expression" dxfId="3187" priority="3288">
      <formula>$AG810:$AG996="Follow-Up Complete"</formula>
    </cfRule>
    <cfRule type="expression" dxfId="3186" priority="3289">
      <formula>$AG810:$AG996="Further Follow-Up"</formula>
    </cfRule>
    <cfRule type="expression" dxfId="3185" priority="3290">
      <formula>$AG810:$AG996="EOB Requested"</formula>
    </cfRule>
    <cfRule type="expression" dxfId="3184" priority="3291">
      <formula>$AG810:$AG996="EOB Not Found"</formula>
    </cfRule>
    <cfRule type="expression" dxfId="3183" priority="3292">
      <formula>$AG810:$AG996="EOB Downloaded"</formula>
    </cfRule>
  </conditionalFormatting>
  <conditionalFormatting sqref="X810">
    <cfRule type="expression" dxfId="3182" priority="3283">
      <formula>$AG810:$AG996="Follow-Up Complete"</formula>
    </cfRule>
    <cfRule type="expression" dxfId="3181" priority="3284">
      <formula>$AG810:$AG996="Further Follow-Up"</formula>
    </cfRule>
    <cfRule type="expression" dxfId="3180" priority="3285">
      <formula>$AG810:$AG996="EOB Requested"</formula>
    </cfRule>
    <cfRule type="expression" dxfId="3179" priority="3286">
      <formula>$AG810:$AG996="EOB Not Found"</formula>
    </cfRule>
    <cfRule type="expression" dxfId="3178" priority="3287">
      <formula>$AG810:$AG996="EOB Downloaded"</formula>
    </cfRule>
  </conditionalFormatting>
  <conditionalFormatting sqref="AA810">
    <cfRule type="expression" dxfId="3177" priority="3278">
      <formula>$AG810:$AG996="Follow-Up Complete"</formula>
    </cfRule>
    <cfRule type="expression" dxfId="3176" priority="3279">
      <formula>$AG810:$AG996="Further Follow-Up"</formula>
    </cfRule>
    <cfRule type="expression" dxfId="3175" priority="3280">
      <formula>$AG810:$AG996="EOB Requested"</formula>
    </cfRule>
    <cfRule type="expression" dxfId="3174" priority="3281">
      <formula>$AG810:$AG996="EOB Not Found"</formula>
    </cfRule>
    <cfRule type="expression" dxfId="3173" priority="3282">
      <formula>$AG810:$AG996="EOB Downloaded"</formula>
    </cfRule>
  </conditionalFormatting>
  <conditionalFormatting sqref="AF810">
    <cfRule type="expression" dxfId="3172" priority="3273">
      <formula>$AG810:$AG996="Follow-Up Complete"</formula>
    </cfRule>
    <cfRule type="expression" dxfId="3171" priority="3274">
      <formula>$AG810:$AG996="Further Follow-Up"</formula>
    </cfRule>
    <cfRule type="expression" dxfId="3170" priority="3275">
      <formula>$AG810:$AG996="EOB Requested"</formula>
    </cfRule>
    <cfRule type="expression" dxfId="3169" priority="3276">
      <formula>$AG810:$AG996="EOB Not Found"</formula>
    </cfRule>
    <cfRule type="expression" dxfId="3168" priority="3277">
      <formula>$AG810:$AG996="EOB Downloaded"</formula>
    </cfRule>
  </conditionalFormatting>
  <conditionalFormatting sqref="P809">
    <cfRule type="expression" dxfId="3167" priority="3268">
      <formula>$AG809:$AG995="Follow-Up Complete"</formula>
    </cfRule>
    <cfRule type="expression" dxfId="3166" priority="3269">
      <formula>$AG809:$AG995="Further Follow-Up"</formula>
    </cfRule>
    <cfRule type="expression" dxfId="3165" priority="3270">
      <formula>$AG809:$AG995="EOB Requested"</formula>
    </cfRule>
    <cfRule type="expression" dxfId="3164" priority="3271">
      <formula>$AG809:$AG995="EOB Not Found"</formula>
    </cfRule>
    <cfRule type="expression" dxfId="3163" priority="3272">
      <formula>$AG809:$AG995="EOB Downloaded"</formula>
    </cfRule>
  </conditionalFormatting>
  <conditionalFormatting sqref="T809">
    <cfRule type="expression" dxfId="3162" priority="3263">
      <formula>$AG809:$AG995="Follow-Up Complete"</formula>
    </cfRule>
    <cfRule type="expression" dxfId="3161" priority="3264">
      <formula>$AG809:$AG995="Further Follow-Up"</formula>
    </cfRule>
    <cfRule type="expression" dxfId="3160" priority="3265">
      <formula>$AG809:$AG995="EOB Requested"</formula>
    </cfRule>
    <cfRule type="expression" dxfId="3159" priority="3266">
      <formula>$AG809:$AG995="EOB Not Found"</formula>
    </cfRule>
    <cfRule type="expression" dxfId="3158" priority="3267">
      <formula>$AG809:$AG995="EOB Downloaded"</formula>
    </cfRule>
  </conditionalFormatting>
  <conditionalFormatting sqref="AA809">
    <cfRule type="expression" dxfId="3157" priority="3258">
      <formula>$AG809:$AG995="Follow-Up Complete"</formula>
    </cfRule>
    <cfRule type="expression" dxfId="3156" priority="3259">
      <formula>$AG809:$AG995="Further Follow-Up"</formula>
    </cfRule>
    <cfRule type="expression" dxfId="3155" priority="3260">
      <formula>$AG809:$AG995="EOB Requested"</formula>
    </cfRule>
    <cfRule type="expression" dxfId="3154" priority="3261">
      <formula>$AG809:$AG995="EOB Not Found"</formula>
    </cfRule>
    <cfRule type="expression" dxfId="3153" priority="3262">
      <formula>$AG809:$AG995="EOB Downloaded"</formula>
    </cfRule>
  </conditionalFormatting>
  <conditionalFormatting sqref="P808">
    <cfRule type="expression" dxfId="3152" priority="3253">
      <formula>$AG808:$AG994="Follow-Up Complete"</formula>
    </cfRule>
    <cfRule type="expression" dxfId="3151" priority="3254">
      <formula>$AG808:$AG994="Further Follow-Up"</formula>
    </cfRule>
    <cfRule type="expression" dxfId="3150" priority="3255">
      <formula>$AG808:$AG994="EOB Requested"</formula>
    </cfRule>
    <cfRule type="expression" dxfId="3149" priority="3256">
      <formula>$AG808:$AG994="EOB Not Found"</formula>
    </cfRule>
    <cfRule type="expression" dxfId="3148" priority="3257">
      <formula>$AG808:$AG994="EOB Downloaded"</formula>
    </cfRule>
  </conditionalFormatting>
  <conditionalFormatting sqref="R808">
    <cfRule type="expression" dxfId="3147" priority="3248">
      <formula>$AG808:$AG994="Follow-Up Complete"</formula>
    </cfRule>
    <cfRule type="expression" dxfId="3146" priority="3249">
      <formula>$AG808:$AG994="Further Follow-Up"</formula>
    </cfRule>
    <cfRule type="expression" dxfId="3145" priority="3250">
      <formula>$AG808:$AG994="EOB Requested"</formula>
    </cfRule>
    <cfRule type="expression" dxfId="3144" priority="3251">
      <formula>$AG808:$AG994="EOB Not Found"</formula>
    </cfRule>
    <cfRule type="expression" dxfId="3143" priority="3252">
      <formula>$AG808:$AG994="EOB Downloaded"</formula>
    </cfRule>
  </conditionalFormatting>
  <conditionalFormatting sqref="V808">
    <cfRule type="expression" dxfId="3142" priority="3243">
      <formula>$AG808:$AG994="Follow-Up Complete"</formula>
    </cfRule>
    <cfRule type="expression" dxfId="3141" priority="3244">
      <formula>$AG808:$AG994="Further Follow-Up"</formula>
    </cfRule>
    <cfRule type="expression" dxfId="3140" priority="3245">
      <formula>$AG808:$AG994="EOB Requested"</formula>
    </cfRule>
    <cfRule type="expression" dxfId="3139" priority="3246">
      <formula>$AG808:$AG994="EOB Not Found"</formula>
    </cfRule>
    <cfRule type="expression" dxfId="3138" priority="3247">
      <formula>$AG808:$AG994="EOB Downloaded"</formula>
    </cfRule>
  </conditionalFormatting>
  <conditionalFormatting sqref="AA808">
    <cfRule type="expression" dxfId="3137" priority="3238">
      <formula>$AG808:$AG994="Follow-Up Complete"</formula>
    </cfRule>
    <cfRule type="expression" dxfId="3136" priority="3239">
      <formula>$AG808:$AG994="Further Follow-Up"</formula>
    </cfRule>
    <cfRule type="expression" dxfId="3135" priority="3240">
      <formula>$AG808:$AG994="EOB Requested"</formula>
    </cfRule>
    <cfRule type="expression" dxfId="3134" priority="3241">
      <formula>$AG808:$AG994="EOB Not Found"</formula>
    </cfRule>
    <cfRule type="expression" dxfId="3133" priority="3242">
      <formula>$AG808:$AG994="EOB Downloaded"</formula>
    </cfRule>
  </conditionalFormatting>
  <conditionalFormatting sqref="P807">
    <cfRule type="expression" dxfId="3132" priority="3233">
      <formula>$AG807:$AG993="Follow-Up Complete"</formula>
    </cfRule>
    <cfRule type="expression" dxfId="3131" priority="3234">
      <formula>$AG807:$AG993="Further Follow-Up"</formula>
    </cfRule>
    <cfRule type="expression" dxfId="3130" priority="3235">
      <formula>$AG807:$AG993="EOB Requested"</formula>
    </cfRule>
    <cfRule type="expression" dxfId="3129" priority="3236">
      <formula>$AG807:$AG993="EOB Not Found"</formula>
    </cfRule>
    <cfRule type="expression" dxfId="3128" priority="3237">
      <formula>$AG807:$AG993="EOB Downloaded"</formula>
    </cfRule>
  </conditionalFormatting>
  <conditionalFormatting sqref="R807">
    <cfRule type="expression" dxfId="3127" priority="3228">
      <formula>$AG807:$AG993="Follow-Up Complete"</formula>
    </cfRule>
    <cfRule type="expression" dxfId="3126" priority="3229">
      <formula>$AG807:$AG993="Further Follow-Up"</formula>
    </cfRule>
    <cfRule type="expression" dxfId="3125" priority="3230">
      <formula>$AG807:$AG993="EOB Requested"</formula>
    </cfRule>
    <cfRule type="expression" dxfId="3124" priority="3231">
      <formula>$AG807:$AG993="EOB Not Found"</formula>
    </cfRule>
    <cfRule type="expression" dxfId="3123" priority="3232">
      <formula>$AG807:$AG993="EOB Downloaded"</formula>
    </cfRule>
  </conditionalFormatting>
  <conditionalFormatting sqref="V807">
    <cfRule type="expression" dxfId="3122" priority="3223">
      <formula>$AG807:$AG993="Follow-Up Complete"</formula>
    </cfRule>
    <cfRule type="expression" dxfId="3121" priority="3224">
      <formula>$AG807:$AG993="Further Follow-Up"</formula>
    </cfRule>
    <cfRule type="expression" dxfId="3120" priority="3225">
      <formula>$AG807:$AG993="EOB Requested"</formula>
    </cfRule>
    <cfRule type="expression" dxfId="3119" priority="3226">
      <formula>$AG807:$AG993="EOB Not Found"</formula>
    </cfRule>
    <cfRule type="expression" dxfId="3118" priority="3227">
      <formula>$AG807:$AG993="EOB Downloaded"</formula>
    </cfRule>
  </conditionalFormatting>
  <conditionalFormatting sqref="AA807">
    <cfRule type="expression" dxfId="3117" priority="3218">
      <formula>$AG807:$AG993="Follow-Up Complete"</formula>
    </cfRule>
    <cfRule type="expression" dxfId="3116" priority="3219">
      <formula>$AG807:$AG993="Further Follow-Up"</formula>
    </cfRule>
    <cfRule type="expression" dxfId="3115" priority="3220">
      <formula>$AG807:$AG993="EOB Requested"</formula>
    </cfRule>
    <cfRule type="expression" dxfId="3114" priority="3221">
      <formula>$AG807:$AG993="EOB Not Found"</formula>
    </cfRule>
    <cfRule type="expression" dxfId="3113" priority="3222">
      <formula>$AG807:$AG993="EOB Downloaded"</formula>
    </cfRule>
  </conditionalFormatting>
  <conditionalFormatting sqref="P806">
    <cfRule type="expression" dxfId="3112" priority="3213">
      <formula>$AG806:$AG992="Follow-Up Complete"</formula>
    </cfRule>
    <cfRule type="expression" dxfId="3111" priority="3214">
      <formula>$AG806:$AG992="Further Follow-Up"</formula>
    </cfRule>
    <cfRule type="expression" dxfId="3110" priority="3215">
      <formula>$AG806:$AG992="EOB Requested"</formula>
    </cfRule>
    <cfRule type="expression" dxfId="3109" priority="3216">
      <formula>$AG806:$AG992="EOB Not Found"</formula>
    </cfRule>
    <cfRule type="expression" dxfId="3108" priority="3217">
      <formula>$AG806:$AG992="EOB Downloaded"</formula>
    </cfRule>
  </conditionalFormatting>
  <conditionalFormatting sqref="R806">
    <cfRule type="expression" dxfId="3107" priority="3208">
      <formula>$AG806:$AG992="Follow-Up Complete"</formula>
    </cfRule>
    <cfRule type="expression" dxfId="3106" priority="3209">
      <formula>$AG806:$AG992="Further Follow-Up"</formula>
    </cfRule>
    <cfRule type="expression" dxfId="3105" priority="3210">
      <formula>$AG806:$AG992="EOB Requested"</formula>
    </cfRule>
    <cfRule type="expression" dxfId="3104" priority="3211">
      <formula>$AG806:$AG992="EOB Not Found"</formula>
    </cfRule>
    <cfRule type="expression" dxfId="3103" priority="3212">
      <formula>$AG806:$AG992="EOB Downloaded"</formula>
    </cfRule>
  </conditionalFormatting>
  <conditionalFormatting sqref="V806">
    <cfRule type="expression" dxfId="3102" priority="3203">
      <formula>$AG806:$AG992="Follow-Up Complete"</formula>
    </cfRule>
    <cfRule type="expression" dxfId="3101" priority="3204">
      <formula>$AG806:$AG992="Further Follow-Up"</formula>
    </cfRule>
    <cfRule type="expression" dxfId="3100" priority="3205">
      <formula>$AG806:$AG992="EOB Requested"</formula>
    </cfRule>
    <cfRule type="expression" dxfId="3099" priority="3206">
      <formula>$AG806:$AG992="EOB Not Found"</formula>
    </cfRule>
    <cfRule type="expression" dxfId="3098" priority="3207">
      <formula>$AG806:$AG992="EOB Downloaded"</formula>
    </cfRule>
  </conditionalFormatting>
  <conditionalFormatting sqref="AA806">
    <cfRule type="expression" dxfId="3097" priority="3198">
      <formula>$AG806:$AG992="Follow-Up Complete"</formula>
    </cfRule>
    <cfRule type="expression" dxfId="3096" priority="3199">
      <formula>$AG806:$AG992="Further Follow-Up"</formula>
    </cfRule>
    <cfRule type="expression" dxfId="3095" priority="3200">
      <formula>$AG806:$AG992="EOB Requested"</formula>
    </cfRule>
    <cfRule type="expression" dxfId="3094" priority="3201">
      <formula>$AG806:$AG992="EOB Not Found"</formula>
    </cfRule>
    <cfRule type="expression" dxfId="3093" priority="3202">
      <formula>$AG806:$AG992="EOB Downloaded"</formula>
    </cfRule>
  </conditionalFormatting>
  <conditionalFormatting sqref="P805">
    <cfRule type="expression" dxfId="3092" priority="3193">
      <formula>$AG805:$AG991="Follow-Up Complete"</formula>
    </cfRule>
    <cfRule type="expression" dxfId="3091" priority="3194">
      <formula>$AG805:$AG991="Further Follow-Up"</formula>
    </cfRule>
    <cfRule type="expression" dxfId="3090" priority="3195">
      <formula>$AG805:$AG991="EOB Requested"</formula>
    </cfRule>
    <cfRule type="expression" dxfId="3089" priority="3196">
      <formula>$AG805:$AG991="EOB Not Found"</formula>
    </cfRule>
    <cfRule type="expression" dxfId="3088" priority="3197">
      <formula>$AG805:$AG991="EOB Downloaded"</formula>
    </cfRule>
  </conditionalFormatting>
  <conditionalFormatting sqref="R805">
    <cfRule type="expression" dxfId="3087" priority="3188">
      <formula>$AG805:$AG991="Follow-Up Complete"</formula>
    </cfRule>
    <cfRule type="expression" dxfId="3086" priority="3189">
      <formula>$AG805:$AG991="Further Follow-Up"</formula>
    </cfRule>
    <cfRule type="expression" dxfId="3085" priority="3190">
      <formula>$AG805:$AG991="EOB Requested"</formula>
    </cfRule>
    <cfRule type="expression" dxfId="3084" priority="3191">
      <formula>$AG805:$AG991="EOB Not Found"</formula>
    </cfRule>
    <cfRule type="expression" dxfId="3083" priority="3192">
      <formula>$AG805:$AG991="EOB Downloaded"</formula>
    </cfRule>
  </conditionalFormatting>
  <conditionalFormatting sqref="V805">
    <cfRule type="expression" dxfId="3082" priority="3183">
      <formula>$AG805:$AG991="Follow-Up Complete"</formula>
    </cfRule>
    <cfRule type="expression" dxfId="3081" priority="3184">
      <formula>$AG805:$AG991="Further Follow-Up"</formula>
    </cfRule>
    <cfRule type="expression" dxfId="3080" priority="3185">
      <formula>$AG805:$AG991="EOB Requested"</formula>
    </cfRule>
    <cfRule type="expression" dxfId="3079" priority="3186">
      <formula>$AG805:$AG991="EOB Not Found"</formula>
    </cfRule>
    <cfRule type="expression" dxfId="3078" priority="3187">
      <formula>$AG805:$AG991="EOB Downloaded"</formula>
    </cfRule>
  </conditionalFormatting>
  <conditionalFormatting sqref="AA805">
    <cfRule type="expression" dxfId="3077" priority="3178">
      <formula>$AG805:$AG991="Follow-Up Complete"</formula>
    </cfRule>
    <cfRule type="expression" dxfId="3076" priority="3179">
      <formula>$AG805:$AG991="Further Follow-Up"</formula>
    </cfRule>
    <cfRule type="expression" dxfId="3075" priority="3180">
      <formula>$AG805:$AG991="EOB Requested"</formula>
    </cfRule>
    <cfRule type="expression" dxfId="3074" priority="3181">
      <formula>$AG805:$AG991="EOB Not Found"</formula>
    </cfRule>
    <cfRule type="expression" dxfId="3073" priority="3182">
      <formula>$AG805:$AG991="EOB Downloaded"</formula>
    </cfRule>
  </conditionalFormatting>
  <conditionalFormatting sqref="P804">
    <cfRule type="expression" dxfId="3072" priority="3173">
      <formula>$AG804:$AG990="Follow-Up Complete"</formula>
    </cfRule>
    <cfRule type="expression" dxfId="3071" priority="3174">
      <formula>$AG804:$AG990="Further Follow-Up"</formula>
    </cfRule>
    <cfRule type="expression" dxfId="3070" priority="3175">
      <formula>$AG804:$AG990="EOB Requested"</formula>
    </cfRule>
    <cfRule type="expression" dxfId="3069" priority="3176">
      <formula>$AG804:$AG990="EOB Not Found"</formula>
    </cfRule>
    <cfRule type="expression" dxfId="3068" priority="3177">
      <formula>$AG804:$AG990="EOB Downloaded"</formula>
    </cfRule>
  </conditionalFormatting>
  <conditionalFormatting sqref="R804">
    <cfRule type="expression" dxfId="3067" priority="3168">
      <formula>$AG804:$AG990="Follow-Up Complete"</formula>
    </cfRule>
    <cfRule type="expression" dxfId="3066" priority="3169">
      <formula>$AG804:$AG990="Further Follow-Up"</formula>
    </cfRule>
    <cfRule type="expression" dxfId="3065" priority="3170">
      <formula>$AG804:$AG990="EOB Requested"</formula>
    </cfRule>
    <cfRule type="expression" dxfId="3064" priority="3171">
      <formula>$AG804:$AG990="EOB Not Found"</formula>
    </cfRule>
    <cfRule type="expression" dxfId="3063" priority="3172">
      <formula>$AG804:$AG990="EOB Downloaded"</formula>
    </cfRule>
  </conditionalFormatting>
  <conditionalFormatting sqref="V804">
    <cfRule type="expression" dxfId="3062" priority="3163">
      <formula>$AG804:$AG990="Follow-Up Complete"</formula>
    </cfRule>
    <cfRule type="expression" dxfId="3061" priority="3164">
      <formula>$AG804:$AG990="Further Follow-Up"</formula>
    </cfRule>
    <cfRule type="expression" dxfId="3060" priority="3165">
      <formula>$AG804:$AG990="EOB Requested"</formula>
    </cfRule>
    <cfRule type="expression" dxfId="3059" priority="3166">
      <formula>$AG804:$AG990="EOB Not Found"</formula>
    </cfRule>
    <cfRule type="expression" dxfId="3058" priority="3167">
      <formula>$AG804:$AG990="EOB Downloaded"</formula>
    </cfRule>
  </conditionalFormatting>
  <conditionalFormatting sqref="AA804">
    <cfRule type="expression" dxfId="3057" priority="3158">
      <formula>$AG804:$AG990="Follow-Up Complete"</formula>
    </cfRule>
    <cfRule type="expression" dxfId="3056" priority="3159">
      <formula>$AG804:$AG990="Further Follow-Up"</formula>
    </cfRule>
    <cfRule type="expression" dxfId="3055" priority="3160">
      <formula>$AG804:$AG990="EOB Requested"</formula>
    </cfRule>
    <cfRule type="expression" dxfId="3054" priority="3161">
      <formula>$AG804:$AG990="EOB Not Found"</formula>
    </cfRule>
    <cfRule type="expression" dxfId="3053" priority="3162">
      <formula>$AG804:$AG990="EOB Downloaded"</formula>
    </cfRule>
  </conditionalFormatting>
  <conditionalFormatting sqref="AF798:AF804">
    <cfRule type="expression" dxfId="3052" priority="3153">
      <formula>$AG798:$AG984="Follow-Up Complete"</formula>
    </cfRule>
    <cfRule type="expression" dxfId="3051" priority="3154">
      <formula>$AG798:$AG984="Further Follow-Up"</formula>
    </cfRule>
    <cfRule type="expression" dxfId="3050" priority="3155">
      <formula>$AG798:$AG984="EOB Requested"</formula>
    </cfRule>
    <cfRule type="expression" dxfId="3049" priority="3156">
      <formula>$AG798:$AG984="EOB Not Found"</formula>
    </cfRule>
    <cfRule type="expression" dxfId="3048" priority="3157">
      <formula>$AG798:$AG984="EOB Downloaded"</formula>
    </cfRule>
  </conditionalFormatting>
  <conditionalFormatting sqref="P803">
    <cfRule type="expression" dxfId="3047" priority="3148">
      <formula>$AG803:$AG989="Follow-Up Complete"</formula>
    </cfRule>
    <cfRule type="expression" dxfId="3046" priority="3149">
      <formula>$AG803:$AG989="Further Follow-Up"</formula>
    </cfRule>
    <cfRule type="expression" dxfId="3045" priority="3150">
      <formula>$AG803:$AG989="EOB Requested"</formula>
    </cfRule>
    <cfRule type="expression" dxfId="3044" priority="3151">
      <formula>$AG803:$AG989="EOB Not Found"</formula>
    </cfRule>
    <cfRule type="expression" dxfId="3043" priority="3152">
      <formula>$AG803:$AG989="EOB Downloaded"</formula>
    </cfRule>
  </conditionalFormatting>
  <conditionalFormatting sqref="R803">
    <cfRule type="expression" dxfId="3042" priority="3143">
      <formula>$AG803:$AG989="Follow-Up Complete"</formula>
    </cfRule>
    <cfRule type="expression" dxfId="3041" priority="3144">
      <formula>$AG803:$AG989="Further Follow-Up"</formula>
    </cfRule>
    <cfRule type="expression" dxfId="3040" priority="3145">
      <formula>$AG803:$AG989="EOB Requested"</formula>
    </cfRule>
    <cfRule type="expression" dxfId="3039" priority="3146">
      <formula>$AG803:$AG989="EOB Not Found"</formula>
    </cfRule>
    <cfRule type="expression" dxfId="3038" priority="3147">
      <formula>$AG803:$AG989="EOB Downloaded"</formula>
    </cfRule>
  </conditionalFormatting>
  <conditionalFormatting sqref="V803">
    <cfRule type="expression" dxfId="3037" priority="3138">
      <formula>$AG803:$AG989="Follow-Up Complete"</formula>
    </cfRule>
    <cfRule type="expression" dxfId="3036" priority="3139">
      <formula>$AG803:$AG989="Further Follow-Up"</formula>
    </cfRule>
    <cfRule type="expression" dxfId="3035" priority="3140">
      <formula>$AG803:$AG989="EOB Requested"</formula>
    </cfRule>
    <cfRule type="expression" dxfId="3034" priority="3141">
      <formula>$AG803:$AG989="EOB Not Found"</formula>
    </cfRule>
    <cfRule type="expression" dxfId="3033" priority="3142">
      <formula>$AG803:$AG989="EOB Downloaded"</formula>
    </cfRule>
  </conditionalFormatting>
  <conditionalFormatting sqref="AA803">
    <cfRule type="expression" dxfId="3032" priority="3133">
      <formula>$AG803:$AG989="Follow-Up Complete"</formula>
    </cfRule>
    <cfRule type="expression" dxfId="3031" priority="3134">
      <formula>$AG803:$AG989="Further Follow-Up"</formula>
    </cfRule>
    <cfRule type="expression" dxfId="3030" priority="3135">
      <formula>$AG803:$AG989="EOB Requested"</formula>
    </cfRule>
    <cfRule type="expression" dxfId="3029" priority="3136">
      <formula>$AG803:$AG989="EOB Not Found"</formula>
    </cfRule>
    <cfRule type="expression" dxfId="3028" priority="3137">
      <formula>$AG803:$AG989="EOB Downloaded"</formula>
    </cfRule>
  </conditionalFormatting>
  <conditionalFormatting sqref="P802">
    <cfRule type="expression" dxfId="3027" priority="3128">
      <formula>$AG802:$AG988="Follow-Up Complete"</formula>
    </cfRule>
    <cfRule type="expression" dxfId="3026" priority="3129">
      <formula>$AG802:$AG988="Further Follow-Up"</formula>
    </cfRule>
    <cfRule type="expression" dxfId="3025" priority="3130">
      <formula>$AG802:$AG988="EOB Requested"</formula>
    </cfRule>
    <cfRule type="expression" dxfId="3024" priority="3131">
      <formula>$AG802:$AG988="EOB Not Found"</formula>
    </cfRule>
    <cfRule type="expression" dxfId="3023" priority="3132">
      <formula>$AG802:$AG988="EOB Downloaded"</formula>
    </cfRule>
  </conditionalFormatting>
  <conditionalFormatting sqref="R802">
    <cfRule type="expression" dxfId="3022" priority="3123">
      <formula>$AG802:$AG988="Follow-Up Complete"</formula>
    </cfRule>
    <cfRule type="expression" dxfId="3021" priority="3124">
      <formula>$AG802:$AG988="Further Follow-Up"</formula>
    </cfRule>
    <cfRule type="expression" dxfId="3020" priority="3125">
      <formula>$AG802:$AG988="EOB Requested"</formula>
    </cfRule>
    <cfRule type="expression" dxfId="3019" priority="3126">
      <formula>$AG802:$AG988="EOB Not Found"</formula>
    </cfRule>
    <cfRule type="expression" dxfId="3018" priority="3127">
      <formula>$AG802:$AG988="EOB Downloaded"</formula>
    </cfRule>
  </conditionalFormatting>
  <conditionalFormatting sqref="V802">
    <cfRule type="expression" dxfId="3017" priority="3118">
      <formula>$AG802:$AG988="Follow-Up Complete"</formula>
    </cfRule>
    <cfRule type="expression" dxfId="3016" priority="3119">
      <formula>$AG802:$AG988="Further Follow-Up"</formula>
    </cfRule>
    <cfRule type="expression" dxfId="3015" priority="3120">
      <formula>$AG802:$AG988="EOB Requested"</formula>
    </cfRule>
    <cfRule type="expression" dxfId="3014" priority="3121">
      <formula>$AG802:$AG988="EOB Not Found"</formula>
    </cfRule>
    <cfRule type="expression" dxfId="3013" priority="3122">
      <formula>$AG802:$AG988="EOB Downloaded"</formula>
    </cfRule>
  </conditionalFormatting>
  <conditionalFormatting sqref="AA802">
    <cfRule type="expression" dxfId="3012" priority="3113">
      <formula>$AG802:$AG988="Follow-Up Complete"</formula>
    </cfRule>
    <cfRule type="expression" dxfId="3011" priority="3114">
      <formula>$AG802:$AG988="Further Follow-Up"</formula>
    </cfRule>
    <cfRule type="expression" dxfId="3010" priority="3115">
      <formula>$AG802:$AG988="EOB Requested"</formula>
    </cfRule>
    <cfRule type="expression" dxfId="3009" priority="3116">
      <formula>$AG802:$AG988="EOB Not Found"</formula>
    </cfRule>
    <cfRule type="expression" dxfId="3008" priority="3117">
      <formula>$AG802:$AG988="EOB Downloaded"</formula>
    </cfRule>
  </conditionalFormatting>
  <conditionalFormatting sqref="P801">
    <cfRule type="expression" dxfId="3007" priority="3108">
      <formula>$AG801:$AG987="Follow-Up Complete"</formula>
    </cfRule>
    <cfRule type="expression" dxfId="3006" priority="3109">
      <formula>$AG801:$AG987="Further Follow-Up"</formula>
    </cfRule>
    <cfRule type="expression" dxfId="3005" priority="3110">
      <formula>$AG801:$AG987="EOB Requested"</formula>
    </cfRule>
    <cfRule type="expression" dxfId="3004" priority="3111">
      <formula>$AG801:$AG987="EOB Not Found"</formula>
    </cfRule>
    <cfRule type="expression" dxfId="3003" priority="3112">
      <formula>$AG801:$AG987="EOB Downloaded"</formula>
    </cfRule>
  </conditionalFormatting>
  <conditionalFormatting sqref="R801">
    <cfRule type="expression" dxfId="3002" priority="3103">
      <formula>$AG801:$AG987="Follow-Up Complete"</formula>
    </cfRule>
    <cfRule type="expression" dxfId="3001" priority="3104">
      <formula>$AG801:$AG987="Further Follow-Up"</formula>
    </cfRule>
    <cfRule type="expression" dxfId="3000" priority="3105">
      <formula>$AG801:$AG987="EOB Requested"</formula>
    </cfRule>
    <cfRule type="expression" dxfId="2999" priority="3106">
      <formula>$AG801:$AG987="EOB Not Found"</formula>
    </cfRule>
    <cfRule type="expression" dxfId="2998" priority="3107">
      <formula>$AG801:$AG987="EOB Downloaded"</formula>
    </cfRule>
  </conditionalFormatting>
  <conditionalFormatting sqref="V801">
    <cfRule type="expression" dxfId="2997" priority="3098">
      <formula>$AG801:$AG987="Follow-Up Complete"</formula>
    </cfRule>
    <cfRule type="expression" dxfId="2996" priority="3099">
      <formula>$AG801:$AG987="Further Follow-Up"</formula>
    </cfRule>
    <cfRule type="expression" dxfId="2995" priority="3100">
      <formula>$AG801:$AG987="EOB Requested"</formula>
    </cfRule>
    <cfRule type="expression" dxfId="2994" priority="3101">
      <formula>$AG801:$AG987="EOB Not Found"</formula>
    </cfRule>
    <cfRule type="expression" dxfId="2993" priority="3102">
      <formula>$AG801:$AG987="EOB Downloaded"</formula>
    </cfRule>
  </conditionalFormatting>
  <conditionalFormatting sqref="AA801">
    <cfRule type="expression" dxfId="2992" priority="3093">
      <formula>$AG801:$AG987="Follow-Up Complete"</formula>
    </cfRule>
    <cfRule type="expression" dxfId="2991" priority="3094">
      <formula>$AG801:$AG987="Further Follow-Up"</formula>
    </cfRule>
    <cfRule type="expression" dxfId="2990" priority="3095">
      <formula>$AG801:$AG987="EOB Requested"</formula>
    </cfRule>
    <cfRule type="expression" dxfId="2989" priority="3096">
      <formula>$AG801:$AG987="EOB Not Found"</formula>
    </cfRule>
    <cfRule type="expression" dxfId="2988" priority="3097">
      <formula>$AG801:$AG987="EOB Downloaded"</formula>
    </cfRule>
  </conditionalFormatting>
  <conditionalFormatting sqref="P800">
    <cfRule type="expression" dxfId="2987" priority="3088">
      <formula>$AG800:$AG986="Follow-Up Complete"</formula>
    </cfRule>
    <cfRule type="expression" dxfId="2986" priority="3089">
      <formula>$AG800:$AG986="Further Follow-Up"</formula>
    </cfRule>
    <cfRule type="expression" dxfId="2985" priority="3090">
      <formula>$AG800:$AG986="EOB Requested"</formula>
    </cfRule>
    <cfRule type="expression" dxfId="2984" priority="3091">
      <formula>$AG800:$AG986="EOB Not Found"</formula>
    </cfRule>
    <cfRule type="expression" dxfId="2983" priority="3092">
      <formula>$AG800:$AG986="EOB Downloaded"</formula>
    </cfRule>
  </conditionalFormatting>
  <conditionalFormatting sqref="R800">
    <cfRule type="expression" dxfId="2982" priority="3083">
      <formula>$AG800:$AG986="Follow-Up Complete"</formula>
    </cfRule>
    <cfRule type="expression" dxfId="2981" priority="3084">
      <formula>$AG800:$AG986="Further Follow-Up"</formula>
    </cfRule>
    <cfRule type="expression" dxfId="2980" priority="3085">
      <formula>$AG800:$AG986="EOB Requested"</formula>
    </cfRule>
    <cfRule type="expression" dxfId="2979" priority="3086">
      <formula>$AG800:$AG986="EOB Not Found"</formula>
    </cfRule>
    <cfRule type="expression" dxfId="2978" priority="3087">
      <formula>$AG800:$AG986="EOB Downloaded"</formula>
    </cfRule>
  </conditionalFormatting>
  <conditionalFormatting sqref="V800">
    <cfRule type="expression" dxfId="2977" priority="3078">
      <formula>$AG800:$AG986="Follow-Up Complete"</formula>
    </cfRule>
    <cfRule type="expression" dxfId="2976" priority="3079">
      <formula>$AG800:$AG986="Further Follow-Up"</formula>
    </cfRule>
    <cfRule type="expression" dxfId="2975" priority="3080">
      <formula>$AG800:$AG986="EOB Requested"</formula>
    </cfRule>
    <cfRule type="expression" dxfId="2974" priority="3081">
      <formula>$AG800:$AG986="EOB Not Found"</formula>
    </cfRule>
    <cfRule type="expression" dxfId="2973" priority="3082">
      <formula>$AG800:$AG986="EOB Downloaded"</formula>
    </cfRule>
  </conditionalFormatting>
  <conditionalFormatting sqref="AA800">
    <cfRule type="expression" dxfId="2972" priority="3073">
      <formula>$AG800:$AG986="Follow-Up Complete"</formula>
    </cfRule>
    <cfRule type="expression" dxfId="2971" priority="3074">
      <formula>$AG800:$AG986="Further Follow-Up"</formula>
    </cfRule>
    <cfRule type="expression" dxfId="2970" priority="3075">
      <formula>$AG800:$AG986="EOB Requested"</formula>
    </cfRule>
    <cfRule type="expression" dxfId="2969" priority="3076">
      <formula>$AG800:$AG986="EOB Not Found"</formula>
    </cfRule>
    <cfRule type="expression" dxfId="2968" priority="3077">
      <formula>$AG800:$AG986="EOB Downloaded"</formula>
    </cfRule>
  </conditionalFormatting>
  <conditionalFormatting sqref="P799">
    <cfRule type="expression" dxfId="2967" priority="3068">
      <formula>$AG799:$AG985="Follow-Up Complete"</formula>
    </cfRule>
    <cfRule type="expression" dxfId="2966" priority="3069">
      <formula>$AG799:$AG985="Further Follow-Up"</formula>
    </cfRule>
    <cfRule type="expression" dxfId="2965" priority="3070">
      <formula>$AG799:$AG985="EOB Requested"</formula>
    </cfRule>
    <cfRule type="expression" dxfId="2964" priority="3071">
      <formula>$AG799:$AG985="EOB Not Found"</formula>
    </cfRule>
    <cfRule type="expression" dxfId="2963" priority="3072">
      <formula>$AG799:$AG985="EOB Downloaded"</formula>
    </cfRule>
  </conditionalFormatting>
  <conditionalFormatting sqref="R799">
    <cfRule type="expression" dxfId="2962" priority="3063">
      <formula>$AG799:$AG985="Follow-Up Complete"</formula>
    </cfRule>
    <cfRule type="expression" dxfId="2961" priority="3064">
      <formula>$AG799:$AG985="Further Follow-Up"</formula>
    </cfRule>
    <cfRule type="expression" dxfId="2960" priority="3065">
      <formula>$AG799:$AG985="EOB Requested"</formula>
    </cfRule>
    <cfRule type="expression" dxfId="2959" priority="3066">
      <formula>$AG799:$AG985="EOB Not Found"</formula>
    </cfRule>
    <cfRule type="expression" dxfId="2958" priority="3067">
      <formula>$AG799:$AG985="EOB Downloaded"</formula>
    </cfRule>
  </conditionalFormatting>
  <conditionalFormatting sqref="V799">
    <cfRule type="expression" dxfId="2957" priority="3058">
      <formula>$AG799:$AG985="Follow-Up Complete"</formula>
    </cfRule>
    <cfRule type="expression" dxfId="2956" priority="3059">
      <formula>$AG799:$AG985="Further Follow-Up"</formula>
    </cfRule>
    <cfRule type="expression" dxfId="2955" priority="3060">
      <formula>$AG799:$AG985="EOB Requested"</formula>
    </cfRule>
    <cfRule type="expression" dxfId="2954" priority="3061">
      <formula>$AG799:$AG985="EOB Not Found"</formula>
    </cfRule>
    <cfRule type="expression" dxfId="2953" priority="3062">
      <formula>$AG799:$AG985="EOB Downloaded"</formula>
    </cfRule>
  </conditionalFormatting>
  <conditionalFormatting sqref="AA799">
    <cfRule type="expression" dxfId="2952" priority="3053">
      <formula>$AG799:$AG985="Follow-Up Complete"</formula>
    </cfRule>
    <cfRule type="expression" dxfId="2951" priority="3054">
      <formula>$AG799:$AG985="Further Follow-Up"</formula>
    </cfRule>
    <cfRule type="expression" dxfId="2950" priority="3055">
      <formula>$AG799:$AG985="EOB Requested"</formula>
    </cfRule>
    <cfRule type="expression" dxfId="2949" priority="3056">
      <formula>$AG799:$AG985="EOB Not Found"</formula>
    </cfRule>
    <cfRule type="expression" dxfId="2948" priority="3057">
      <formula>$AG799:$AG985="EOB Downloaded"</formula>
    </cfRule>
  </conditionalFormatting>
  <conditionalFormatting sqref="P798">
    <cfRule type="expression" dxfId="2947" priority="3048">
      <formula>$AG798:$AG984="Follow-Up Complete"</formula>
    </cfRule>
    <cfRule type="expression" dxfId="2946" priority="3049">
      <formula>$AG798:$AG984="Further Follow-Up"</formula>
    </cfRule>
    <cfRule type="expression" dxfId="2945" priority="3050">
      <formula>$AG798:$AG984="EOB Requested"</formula>
    </cfRule>
    <cfRule type="expression" dxfId="2944" priority="3051">
      <formula>$AG798:$AG984="EOB Not Found"</formula>
    </cfRule>
    <cfRule type="expression" dxfId="2943" priority="3052">
      <formula>$AG798:$AG984="EOB Downloaded"</formula>
    </cfRule>
  </conditionalFormatting>
  <conditionalFormatting sqref="R798">
    <cfRule type="expression" dxfId="2942" priority="3043">
      <formula>$AG798:$AG984="Follow-Up Complete"</formula>
    </cfRule>
    <cfRule type="expression" dxfId="2941" priority="3044">
      <formula>$AG798:$AG984="Further Follow-Up"</formula>
    </cfRule>
    <cfRule type="expression" dxfId="2940" priority="3045">
      <formula>$AG798:$AG984="EOB Requested"</formula>
    </cfRule>
    <cfRule type="expression" dxfId="2939" priority="3046">
      <formula>$AG798:$AG984="EOB Not Found"</formula>
    </cfRule>
    <cfRule type="expression" dxfId="2938" priority="3047">
      <formula>$AG798:$AG984="EOB Downloaded"</formula>
    </cfRule>
  </conditionalFormatting>
  <conditionalFormatting sqref="V798">
    <cfRule type="expression" dxfId="2937" priority="3038">
      <formula>$AG798:$AG984="Follow-Up Complete"</formula>
    </cfRule>
    <cfRule type="expression" dxfId="2936" priority="3039">
      <formula>$AG798:$AG984="Further Follow-Up"</formula>
    </cfRule>
    <cfRule type="expression" dxfId="2935" priority="3040">
      <formula>$AG798:$AG984="EOB Requested"</formula>
    </cfRule>
    <cfRule type="expression" dxfId="2934" priority="3041">
      <formula>$AG798:$AG984="EOB Not Found"</formula>
    </cfRule>
    <cfRule type="expression" dxfId="2933" priority="3042">
      <formula>$AG798:$AG984="EOB Downloaded"</formula>
    </cfRule>
  </conditionalFormatting>
  <conditionalFormatting sqref="AA798">
    <cfRule type="expression" dxfId="2932" priority="3033">
      <formula>$AG798:$AG984="Follow-Up Complete"</formula>
    </cfRule>
    <cfRule type="expression" dxfId="2931" priority="3034">
      <formula>$AG798:$AG984="Further Follow-Up"</formula>
    </cfRule>
    <cfRule type="expression" dxfId="2930" priority="3035">
      <formula>$AG798:$AG984="EOB Requested"</formula>
    </cfRule>
    <cfRule type="expression" dxfId="2929" priority="3036">
      <formula>$AG798:$AG984="EOB Not Found"</formula>
    </cfRule>
    <cfRule type="expression" dxfId="2928" priority="3037">
      <formula>$AG798:$AG984="EOB Downloaded"</formula>
    </cfRule>
  </conditionalFormatting>
  <conditionalFormatting sqref="P796">
    <cfRule type="expression" dxfId="2927" priority="3028">
      <formula>$AG796:$AG982="Follow-Up Complete"</formula>
    </cfRule>
    <cfRule type="expression" dxfId="2926" priority="3029">
      <formula>$AG796:$AG982="Further Follow-Up"</formula>
    </cfRule>
    <cfRule type="expression" dxfId="2925" priority="3030">
      <formula>$AG796:$AG982="EOB Requested"</formula>
    </cfRule>
    <cfRule type="expression" dxfId="2924" priority="3031">
      <formula>$AG796:$AG982="EOB Not Found"</formula>
    </cfRule>
    <cfRule type="expression" dxfId="2923" priority="3032">
      <formula>$AG796:$AG982="EOB Downloaded"</formula>
    </cfRule>
  </conditionalFormatting>
  <conditionalFormatting sqref="R796">
    <cfRule type="expression" dxfId="2922" priority="3023">
      <formula>$AG796:$AG982="Follow-Up Complete"</formula>
    </cfRule>
    <cfRule type="expression" dxfId="2921" priority="3024">
      <formula>$AG796:$AG982="Further Follow-Up"</formula>
    </cfRule>
    <cfRule type="expression" dxfId="2920" priority="3025">
      <formula>$AG796:$AG982="EOB Requested"</formula>
    </cfRule>
    <cfRule type="expression" dxfId="2919" priority="3026">
      <formula>$AG796:$AG982="EOB Not Found"</formula>
    </cfRule>
    <cfRule type="expression" dxfId="2918" priority="3027">
      <formula>$AG796:$AG982="EOB Downloaded"</formula>
    </cfRule>
  </conditionalFormatting>
  <conditionalFormatting sqref="V796">
    <cfRule type="expression" dxfId="2917" priority="3018">
      <formula>$AG796:$AG982="Follow-Up Complete"</formula>
    </cfRule>
    <cfRule type="expression" dxfId="2916" priority="3019">
      <formula>$AG796:$AG982="Further Follow-Up"</formula>
    </cfRule>
    <cfRule type="expression" dxfId="2915" priority="3020">
      <formula>$AG796:$AG982="EOB Requested"</formula>
    </cfRule>
    <cfRule type="expression" dxfId="2914" priority="3021">
      <formula>$AG796:$AG982="EOB Not Found"</formula>
    </cfRule>
    <cfRule type="expression" dxfId="2913" priority="3022">
      <formula>$AG796:$AG982="EOB Downloaded"</formula>
    </cfRule>
  </conditionalFormatting>
  <conditionalFormatting sqref="AA796">
    <cfRule type="expression" dxfId="2912" priority="3013">
      <formula>$AG796:$AG982="Follow-Up Complete"</formula>
    </cfRule>
    <cfRule type="expression" dxfId="2911" priority="3014">
      <formula>$AG796:$AG982="Further Follow-Up"</formula>
    </cfRule>
    <cfRule type="expression" dxfId="2910" priority="3015">
      <formula>$AG796:$AG982="EOB Requested"</formula>
    </cfRule>
    <cfRule type="expression" dxfId="2909" priority="3016">
      <formula>$AG796:$AG982="EOB Not Found"</formula>
    </cfRule>
    <cfRule type="expression" dxfId="2908" priority="3017">
      <formula>$AG796:$AG982="EOB Downloaded"</formula>
    </cfRule>
  </conditionalFormatting>
  <conditionalFormatting sqref="AF796">
    <cfRule type="expression" dxfId="2907" priority="3008">
      <formula>$AG796:$AG982="Follow-Up Complete"</formula>
    </cfRule>
    <cfRule type="expression" dxfId="2906" priority="3009">
      <formula>$AG796:$AG982="Further Follow-Up"</formula>
    </cfRule>
    <cfRule type="expression" dxfId="2905" priority="3010">
      <formula>$AG796:$AG982="EOB Requested"</formula>
    </cfRule>
    <cfRule type="expression" dxfId="2904" priority="3011">
      <formula>$AG796:$AG982="EOB Not Found"</formula>
    </cfRule>
    <cfRule type="expression" dxfId="2903" priority="3012">
      <formula>$AG796:$AG982="EOB Downloaded"</formula>
    </cfRule>
  </conditionalFormatting>
  <conditionalFormatting sqref="P794">
    <cfRule type="expression" dxfId="2902" priority="3003">
      <formula>$AG794:$AG980="Follow-Up Complete"</formula>
    </cfRule>
    <cfRule type="expression" dxfId="2901" priority="3004">
      <formula>$AG794:$AG980="Further Follow-Up"</formula>
    </cfRule>
    <cfRule type="expression" dxfId="2900" priority="3005">
      <formula>$AG794:$AG980="EOB Requested"</formula>
    </cfRule>
    <cfRule type="expression" dxfId="2899" priority="3006">
      <formula>$AG794:$AG980="EOB Not Found"</formula>
    </cfRule>
    <cfRule type="expression" dxfId="2898" priority="3007">
      <formula>$AG794:$AG980="EOB Downloaded"</formula>
    </cfRule>
  </conditionalFormatting>
  <conditionalFormatting sqref="T794">
    <cfRule type="expression" dxfId="2897" priority="2988">
      <formula>$AG794:$AG980="Follow-Up Complete"</formula>
    </cfRule>
    <cfRule type="expression" dxfId="2896" priority="2989">
      <formula>$AG794:$AG980="Further Follow-Up"</formula>
    </cfRule>
    <cfRule type="expression" dxfId="2895" priority="2990">
      <formula>$AG794:$AG980="EOB Requested"</formula>
    </cfRule>
    <cfRule type="expression" dxfId="2894" priority="2991">
      <formula>$AG794:$AG980="EOB Not Found"</formula>
    </cfRule>
    <cfRule type="expression" dxfId="2893" priority="2992">
      <formula>$AG794:$AG980="EOB Downloaded"</formula>
    </cfRule>
  </conditionalFormatting>
  <conditionalFormatting sqref="T795">
    <cfRule type="expression" dxfId="2892" priority="2983">
      <formula>$AG795:$AG981="Follow-Up Complete"</formula>
    </cfRule>
    <cfRule type="expression" dxfId="2891" priority="2984">
      <formula>$AG795:$AG981="Further Follow-Up"</formula>
    </cfRule>
    <cfRule type="expression" dxfId="2890" priority="2985">
      <formula>$AG795:$AG981="EOB Requested"</formula>
    </cfRule>
    <cfRule type="expression" dxfId="2889" priority="2986">
      <formula>$AG795:$AG981="EOB Not Found"</formula>
    </cfRule>
    <cfRule type="expression" dxfId="2888" priority="2987">
      <formula>$AG795:$AG981="EOB Downloaded"</formula>
    </cfRule>
  </conditionalFormatting>
  <conditionalFormatting sqref="V794">
    <cfRule type="expression" dxfId="2887" priority="2978">
      <formula>$AG794:$AG980="Follow-Up Complete"</formula>
    </cfRule>
    <cfRule type="expression" dxfId="2886" priority="2979">
      <formula>$AG794:$AG980="Further Follow-Up"</formula>
    </cfRule>
    <cfRule type="expression" dxfId="2885" priority="2980">
      <formula>$AG794:$AG980="EOB Requested"</formula>
    </cfRule>
    <cfRule type="expression" dxfId="2884" priority="2981">
      <formula>$AG794:$AG980="EOB Not Found"</formula>
    </cfRule>
    <cfRule type="expression" dxfId="2883" priority="2982">
      <formula>$AG794:$AG980="EOB Downloaded"</formula>
    </cfRule>
  </conditionalFormatting>
  <conditionalFormatting sqref="V795">
    <cfRule type="expression" dxfId="2882" priority="2973">
      <formula>$AG795:$AG981="Follow-Up Complete"</formula>
    </cfRule>
    <cfRule type="expression" dxfId="2881" priority="2974">
      <formula>$AG795:$AG981="Further Follow-Up"</formula>
    </cfRule>
    <cfRule type="expression" dxfId="2880" priority="2975">
      <formula>$AG795:$AG981="EOB Requested"</formula>
    </cfRule>
    <cfRule type="expression" dxfId="2879" priority="2976">
      <formula>$AG795:$AG981="EOB Not Found"</formula>
    </cfRule>
    <cfRule type="expression" dxfId="2878" priority="2977">
      <formula>$AG795:$AG981="EOB Downloaded"</formula>
    </cfRule>
  </conditionalFormatting>
  <conditionalFormatting sqref="X794">
    <cfRule type="expression" dxfId="2877" priority="2968">
      <formula>$AG794:$AG980="Follow-Up Complete"</formula>
    </cfRule>
    <cfRule type="expression" dxfId="2876" priority="2969">
      <formula>$AG794:$AG980="Further Follow-Up"</formula>
    </cfRule>
    <cfRule type="expression" dxfId="2875" priority="2970">
      <formula>$AG794:$AG980="EOB Requested"</formula>
    </cfRule>
    <cfRule type="expression" dxfId="2874" priority="2971">
      <formula>$AG794:$AG980="EOB Not Found"</formula>
    </cfRule>
    <cfRule type="expression" dxfId="2873" priority="2972">
      <formula>$AG794:$AG980="EOB Downloaded"</formula>
    </cfRule>
  </conditionalFormatting>
  <conditionalFormatting sqref="AA794">
    <cfRule type="expression" dxfId="2872" priority="2963">
      <formula>$AG794:$AG980="Follow-Up Complete"</formula>
    </cfRule>
    <cfRule type="expression" dxfId="2871" priority="2964">
      <formula>$AG794:$AG980="Further Follow-Up"</formula>
    </cfRule>
    <cfRule type="expression" dxfId="2870" priority="2965">
      <formula>$AG794:$AG980="EOB Requested"</formula>
    </cfRule>
    <cfRule type="expression" dxfId="2869" priority="2966">
      <formula>$AG794:$AG980="EOB Not Found"</formula>
    </cfRule>
    <cfRule type="expression" dxfId="2868" priority="2967">
      <formula>$AG794:$AG980="EOB Downloaded"</formula>
    </cfRule>
  </conditionalFormatting>
  <conditionalFormatting sqref="AA795">
    <cfRule type="expression" dxfId="2867" priority="2958">
      <formula>$AG795:$AG981="Follow-Up Complete"</formula>
    </cfRule>
    <cfRule type="expression" dxfId="2866" priority="2959">
      <formula>$AG795:$AG981="Further Follow-Up"</formula>
    </cfRule>
    <cfRule type="expression" dxfId="2865" priority="2960">
      <formula>$AG795:$AG981="EOB Requested"</formula>
    </cfRule>
    <cfRule type="expression" dxfId="2864" priority="2961">
      <formula>$AG795:$AG981="EOB Not Found"</formula>
    </cfRule>
    <cfRule type="expression" dxfId="2863" priority="2962">
      <formula>$AG795:$AG981="EOB Downloaded"</formula>
    </cfRule>
  </conditionalFormatting>
  <conditionalFormatting sqref="P793">
    <cfRule type="expression" dxfId="2862" priority="2953">
      <formula>$AG793:$AG979="Follow-Up Complete"</formula>
    </cfRule>
    <cfRule type="expression" dxfId="2861" priority="2954">
      <formula>$AG793:$AG979="Further Follow-Up"</formula>
    </cfRule>
    <cfRule type="expression" dxfId="2860" priority="2955">
      <formula>$AG793:$AG979="EOB Requested"</formula>
    </cfRule>
    <cfRule type="expression" dxfId="2859" priority="2956">
      <formula>$AG793:$AG979="EOB Not Found"</formula>
    </cfRule>
    <cfRule type="expression" dxfId="2858" priority="2957">
      <formula>$AG793:$AG979="EOB Downloaded"</formula>
    </cfRule>
  </conditionalFormatting>
  <conditionalFormatting sqref="T793">
    <cfRule type="expression" dxfId="2857" priority="2948">
      <formula>$AG793:$AG979="Follow-Up Complete"</formula>
    </cfRule>
    <cfRule type="expression" dxfId="2856" priority="2949">
      <formula>$AG793:$AG979="Further Follow-Up"</formula>
    </cfRule>
    <cfRule type="expression" dxfId="2855" priority="2950">
      <formula>$AG793:$AG979="EOB Requested"</formula>
    </cfRule>
    <cfRule type="expression" dxfId="2854" priority="2951">
      <formula>$AG793:$AG979="EOB Not Found"</formula>
    </cfRule>
    <cfRule type="expression" dxfId="2853" priority="2952">
      <formula>$AG793:$AG979="EOB Downloaded"</formula>
    </cfRule>
  </conditionalFormatting>
  <conditionalFormatting sqref="V793">
    <cfRule type="expression" dxfId="2852" priority="2943">
      <formula>$AG793:$AG979="Follow-Up Complete"</formula>
    </cfRule>
    <cfRule type="expression" dxfId="2851" priority="2944">
      <formula>$AG793:$AG979="Further Follow-Up"</formula>
    </cfRule>
    <cfRule type="expression" dxfId="2850" priority="2945">
      <formula>$AG793:$AG979="EOB Requested"</formula>
    </cfRule>
    <cfRule type="expression" dxfId="2849" priority="2946">
      <formula>$AG793:$AG979="EOB Not Found"</formula>
    </cfRule>
    <cfRule type="expression" dxfId="2848" priority="2947">
      <formula>$AG793:$AG979="EOB Downloaded"</formula>
    </cfRule>
  </conditionalFormatting>
  <conditionalFormatting sqref="X793">
    <cfRule type="expression" dxfId="2847" priority="2938">
      <formula>$AG793:$AG979="Follow-Up Complete"</formula>
    </cfRule>
    <cfRule type="expression" dxfId="2846" priority="2939">
      <formula>$AG793:$AG979="Further Follow-Up"</formula>
    </cfRule>
    <cfRule type="expression" dxfId="2845" priority="2940">
      <formula>$AG793:$AG979="EOB Requested"</formula>
    </cfRule>
    <cfRule type="expression" dxfId="2844" priority="2941">
      <formula>$AG793:$AG979="EOB Not Found"</formula>
    </cfRule>
    <cfRule type="expression" dxfId="2843" priority="2942">
      <formula>$AG793:$AG979="EOB Downloaded"</formula>
    </cfRule>
  </conditionalFormatting>
  <conditionalFormatting sqref="AA793">
    <cfRule type="expression" dxfId="2842" priority="2933">
      <formula>$AG793:$AG979="Follow-Up Complete"</formula>
    </cfRule>
    <cfRule type="expression" dxfId="2841" priority="2934">
      <formula>$AG793:$AG979="Further Follow-Up"</formula>
    </cfRule>
    <cfRule type="expression" dxfId="2840" priority="2935">
      <formula>$AG793:$AG979="EOB Requested"</formula>
    </cfRule>
    <cfRule type="expression" dxfId="2839" priority="2936">
      <formula>$AG793:$AG979="EOB Not Found"</formula>
    </cfRule>
    <cfRule type="expression" dxfId="2838" priority="2937">
      <formula>$AG793:$AG979="EOB Downloaded"</formula>
    </cfRule>
  </conditionalFormatting>
  <conditionalFormatting sqref="P6">
    <cfRule type="expression" dxfId="2837" priority="2928">
      <formula>$AG6:$AG192="Follow-Up Complete"</formula>
    </cfRule>
    <cfRule type="expression" dxfId="2836" priority="2929">
      <formula>$AG6:$AG192="Further Follow-Up"</formula>
    </cfRule>
    <cfRule type="expression" dxfId="2835" priority="2930">
      <formula>$AG6:$AG192="EOB Requested"</formula>
    </cfRule>
    <cfRule type="expression" dxfId="2834" priority="2931">
      <formula>$AG6:$AG192="EOB Not Found"</formula>
    </cfRule>
    <cfRule type="expression" dxfId="2833" priority="2932">
      <formula>$AG6:$AG192="EOB Downloaded"</formula>
    </cfRule>
  </conditionalFormatting>
  <conditionalFormatting sqref="R6">
    <cfRule type="expression" dxfId="2832" priority="2923">
      <formula>$AG6:$AG192="Follow-Up Complete"</formula>
    </cfRule>
    <cfRule type="expression" dxfId="2831" priority="2924">
      <formula>$AG6:$AG192="Further Follow-Up"</formula>
    </cfRule>
    <cfRule type="expression" dxfId="2830" priority="2925">
      <formula>$AG6:$AG192="EOB Requested"</formula>
    </cfRule>
    <cfRule type="expression" dxfId="2829" priority="2926">
      <formula>$AG6:$AG192="EOB Not Found"</formula>
    </cfRule>
    <cfRule type="expression" dxfId="2828" priority="2927">
      <formula>$AG6:$AG192="EOB Downloaded"</formula>
    </cfRule>
  </conditionalFormatting>
  <conditionalFormatting sqref="T6">
    <cfRule type="expression" dxfId="2827" priority="2918">
      <formula>$AG6:$AG192="Follow-Up Complete"</formula>
    </cfRule>
    <cfRule type="expression" dxfId="2826" priority="2919">
      <formula>$AG6:$AG192="Further Follow-Up"</formula>
    </cfRule>
    <cfRule type="expression" dxfId="2825" priority="2920">
      <formula>$AG6:$AG192="EOB Requested"</formula>
    </cfRule>
    <cfRule type="expression" dxfId="2824" priority="2921">
      <formula>$AG6:$AG192="EOB Not Found"</formula>
    </cfRule>
    <cfRule type="expression" dxfId="2823" priority="2922">
      <formula>$AG6:$AG192="EOB Downloaded"</formula>
    </cfRule>
  </conditionalFormatting>
  <conditionalFormatting sqref="V6">
    <cfRule type="expression" dxfId="2822" priority="2913">
      <formula>$AG6:$AG192="Follow-Up Complete"</formula>
    </cfRule>
    <cfRule type="expression" dxfId="2821" priority="2914">
      <formula>$AG6:$AG192="Further Follow-Up"</formula>
    </cfRule>
    <cfRule type="expression" dxfId="2820" priority="2915">
      <formula>$AG6:$AG192="EOB Requested"</formula>
    </cfRule>
    <cfRule type="expression" dxfId="2819" priority="2916">
      <formula>$AG6:$AG192="EOB Not Found"</formula>
    </cfRule>
    <cfRule type="expression" dxfId="2818" priority="2917">
      <formula>$AG6:$AG192="EOB Downloaded"</formula>
    </cfRule>
  </conditionalFormatting>
  <conditionalFormatting sqref="X6">
    <cfRule type="expression" dxfId="2817" priority="2908">
      <formula>$AG6:$AG192="Follow-Up Complete"</formula>
    </cfRule>
    <cfRule type="expression" dxfId="2816" priority="2909">
      <formula>$AG6:$AG192="Further Follow-Up"</formula>
    </cfRule>
    <cfRule type="expression" dxfId="2815" priority="2910">
      <formula>$AG6:$AG192="EOB Requested"</formula>
    </cfRule>
    <cfRule type="expression" dxfId="2814" priority="2911">
      <formula>$AG6:$AG192="EOB Not Found"</formula>
    </cfRule>
    <cfRule type="expression" dxfId="2813" priority="2912">
      <formula>$AG6:$AG192="EOB Downloaded"</formula>
    </cfRule>
  </conditionalFormatting>
  <conditionalFormatting sqref="AA6">
    <cfRule type="expression" dxfId="2812" priority="2903">
      <formula>$AG6:$AG192="Follow-Up Complete"</formula>
    </cfRule>
    <cfRule type="expression" dxfId="2811" priority="2904">
      <formula>$AG6:$AG192="Further Follow-Up"</formula>
    </cfRule>
    <cfRule type="expression" dxfId="2810" priority="2905">
      <formula>$AG6:$AG192="EOB Requested"</formula>
    </cfRule>
    <cfRule type="expression" dxfId="2809" priority="2906">
      <formula>$AG6:$AG192="EOB Not Found"</formula>
    </cfRule>
    <cfRule type="expression" dxfId="2808" priority="2907">
      <formula>$AG6:$AG192="EOB Downloaded"</formula>
    </cfRule>
  </conditionalFormatting>
  <conditionalFormatting sqref="P15">
    <cfRule type="expression" dxfId="2807" priority="2898">
      <formula>$AG15:$AG201="Follow-Up Complete"</formula>
    </cfRule>
    <cfRule type="expression" dxfId="2806" priority="2899">
      <formula>$AG15:$AG201="Further Follow-Up"</formula>
    </cfRule>
    <cfRule type="expression" dxfId="2805" priority="2900">
      <formula>$AG15:$AG201="EOB Requested"</formula>
    </cfRule>
    <cfRule type="expression" dxfId="2804" priority="2901">
      <formula>$AG15:$AG201="EOB Not Found"</formula>
    </cfRule>
    <cfRule type="expression" dxfId="2803" priority="2902">
      <formula>$AG15:$AG201="EOB Downloaded"</formula>
    </cfRule>
  </conditionalFormatting>
  <conditionalFormatting sqref="R15">
    <cfRule type="expression" dxfId="2802" priority="2893">
      <formula>$AG15:$AG201="Follow-Up Complete"</formula>
    </cfRule>
    <cfRule type="expression" dxfId="2801" priority="2894">
      <formula>$AG15:$AG201="Further Follow-Up"</formula>
    </cfRule>
    <cfRule type="expression" dxfId="2800" priority="2895">
      <formula>$AG15:$AG201="EOB Requested"</formula>
    </cfRule>
    <cfRule type="expression" dxfId="2799" priority="2896">
      <formula>$AG15:$AG201="EOB Not Found"</formula>
    </cfRule>
    <cfRule type="expression" dxfId="2798" priority="2897">
      <formula>$AG15:$AG201="EOB Downloaded"</formula>
    </cfRule>
  </conditionalFormatting>
  <conditionalFormatting sqref="T15">
    <cfRule type="expression" dxfId="2797" priority="2888">
      <formula>$AG15:$AG201="Follow-Up Complete"</formula>
    </cfRule>
    <cfRule type="expression" dxfId="2796" priority="2889">
      <formula>$AG15:$AG201="Further Follow-Up"</formula>
    </cfRule>
    <cfRule type="expression" dxfId="2795" priority="2890">
      <formula>$AG15:$AG201="EOB Requested"</formula>
    </cfRule>
    <cfRule type="expression" dxfId="2794" priority="2891">
      <formula>$AG15:$AG201="EOB Not Found"</formula>
    </cfRule>
    <cfRule type="expression" dxfId="2793" priority="2892">
      <formula>$AG15:$AG201="EOB Downloaded"</formula>
    </cfRule>
  </conditionalFormatting>
  <conditionalFormatting sqref="V15">
    <cfRule type="expression" dxfId="2792" priority="2883">
      <formula>$AG15:$AG201="Follow-Up Complete"</formula>
    </cfRule>
    <cfRule type="expression" dxfId="2791" priority="2884">
      <formula>$AG15:$AG201="Further Follow-Up"</formula>
    </cfRule>
    <cfRule type="expression" dxfId="2790" priority="2885">
      <formula>$AG15:$AG201="EOB Requested"</formula>
    </cfRule>
    <cfRule type="expression" dxfId="2789" priority="2886">
      <formula>$AG15:$AG201="EOB Not Found"</formula>
    </cfRule>
    <cfRule type="expression" dxfId="2788" priority="2887">
      <formula>$AG15:$AG201="EOB Downloaded"</formula>
    </cfRule>
  </conditionalFormatting>
  <conditionalFormatting sqref="X15">
    <cfRule type="expression" dxfId="2787" priority="2878">
      <formula>$AG15:$AG201="Follow-Up Complete"</formula>
    </cfRule>
    <cfRule type="expression" dxfId="2786" priority="2879">
      <formula>$AG15:$AG201="Further Follow-Up"</formula>
    </cfRule>
    <cfRule type="expression" dxfId="2785" priority="2880">
      <formula>$AG15:$AG201="EOB Requested"</formula>
    </cfRule>
    <cfRule type="expression" dxfId="2784" priority="2881">
      <formula>$AG15:$AG201="EOB Not Found"</formula>
    </cfRule>
    <cfRule type="expression" dxfId="2783" priority="2882">
      <formula>$AG15:$AG201="EOB Downloaded"</formula>
    </cfRule>
  </conditionalFormatting>
  <conditionalFormatting sqref="AA15">
    <cfRule type="expression" dxfId="2782" priority="2873">
      <formula>$AG15:$AG201="Follow-Up Complete"</formula>
    </cfRule>
    <cfRule type="expression" dxfId="2781" priority="2874">
      <formula>$AG15:$AG201="Further Follow-Up"</formula>
    </cfRule>
    <cfRule type="expression" dxfId="2780" priority="2875">
      <formula>$AG15:$AG201="EOB Requested"</formula>
    </cfRule>
    <cfRule type="expression" dxfId="2779" priority="2876">
      <formula>$AG15:$AG201="EOB Not Found"</formula>
    </cfRule>
    <cfRule type="expression" dxfId="2778" priority="2877">
      <formula>$AG15:$AG201="EOB Downloaded"</formula>
    </cfRule>
  </conditionalFormatting>
  <conditionalFormatting sqref="AB15">
    <cfRule type="expression" dxfId="2777" priority="2868">
      <formula>$AG15:$AG201="Follow-Up Complete"</formula>
    </cfRule>
    <cfRule type="expression" dxfId="2776" priority="2869">
      <formula>$AG15:$AG201="Further Follow-Up"</formula>
    </cfRule>
    <cfRule type="expression" dxfId="2775" priority="2870">
      <formula>$AG15:$AG201="EOB Requested"</formula>
    </cfRule>
    <cfRule type="expression" dxfId="2774" priority="2871">
      <formula>$AG15:$AG201="EOB Not Found"</formula>
    </cfRule>
    <cfRule type="expression" dxfId="2773" priority="2872">
      <formula>$AG15:$AG201="EOB Downloaded"</formula>
    </cfRule>
  </conditionalFormatting>
  <conditionalFormatting sqref="P16">
    <cfRule type="expression" dxfId="2772" priority="2863">
      <formula>$AG16:$AG202="Follow-Up Complete"</formula>
    </cfRule>
    <cfRule type="expression" dxfId="2771" priority="2864">
      <formula>$AG16:$AG202="Further Follow-Up"</formula>
    </cfRule>
    <cfRule type="expression" dxfId="2770" priority="2865">
      <formula>$AG16:$AG202="EOB Requested"</formula>
    </cfRule>
    <cfRule type="expression" dxfId="2769" priority="2866">
      <formula>$AG16:$AG202="EOB Not Found"</formula>
    </cfRule>
    <cfRule type="expression" dxfId="2768" priority="2867">
      <formula>$AG16:$AG202="EOB Downloaded"</formula>
    </cfRule>
  </conditionalFormatting>
  <conditionalFormatting sqref="R16">
    <cfRule type="expression" dxfId="2767" priority="2858">
      <formula>$AG16:$AG202="Follow-Up Complete"</formula>
    </cfRule>
    <cfRule type="expression" dxfId="2766" priority="2859">
      <formula>$AG16:$AG202="Further Follow-Up"</formula>
    </cfRule>
    <cfRule type="expression" dxfId="2765" priority="2860">
      <formula>$AG16:$AG202="EOB Requested"</formula>
    </cfRule>
    <cfRule type="expression" dxfId="2764" priority="2861">
      <formula>$AG16:$AG202="EOB Not Found"</formula>
    </cfRule>
    <cfRule type="expression" dxfId="2763" priority="2862">
      <formula>$AG16:$AG202="EOB Downloaded"</formula>
    </cfRule>
  </conditionalFormatting>
  <conditionalFormatting sqref="T16">
    <cfRule type="expression" dxfId="2762" priority="2853">
      <formula>$AG16:$AG202="Follow-Up Complete"</formula>
    </cfRule>
    <cfRule type="expression" dxfId="2761" priority="2854">
      <formula>$AG16:$AG202="Further Follow-Up"</formula>
    </cfRule>
    <cfRule type="expression" dxfId="2760" priority="2855">
      <formula>$AG16:$AG202="EOB Requested"</formula>
    </cfRule>
    <cfRule type="expression" dxfId="2759" priority="2856">
      <formula>$AG16:$AG202="EOB Not Found"</formula>
    </cfRule>
    <cfRule type="expression" dxfId="2758" priority="2857">
      <formula>$AG16:$AG202="EOB Downloaded"</formula>
    </cfRule>
  </conditionalFormatting>
  <conditionalFormatting sqref="V16">
    <cfRule type="expression" dxfId="2757" priority="2848">
      <formula>$AG16:$AG202="Follow-Up Complete"</formula>
    </cfRule>
    <cfRule type="expression" dxfId="2756" priority="2849">
      <formula>$AG16:$AG202="Further Follow-Up"</formula>
    </cfRule>
    <cfRule type="expression" dxfId="2755" priority="2850">
      <formula>$AG16:$AG202="EOB Requested"</formula>
    </cfRule>
    <cfRule type="expression" dxfId="2754" priority="2851">
      <formula>$AG16:$AG202="EOB Not Found"</formula>
    </cfRule>
    <cfRule type="expression" dxfId="2753" priority="2852">
      <formula>$AG16:$AG202="EOB Downloaded"</formula>
    </cfRule>
  </conditionalFormatting>
  <conditionalFormatting sqref="X16">
    <cfRule type="expression" dxfId="2752" priority="2843">
      <formula>$AG16:$AG202="Follow-Up Complete"</formula>
    </cfRule>
    <cfRule type="expression" dxfId="2751" priority="2844">
      <formula>$AG16:$AG202="Further Follow-Up"</formula>
    </cfRule>
    <cfRule type="expression" dxfId="2750" priority="2845">
      <formula>$AG16:$AG202="EOB Requested"</formula>
    </cfRule>
    <cfRule type="expression" dxfId="2749" priority="2846">
      <formula>$AG16:$AG202="EOB Not Found"</formula>
    </cfRule>
    <cfRule type="expression" dxfId="2748" priority="2847">
      <formula>$AG16:$AG202="EOB Downloaded"</formula>
    </cfRule>
  </conditionalFormatting>
  <conditionalFormatting sqref="AA16">
    <cfRule type="expression" dxfId="2747" priority="2838">
      <formula>$AG16:$AG202="Follow-Up Complete"</formula>
    </cfRule>
    <cfRule type="expression" dxfId="2746" priority="2839">
      <formula>$AG16:$AG202="Further Follow-Up"</formula>
    </cfRule>
    <cfRule type="expression" dxfId="2745" priority="2840">
      <formula>$AG16:$AG202="EOB Requested"</formula>
    </cfRule>
    <cfRule type="expression" dxfId="2744" priority="2841">
      <formula>$AG16:$AG202="EOB Not Found"</formula>
    </cfRule>
    <cfRule type="expression" dxfId="2743" priority="2842">
      <formula>$AG16:$AG202="EOB Downloaded"</formula>
    </cfRule>
  </conditionalFormatting>
  <conditionalFormatting sqref="P17">
    <cfRule type="expression" dxfId="2742" priority="2833">
      <formula>$AG17:$AG203="Follow-Up Complete"</formula>
    </cfRule>
    <cfRule type="expression" dxfId="2741" priority="2834">
      <formula>$AG17:$AG203="Further Follow-Up"</formula>
    </cfRule>
    <cfRule type="expression" dxfId="2740" priority="2835">
      <formula>$AG17:$AG203="EOB Requested"</formula>
    </cfRule>
    <cfRule type="expression" dxfId="2739" priority="2836">
      <formula>$AG17:$AG203="EOB Not Found"</formula>
    </cfRule>
    <cfRule type="expression" dxfId="2738" priority="2837">
      <formula>$AG17:$AG203="EOB Downloaded"</formula>
    </cfRule>
  </conditionalFormatting>
  <conditionalFormatting sqref="R17">
    <cfRule type="expression" dxfId="2737" priority="2828">
      <formula>$AG17:$AG203="Follow-Up Complete"</formula>
    </cfRule>
    <cfRule type="expression" dxfId="2736" priority="2829">
      <formula>$AG17:$AG203="Further Follow-Up"</formula>
    </cfRule>
    <cfRule type="expression" dxfId="2735" priority="2830">
      <formula>$AG17:$AG203="EOB Requested"</formula>
    </cfRule>
    <cfRule type="expression" dxfId="2734" priority="2831">
      <formula>$AG17:$AG203="EOB Not Found"</formula>
    </cfRule>
    <cfRule type="expression" dxfId="2733" priority="2832">
      <formula>$AG17:$AG203="EOB Downloaded"</formula>
    </cfRule>
  </conditionalFormatting>
  <conditionalFormatting sqref="T17">
    <cfRule type="expression" dxfId="2732" priority="2823">
      <formula>$AG17:$AG203="Follow-Up Complete"</formula>
    </cfRule>
    <cfRule type="expression" dxfId="2731" priority="2824">
      <formula>$AG17:$AG203="Further Follow-Up"</formula>
    </cfRule>
    <cfRule type="expression" dxfId="2730" priority="2825">
      <formula>$AG17:$AG203="EOB Requested"</formula>
    </cfRule>
    <cfRule type="expression" dxfId="2729" priority="2826">
      <formula>$AG17:$AG203="EOB Not Found"</formula>
    </cfRule>
    <cfRule type="expression" dxfId="2728" priority="2827">
      <formula>$AG17:$AG203="EOB Downloaded"</formula>
    </cfRule>
  </conditionalFormatting>
  <conditionalFormatting sqref="V17">
    <cfRule type="expression" dxfId="2727" priority="2818">
      <formula>$AG17:$AG203="Follow-Up Complete"</formula>
    </cfRule>
    <cfRule type="expression" dxfId="2726" priority="2819">
      <formula>$AG17:$AG203="Further Follow-Up"</formula>
    </cfRule>
    <cfRule type="expression" dxfId="2725" priority="2820">
      <formula>$AG17:$AG203="EOB Requested"</formula>
    </cfRule>
    <cfRule type="expression" dxfId="2724" priority="2821">
      <formula>$AG17:$AG203="EOB Not Found"</formula>
    </cfRule>
    <cfRule type="expression" dxfId="2723" priority="2822">
      <formula>$AG17:$AG203="EOB Downloaded"</formula>
    </cfRule>
  </conditionalFormatting>
  <conditionalFormatting sqref="X17">
    <cfRule type="expression" dxfId="2722" priority="2813">
      <formula>$AG17:$AG203="Follow-Up Complete"</formula>
    </cfRule>
    <cfRule type="expression" dxfId="2721" priority="2814">
      <formula>$AG17:$AG203="Further Follow-Up"</formula>
    </cfRule>
    <cfRule type="expression" dxfId="2720" priority="2815">
      <formula>$AG17:$AG203="EOB Requested"</formula>
    </cfRule>
    <cfRule type="expression" dxfId="2719" priority="2816">
      <formula>$AG17:$AG203="EOB Not Found"</formula>
    </cfRule>
    <cfRule type="expression" dxfId="2718" priority="2817">
      <formula>$AG17:$AG203="EOB Downloaded"</formula>
    </cfRule>
  </conditionalFormatting>
  <conditionalFormatting sqref="AA17">
    <cfRule type="expression" dxfId="2717" priority="2808">
      <formula>$AG17:$AG203="Follow-Up Complete"</formula>
    </cfRule>
    <cfRule type="expression" dxfId="2716" priority="2809">
      <formula>$AG17:$AG203="Further Follow-Up"</formula>
    </cfRule>
    <cfRule type="expression" dxfId="2715" priority="2810">
      <formula>$AG17:$AG203="EOB Requested"</formula>
    </cfRule>
    <cfRule type="expression" dxfId="2714" priority="2811">
      <formula>$AG17:$AG203="EOB Not Found"</formula>
    </cfRule>
    <cfRule type="expression" dxfId="2713" priority="2812">
      <formula>$AG17:$AG203="EOB Downloaded"</formula>
    </cfRule>
  </conditionalFormatting>
  <conditionalFormatting sqref="P18">
    <cfRule type="expression" dxfId="2712" priority="2803">
      <formula>$AG18:$AG204="Follow-Up Complete"</formula>
    </cfRule>
    <cfRule type="expression" dxfId="2711" priority="2804">
      <formula>$AG18:$AG204="Further Follow-Up"</formula>
    </cfRule>
    <cfRule type="expression" dxfId="2710" priority="2805">
      <formula>$AG18:$AG204="EOB Requested"</formula>
    </cfRule>
    <cfRule type="expression" dxfId="2709" priority="2806">
      <formula>$AG18:$AG204="EOB Not Found"</formula>
    </cfRule>
    <cfRule type="expression" dxfId="2708" priority="2807">
      <formula>$AG18:$AG204="EOB Downloaded"</formula>
    </cfRule>
  </conditionalFormatting>
  <conditionalFormatting sqref="R18">
    <cfRule type="expression" dxfId="2707" priority="2798">
      <formula>$AG18:$AG204="Follow-Up Complete"</formula>
    </cfRule>
    <cfRule type="expression" dxfId="2706" priority="2799">
      <formula>$AG18:$AG204="Further Follow-Up"</formula>
    </cfRule>
    <cfRule type="expression" dxfId="2705" priority="2800">
      <formula>$AG18:$AG204="EOB Requested"</formula>
    </cfRule>
    <cfRule type="expression" dxfId="2704" priority="2801">
      <formula>$AG18:$AG204="EOB Not Found"</formula>
    </cfRule>
    <cfRule type="expression" dxfId="2703" priority="2802">
      <formula>$AG18:$AG204="EOB Downloaded"</formula>
    </cfRule>
  </conditionalFormatting>
  <conditionalFormatting sqref="T18">
    <cfRule type="expression" dxfId="2702" priority="2793">
      <formula>$AG18:$AG204="Follow-Up Complete"</formula>
    </cfRule>
    <cfRule type="expression" dxfId="2701" priority="2794">
      <formula>$AG18:$AG204="Further Follow-Up"</formula>
    </cfRule>
    <cfRule type="expression" dxfId="2700" priority="2795">
      <formula>$AG18:$AG204="EOB Requested"</formula>
    </cfRule>
    <cfRule type="expression" dxfId="2699" priority="2796">
      <formula>$AG18:$AG204="EOB Not Found"</formula>
    </cfRule>
    <cfRule type="expression" dxfId="2698" priority="2797">
      <formula>$AG18:$AG204="EOB Downloaded"</formula>
    </cfRule>
  </conditionalFormatting>
  <conditionalFormatting sqref="V18">
    <cfRule type="expression" dxfId="2697" priority="2788">
      <formula>$AG18:$AG204="Follow-Up Complete"</formula>
    </cfRule>
    <cfRule type="expression" dxfId="2696" priority="2789">
      <formula>$AG18:$AG204="Further Follow-Up"</formula>
    </cfRule>
    <cfRule type="expression" dxfId="2695" priority="2790">
      <formula>$AG18:$AG204="EOB Requested"</formula>
    </cfRule>
    <cfRule type="expression" dxfId="2694" priority="2791">
      <formula>$AG18:$AG204="EOB Not Found"</formula>
    </cfRule>
    <cfRule type="expression" dxfId="2693" priority="2792">
      <formula>$AG18:$AG204="EOB Downloaded"</formula>
    </cfRule>
  </conditionalFormatting>
  <conditionalFormatting sqref="X18">
    <cfRule type="expression" dxfId="2692" priority="2783">
      <formula>$AG18:$AG204="Follow-Up Complete"</formula>
    </cfRule>
    <cfRule type="expression" dxfId="2691" priority="2784">
      <formula>$AG18:$AG204="Further Follow-Up"</formula>
    </cfRule>
    <cfRule type="expression" dxfId="2690" priority="2785">
      <formula>$AG18:$AG204="EOB Requested"</formula>
    </cfRule>
    <cfRule type="expression" dxfId="2689" priority="2786">
      <formula>$AG18:$AG204="EOB Not Found"</formula>
    </cfRule>
    <cfRule type="expression" dxfId="2688" priority="2787">
      <formula>$AG18:$AG204="EOB Downloaded"</formula>
    </cfRule>
  </conditionalFormatting>
  <conditionalFormatting sqref="AA18">
    <cfRule type="expression" dxfId="2687" priority="2778">
      <formula>$AG18:$AG204="Follow-Up Complete"</formula>
    </cfRule>
    <cfRule type="expression" dxfId="2686" priority="2779">
      <formula>$AG18:$AG204="Further Follow-Up"</formula>
    </cfRule>
    <cfRule type="expression" dxfId="2685" priority="2780">
      <formula>$AG18:$AG204="EOB Requested"</formula>
    </cfRule>
    <cfRule type="expression" dxfId="2684" priority="2781">
      <formula>$AG18:$AG204="EOB Not Found"</formula>
    </cfRule>
    <cfRule type="expression" dxfId="2683" priority="2782">
      <formula>$AG18:$AG204="EOB Downloaded"</formula>
    </cfRule>
  </conditionalFormatting>
  <conditionalFormatting sqref="AF18">
    <cfRule type="expression" dxfId="2682" priority="2773">
      <formula>$AG18:$AG204="Follow-Up Complete"</formula>
    </cfRule>
    <cfRule type="expression" dxfId="2681" priority="2774">
      <formula>$AG18:$AG204="Further Follow-Up"</formula>
    </cfRule>
    <cfRule type="expression" dxfId="2680" priority="2775">
      <formula>$AG18:$AG204="EOB Requested"</formula>
    </cfRule>
    <cfRule type="expression" dxfId="2679" priority="2776">
      <formula>$AG18:$AG204="EOB Not Found"</formula>
    </cfRule>
    <cfRule type="expression" dxfId="2678" priority="2777">
      <formula>$AG18:$AG204="EOB Downloaded"</formula>
    </cfRule>
  </conditionalFormatting>
  <conditionalFormatting sqref="P19">
    <cfRule type="expression" dxfId="2677" priority="2768">
      <formula>$AG19:$AG205="Follow-Up Complete"</formula>
    </cfRule>
    <cfRule type="expression" dxfId="2676" priority="2769">
      <formula>$AG19:$AG205="Further Follow-Up"</formula>
    </cfRule>
    <cfRule type="expression" dxfId="2675" priority="2770">
      <formula>$AG19:$AG205="EOB Requested"</formula>
    </cfRule>
    <cfRule type="expression" dxfId="2674" priority="2771">
      <formula>$AG19:$AG205="EOB Not Found"</formula>
    </cfRule>
    <cfRule type="expression" dxfId="2673" priority="2772">
      <formula>$AG19:$AG205="EOB Downloaded"</formula>
    </cfRule>
  </conditionalFormatting>
  <conditionalFormatting sqref="R19">
    <cfRule type="expression" dxfId="2672" priority="2763">
      <formula>$AG19:$AG205="Follow-Up Complete"</formula>
    </cfRule>
    <cfRule type="expression" dxfId="2671" priority="2764">
      <formula>$AG19:$AG205="Further Follow-Up"</formula>
    </cfRule>
    <cfRule type="expression" dxfId="2670" priority="2765">
      <formula>$AG19:$AG205="EOB Requested"</formula>
    </cfRule>
    <cfRule type="expression" dxfId="2669" priority="2766">
      <formula>$AG19:$AG205="EOB Not Found"</formula>
    </cfRule>
    <cfRule type="expression" dxfId="2668" priority="2767">
      <formula>$AG19:$AG205="EOB Downloaded"</formula>
    </cfRule>
  </conditionalFormatting>
  <conditionalFormatting sqref="T19">
    <cfRule type="expression" dxfId="2667" priority="2758">
      <formula>$AG19:$AG205="Follow-Up Complete"</formula>
    </cfRule>
    <cfRule type="expression" dxfId="2666" priority="2759">
      <formula>$AG19:$AG205="Further Follow-Up"</formula>
    </cfRule>
    <cfRule type="expression" dxfId="2665" priority="2760">
      <formula>$AG19:$AG205="EOB Requested"</formula>
    </cfRule>
    <cfRule type="expression" dxfId="2664" priority="2761">
      <formula>$AG19:$AG205="EOB Not Found"</formula>
    </cfRule>
    <cfRule type="expression" dxfId="2663" priority="2762">
      <formula>$AG19:$AG205="EOB Downloaded"</formula>
    </cfRule>
  </conditionalFormatting>
  <conditionalFormatting sqref="V19">
    <cfRule type="expression" dxfId="2662" priority="2753">
      <formula>$AG19:$AG205="Follow-Up Complete"</formula>
    </cfRule>
    <cfRule type="expression" dxfId="2661" priority="2754">
      <formula>$AG19:$AG205="Further Follow-Up"</formula>
    </cfRule>
    <cfRule type="expression" dxfId="2660" priority="2755">
      <formula>$AG19:$AG205="EOB Requested"</formula>
    </cfRule>
    <cfRule type="expression" dxfId="2659" priority="2756">
      <formula>$AG19:$AG205="EOB Not Found"</formula>
    </cfRule>
    <cfRule type="expression" dxfId="2658" priority="2757">
      <formula>$AG19:$AG205="EOB Downloaded"</formula>
    </cfRule>
  </conditionalFormatting>
  <conditionalFormatting sqref="AA19">
    <cfRule type="expression" dxfId="2657" priority="2748">
      <formula>$AG19:$AG205="Follow-Up Complete"</formula>
    </cfRule>
    <cfRule type="expression" dxfId="2656" priority="2749">
      <formula>$AG19:$AG205="Further Follow-Up"</formula>
    </cfRule>
    <cfRule type="expression" dxfId="2655" priority="2750">
      <formula>$AG19:$AG205="EOB Requested"</formula>
    </cfRule>
    <cfRule type="expression" dxfId="2654" priority="2751">
      <formula>$AG19:$AG205="EOB Not Found"</formula>
    </cfRule>
    <cfRule type="expression" dxfId="2653" priority="2752">
      <formula>$AG19:$AG205="EOB Downloaded"</formula>
    </cfRule>
  </conditionalFormatting>
  <conditionalFormatting sqref="P20">
    <cfRule type="expression" dxfId="2652" priority="2743">
      <formula>$AG20:$AG206="Follow-Up Complete"</formula>
    </cfRule>
    <cfRule type="expression" dxfId="2651" priority="2744">
      <formula>$AG20:$AG206="Further Follow-Up"</formula>
    </cfRule>
    <cfRule type="expression" dxfId="2650" priority="2745">
      <formula>$AG20:$AG206="EOB Requested"</formula>
    </cfRule>
    <cfRule type="expression" dxfId="2649" priority="2746">
      <formula>$AG20:$AG206="EOB Not Found"</formula>
    </cfRule>
    <cfRule type="expression" dxfId="2648" priority="2747">
      <formula>$AG20:$AG206="EOB Downloaded"</formula>
    </cfRule>
  </conditionalFormatting>
  <conditionalFormatting sqref="R20">
    <cfRule type="expression" dxfId="2647" priority="2738">
      <formula>$AG20:$AG206="Follow-Up Complete"</formula>
    </cfRule>
    <cfRule type="expression" dxfId="2646" priority="2739">
      <formula>$AG20:$AG206="Further Follow-Up"</formula>
    </cfRule>
    <cfRule type="expression" dxfId="2645" priority="2740">
      <formula>$AG20:$AG206="EOB Requested"</formula>
    </cfRule>
    <cfRule type="expression" dxfId="2644" priority="2741">
      <formula>$AG20:$AG206="EOB Not Found"</formula>
    </cfRule>
    <cfRule type="expression" dxfId="2643" priority="2742">
      <formula>$AG20:$AG206="EOB Downloaded"</formula>
    </cfRule>
  </conditionalFormatting>
  <conditionalFormatting sqref="T20">
    <cfRule type="expression" dxfId="2642" priority="2733">
      <formula>$AG20:$AG206="Follow-Up Complete"</formula>
    </cfRule>
    <cfRule type="expression" dxfId="2641" priority="2734">
      <formula>$AG20:$AG206="Further Follow-Up"</formula>
    </cfRule>
    <cfRule type="expression" dxfId="2640" priority="2735">
      <formula>$AG20:$AG206="EOB Requested"</formula>
    </cfRule>
    <cfRule type="expression" dxfId="2639" priority="2736">
      <formula>$AG20:$AG206="EOB Not Found"</formula>
    </cfRule>
    <cfRule type="expression" dxfId="2638" priority="2737">
      <formula>$AG20:$AG206="EOB Downloaded"</formula>
    </cfRule>
  </conditionalFormatting>
  <conditionalFormatting sqref="V20">
    <cfRule type="expression" dxfId="2637" priority="2728">
      <formula>$AG20:$AG206="Follow-Up Complete"</formula>
    </cfRule>
    <cfRule type="expression" dxfId="2636" priority="2729">
      <formula>$AG20:$AG206="Further Follow-Up"</formula>
    </cfRule>
    <cfRule type="expression" dxfId="2635" priority="2730">
      <formula>$AG20:$AG206="EOB Requested"</formula>
    </cfRule>
    <cfRule type="expression" dxfId="2634" priority="2731">
      <formula>$AG20:$AG206="EOB Not Found"</formula>
    </cfRule>
    <cfRule type="expression" dxfId="2633" priority="2732">
      <formula>$AG20:$AG206="EOB Downloaded"</formula>
    </cfRule>
  </conditionalFormatting>
  <conditionalFormatting sqref="X20">
    <cfRule type="expression" dxfId="2632" priority="2723">
      <formula>$AG20:$AG206="Follow-Up Complete"</formula>
    </cfRule>
    <cfRule type="expression" dxfId="2631" priority="2724">
      <formula>$AG20:$AG206="Further Follow-Up"</formula>
    </cfRule>
    <cfRule type="expression" dxfId="2630" priority="2725">
      <formula>$AG20:$AG206="EOB Requested"</formula>
    </cfRule>
    <cfRule type="expression" dxfId="2629" priority="2726">
      <formula>$AG20:$AG206="EOB Not Found"</formula>
    </cfRule>
    <cfRule type="expression" dxfId="2628" priority="2727">
      <formula>$AG20:$AG206="EOB Downloaded"</formula>
    </cfRule>
  </conditionalFormatting>
  <conditionalFormatting sqref="AA20">
    <cfRule type="expression" dxfId="2627" priority="2718">
      <formula>$AG20:$AG206="Follow-Up Complete"</formula>
    </cfRule>
    <cfRule type="expression" dxfId="2626" priority="2719">
      <formula>$AG20:$AG206="Further Follow-Up"</formula>
    </cfRule>
    <cfRule type="expression" dxfId="2625" priority="2720">
      <formula>$AG20:$AG206="EOB Requested"</formula>
    </cfRule>
    <cfRule type="expression" dxfId="2624" priority="2721">
      <formula>$AG20:$AG206="EOB Not Found"</formula>
    </cfRule>
    <cfRule type="expression" dxfId="2623" priority="2722">
      <formula>$AG20:$AG206="EOB Downloaded"</formula>
    </cfRule>
  </conditionalFormatting>
  <conditionalFormatting sqref="P29">
    <cfRule type="expression" dxfId="2622" priority="2713">
      <formula>$AG29:$AG215="Follow-Up Complete"</formula>
    </cfRule>
    <cfRule type="expression" dxfId="2621" priority="2714">
      <formula>$AG29:$AG215="Further Follow-Up"</formula>
    </cfRule>
    <cfRule type="expression" dxfId="2620" priority="2715">
      <formula>$AG29:$AG215="EOB Requested"</formula>
    </cfRule>
    <cfRule type="expression" dxfId="2619" priority="2716">
      <formula>$AG29:$AG215="EOB Not Found"</formula>
    </cfRule>
    <cfRule type="expression" dxfId="2618" priority="2717">
      <formula>$AG29:$AG215="EOB Downloaded"</formula>
    </cfRule>
  </conditionalFormatting>
  <conditionalFormatting sqref="R29">
    <cfRule type="expression" dxfId="2617" priority="2708">
      <formula>$AG29:$AG215="Follow-Up Complete"</formula>
    </cfRule>
    <cfRule type="expression" dxfId="2616" priority="2709">
      <formula>$AG29:$AG215="Further Follow-Up"</formula>
    </cfRule>
    <cfRule type="expression" dxfId="2615" priority="2710">
      <formula>$AG29:$AG215="EOB Requested"</formula>
    </cfRule>
    <cfRule type="expression" dxfId="2614" priority="2711">
      <formula>$AG29:$AG215="EOB Not Found"</formula>
    </cfRule>
    <cfRule type="expression" dxfId="2613" priority="2712">
      <formula>$AG29:$AG215="EOB Downloaded"</formula>
    </cfRule>
  </conditionalFormatting>
  <conditionalFormatting sqref="T29">
    <cfRule type="expression" dxfId="2612" priority="2703">
      <formula>$AG29:$AG215="Follow-Up Complete"</formula>
    </cfRule>
    <cfRule type="expression" dxfId="2611" priority="2704">
      <formula>$AG29:$AG215="Further Follow-Up"</formula>
    </cfRule>
    <cfRule type="expression" dxfId="2610" priority="2705">
      <formula>$AG29:$AG215="EOB Requested"</formula>
    </cfRule>
    <cfRule type="expression" dxfId="2609" priority="2706">
      <formula>$AG29:$AG215="EOB Not Found"</formula>
    </cfRule>
    <cfRule type="expression" dxfId="2608" priority="2707">
      <formula>$AG29:$AG215="EOB Downloaded"</formula>
    </cfRule>
  </conditionalFormatting>
  <conditionalFormatting sqref="V29">
    <cfRule type="expression" dxfId="2607" priority="2698">
      <formula>$AG29:$AG215="Follow-Up Complete"</formula>
    </cfRule>
    <cfRule type="expression" dxfId="2606" priority="2699">
      <formula>$AG29:$AG215="Further Follow-Up"</formula>
    </cfRule>
    <cfRule type="expression" dxfId="2605" priority="2700">
      <formula>$AG29:$AG215="EOB Requested"</formula>
    </cfRule>
    <cfRule type="expression" dxfId="2604" priority="2701">
      <formula>$AG29:$AG215="EOB Not Found"</formula>
    </cfRule>
    <cfRule type="expression" dxfId="2603" priority="2702">
      <formula>$AG29:$AG215="EOB Downloaded"</formula>
    </cfRule>
  </conditionalFormatting>
  <conditionalFormatting sqref="X29">
    <cfRule type="expression" dxfId="2602" priority="2693">
      <formula>$AG29:$AG215="Follow-Up Complete"</formula>
    </cfRule>
    <cfRule type="expression" dxfId="2601" priority="2694">
      <formula>$AG29:$AG215="Further Follow-Up"</formula>
    </cfRule>
    <cfRule type="expression" dxfId="2600" priority="2695">
      <formula>$AG29:$AG215="EOB Requested"</formula>
    </cfRule>
    <cfRule type="expression" dxfId="2599" priority="2696">
      <formula>$AG29:$AG215="EOB Not Found"</formula>
    </cfRule>
    <cfRule type="expression" dxfId="2598" priority="2697">
      <formula>$AG29:$AG215="EOB Downloaded"</formula>
    </cfRule>
  </conditionalFormatting>
  <conditionalFormatting sqref="AA29">
    <cfRule type="expression" dxfId="2597" priority="2688">
      <formula>$AG29:$AG215="Follow-Up Complete"</formula>
    </cfRule>
    <cfRule type="expression" dxfId="2596" priority="2689">
      <formula>$AG29:$AG215="Further Follow-Up"</formula>
    </cfRule>
    <cfRule type="expression" dxfId="2595" priority="2690">
      <formula>$AG29:$AG215="EOB Requested"</formula>
    </cfRule>
    <cfRule type="expression" dxfId="2594" priority="2691">
      <formula>$AG29:$AG215="EOB Not Found"</formula>
    </cfRule>
    <cfRule type="expression" dxfId="2593" priority="2692">
      <formula>$AG29:$AG215="EOB Downloaded"</formula>
    </cfRule>
  </conditionalFormatting>
  <conditionalFormatting sqref="P30">
    <cfRule type="expression" dxfId="2592" priority="2683">
      <formula>$AG30:$AG216="Follow-Up Complete"</formula>
    </cfRule>
    <cfRule type="expression" dxfId="2591" priority="2684">
      <formula>$AG30:$AG216="Further Follow-Up"</formula>
    </cfRule>
    <cfRule type="expression" dxfId="2590" priority="2685">
      <formula>$AG30:$AG216="EOB Requested"</formula>
    </cfRule>
    <cfRule type="expression" dxfId="2589" priority="2686">
      <formula>$AG30:$AG216="EOB Not Found"</formula>
    </cfRule>
    <cfRule type="expression" dxfId="2588" priority="2687">
      <formula>$AG30:$AG216="EOB Downloaded"</formula>
    </cfRule>
  </conditionalFormatting>
  <conditionalFormatting sqref="R30">
    <cfRule type="expression" dxfId="2587" priority="2678">
      <formula>$AG30:$AG216="Follow-Up Complete"</formula>
    </cfRule>
    <cfRule type="expression" dxfId="2586" priority="2679">
      <formula>$AG30:$AG216="Further Follow-Up"</formula>
    </cfRule>
    <cfRule type="expression" dxfId="2585" priority="2680">
      <formula>$AG30:$AG216="EOB Requested"</formula>
    </cfRule>
    <cfRule type="expression" dxfId="2584" priority="2681">
      <formula>$AG30:$AG216="EOB Not Found"</formula>
    </cfRule>
    <cfRule type="expression" dxfId="2583" priority="2682">
      <formula>$AG30:$AG216="EOB Downloaded"</formula>
    </cfRule>
  </conditionalFormatting>
  <conditionalFormatting sqref="T30">
    <cfRule type="expression" dxfId="2582" priority="2673">
      <formula>$AG30:$AG216="Follow-Up Complete"</formula>
    </cfRule>
    <cfRule type="expression" dxfId="2581" priority="2674">
      <formula>$AG30:$AG216="Further Follow-Up"</formula>
    </cfRule>
    <cfRule type="expression" dxfId="2580" priority="2675">
      <formula>$AG30:$AG216="EOB Requested"</formula>
    </cfRule>
    <cfRule type="expression" dxfId="2579" priority="2676">
      <formula>$AG30:$AG216="EOB Not Found"</formula>
    </cfRule>
    <cfRule type="expression" dxfId="2578" priority="2677">
      <formula>$AG30:$AG216="EOB Downloaded"</formula>
    </cfRule>
  </conditionalFormatting>
  <conditionalFormatting sqref="V30">
    <cfRule type="expression" dxfId="2577" priority="2668">
      <formula>$AG30:$AG216="Follow-Up Complete"</formula>
    </cfRule>
    <cfRule type="expression" dxfId="2576" priority="2669">
      <formula>$AG30:$AG216="Further Follow-Up"</formula>
    </cfRule>
    <cfRule type="expression" dxfId="2575" priority="2670">
      <formula>$AG30:$AG216="EOB Requested"</formula>
    </cfRule>
    <cfRule type="expression" dxfId="2574" priority="2671">
      <formula>$AG30:$AG216="EOB Not Found"</formula>
    </cfRule>
    <cfRule type="expression" dxfId="2573" priority="2672">
      <formula>$AG30:$AG216="EOB Downloaded"</formula>
    </cfRule>
  </conditionalFormatting>
  <conditionalFormatting sqref="X30">
    <cfRule type="expression" dxfId="2572" priority="2663">
      <formula>$AG30:$AG216="Follow-Up Complete"</formula>
    </cfRule>
    <cfRule type="expression" dxfId="2571" priority="2664">
      <formula>$AG30:$AG216="Further Follow-Up"</formula>
    </cfRule>
    <cfRule type="expression" dxfId="2570" priority="2665">
      <formula>$AG30:$AG216="EOB Requested"</formula>
    </cfRule>
    <cfRule type="expression" dxfId="2569" priority="2666">
      <formula>$AG30:$AG216="EOB Not Found"</formula>
    </cfRule>
    <cfRule type="expression" dxfId="2568" priority="2667">
      <formula>$AG30:$AG216="EOB Downloaded"</formula>
    </cfRule>
  </conditionalFormatting>
  <conditionalFormatting sqref="AA30">
    <cfRule type="expression" dxfId="2567" priority="2658">
      <formula>$AG30:$AG216="Follow-Up Complete"</formula>
    </cfRule>
    <cfRule type="expression" dxfId="2566" priority="2659">
      <formula>$AG30:$AG216="Further Follow-Up"</formula>
    </cfRule>
    <cfRule type="expression" dxfId="2565" priority="2660">
      <formula>$AG30:$AG216="EOB Requested"</formula>
    </cfRule>
    <cfRule type="expression" dxfId="2564" priority="2661">
      <formula>$AG30:$AG216="EOB Not Found"</formula>
    </cfRule>
    <cfRule type="expression" dxfId="2563" priority="2662">
      <formula>$AG30:$AG216="EOB Downloaded"</formula>
    </cfRule>
  </conditionalFormatting>
  <conditionalFormatting sqref="P31">
    <cfRule type="expression" dxfId="2562" priority="2653">
      <formula>$AG31:$AG217="Follow-Up Complete"</formula>
    </cfRule>
    <cfRule type="expression" dxfId="2561" priority="2654">
      <formula>$AG31:$AG217="Further Follow-Up"</formula>
    </cfRule>
    <cfRule type="expression" dxfId="2560" priority="2655">
      <formula>$AG31:$AG217="EOB Requested"</formula>
    </cfRule>
    <cfRule type="expression" dxfId="2559" priority="2656">
      <formula>$AG31:$AG217="EOB Not Found"</formula>
    </cfRule>
    <cfRule type="expression" dxfId="2558" priority="2657">
      <formula>$AG31:$AG217="EOB Downloaded"</formula>
    </cfRule>
  </conditionalFormatting>
  <conditionalFormatting sqref="R31">
    <cfRule type="expression" dxfId="2557" priority="2648">
      <formula>$AG31:$AG217="Follow-Up Complete"</formula>
    </cfRule>
    <cfRule type="expression" dxfId="2556" priority="2649">
      <formula>$AG31:$AG217="Further Follow-Up"</formula>
    </cfRule>
    <cfRule type="expression" dxfId="2555" priority="2650">
      <formula>$AG31:$AG217="EOB Requested"</formula>
    </cfRule>
    <cfRule type="expression" dxfId="2554" priority="2651">
      <formula>$AG31:$AG217="EOB Not Found"</formula>
    </cfRule>
    <cfRule type="expression" dxfId="2553" priority="2652">
      <formula>$AG31:$AG217="EOB Downloaded"</formula>
    </cfRule>
  </conditionalFormatting>
  <conditionalFormatting sqref="T31">
    <cfRule type="expression" dxfId="2552" priority="2643">
      <formula>$AG31:$AG217="Follow-Up Complete"</formula>
    </cfRule>
    <cfRule type="expression" dxfId="2551" priority="2644">
      <formula>$AG31:$AG217="Further Follow-Up"</formula>
    </cfRule>
    <cfRule type="expression" dxfId="2550" priority="2645">
      <formula>$AG31:$AG217="EOB Requested"</formula>
    </cfRule>
    <cfRule type="expression" dxfId="2549" priority="2646">
      <formula>$AG31:$AG217="EOB Not Found"</formula>
    </cfRule>
    <cfRule type="expression" dxfId="2548" priority="2647">
      <formula>$AG31:$AG217="EOB Downloaded"</formula>
    </cfRule>
  </conditionalFormatting>
  <conditionalFormatting sqref="V31">
    <cfRule type="expression" dxfId="2547" priority="2638">
      <formula>$AG31:$AG217="Follow-Up Complete"</formula>
    </cfRule>
    <cfRule type="expression" dxfId="2546" priority="2639">
      <formula>$AG31:$AG217="Further Follow-Up"</formula>
    </cfRule>
    <cfRule type="expression" dxfId="2545" priority="2640">
      <formula>$AG31:$AG217="EOB Requested"</formula>
    </cfRule>
    <cfRule type="expression" dxfId="2544" priority="2641">
      <formula>$AG31:$AG217="EOB Not Found"</formula>
    </cfRule>
    <cfRule type="expression" dxfId="2543" priority="2642">
      <formula>$AG31:$AG217="EOB Downloaded"</formula>
    </cfRule>
  </conditionalFormatting>
  <conditionalFormatting sqref="X31">
    <cfRule type="expression" dxfId="2542" priority="2633">
      <formula>$AG31:$AG217="Follow-Up Complete"</formula>
    </cfRule>
    <cfRule type="expression" dxfId="2541" priority="2634">
      <formula>$AG31:$AG217="Further Follow-Up"</formula>
    </cfRule>
    <cfRule type="expression" dxfId="2540" priority="2635">
      <formula>$AG31:$AG217="EOB Requested"</formula>
    </cfRule>
    <cfRule type="expression" dxfId="2539" priority="2636">
      <formula>$AG31:$AG217="EOB Not Found"</formula>
    </cfRule>
    <cfRule type="expression" dxfId="2538" priority="2637">
      <formula>$AG31:$AG217="EOB Downloaded"</formula>
    </cfRule>
  </conditionalFormatting>
  <conditionalFormatting sqref="P32">
    <cfRule type="expression" dxfId="2537" priority="2628">
      <formula>$AG32:$AG218="Follow-Up Complete"</formula>
    </cfRule>
    <cfRule type="expression" dxfId="2536" priority="2629">
      <formula>$AG32:$AG218="Further Follow-Up"</formula>
    </cfRule>
    <cfRule type="expression" dxfId="2535" priority="2630">
      <formula>$AG32:$AG218="EOB Requested"</formula>
    </cfRule>
    <cfRule type="expression" dxfId="2534" priority="2631">
      <formula>$AG32:$AG218="EOB Not Found"</formula>
    </cfRule>
    <cfRule type="expression" dxfId="2533" priority="2632">
      <formula>$AG32:$AG218="EOB Downloaded"</formula>
    </cfRule>
  </conditionalFormatting>
  <conditionalFormatting sqref="R32">
    <cfRule type="expression" dxfId="2532" priority="2623">
      <formula>$AG32:$AG218="Follow-Up Complete"</formula>
    </cfRule>
    <cfRule type="expression" dxfId="2531" priority="2624">
      <formula>$AG32:$AG218="Further Follow-Up"</formula>
    </cfRule>
    <cfRule type="expression" dxfId="2530" priority="2625">
      <formula>$AG32:$AG218="EOB Requested"</formula>
    </cfRule>
    <cfRule type="expression" dxfId="2529" priority="2626">
      <formula>$AG32:$AG218="EOB Not Found"</formula>
    </cfRule>
    <cfRule type="expression" dxfId="2528" priority="2627">
      <formula>$AG32:$AG218="EOB Downloaded"</formula>
    </cfRule>
  </conditionalFormatting>
  <conditionalFormatting sqref="V32">
    <cfRule type="expression" dxfId="2527" priority="2618">
      <formula>$AG32:$AG218="Follow-Up Complete"</formula>
    </cfRule>
    <cfRule type="expression" dxfId="2526" priority="2619">
      <formula>$AG32:$AG218="Further Follow-Up"</formula>
    </cfRule>
    <cfRule type="expression" dxfId="2525" priority="2620">
      <formula>$AG32:$AG218="EOB Requested"</formula>
    </cfRule>
    <cfRule type="expression" dxfId="2524" priority="2621">
      <formula>$AG32:$AG218="EOB Not Found"</formula>
    </cfRule>
    <cfRule type="expression" dxfId="2523" priority="2622">
      <formula>$AG32:$AG218="EOB Downloaded"</formula>
    </cfRule>
  </conditionalFormatting>
  <conditionalFormatting sqref="X32">
    <cfRule type="expression" dxfId="2522" priority="2613">
      <formula>$AG32:$AG218="Follow-Up Complete"</formula>
    </cfRule>
    <cfRule type="expression" dxfId="2521" priority="2614">
      <formula>$AG32:$AG218="Further Follow-Up"</formula>
    </cfRule>
    <cfRule type="expression" dxfId="2520" priority="2615">
      <formula>$AG32:$AG218="EOB Requested"</formula>
    </cfRule>
    <cfRule type="expression" dxfId="2519" priority="2616">
      <formula>$AG32:$AG218="EOB Not Found"</formula>
    </cfRule>
    <cfRule type="expression" dxfId="2518" priority="2617">
      <formula>$AG32:$AG218="EOB Downloaded"</formula>
    </cfRule>
  </conditionalFormatting>
  <conditionalFormatting sqref="AA32">
    <cfRule type="expression" dxfId="2517" priority="2608">
      <formula>$AG32:$AG218="Follow-Up Complete"</formula>
    </cfRule>
    <cfRule type="expression" dxfId="2516" priority="2609">
      <formula>$AG32:$AG218="Further Follow-Up"</formula>
    </cfRule>
    <cfRule type="expression" dxfId="2515" priority="2610">
      <formula>$AG32:$AG218="EOB Requested"</formula>
    </cfRule>
    <cfRule type="expression" dxfId="2514" priority="2611">
      <formula>$AG32:$AG218="EOB Not Found"</formula>
    </cfRule>
    <cfRule type="expression" dxfId="2513" priority="2612">
      <formula>$AG32:$AG218="EOB Downloaded"</formula>
    </cfRule>
  </conditionalFormatting>
  <conditionalFormatting sqref="P33">
    <cfRule type="expression" dxfId="2512" priority="2603">
      <formula>$AG33:$AG219="Follow-Up Complete"</formula>
    </cfRule>
    <cfRule type="expression" dxfId="2511" priority="2604">
      <formula>$AG33:$AG219="Further Follow-Up"</formula>
    </cfRule>
    <cfRule type="expression" dxfId="2510" priority="2605">
      <formula>$AG33:$AG219="EOB Requested"</formula>
    </cfRule>
    <cfRule type="expression" dxfId="2509" priority="2606">
      <formula>$AG33:$AG219="EOB Not Found"</formula>
    </cfRule>
    <cfRule type="expression" dxfId="2508" priority="2607">
      <formula>$AG33:$AG219="EOB Downloaded"</formula>
    </cfRule>
  </conditionalFormatting>
  <conditionalFormatting sqref="R33">
    <cfRule type="expression" dxfId="2507" priority="2598">
      <formula>$AG33:$AG219="Follow-Up Complete"</formula>
    </cfRule>
    <cfRule type="expression" dxfId="2506" priority="2599">
      <formula>$AG33:$AG219="Further Follow-Up"</formula>
    </cfRule>
    <cfRule type="expression" dxfId="2505" priority="2600">
      <formula>$AG33:$AG219="EOB Requested"</formula>
    </cfRule>
    <cfRule type="expression" dxfId="2504" priority="2601">
      <formula>$AG33:$AG219="EOB Not Found"</formula>
    </cfRule>
    <cfRule type="expression" dxfId="2503" priority="2602">
      <formula>$AG33:$AG219="EOB Downloaded"</formula>
    </cfRule>
  </conditionalFormatting>
  <conditionalFormatting sqref="T33">
    <cfRule type="expression" dxfId="2502" priority="2593">
      <formula>$AG33:$AG219="Follow-Up Complete"</formula>
    </cfRule>
    <cfRule type="expression" dxfId="2501" priority="2594">
      <formula>$AG33:$AG219="Further Follow-Up"</formula>
    </cfRule>
    <cfRule type="expression" dxfId="2500" priority="2595">
      <formula>$AG33:$AG219="EOB Requested"</formula>
    </cfRule>
    <cfRule type="expression" dxfId="2499" priority="2596">
      <formula>$AG33:$AG219="EOB Not Found"</formula>
    </cfRule>
    <cfRule type="expression" dxfId="2498" priority="2597">
      <formula>$AG33:$AG219="EOB Downloaded"</formula>
    </cfRule>
  </conditionalFormatting>
  <conditionalFormatting sqref="V33">
    <cfRule type="expression" dxfId="2497" priority="2588">
      <formula>$AG33:$AG219="Follow-Up Complete"</formula>
    </cfRule>
    <cfRule type="expression" dxfId="2496" priority="2589">
      <formula>$AG33:$AG219="Further Follow-Up"</formula>
    </cfRule>
    <cfRule type="expression" dxfId="2495" priority="2590">
      <formula>$AG33:$AG219="EOB Requested"</formula>
    </cfRule>
    <cfRule type="expression" dxfId="2494" priority="2591">
      <formula>$AG33:$AG219="EOB Not Found"</formula>
    </cfRule>
    <cfRule type="expression" dxfId="2493" priority="2592">
      <formula>$AG33:$AG219="EOB Downloaded"</formula>
    </cfRule>
  </conditionalFormatting>
  <conditionalFormatting sqref="X33">
    <cfRule type="expression" dxfId="2492" priority="2583">
      <formula>$AG33:$AG219="Follow-Up Complete"</formula>
    </cfRule>
    <cfRule type="expression" dxfId="2491" priority="2584">
      <formula>$AG33:$AG219="Further Follow-Up"</formula>
    </cfRule>
    <cfRule type="expression" dxfId="2490" priority="2585">
      <formula>$AG33:$AG219="EOB Requested"</formula>
    </cfRule>
    <cfRule type="expression" dxfId="2489" priority="2586">
      <formula>$AG33:$AG219="EOB Not Found"</formula>
    </cfRule>
    <cfRule type="expression" dxfId="2488" priority="2587">
      <formula>$AG33:$AG219="EOB Downloaded"</formula>
    </cfRule>
  </conditionalFormatting>
  <conditionalFormatting sqref="AA33">
    <cfRule type="expression" dxfId="2487" priority="2578">
      <formula>$AG33:$AG219="Follow-Up Complete"</formula>
    </cfRule>
    <cfRule type="expression" dxfId="2486" priority="2579">
      <formula>$AG33:$AG219="Further Follow-Up"</formula>
    </cfRule>
    <cfRule type="expression" dxfId="2485" priority="2580">
      <formula>$AG33:$AG219="EOB Requested"</formula>
    </cfRule>
    <cfRule type="expression" dxfId="2484" priority="2581">
      <formula>$AG33:$AG219="EOB Not Found"</formula>
    </cfRule>
    <cfRule type="expression" dxfId="2483" priority="2582">
      <formula>$AG33:$AG219="EOB Downloaded"</formula>
    </cfRule>
  </conditionalFormatting>
  <conditionalFormatting sqref="P34">
    <cfRule type="expression" dxfId="2482" priority="2568">
      <formula>$AG34:$AG220="Follow-Up Complete"</formula>
    </cfRule>
    <cfRule type="expression" dxfId="2481" priority="2569">
      <formula>$AG34:$AG220="Further Follow-Up"</formula>
    </cfRule>
    <cfRule type="expression" dxfId="2480" priority="2570">
      <formula>$AG34:$AG220="EOB Requested"</formula>
    </cfRule>
    <cfRule type="expression" dxfId="2479" priority="2571">
      <formula>$AG34:$AG220="EOB Not Found"</formula>
    </cfRule>
    <cfRule type="expression" dxfId="2478" priority="2572">
      <formula>$AG34:$AG220="EOB Downloaded"</formula>
    </cfRule>
  </conditionalFormatting>
  <conditionalFormatting sqref="R34">
    <cfRule type="expression" dxfId="2477" priority="2563">
      <formula>$AG34:$AG220="Follow-Up Complete"</formula>
    </cfRule>
    <cfRule type="expression" dxfId="2476" priority="2564">
      <formula>$AG34:$AG220="Further Follow-Up"</formula>
    </cfRule>
    <cfRule type="expression" dxfId="2475" priority="2565">
      <formula>$AG34:$AG220="EOB Requested"</formula>
    </cfRule>
    <cfRule type="expression" dxfId="2474" priority="2566">
      <formula>$AG34:$AG220="EOB Not Found"</formula>
    </cfRule>
    <cfRule type="expression" dxfId="2473" priority="2567">
      <formula>$AG34:$AG220="EOB Downloaded"</formula>
    </cfRule>
  </conditionalFormatting>
  <conditionalFormatting sqref="T34">
    <cfRule type="expression" dxfId="2472" priority="2558">
      <formula>$AG34:$AG220="Follow-Up Complete"</formula>
    </cfRule>
    <cfRule type="expression" dxfId="2471" priority="2559">
      <formula>$AG34:$AG220="Further Follow-Up"</formula>
    </cfRule>
    <cfRule type="expression" dxfId="2470" priority="2560">
      <formula>$AG34:$AG220="EOB Requested"</formula>
    </cfRule>
    <cfRule type="expression" dxfId="2469" priority="2561">
      <formula>$AG34:$AG220="EOB Not Found"</formula>
    </cfRule>
    <cfRule type="expression" dxfId="2468" priority="2562">
      <formula>$AG34:$AG220="EOB Downloaded"</formula>
    </cfRule>
  </conditionalFormatting>
  <conditionalFormatting sqref="V34">
    <cfRule type="expression" dxfId="2467" priority="2553">
      <formula>$AG34:$AG220="Follow-Up Complete"</formula>
    </cfRule>
    <cfRule type="expression" dxfId="2466" priority="2554">
      <formula>$AG34:$AG220="Further Follow-Up"</formula>
    </cfRule>
    <cfRule type="expression" dxfId="2465" priority="2555">
      <formula>$AG34:$AG220="EOB Requested"</formula>
    </cfRule>
    <cfRule type="expression" dxfId="2464" priority="2556">
      <formula>$AG34:$AG220="EOB Not Found"</formula>
    </cfRule>
    <cfRule type="expression" dxfId="2463" priority="2557">
      <formula>$AG34:$AG220="EOB Downloaded"</formula>
    </cfRule>
  </conditionalFormatting>
  <conditionalFormatting sqref="X34">
    <cfRule type="expression" dxfId="2462" priority="2548">
      <formula>$AG34:$AG220="Follow-Up Complete"</formula>
    </cfRule>
    <cfRule type="expression" dxfId="2461" priority="2549">
      <formula>$AG34:$AG220="Further Follow-Up"</formula>
    </cfRule>
    <cfRule type="expression" dxfId="2460" priority="2550">
      <formula>$AG34:$AG220="EOB Requested"</formula>
    </cfRule>
    <cfRule type="expression" dxfId="2459" priority="2551">
      <formula>$AG34:$AG220="EOB Not Found"</formula>
    </cfRule>
    <cfRule type="expression" dxfId="2458" priority="2552">
      <formula>$AG34:$AG220="EOB Downloaded"</formula>
    </cfRule>
  </conditionalFormatting>
  <conditionalFormatting sqref="AA34">
    <cfRule type="expression" dxfId="2457" priority="2543">
      <formula>$AG34:$AG220="Follow-Up Complete"</formula>
    </cfRule>
    <cfRule type="expression" dxfId="2456" priority="2544">
      <formula>$AG34:$AG220="Further Follow-Up"</formula>
    </cfRule>
    <cfRule type="expression" dxfId="2455" priority="2545">
      <formula>$AG34:$AG220="EOB Requested"</formula>
    </cfRule>
    <cfRule type="expression" dxfId="2454" priority="2546">
      <formula>$AG34:$AG220="EOB Not Found"</formula>
    </cfRule>
    <cfRule type="expression" dxfId="2453" priority="2547">
      <formula>$AG34:$AG220="EOB Downloaded"</formula>
    </cfRule>
  </conditionalFormatting>
  <conditionalFormatting sqref="R35">
    <cfRule type="expression" dxfId="2452" priority="2538">
      <formula>$AG35:$AG221="Follow-Up Complete"</formula>
    </cfRule>
    <cfRule type="expression" dxfId="2451" priority="2539">
      <formula>$AG35:$AG221="Further Follow-Up"</formula>
    </cfRule>
    <cfRule type="expression" dxfId="2450" priority="2540">
      <formula>$AG35:$AG221="EOB Requested"</formula>
    </cfRule>
    <cfRule type="expression" dxfId="2449" priority="2541">
      <formula>$AG35:$AG221="EOB Not Found"</formula>
    </cfRule>
    <cfRule type="expression" dxfId="2448" priority="2542">
      <formula>$AG35:$AG221="EOB Downloaded"</formula>
    </cfRule>
  </conditionalFormatting>
  <conditionalFormatting sqref="T35">
    <cfRule type="expression" dxfId="2447" priority="2533">
      <formula>$AG35:$AG221="Follow-Up Complete"</formula>
    </cfRule>
    <cfRule type="expression" dxfId="2446" priority="2534">
      <formula>$AG35:$AG221="Further Follow-Up"</formula>
    </cfRule>
    <cfRule type="expression" dxfId="2445" priority="2535">
      <formula>$AG35:$AG221="EOB Requested"</formula>
    </cfRule>
    <cfRule type="expression" dxfId="2444" priority="2536">
      <formula>$AG35:$AG221="EOB Not Found"</formula>
    </cfRule>
    <cfRule type="expression" dxfId="2443" priority="2537">
      <formula>$AG35:$AG221="EOB Downloaded"</formula>
    </cfRule>
  </conditionalFormatting>
  <conditionalFormatting sqref="V35">
    <cfRule type="expression" dxfId="2442" priority="2528">
      <formula>$AG35:$AG221="Follow-Up Complete"</formula>
    </cfRule>
    <cfRule type="expression" dxfId="2441" priority="2529">
      <formula>$AG35:$AG221="Further Follow-Up"</formula>
    </cfRule>
    <cfRule type="expression" dxfId="2440" priority="2530">
      <formula>$AG35:$AG221="EOB Requested"</formula>
    </cfRule>
    <cfRule type="expression" dxfId="2439" priority="2531">
      <formula>$AG35:$AG221="EOB Not Found"</formula>
    </cfRule>
    <cfRule type="expression" dxfId="2438" priority="2532">
      <formula>$AG35:$AG221="EOB Downloaded"</formula>
    </cfRule>
  </conditionalFormatting>
  <conditionalFormatting sqref="X35">
    <cfRule type="expression" dxfId="2437" priority="2523">
      <formula>$AG35:$AG221="Follow-Up Complete"</formula>
    </cfRule>
    <cfRule type="expression" dxfId="2436" priority="2524">
      <formula>$AG35:$AG221="Further Follow-Up"</formula>
    </cfRule>
    <cfRule type="expression" dxfId="2435" priority="2525">
      <formula>$AG35:$AG221="EOB Requested"</formula>
    </cfRule>
    <cfRule type="expression" dxfId="2434" priority="2526">
      <formula>$AG35:$AG221="EOB Not Found"</formula>
    </cfRule>
    <cfRule type="expression" dxfId="2433" priority="2527">
      <formula>$AG35:$AG221="EOB Downloaded"</formula>
    </cfRule>
  </conditionalFormatting>
  <conditionalFormatting sqref="AA35">
    <cfRule type="expression" dxfId="2432" priority="2518">
      <formula>$AG35:$AG221="Follow-Up Complete"</formula>
    </cfRule>
    <cfRule type="expression" dxfId="2431" priority="2519">
      <formula>$AG35:$AG221="Further Follow-Up"</formula>
    </cfRule>
    <cfRule type="expression" dxfId="2430" priority="2520">
      <formula>$AG35:$AG221="EOB Requested"</formula>
    </cfRule>
    <cfRule type="expression" dxfId="2429" priority="2521">
      <formula>$AG35:$AG221="EOB Not Found"</formula>
    </cfRule>
    <cfRule type="expression" dxfId="2428" priority="2522">
      <formula>$AG35:$AG221="EOB Downloaded"</formula>
    </cfRule>
  </conditionalFormatting>
  <conditionalFormatting sqref="P36">
    <cfRule type="expression" dxfId="2427" priority="2513">
      <formula>$AG36:$AG222="Follow-Up Complete"</formula>
    </cfRule>
    <cfRule type="expression" dxfId="2426" priority="2514">
      <formula>$AG36:$AG222="Further Follow-Up"</formula>
    </cfRule>
    <cfRule type="expression" dxfId="2425" priority="2515">
      <formula>$AG36:$AG222="EOB Requested"</formula>
    </cfRule>
    <cfRule type="expression" dxfId="2424" priority="2516">
      <formula>$AG36:$AG222="EOB Not Found"</formula>
    </cfRule>
    <cfRule type="expression" dxfId="2423" priority="2517">
      <formula>$AG36:$AG222="EOB Downloaded"</formula>
    </cfRule>
  </conditionalFormatting>
  <conditionalFormatting sqref="R36">
    <cfRule type="expression" dxfId="2422" priority="2508">
      <formula>$AG36:$AG222="Follow-Up Complete"</formula>
    </cfRule>
    <cfRule type="expression" dxfId="2421" priority="2509">
      <formula>$AG36:$AG222="Further Follow-Up"</formula>
    </cfRule>
    <cfRule type="expression" dxfId="2420" priority="2510">
      <formula>$AG36:$AG222="EOB Requested"</formula>
    </cfRule>
    <cfRule type="expression" dxfId="2419" priority="2511">
      <formula>$AG36:$AG222="EOB Not Found"</formula>
    </cfRule>
    <cfRule type="expression" dxfId="2418" priority="2512">
      <formula>$AG36:$AG222="EOB Downloaded"</formula>
    </cfRule>
  </conditionalFormatting>
  <conditionalFormatting sqref="T36">
    <cfRule type="expression" dxfId="2417" priority="2503">
      <formula>$AG36:$AG222="Follow-Up Complete"</formula>
    </cfRule>
    <cfRule type="expression" dxfId="2416" priority="2504">
      <formula>$AG36:$AG222="Further Follow-Up"</formula>
    </cfRule>
    <cfRule type="expression" dxfId="2415" priority="2505">
      <formula>$AG36:$AG222="EOB Requested"</formula>
    </cfRule>
    <cfRule type="expression" dxfId="2414" priority="2506">
      <formula>$AG36:$AG222="EOB Not Found"</formula>
    </cfRule>
    <cfRule type="expression" dxfId="2413" priority="2507">
      <formula>$AG36:$AG222="EOB Downloaded"</formula>
    </cfRule>
  </conditionalFormatting>
  <conditionalFormatting sqref="V36">
    <cfRule type="expression" dxfId="2412" priority="2498">
      <formula>$AG36:$AG222="Follow-Up Complete"</formula>
    </cfRule>
    <cfRule type="expression" dxfId="2411" priority="2499">
      <formula>$AG36:$AG222="Further Follow-Up"</formula>
    </cfRule>
    <cfRule type="expression" dxfId="2410" priority="2500">
      <formula>$AG36:$AG222="EOB Requested"</formula>
    </cfRule>
    <cfRule type="expression" dxfId="2409" priority="2501">
      <formula>$AG36:$AG222="EOB Not Found"</formula>
    </cfRule>
    <cfRule type="expression" dxfId="2408" priority="2502">
      <formula>$AG36:$AG222="EOB Downloaded"</formula>
    </cfRule>
  </conditionalFormatting>
  <conditionalFormatting sqref="X36">
    <cfRule type="expression" dxfId="2407" priority="2493">
      <formula>$AG36:$AG222="Follow-Up Complete"</formula>
    </cfRule>
    <cfRule type="expression" dxfId="2406" priority="2494">
      <formula>$AG36:$AG222="Further Follow-Up"</formula>
    </cfRule>
    <cfRule type="expression" dxfId="2405" priority="2495">
      <formula>$AG36:$AG222="EOB Requested"</formula>
    </cfRule>
    <cfRule type="expression" dxfId="2404" priority="2496">
      <formula>$AG36:$AG222="EOB Not Found"</formula>
    </cfRule>
    <cfRule type="expression" dxfId="2403" priority="2497">
      <formula>$AG36:$AG222="EOB Downloaded"</formula>
    </cfRule>
  </conditionalFormatting>
  <conditionalFormatting sqref="AA36">
    <cfRule type="expression" dxfId="2402" priority="2488">
      <formula>$AG36:$AG222="Follow-Up Complete"</formula>
    </cfRule>
    <cfRule type="expression" dxfId="2401" priority="2489">
      <formula>$AG36:$AG222="Further Follow-Up"</formula>
    </cfRule>
    <cfRule type="expression" dxfId="2400" priority="2490">
      <formula>$AG36:$AG222="EOB Requested"</formula>
    </cfRule>
    <cfRule type="expression" dxfId="2399" priority="2491">
      <formula>$AG36:$AG222="EOB Not Found"</formula>
    </cfRule>
    <cfRule type="expression" dxfId="2398" priority="2492">
      <formula>$AG36:$AG222="EOB Downloaded"</formula>
    </cfRule>
  </conditionalFormatting>
  <conditionalFormatting sqref="P37">
    <cfRule type="expression" dxfId="2397" priority="2483">
      <formula>$AG37:$AG223="Follow-Up Complete"</formula>
    </cfRule>
    <cfRule type="expression" dxfId="2396" priority="2484">
      <formula>$AG37:$AG223="Further Follow-Up"</formula>
    </cfRule>
    <cfRule type="expression" dxfId="2395" priority="2485">
      <formula>$AG37:$AG223="EOB Requested"</formula>
    </cfRule>
    <cfRule type="expression" dxfId="2394" priority="2486">
      <formula>$AG37:$AG223="EOB Not Found"</formula>
    </cfRule>
    <cfRule type="expression" dxfId="2393" priority="2487">
      <formula>$AG37:$AG223="EOB Downloaded"</formula>
    </cfRule>
  </conditionalFormatting>
  <conditionalFormatting sqref="R37">
    <cfRule type="expression" dxfId="2392" priority="2478">
      <formula>$AG37:$AG223="Follow-Up Complete"</formula>
    </cfRule>
    <cfRule type="expression" dxfId="2391" priority="2479">
      <formula>$AG37:$AG223="Further Follow-Up"</formula>
    </cfRule>
    <cfRule type="expression" dxfId="2390" priority="2480">
      <formula>$AG37:$AG223="EOB Requested"</formula>
    </cfRule>
    <cfRule type="expression" dxfId="2389" priority="2481">
      <formula>$AG37:$AG223="EOB Not Found"</formula>
    </cfRule>
    <cfRule type="expression" dxfId="2388" priority="2482">
      <formula>$AG37:$AG223="EOB Downloaded"</formula>
    </cfRule>
  </conditionalFormatting>
  <conditionalFormatting sqref="T37">
    <cfRule type="expression" dxfId="2387" priority="2473">
      <formula>$AG37:$AG223="Follow-Up Complete"</formula>
    </cfRule>
    <cfRule type="expression" dxfId="2386" priority="2474">
      <formula>$AG37:$AG223="Further Follow-Up"</formula>
    </cfRule>
    <cfRule type="expression" dxfId="2385" priority="2475">
      <formula>$AG37:$AG223="EOB Requested"</formula>
    </cfRule>
    <cfRule type="expression" dxfId="2384" priority="2476">
      <formula>$AG37:$AG223="EOB Not Found"</formula>
    </cfRule>
    <cfRule type="expression" dxfId="2383" priority="2477">
      <formula>$AG37:$AG223="EOB Downloaded"</formula>
    </cfRule>
  </conditionalFormatting>
  <conditionalFormatting sqref="V37">
    <cfRule type="expression" dxfId="2382" priority="2468">
      <formula>$AG37:$AG223="Follow-Up Complete"</formula>
    </cfRule>
    <cfRule type="expression" dxfId="2381" priority="2469">
      <formula>$AG37:$AG223="Further Follow-Up"</formula>
    </cfRule>
    <cfRule type="expression" dxfId="2380" priority="2470">
      <formula>$AG37:$AG223="EOB Requested"</formula>
    </cfRule>
    <cfRule type="expression" dxfId="2379" priority="2471">
      <formula>$AG37:$AG223="EOB Not Found"</formula>
    </cfRule>
    <cfRule type="expression" dxfId="2378" priority="2472">
      <formula>$AG37:$AG223="EOB Downloaded"</formula>
    </cfRule>
  </conditionalFormatting>
  <conditionalFormatting sqref="X37">
    <cfRule type="expression" dxfId="2377" priority="2463">
      <formula>$AG37:$AG223="Follow-Up Complete"</formula>
    </cfRule>
    <cfRule type="expression" dxfId="2376" priority="2464">
      <formula>$AG37:$AG223="Further Follow-Up"</formula>
    </cfRule>
    <cfRule type="expression" dxfId="2375" priority="2465">
      <formula>$AG37:$AG223="EOB Requested"</formula>
    </cfRule>
    <cfRule type="expression" dxfId="2374" priority="2466">
      <formula>$AG37:$AG223="EOB Not Found"</formula>
    </cfRule>
    <cfRule type="expression" dxfId="2373" priority="2467">
      <formula>$AG37:$AG223="EOB Downloaded"</formula>
    </cfRule>
  </conditionalFormatting>
  <conditionalFormatting sqref="AA37">
    <cfRule type="expression" dxfId="2372" priority="2458">
      <formula>$AG37:$AG223="Follow-Up Complete"</formula>
    </cfRule>
    <cfRule type="expression" dxfId="2371" priority="2459">
      <formula>$AG37:$AG223="Further Follow-Up"</formula>
    </cfRule>
    <cfRule type="expression" dxfId="2370" priority="2460">
      <formula>$AG37:$AG223="EOB Requested"</formula>
    </cfRule>
    <cfRule type="expression" dxfId="2369" priority="2461">
      <formula>$AG37:$AG223="EOB Not Found"</formula>
    </cfRule>
    <cfRule type="expression" dxfId="2368" priority="2462">
      <formula>$AG37:$AG223="EOB Downloaded"</formula>
    </cfRule>
  </conditionalFormatting>
  <conditionalFormatting sqref="R38">
    <cfRule type="expression" dxfId="2367" priority="2453">
      <formula>$AG38:$AG224="Follow-Up Complete"</formula>
    </cfRule>
    <cfRule type="expression" dxfId="2366" priority="2454">
      <formula>$AG38:$AG224="Further Follow-Up"</formula>
    </cfRule>
    <cfRule type="expression" dxfId="2365" priority="2455">
      <formula>$AG38:$AG224="EOB Requested"</formula>
    </cfRule>
    <cfRule type="expression" dxfId="2364" priority="2456">
      <formula>$AG38:$AG224="EOB Not Found"</formula>
    </cfRule>
    <cfRule type="expression" dxfId="2363" priority="2457">
      <formula>$AG38:$AG224="EOB Downloaded"</formula>
    </cfRule>
  </conditionalFormatting>
  <conditionalFormatting sqref="T38">
    <cfRule type="expression" dxfId="2362" priority="2448">
      <formula>$AG38:$AG224="Follow-Up Complete"</formula>
    </cfRule>
    <cfRule type="expression" dxfId="2361" priority="2449">
      <formula>$AG38:$AG224="Further Follow-Up"</formula>
    </cfRule>
    <cfRule type="expression" dxfId="2360" priority="2450">
      <formula>$AG38:$AG224="EOB Requested"</formula>
    </cfRule>
    <cfRule type="expression" dxfId="2359" priority="2451">
      <formula>$AG38:$AG224="EOB Not Found"</formula>
    </cfRule>
    <cfRule type="expression" dxfId="2358" priority="2452">
      <formula>$AG38:$AG224="EOB Downloaded"</formula>
    </cfRule>
  </conditionalFormatting>
  <conditionalFormatting sqref="V38">
    <cfRule type="expression" dxfId="2357" priority="2443">
      <formula>$AG38:$AG224="Follow-Up Complete"</formula>
    </cfRule>
    <cfRule type="expression" dxfId="2356" priority="2444">
      <formula>$AG38:$AG224="Further Follow-Up"</formula>
    </cfRule>
    <cfRule type="expression" dxfId="2355" priority="2445">
      <formula>$AG38:$AG224="EOB Requested"</formula>
    </cfRule>
    <cfRule type="expression" dxfId="2354" priority="2446">
      <formula>$AG38:$AG224="EOB Not Found"</formula>
    </cfRule>
    <cfRule type="expression" dxfId="2353" priority="2447">
      <formula>$AG38:$AG224="EOB Downloaded"</formula>
    </cfRule>
  </conditionalFormatting>
  <conditionalFormatting sqref="X38">
    <cfRule type="expression" dxfId="2352" priority="2438">
      <formula>$AG38:$AG224="Follow-Up Complete"</formula>
    </cfRule>
    <cfRule type="expression" dxfId="2351" priority="2439">
      <formula>$AG38:$AG224="Further Follow-Up"</formula>
    </cfRule>
    <cfRule type="expression" dxfId="2350" priority="2440">
      <formula>$AG38:$AG224="EOB Requested"</formula>
    </cfRule>
    <cfRule type="expression" dxfId="2349" priority="2441">
      <formula>$AG38:$AG224="EOB Not Found"</formula>
    </cfRule>
    <cfRule type="expression" dxfId="2348" priority="2442">
      <formula>$AG38:$AG224="EOB Downloaded"</formula>
    </cfRule>
  </conditionalFormatting>
  <conditionalFormatting sqref="AA38">
    <cfRule type="expression" dxfId="2347" priority="2433">
      <formula>$AG38:$AG224="Follow-Up Complete"</formula>
    </cfRule>
    <cfRule type="expression" dxfId="2346" priority="2434">
      <formula>$AG38:$AG224="Further Follow-Up"</formula>
    </cfRule>
    <cfRule type="expression" dxfId="2345" priority="2435">
      <formula>$AG38:$AG224="EOB Requested"</formula>
    </cfRule>
    <cfRule type="expression" dxfId="2344" priority="2436">
      <formula>$AG38:$AG224="EOB Not Found"</formula>
    </cfRule>
    <cfRule type="expression" dxfId="2343" priority="2437">
      <formula>$AG38:$AG224="EOB Downloaded"</formula>
    </cfRule>
  </conditionalFormatting>
  <conditionalFormatting sqref="R39">
    <cfRule type="expression" dxfId="2342" priority="2428">
      <formula>$AG39:$AG225="Follow-Up Complete"</formula>
    </cfRule>
    <cfRule type="expression" dxfId="2341" priority="2429">
      <formula>$AG39:$AG225="Further Follow-Up"</formula>
    </cfRule>
    <cfRule type="expression" dxfId="2340" priority="2430">
      <formula>$AG39:$AG225="EOB Requested"</formula>
    </cfRule>
    <cfRule type="expression" dxfId="2339" priority="2431">
      <formula>$AG39:$AG225="EOB Not Found"</formula>
    </cfRule>
    <cfRule type="expression" dxfId="2338" priority="2432">
      <formula>$AG39:$AG225="EOB Downloaded"</formula>
    </cfRule>
  </conditionalFormatting>
  <conditionalFormatting sqref="T39">
    <cfRule type="expression" dxfId="2337" priority="2423">
      <formula>$AG39:$AG225="Follow-Up Complete"</formula>
    </cfRule>
    <cfRule type="expression" dxfId="2336" priority="2424">
      <formula>$AG39:$AG225="Further Follow-Up"</formula>
    </cfRule>
    <cfRule type="expression" dxfId="2335" priority="2425">
      <formula>$AG39:$AG225="EOB Requested"</formula>
    </cfRule>
    <cfRule type="expression" dxfId="2334" priority="2426">
      <formula>$AG39:$AG225="EOB Not Found"</formula>
    </cfRule>
    <cfRule type="expression" dxfId="2333" priority="2427">
      <formula>$AG39:$AG225="EOB Downloaded"</formula>
    </cfRule>
  </conditionalFormatting>
  <conditionalFormatting sqref="V39">
    <cfRule type="expression" dxfId="2332" priority="2418">
      <formula>$AG39:$AG225="Follow-Up Complete"</formula>
    </cfRule>
    <cfRule type="expression" dxfId="2331" priority="2419">
      <formula>$AG39:$AG225="Further Follow-Up"</formula>
    </cfRule>
    <cfRule type="expression" dxfId="2330" priority="2420">
      <formula>$AG39:$AG225="EOB Requested"</formula>
    </cfRule>
    <cfRule type="expression" dxfId="2329" priority="2421">
      <formula>$AG39:$AG225="EOB Not Found"</formula>
    </cfRule>
    <cfRule type="expression" dxfId="2328" priority="2422">
      <formula>$AG39:$AG225="EOB Downloaded"</formula>
    </cfRule>
  </conditionalFormatting>
  <conditionalFormatting sqref="X39">
    <cfRule type="expression" dxfId="2327" priority="2413">
      <formula>$AG39:$AG225="Follow-Up Complete"</formula>
    </cfRule>
    <cfRule type="expression" dxfId="2326" priority="2414">
      <formula>$AG39:$AG225="Further Follow-Up"</formula>
    </cfRule>
    <cfRule type="expression" dxfId="2325" priority="2415">
      <formula>$AG39:$AG225="EOB Requested"</formula>
    </cfRule>
    <cfRule type="expression" dxfId="2324" priority="2416">
      <formula>$AG39:$AG225="EOB Not Found"</formula>
    </cfRule>
    <cfRule type="expression" dxfId="2323" priority="2417">
      <formula>$AG39:$AG225="EOB Downloaded"</formula>
    </cfRule>
  </conditionalFormatting>
  <conditionalFormatting sqref="AA39">
    <cfRule type="expression" dxfId="2322" priority="2408">
      <formula>$AG39:$AG225="Follow-Up Complete"</formula>
    </cfRule>
    <cfRule type="expression" dxfId="2321" priority="2409">
      <formula>$AG39:$AG225="Further Follow-Up"</formula>
    </cfRule>
    <cfRule type="expression" dxfId="2320" priority="2410">
      <formula>$AG39:$AG225="EOB Requested"</formula>
    </cfRule>
    <cfRule type="expression" dxfId="2319" priority="2411">
      <formula>$AG39:$AG225="EOB Not Found"</formula>
    </cfRule>
    <cfRule type="expression" dxfId="2318" priority="2412">
      <formula>$AG39:$AG225="EOB Downloaded"</formula>
    </cfRule>
  </conditionalFormatting>
  <conditionalFormatting sqref="AA41">
    <cfRule type="expression" dxfId="2317" priority="2403">
      <formula>$AG41:$AG227="Follow-Up Complete"</formula>
    </cfRule>
    <cfRule type="expression" dxfId="2316" priority="2404">
      <formula>$AG41:$AG227="Further Follow-Up"</formula>
    </cfRule>
    <cfRule type="expression" dxfId="2315" priority="2405">
      <formula>$AG41:$AG227="EOB Requested"</formula>
    </cfRule>
    <cfRule type="expression" dxfId="2314" priority="2406">
      <formula>$AG41:$AG227="EOB Not Found"</formula>
    </cfRule>
    <cfRule type="expression" dxfId="2313" priority="2407">
      <formula>$AG41:$AG227="EOB Downloaded"</formula>
    </cfRule>
  </conditionalFormatting>
  <conditionalFormatting sqref="P42">
    <cfRule type="expression" dxfId="2312" priority="2398">
      <formula>$AG42:$AG228="Follow-Up Complete"</formula>
    </cfRule>
    <cfRule type="expression" dxfId="2311" priority="2399">
      <formula>$AG42:$AG228="Further Follow-Up"</formula>
    </cfRule>
    <cfRule type="expression" dxfId="2310" priority="2400">
      <formula>$AG42:$AG228="EOB Requested"</formula>
    </cfRule>
    <cfRule type="expression" dxfId="2309" priority="2401">
      <formula>$AG42:$AG228="EOB Not Found"</formula>
    </cfRule>
    <cfRule type="expression" dxfId="2308" priority="2402">
      <formula>$AG42:$AG228="EOB Downloaded"</formula>
    </cfRule>
  </conditionalFormatting>
  <conditionalFormatting sqref="R42">
    <cfRule type="expression" dxfId="2307" priority="2393">
      <formula>$AG42:$AG228="Follow-Up Complete"</formula>
    </cfRule>
    <cfRule type="expression" dxfId="2306" priority="2394">
      <formula>$AG42:$AG228="Further Follow-Up"</formula>
    </cfRule>
    <cfRule type="expression" dxfId="2305" priority="2395">
      <formula>$AG42:$AG228="EOB Requested"</formula>
    </cfRule>
    <cfRule type="expression" dxfId="2304" priority="2396">
      <formula>$AG42:$AG228="EOB Not Found"</formula>
    </cfRule>
    <cfRule type="expression" dxfId="2303" priority="2397">
      <formula>$AG42:$AG228="EOB Downloaded"</formula>
    </cfRule>
  </conditionalFormatting>
  <conditionalFormatting sqref="T42">
    <cfRule type="expression" dxfId="2302" priority="2388">
      <formula>$AG42:$AG228="Follow-Up Complete"</formula>
    </cfRule>
    <cfRule type="expression" dxfId="2301" priority="2389">
      <formula>$AG42:$AG228="Further Follow-Up"</formula>
    </cfRule>
    <cfRule type="expression" dxfId="2300" priority="2390">
      <formula>$AG42:$AG228="EOB Requested"</formula>
    </cfRule>
    <cfRule type="expression" dxfId="2299" priority="2391">
      <formula>$AG42:$AG228="EOB Not Found"</formula>
    </cfRule>
    <cfRule type="expression" dxfId="2298" priority="2392">
      <formula>$AG42:$AG228="EOB Downloaded"</formula>
    </cfRule>
  </conditionalFormatting>
  <conditionalFormatting sqref="V42">
    <cfRule type="expression" dxfId="2297" priority="2383">
      <formula>$AG42:$AG228="Follow-Up Complete"</formula>
    </cfRule>
    <cfRule type="expression" dxfId="2296" priority="2384">
      <formula>$AG42:$AG228="Further Follow-Up"</formula>
    </cfRule>
    <cfRule type="expression" dxfId="2295" priority="2385">
      <formula>$AG42:$AG228="EOB Requested"</formula>
    </cfRule>
    <cfRule type="expression" dxfId="2294" priority="2386">
      <formula>$AG42:$AG228="EOB Not Found"</formula>
    </cfRule>
    <cfRule type="expression" dxfId="2293" priority="2387">
      <formula>$AG42:$AG228="EOB Downloaded"</formula>
    </cfRule>
  </conditionalFormatting>
  <conditionalFormatting sqref="X42">
    <cfRule type="expression" dxfId="2292" priority="2378">
      <formula>$AG42:$AG228="Follow-Up Complete"</formula>
    </cfRule>
    <cfRule type="expression" dxfId="2291" priority="2379">
      <formula>$AG42:$AG228="Further Follow-Up"</formula>
    </cfRule>
    <cfRule type="expression" dxfId="2290" priority="2380">
      <formula>$AG42:$AG228="EOB Requested"</formula>
    </cfRule>
    <cfRule type="expression" dxfId="2289" priority="2381">
      <formula>$AG42:$AG228="EOB Not Found"</formula>
    </cfRule>
    <cfRule type="expression" dxfId="2288" priority="2382">
      <formula>$AG42:$AG228="EOB Downloaded"</formula>
    </cfRule>
  </conditionalFormatting>
  <conditionalFormatting sqref="AA42">
    <cfRule type="expression" dxfId="2287" priority="2373">
      <formula>$AG42:$AG228="Follow-Up Complete"</formula>
    </cfRule>
    <cfRule type="expression" dxfId="2286" priority="2374">
      <formula>$AG42:$AG228="Further Follow-Up"</formula>
    </cfRule>
    <cfRule type="expression" dxfId="2285" priority="2375">
      <formula>$AG42:$AG228="EOB Requested"</formula>
    </cfRule>
    <cfRule type="expression" dxfId="2284" priority="2376">
      <formula>$AG42:$AG228="EOB Not Found"</formula>
    </cfRule>
    <cfRule type="expression" dxfId="2283" priority="2377">
      <formula>$AG42:$AG228="EOB Downloaded"</formula>
    </cfRule>
  </conditionalFormatting>
  <conditionalFormatting sqref="AA43">
    <cfRule type="expression" dxfId="2282" priority="2368">
      <formula>$AG43:$AG229="Follow-Up Complete"</formula>
    </cfRule>
    <cfRule type="expression" dxfId="2281" priority="2369">
      <formula>$AG43:$AG229="Further Follow-Up"</formula>
    </cfRule>
    <cfRule type="expression" dxfId="2280" priority="2370">
      <formula>$AG43:$AG229="EOB Requested"</formula>
    </cfRule>
    <cfRule type="expression" dxfId="2279" priority="2371">
      <formula>$AG43:$AG229="EOB Not Found"</formula>
    </cfRule>
    <cfRule type="expression" dxfId="2278" priority="2372">
      <formula>$AG43:$AG229="EOB Downloaded"</formula>
    </cfRule>
  </conditionalFormatting>
  <conditionalFormatting sqref="P44">
    <cfRule type="expression" dxfId="2277" priority="2363">
      <formula>$AG44:$AG230="Follow-Up Complete"</formula>
    </cfRule>
    <cfRule type="expression" dxfId="2276" priority="2364">
      <formula>$AG44:$AG230="Further Follow-Up"</formula>
    </cfRule>
    <cfRule type="expression" dxfId="2275" priority="2365">
      <formula>$AG44:$AG230="EOB Requested"</formula>
    </cfRule>
    <cfRule type="expression" dxfId="2274" priority="2366">
      <formula>$AG44:$AG230="EOB Not Found"</formula>
    </cfRule>
    <cfRule type="expression" dxfId="2273" priority="2367">
      <formula>$AG44:$AG230="EOB Downloaded"</formula>
    </cfRule>
  </conditionalFormatting>
  <conditionalFormatting sqref="R44">
    <cfRule type="expression" dxfId="2272" priority="2358">
      <formula>$AG44:$AG230="Follow-Up Complete"</formula>
    </cfRule>
    <cfRule type="expression" dxfId="2271" priority="2359">
      <formula>$AG44:$AG230="Further Follow-Up"</formula>
    </cfRule>
    <cfRule type="expression" dxfId="2270" priority="2360">
      <formula>$AG44:$AG230="EOB Requested"</formula>
    </cfRule>
    <cfRule type="expression" dxfId="2269" priority="2361">
      <formula>$AG44:$AG230="EOB Not Found"</formula>
    </cfRule>
    <cfRule type="expression" dxfId="2268" priority="2362">
      <formula>$AG44:$AG230="EOB Downloaded"</formula>
    </cfRule>
  </conditionalFormatting>
  <conditionalFormatting sqref="T44">
    <cfRule type="expression" dxfId="2267" priority="2353">
      <formula>$AG44:$AG230="Follow-Up Complete"</formula>
    </cfRule>
    <cfRule type="expression" dxfId="2266" priority="2354">
      <formula>$AG44:$AG230="Further Follow-Up"</formula>
    </cfRule>
    <cfRule type="expression" dxfId="2265" priority="2355">
      <formula>$AG44:$AG230="EOB Requested"</formula>
    </cfRule>
    <cfRule type="expression" dxfId="2264" priority="2356">
      <formula>$AG44:$AG230="EOB Not Found"</formula>
    </cfRule>
    <cfRule type="expression" dxfId="2263" priority="2357">
      <formula>$AG44:$AG230="EOB Downloaded"</formula>
    </cfRule>
  </conditionalFormatting>
  <conditionalFormatting sqref="AA44">
    <cfRule type="expression" dxfId="2262" priority="2348">
      <formula>$AG44:$AG230="Follow-Up Complete"</formula>
    </cfRule>
    <cfRule type="expression" dxfId="2261" priority="2349">
      <formula>$AG44:$AG230="Further Follow-Up"</formula>
    </cfRule>
    <cfRule type="expression" dxfId="2260" priority="2350">
      <formula>$AG44:$AG230="EOB Requested"</formula>
    </cfRule>
    <cfRule type="expression" dxfId="2259" priority="2351">
      <formula>$AG44:$AG230="EOB Not Found"</formula>
    </cfRule>
    <cfRule type="expression" dxfId="2258" priority="2352">
      <formula>$AG44:$AG230="EOB Downloaded"</formula>
    </cfRule>
  </conditionalFormatting>
  <conditionalFormatting sqref="P45">
    <cfRule type="expression" dxfId="2257" priority="2343">
      <formula>$AG45:$AG231="Follow-Up Complete"</formula>
    </cfRule>
    <cfRule type="expression" dxfId="2256" priority="2344">
      <formula>$AG45:$AG231="Further Follow-Up"</formula>
    </cfRule>
    <cfRule type="expression" dxfId="2255" priority="2345">
      <formula>$AG45:$AG231="EOB Requested"</formula>
    </cfRule>
    <cfRule type="expression" dxfId="2254" priority="2346">
      <formula>$AG45:$AG231="EOB Not Found"</formula>
    </cfRule>
    <cfRule type="expression" dxfId="2253" priority="2347">
      <formula>$AG45:$AG231="EOB Downloaded"</formula>
    </cfRule>
  </conditionalFormatting>
  <conditionalFormatting sqref="R45">
    <cfRule type="expression" dxfId="2252" priority="2338">
      <formula>$AG45:$AG231="Follow-Up Complete"</formula>
    </cfRule>
    <cfRule type="expression" dxfId="2251" priority="2339">
      <formula>$AG45:$AG231="Further Follow-Up"</formula>
    </cfRule>
    <cfRule type="expression" dxfId="2250" priority="2340">
      <formula>$AG45:$AG231="EOB Requested"</formula>
    </cfRule>
    <cfRule type="expression" dxfId="2249" priority="2341">
      <formula>$AG45:$AG231="EOB Not Found"</formula>
    </cfRule>
    <cfRule type="expression" dxfId="2248" priority="2342">
      <formula>$AG45:$AG231="EOB Downloaded"</formula>
    </cfRule>
  </conditionalFormatting>
  <conditionalFormatting sqref="T45">
    <cfRule type="expression" dxfId="2247" priority="2333">
      <formula>$AG45:$AG231="Follow-Up Complete"</formula>
    </cfRule>
    <cfRule type="expression" dxfId="2246" priority="2334">
      <formula>$AG45:$AG231="Further Follow-Up"</formula>
    </cfRule>
    <cfRule type="expression" dxfId="2245" priority="2335">
      <formula>$AG45:$AG231="EOB Requested"</formula>
    </cfRule>
    <cfRule type="expression" dxfId="2244" priority="2336">
      <formula>$AG45:$AG231="EOB Not Found"</formula>
    </cfRule>
    <cfRule type="expression" dxfId="2243" priority="2337">
      <formula>$AG45:$AG231="EOB Downloaded"</formula>
    </cfRule>
  </conditionalFormatting>
  <conditionalFormatting sqref="V45">
    <cfRule type="expression" dxfId="2242" priority="2328">
      <formula>$AG45:$AG231="Follow-Up Complete"</formula>
    </cfRule>
    <cfRule type="expression" dxfId="2241" priority="2329">
      <formula>$AG45:$AG231="Further Follow-Up"</formula>
    </cfRule>
    <cfRule type="expression" dxfId="2240" priority="2330">
      <formula>$AG45:$AG231="EOB Requested"</formula>
    </cfRule>
    <cfRule type="expression" dxfId="2239" priority="2331">
      <formula>$AG45:$AG231="EOB Not Found"</formula>
    </cfRule>
    <cfRule type="expression" dxfId="2238" priority="2332">
      <formula>$AG45:$AG231="EOB Downloaded"</formula>
    </cfRule>
  </conditionalFormatting>
  <conditionalFormatting sqref="X45">
    <cfRule type="expression" dxfId="2237" priority="2323">
      <formula>$AG45:$AG231="Follow-Up Complete"</formula>
    </cfRule>
    <cfRule type="expression" dxfId="2236" priority="2324">
      <formula>$AG45:$AG231="Further Follow-Up"</formula>
    </cfRule>
    <cfRule type="expression" dxfId="2235" priority="2325">
      <formula>$AG45:$AG231="EOB Requested"</formula>
    </cfRule>
    <cfRule type="expression" dxfId="2234" priority="2326">
      <formula>$AG45:$AG231="EOB Not Found"</formula>
    </cfRule>
    <cfRule type="expression" dxfId="2233" priority="2327">
      <formula>$AG45:$AG231="EOB Downloaded"</formula>
    </cfRule>
  </conditionalFormatting>
  <conditionalFormatting sqref="AA45">
    <cfRule type="expression" dxfId="2232" priority="2318">
      <formula>$AG45:$AG231="Follow-Up Complete"</formula>
    </cfRule>
    <cfRule type="expression" dxfId="2231" priority="2319">
      <formula>$AG45:$AG231="Further Follow-Up"</formula>
    </cfRule>
    <cfRule type="expression" dxfId="2230" priority="2320">
      <formula>$AG45:$AG231="EOB Requested"</formula>
    </cfRule>
    <cfRule type="expression" dxfId="2229" priority="2321">
      <formula>$AG45:$AG231="EOB Not Found"</formula>
    </cfRule>
    <cfRule type="expression" dxfId="2228" priority="2322">
      <formula>$AG45:$AG231="EOB Downloaded"</formula>
    </cfRule>
  </conditionalFormatting>
  <conditionalFormatting sqref="P46">
    <cfRule type="expression" dxfId="2227" priority="2313">
      <formula>$AG46:$AG232="Follow-Up Complete"</formula>
    </cfRule>
    <cfRule type="expression" dxfId="2226" priority="2314">
      <formula>$AG46:$AG232="Further Follow-Up"</formula>
    </cfRule>
    <cfRule type="expression" dxfId="2225" priority="2315">
      <formula>$AG46:$AG232="EOB Requested"</formula>
    </cfRule>
    <cfRule type="expression" dxfId="2224" priority="2316">
      <formula>$AG46:$AG232="EOB Not Found"</formula>
    </cfRule>
    <cfRule type="expression" dxfId="2223" priority="2317">
      <formula>$AG46:$AG232="EOB Downloaded"</formula>
    </cfRule>
  </conditionalFormatting>
  <conditionalFormatting sqref="R46">
    <cfRule type="expression" dxfId="2222" priority="2308">
      <formula>$AG46:$AG232="Follow-Up Complete"</formula>
    </cfRule>
    <cfRule type="expression" dxfId="2221" priority="2309">
      <formula>$AG46:$AG232="Further Follow-Up"</formula>
    </cfRule>
    <cfRule type="expression" dxfId="2220" priority="2310">
      <formula>$AG46:$AG232="EOB Requested"</formula>
    </cfRule>
    <cfRule type="expression" dxfId="2219" priority="2311">
      <formula>$AG46:$AG232="EOB Not Found"</formula>
    </cfRule>
    <cfRule type="expression" dxfId="2218" priority="2312">
      <formula>$AG46:$AG232="EOB Downloaded"</formula>
    </cfRule>
  </conditionalFormatting>
  <conditionalFormatting sqref="R46">
    <cfRule type="expression" dxfId="2217" priority="2303">
      <formula>$AG46:$AG232="Follow-Up Complete"</formula>
    </cfRule>
    <cfRule type="expression" dxfId="2216" priority="2304">
      <formula>$AG46:$AG232="Further Follow-Up"</formula>
    </cfRule>
    <cfRule type="expression" dxfId="2215" priority="2305">
      <formula>$AG46:$AG232="EOB Requested"</formula>
    </cfRule>
    <cfRule type="expression" dxfId="2214" priority="2306">
      <formula>$AG46:$AG232="EOB Not Found"</formula>
    </cfRule>
    <cfRule type="expression" dxfId="2213" priority="2307">
      <formula>$AG46:$AG232="EOB Downloaded"</formula>
    </cfRule>
  </conditionalFormatting>
  <conditionalFormatting sqref="T46">
    <cfRule type="expression" dxfId="2212" priority="2298">
      <formula>$AG46:$AG232="Follow-Up Complete"</formula>
    </cfRule>
    <cfRule type="expression" dxfId="2211" priority="2299">
      <formula>$AG46:$AG232="Further Follow-Up"</formula>
    </cfRule>
    <cfRule type="expression" dxfId="2210" priority="2300">
      <formula>$AG46:$AG232="EOB Requested"</formula>
    </cfRule>
    <cfRule type="expression" dxfId="2209" priority="2301">
      <formula>$AG46:$AG232="EOB Not Found"</formula>
    </cfRule>
    <cfRule type="expression" dxfId="2208" priority="2302">
      <formula>$AG46:$AG232="EOB Downloaded"</formula>
    </cfRule>
  </conditionalFormatting>
  <conditionalFormatting sqref="AA46">
    <cfRule type="expression" dxfId="2207" priority="2293">
      <formula>$AG46:$AG232="Follow-Up Complete"</formula>
    </cfRule>
    <cfRule type="expression" dxfId="2206" priority="2294">
      <formula>$AG46:$AG232="Further Follow-Up"</formula>
    </cfRule>
    <cfRule type="expression" dxfId="2205" priority="2295">
      <formula>$AG46:$AG232="EOB Requested"</formula>
    </cfRule>
    <cfRule type="expression" dxfId="2204" priority="2296">
      <formula>$AG46:$AG232="EOB Not Found"</formula>
    </cfRule>
    <cfRule type="expression" dxfId="2203" priority="2297">
      <formula>$AG46:$AG232="EOB Downloaded"</formula>
    </cfRule>
  </conditionalFormatting>
  <conditionalFormatting sqref="AF46">
    <cfRule type="expression" dxfId="2202" priority="2288">
      <formula>$AG46:$AG232="Follow-Up Complete"</formula>
    </cfRule>
    <cfRule type="expression" dxfId="2201" priority="2289">
      <formula>$AG46:$AG232="Further Follow-Up"</formula>
    </cfRule>
    <cfRule type="expression" dxfId="2200" priority="2290">
      <formula>$AG46:$AG232="EOB Requested"</formula>
    </cfRule>
    <cfRule type="expression" dxfId="2199" priority="2291">
      <formula>$AG46:$AG232="EOB Not Found"</formula>
    </cfRule>
    <cfRule type="expression" dxfId="2198" priority="2292">
      <formula>$AG46:$AG232="EOB Downloaded"</formula>
    </cfRule>
  </conditionalFormatting>
  <conditionalFormatting sqref="P47">
    <cfRule type="expression" dxfId="2197" priority="2283">
      <formula>$AG47:$AG233="Follow-Up Complete"</formula>
    </cfRule>
    <cfRule type="expression" dxfId="2196" priority="2284">
      <formula>$AG47:$AG233="Further Follow-Up"</formula>
    </cfRule>
    <cfRule type="expression" dxfId="2195" priority="2285">
      <formula>$AG47:$AG233="EOB Requested"</formula>
    </cfRule>
    <cfRule type="expression" dxfId="2194" priority="2286">
      <formula>$AG47:$AG233="EOB Not Found"</formula>
    </cfRule>
    <cfRule type="expression" dxfId="2193" priority="2287">
      <formula>$AG47:$AG233="EOB Downloaded"</formula>
    </cfRule>
  </conditionalFormatting>
  <conditionalFormatting sqref="R47">
    <cfRule type="expression" dxfId="2192" priority="2278">
      <formula>$AG47:$AG233="Follow-Up Complete"</formula>
    </cfRule>
    <cfRule type="expression" dxfId="2191" priority="2279">
      <formula>$AG47:$AG233="Further Follow-Up"</formula>
    </cfRule>
    <cfRule type="expression" dxfId="2190" priority="2280">
      <formula>$AG47:$AG233="EOB Requested"</formula>
    </cfRule>
    <cfRule type="expression" dxfId="2189" priority="2281">
      <formula>$AG47:$AG233="EOB Not Found"</formula>
    </cfRule>
    <cfRule type="expression" dxfId="2188" priority="2282">
      <formula>$AG47:$AG233="EOB Downloaded"</formula>
    </cfRule>
  </conditionalFormatting>
  <conditionalFormatting sqref="T47">
    <cfRule type="expression" dxfId="2187" priority="2273">
      <formula>$AG47:$AG233="Follow-Up Complete"</formula>
    </cfRule>
    <cfRule type="expression" dxfId="2186" priority="2274">
      <formula>$AG47:$AG233="Further Follow-Up"</formula>
    </cfRule>
    <cfRule type="expression" dxfId="2185" priority="2275">
      <formula>$AG47:$AG233="EOB Requested"</formula>
    </cfRule>
    <cfRule type="expression" dxfId="2184" priority="2276">
      <formula>$AG47:$AG233="EOB Not Found"</formula>
    </cfRule>
    <cfRule type="expression" dxfId="2183" priority="2277">
      <formula>$AG47:$AG233="EOB Downloaded"</formula>
    </cfRule>
  </conditionalFormatting>
  <conditionalFormatting sqref="V47">
    <cfRule type="expression" dxfId="2182" priority="2268">
      <formula>$AG47:$AG233="Follow-Up Complete"</formula>
    </cfRule>
    <cfRule type="expression" dxfId="2181" priority="2269">
      <formula>$AG47:$AG233="Further Follow-Up"</formula>
    </cfRule>
    <cfRule type="expression" dxfId="2180" priority="2270">
      <formula>$AG47:$AG233="EOB Requested"</formula>
    </cfRule>
    <cfRule type="expression" dxfId="2179" priority="2271">
      <formula>$AG47:$AG233="EOB Not Found"</formula>
    </cfRule>
    <cfRule type="expression" dxfId="2178" priority="2272">
      <formula>$AG47:$AG233="EOB Downloaded"</formula>
    </cfRule>
  </conditionalFormatting>
  <conditionalFormatting sqref="X47">
    <cfRule type="expression" dxfId="2177" priority="2263">
      <formula>$AG47:$AG233="Follow-Up Complete"</formula>
    </cfRule>
    <cfRule type="expression" dxfId="2176" priority="2264">
      <formula>$AG47:$AG233="Further Follow-Up"</formula>
    </cfRule>
    <cfRule type="expression" dxfId="2175" priority="2265">
      <formula>$AG47:$AG233="EOB Requested"</formula>
    </cfRule>
    <cfRule type="expression" dxfId="2174" priority="2266">
      <formula>$AG47:$AG233="EOB Not Found"</formula>
    </cfRule>
    <cfRule type="expression" dxfId="2173" priority="2267">
      <formula>$AG47:$AG233="EOB Downloaded"</formula>
    </cfRule>
  </conditionalFormatting>
  <conditionalFormatting sqref="AA47">
    <cfRule type="expression" dxfId="2172" priority="2258">
      <formula>$AG47:$AG233="Follow-Up Complete"</formula>
    </cfRule>
    <cfRule type="expression" dxfId="2171" priority="2259">
      <formula>$AG47:$AG233="Further Follow-Up"</formula>
    </cfRule>
    <cfRule type="expression" dxfId="2170" priority="2260">
      <formula>$AG47:$AG233="EOB Requested"</formula>
    </cfRule>
    <cfRule type="expression" dxfId="2169" priority="2261">
      <formula>$AG47:$AG233="EOB Not Found"</formula>
    </cfRule>
    <cfRule type="expression" dxfId="2168" priority="2262">
      <formula>$AG47:$AG233="EOB Downloaded"</formula>
    </cfRule>
  </conditionalFormatting>
  <conditionalFormatting sqref="P49">
    <cfRule type="expression" dxfId="2167" priority="2253">
      <formula>$AG49:$AG235="Follow-Up Complete"</formula>
    </cfRule>
    <cfRule type="expression" dxfId="2166" priority="2254">
      <formula>$AG49:$AG235="Further Follow-Up"</formula>
    </cfRule>
    <cfRule type="expression" dxfId="2165" priority="2255">
      <formula>$AG49:$AG235="EOB Requested"</formula>
    </cfRule>
    <cfRule type="expression" dxfId="2164" priority="2256">
      <formula>$AG49:$AG235="EOB Not Found"</formula>
    </cfRule>
    <cfRule type="expression" dxfId="2163" priority="2257">
      <formula>$AG49:$AG235="EOB Downloaded"</formula>
    </cfRule>
  </conditionalFormatting>
  <conditionalFormatting sqref="R49">
    <cfRule type="expression" dxfId="2162" priority="2248">
      <formula>$AG49:$AG235="Follow-Up Complete"</formula>
    </cfRule>
    <cfRule type="expression" dxfId="2161" priority="2249">
      <formula>$AG49:$AG235="Further Follow-Up"</formula>
    </cfRule>
    <cfRule type="expression" dxfId="2160" priority="2250">
      <formula>$AG49:$AG235="EOB Requested"</formula>
    </cfRule>
    <cfRule type="expression" dxfId="2159" priority="2251">
      <formula>$AG49:$AG235="EOB Not Found"</formula>
    </cfRule>
    <cfRule type="expression" dxfId="2158" priority="2252">
      <formula>$AG49:$AG235="EOB Downloaded"</formula>
    </cfRule>
  </conditionalFormatting>
  <conditionalFormatting sqref="T49">
    <cfRule type="expression" dxfId="2157" priority="2243">
      <formula>$AG49:$AG235="Follow-Up Complete"</formula>
    </cfRule>
    <cfRule type="expression" dxfId="2156" priority="2244">
      <formula>$AG49:$AG235="Further Follow-Up"</formula>
    </cfRule>
    <cfRule type="expression" dxfId="2155" priority="2245">
      <formula>$AG49:$AG235="EOB Requested"</formula>
    </cfRule>
    <cfRule type="expression" dxfId="2154" priority="2246">
      <formula>$AG49:$AG235="EOB Not Found"</formula>
    </cfRule>
    <cfRule type="expression" dxfId="2153" priority="2247">
      <formula>$AG49:$AG235="EOB Downloaded"</formula>
    </cfRule>
  </conditionalFormatting>
  <conditionalFormatting sqref="V49">
    <cfRule type="expression" dxfId="2152" priority="2238">
      <formula>$AG49:$AG235="Follow-Up Complete"</formula>
    </cfRule>
    <cfRule type="expression" dxfId="2151" priority="2239">
      <formula>$AG49:$AG235="Further Follow-Up"</formula>
    </cfRule>
    <cfRule type="expression" dxfId="2150" priority="2240">
      <formula>$AG49:$AG235="EOB Requested"</formula>
    </cfRule>
    <cfRule type="expression" dxfId="2149" priority="2241">
      <formula>$AG49:$AG235="EOB Not Found"</formula>
    </cfRule>
    <cfRule type="expression" dxfId="2148" priority="2242">
      <formula>$AG49:$AG235="EOB Downloaded"</formula>
    </cfRule>
  </conditionalFormatting>
  <conditionalFormatting sqref="X49">
    <cfRule type="expression" dxfId="2147" priority="2233">
      <formula>$AG49:$AG235="Follow-Up Complete"</formula>
    </cfRule>
    <cfRule type="expression" dxfId="2146" priority="2234">
      <formula>$AG49:$AG235="Further Follow-Up"</formula>
    </cfRule>
    <cfRule type="expression" dxfId="2145" priority="2235">
      <formula>$AG49:$AG235="EOB Requested"</formula>
    </cfRule>
    <cfRule type="expression" dxfId="2144" priority="2236">
      <formula>$AG49:$AG235="EOB Not Found"</formula>
    </cfRule>
    <cfRule type="expression" dxfId="2143" priority="2237">
      <formula>$AG49:$AG235="EOB Downloaded"</formula>
    </cfRule>
  </conditionalFormatting>
  <conditionalFormatting sqref="AA49">
    <cfRule type="expression" dxfId="2142" priority="2228">
      <formula>$AG49:$AG235="Follow-Up Complete"</formula>
    </cfRule>
    <cfRule type="expression" dxfId="2141" priority="2229">
      <formula>$AG49:$AG235="Further Follow-Up"</formula>
    </cfRule>
    <cfRule type="expression" dxfId="2140" priority="2230">
      <formula>$AG49:$AG235="EOB Requested"</formula>
    </cfRule>
    <cfRule type="expression" dxfId="2139" priority="2231">
      <formula>$AG49:$AG235="EOB Not Found"</formula>
    </cfRule>
    <cfRule type="expression" dxfId="2138" priority="2232">
      <formula>$AG49:$AG235="EOB Downloaded"</formula>
    </cfRule>
  </conditionalFormatting>
  <conditionalFormatting sqref="P50">
    <cfRule type="expression" dxfId="2137" priority="2223">
      <formula>$AG50:$AG236="Follow-Up Complete"</formula>
    </cfRule>
    <cfRule type="expression" dxfId="2136" priority="2224">
      <formula>$AG50:$AG236="Further Follow-Up"</formula>
    </cfRule>
    <cfRule type="expression" dxfId="2135" priority="2225">
      <formula>$AG50:$AG236="EOB Requested"</formula>
    </cfRule>
    <cfRule type="expression" dxfId="2134" priority="2226">
      <formula>$AG50:$AG236="EOB Not Found"</formula>
    </cfRule>
    <cfRule type="expression" dxfId="2133" priority="2227">
      <formula>$AG50:$AG236="EOB Downloaded"</formula>
    </cfRule>
  </conditionalFormatting>
  <conditionalFormatting sqref="R50">
    <cfRule type="expression" dxfId="2132" priority="2218">
      <formula>$AG50:$AG236="Follow-Up Complete"</formula>
    </cfRule>
    <cfRule type="expression" dxfId="2131" priority="2219">
      <formula>$AG50:$AG236="Further Follow-Up"</formula>
    </cfRule>
    <cfRule type="expression" dxfId="2130" priority="2220">
      <formula>$AG50:$AG236="EOB Requested"</formula>
    </cfRule>
    <cfRule type="expression" dxfId="2129" priority="2221">
      <formula>$AG50:$AG236="EOB Not Found"</formula>
    </cfRule>
    <cfRule type="expression" dxfId="2128" priority="2222">
      <formula>$AG50:$AG236="EOB Downloaded"</formula>
    </cfRule>
  </conditionalFormatting>
  <conditionalFormatting sqref="T50">
    <cfRule type="expression" dxfId="2127" priority="2213">
      <formula>$AG50:$AG236="Follow-Up Complete"</formula>
    </cfRule>
    <cfRule type="expression" dxfId="2126" priority="2214">
      <formula>$AG50:$AG236="Further Follow-Up"</formula>
    </cfRule>
    <cfRule type="expression" dxfId="2125" priority="2215">
      <formula>$AG50:$AG236="EOB Requested"</formula>
    </cfRule>
    <cfRule type="expression" dxfId="2124" priority="2216">
      <formula>$AG50:$AG236="EOB Not Found"</formula>
    </cfRule>
    <cfRule type="expression" dxfId="2123" priority="2217">
      <formula>$AG50:$AG236="EOB Downloaded"</formula>
    </cfRule>
  </conditionalFormatting>
  <conditionalFormatting sqref="V50">
    <cfRule type="expression" dxfId="2122" priority="2208">
      <formula>$AG50:$AG236="Follow-Up Complete"</formula>
    </cfRule>
    <cfRule type="expression" dxfId="2121" priority="2209">
      <formula>$AG50:$AG236="Further Follow-Up"</formula>
    </cfRule>
    <cfRule type="expression" dxfId="2120" priority="2210">
      <formula>$AG50:$AG236="EOB Requested"</formula>
    </cfRule>
    <cfRule type="expression" dxfId="2119" priority="2211">
      <formula>$AG50:$AG236="EOB Not Found"</formula>
    </cfRule>
    <cfRule type="expression" dxfId="2118" priority="2212">
      <formula>$AG50:$AG236="EOB Downloaded"</formula>
    </cfRule>
  </conditionalFormatting>
  <conditionalFormatting sqref="X50">
    <cfRule type="expression" dxfId="2117" priority="2203">
      <formula>$AG50:$AG236="Follow-Up Complete"</formula>
    </cfRule>
    <cfRule type="expression" dxfId="2116" priority="2204">
      <formula>$AG50:$AG236="Further Follow-Up"</formula>
    </cfRule>
    <cfRule type="expression" dxfId="2115" priority="2205">
      <formula>$AG50:$AG236="EOB Requested"</formula>
    </cfRule>
    <cfRule type="expression" dxfId="2114" priority="2206">
      <formula>$AG50:$AG236="EOB Not Found"</formula>
    </cfRule>
    <cfRule type="expression" dxfId="2113" priority="2207">
      <formula>$AG50:$AG236="EOB Downloaded"</formula>
    </cfRule>
  </conditionalFormatting>
  <conditionalFormatting sqref="AA50">
    <cfRule type="expression" dxfId="2112" priority="2198">
      <formula>$AG50:$AG236="Follow-Up Complete"</formula>
    </cfRule>
    <cfRule type="expression" dxfId="2111" priority="2199">
      <formula>$AG50:$AG236="Further Follow-Up"</formula>
    </cfRule>
    <cfRule type="expression" dxfId="2110" priority="2200">
      <formula>$AG50:$AG236="EOB Requested"</formula>
    </cfRule>
    <cfRule type="expression" dxfId="2109" priority="2201">
      <formula>$AG50:$AG236="EOB Not Found"</formula>
    </cfRule>
    <cfRule type="expression" dxfId="2108" priority="2202">
      <formula>$AG50:$AG236="EOB Downloaded"</formula>
    </cfRule>
  </conditionalFormatting>
  <conditionalFormatting sqref="P51">
    <cfRule type="expression" dxfId="2107" priority="2193">
      <formula>$AG51:$AG237="Follow-Up Complete"</formula>
    </cfRule>
    <cfRule type="expression" dxfId="2106" priority="2194">
      <formula>$AG51:$AG237="Further Follow-Up"</formula>
    </cfRule>
    <cfRule type="expression" dxfId="2105" priority="2195">
      <formula>$AG51:$AG237="EOB Requested"</formula>
    </cfRule>
    <cfRule type="expression" dxfId="2104" priority="2196">
      <formula>$AG51:$AG237="EOB Not Found"</formula>
    </cfRule>
    <cfRule type="expression" dxfId="2103" priority="2197">
      <formula>$AG51:$AG237="EOB Downloaded"</formula>
    </cfRule>
  </conditionalFormatting>
  <conditionalFormatting sqref="R51">
    <cfRule type="expression" dxfId="2102" priority="2188">
      <formula>$AG51:$AG237="Follow-Up Complete"</formula>
    </cfRule>
    <cfRule type="expression" dxfId="2101" priority="2189">
      <formula>$AG51:$AG237="Further Follow-Up"</formula>
    </cfRule>
    <cfRule type="expression" dxfId="2100" priority="2190">
      <formula>$AG51:$AG237="EOB Requested"</formula>
    </cfRule>
    <cfRule type="expression" dxfId="2099" priority="2191">
      <formula>$AG51:$AG237="EOB Not Found"</formula>
    </cfRule>
    <cfRule type="expression" dxfId="2098" priority="2192">
      <formula>$AG51:$AG237="EOB Downloaded"</formula>
    </cfRule>
  </conditionalFormatting>
  <conditionalFormatting sqref="T51">
    <cfRule type="expression" dxfId="2097" priority="2183">
      <formula>$AG51:$AG237="Follow-Up Complete"</formula>
    </cfRule>
    <cfRule type="expression" dxfId="2096" priority="2184">
      <formula>$AG51:$AG237="Further Follow-Up"</formula>
    </cfRule>
    <cfRule type="expression" dxfId="2095" priority="2185">
      <formula>$AG51:$AG237="EOB Requested"</formula>
    </cfRule>
    <cfRule type="expression" dxfId="2094" priority="2186">
      <formula>$AG51:$AG237="EOB Not Found"</formula>
    </cfRule>
    <cfRule type="expression" dxfId="2093" priority="2187">
      <formula>$AG51:$AG237="EOB Downloaded"</formula>
    </cfRule>
  </conditionalFormatting>
  <conditionalFormatting sqref="V51">
    <cfRule type="expression" dxfId="2092" priority="2178">
      <formula>$AG51:$AG237="Follow-Up Complete"</formula>
    </cfRule>
    <cfRule type="expression" dxfId="2091" priority="2179">
      <formula>$AG51:$AG237="Further Follow-Up"</formula>
    </cfRule>
    <cfRule type="expression" dxfId="2090" priority="2180">
      <formula>$AG51:$AG237="EOB Requested"</formula>
    </cfRule>
    <cfRule type="expression" dxfId="2089" priority="2181">
      <formula>$AG51:$AG237="EOB Not Found"</formula>
    </cfRule>
    <cfRule type="expression" dxfId="2088" priority="2182">
      <formula>$AG51:$AG237="EOB Downloaded"</formula>
    </cfRule>
  </conditionalFormatting>
  <conditionalFormatting sqref="X51">
    <cfRule type="expression" dxfId="2087" priority="2173">
      <formula>$AG51:$AG237="Follow-Up Complete"</formula>
    </cfRule>
    <cfRule type="expression" dxfId="2086" priority="2174">
      <formula>$AG51:$AG237="Further Follow-Up"</formula>
    </cfRule>
    <cfRule type="expression" dxfId="2085" priority="2175">
      <formula>$AG51:$AG237="EOB Requested"</formula>
    </cfRule>
    <cfRule type="expression" dxfId="2084" priority="2176">
      <formula>$AG51:$AG237="EOB Not Found"</formula>
    </cfRule>
    <cfRule type="expression" dxfId="2083" priority="2177">
      <formula>$AG51:$AG237="EOB Downloaded"</formula>
    </cfRule>
  </conditionalFormatting>
  <conditionalFormatting sqref="AA51">
    <cfRule type="expression" dxfId="2082" priority="2168">
      <formula>$AG51:$AG237="Follow-Up Complete"</formula>
    </cfRule>
    <cfRule type="expression" dxfId="2081" priority="2169">
      <formula>$AG51:$AG237="Further Follow-Up"</formula>
    </cfRule>
    <cfRule type="expression" dxfId="2080" priority="2170">
      <formula>$AG51:$AG237="EOB Requested"</formula>
    </cfRule>
    <cfRule type="expression" dxfId="2079" priority="2171">
      <formula>$AG51:$AG237="EOB Not Found"</formula>
    </cfRule>
    <cfRule type="expression" dxfId="2078" priority="2172">
      <formula>$AG51:$AG237="EOB Downloaded"</formula>
    </cfRule>
  </conditionalFormatting>
  <conditionalFormatting sqref="P57">
    <cfRule type="expression" dxfId="2077" priority="2163">
      <formula>$AG57:$AG243="Follow-Up Complete"</formula>
    </cfRule>
    <cfRule type="expression" dxfId="2076" priority="2164">
      <formula>$AG57:$AG243="Further Follow-Up"</formula>
    </cfRule>
    <cfRule type="expression" dxfId="2075" priority="2165">
      <formula>$AG57:$AG243="EOB Requested"</formula>
    </cfRule>
    <cfRule type="expression" dxfId="2074" priority="2166">
      <formula>$AG57:$AG243="EOB Not Found"</formula>
    </cfRule>
    <cfRule type="expression" dxfId="2073" priority="2167">
      <formula>$AG57:$AG243="EOB Downloaded"</formula>
    </cfRule>
  </conditionalFormatting>
  <conditionalFormatting sqref="R57">
    <cfRule type="expression" dxfId="2072" priority="2158">
      <formula>$AG57:$AG243="Follow-Up Complete"</formula>
    </cfRule>
    <cfRule type="expression" dxfId="2071" priority="2159">
      <formula>$AG57:$AG243="Further Follow-Up"</formula>
    </cfRule>
    <cfRule type="expression" dxfId="2070" priority="2160">
      <formula>$AG57:$AG243="EOB Requested"</formula>
    </cfRule>
    <cfRule type="expression" dxfId="2069" priority="2161">
      <formula>$AG57:$AG243="EOB Not Found"</formula>
    </cfRule>
    <cfRule type="expression" dxfId="2068" priority="2162">
      <formula>$AG57:$AG243="EOB Downloaded"</formula>
    </cfRule>
  </conditionalFormatting>
  <conditionalFormatting sqref="T57">
    <cfRule type="expression" dxfId="2067" priority="2153">
      <formula>$AG57:$AG243="Follow-Up Complete"</formula>
    </cfRule>
    <cfRule type="expression" dxfId="2066" priority="2154">
      <formula>$AG57:$AG243="Further Follow-Up"</formula>
    </cfRule>
    <cfRule type="expression" dxfId="2065" priority="2155">
      <formula>$AG57:$AG243="EOB Requested"</formula>
    </cfRule>
    <cfRule type="expression" dxfId="2064" priority="2156">
      <formula>$AG57:$AG243="EOB Not Found"</formula>
    </cfRule>
    <cfRule type="expression" dxfId="2063" priority="2157">
      <formula>$AG57:$AG243="EOB Downloaded"</formula>
    </cfRule>
  </conditionalFormatting>
  <conditionalFormatting sqref="AA57">
    <cfRule type="expression" dxfId="2062" priority="2148">
      <formula>$AG57:$AG243="Follow-Up Complete"</formula>
    </cfRule>
    <cfRule type="expression" dxfId="2061" priority="2149">
      <formula>$AG57:$AG243="Further Follow-Up"</formula>
    </cfRule>
    <cfRule type="expression" dxfId="2060" priority="2150">
      <formula>$AG57:$AG243="EOB Requested"</formula>
    </cfRule>
    <cfRule type="expression" dxfId="2059" priority="2151">
      <formula>$AG57:$AG243="EOB Not Found"</formula>
    </cfRule>
    <cfRule type="expression" dxfId="2058" priority="2152">
      <formula>$AG57:$AG243="EOB Downloaded"</formula>
    </cfRule>
  </conditionalFormatting>
  <conditionalFormatting sqref="P58">
    <cfRule type="expression" dxfId="2057" priority="2143">
      <formula>$AG58:$AG244="Follow-Up Complete"</formula>
    </cfRule>
    <cfRule type="expression" dxfId="2056" priority="2144">
      <formula>$AG58:$AG244="Further Follow-Up"</formula>
    </cfRule>
    <cfRule type="expression" dxfId="2055" priority="2145">
      <formula>$AG58:$AG244="EOB Requested"</formula>
    </cfRule>
    <cfRule type="expression" dxfId="2054" priority="2146">
      <formula>$AG58:$AG244="EOB Not Found"</formula>
    </cfRule>
    <cfRule type="expression" dxfId="2053" priority="2147">
      <formula>$AG58:$AG244="EOB Downloaded"</formula>
    </cfRule>
  </conditionalFormatting>
  <conditionalFormatting sqref="T58">
    <cfRule type="expression" dxfId="2052" priority="2138">
      <formula>$AG58:$AG244="Follow-Up Complete"</formula>
    </cfRule>
    <cfRule type="expression" dxfId="2051" priority="2139">
      <formula>$AG58:$AG244="Further Follow-Up"</formula>
    </cfRule>
    <cfRule type="expression" dxfId="2050" priority="2140">
      <formula>$AG58:$AG244="EOB Requested"</formula>
    </cfRule>
    <cfRule type="expression" dxfId="2049" priority="2141">
      <formula>$AG58:$AG244="EOB Not Found"</formula>
    </cfRule>
    <cfRule type="expression" dxfId="2048" priority="2142">
      <formula>$AG58:$AG244="EOB Downloaded"</formula>
    </cfRule>
  </conditionalFormatting>
  <conditionalFormatting sqref="V58">
    <cfRule type="expression" dxfId="2047" priority="2133">
      <formula>$AG58:$AG244="Follow-Up Complete"</formula>
    </cfRule>
    <cfRule type="expression" dxfId="2046" priority="2134">
      <formula>$AG58:$AG244="Further Follow-Up"</formula>
    </cfRule>
    <cfRule type="expression" dxfId="2045" priority="2135">
      <formula>$AG58:$AG244="EOB Requested"</formula>
    </cfRule>
    <cfRule type="expression" dxfId="2044" priority="2136">
      <formula>$AG58:$AG244="EOB Not Found"</formula>
    </cfRule>
    <cfRule type="expression" dxfId="2043" priority="2137">
      <formula>$AG58:$AG244="EOB Downloaded"</formula>
    </cfRule>
  </conditionalFormatting>
  <conditionalFormatting sqref="X58">
    <cfRule type="expression" dxfId="2042" priority="2128">
      <formula>$AG58:$AG244="Follow-Up Complete"</formula>
    </cfRule>
    <cfRule type="expression" dxfId="2041" priority="2129">
      <formula>$AG58:$AG244="Further Follow-Up"</formula>
    </cfRule>
    <cfRule type="expression" dxfId="2040" priority="2130">
      <formula>$AG58:$AG244="EOB Requested"</formula>
    </cfRule>
    <cfRule type="expression" dxfId="2039" priority="2131">
      <formula>$AG58:$AG244="EOB Not Found"</formula>
    </cfRule>
    <cfRule type="expression" dxfId="2038" priority="2132">
      <formula>$AG58:$AG244="EOB Downloaded"</formula>
    </cfRule>
  </conditionalFormatting>
  <conditionalFormatting sqref="AA58">
    <cfRule type="expression" dxfId="2037" priority="2123">
      <formula>$AG58:$AG244="Follow-Up Complete"</formula>
    </cfRule>
    <cfRule type="expression" dxfId="2036" priority="2124">
      <formula>$AG58:$AG244="Further Follow-Up"</formula>
    </cfRule>
    <cfRule type="expression" dxfId="2035" priority="2125">
      <formula>$AG58:$AG244="EOB Requested"</formula>
    </cfRule>
    <cfRule type="expression" dxfId="2034" priority="2126">
      <formula>$AG58:$AG244="EOB Not Found"</formula>
    </cfRule>
    <cfRule type="expression" dxfId="2033" priority="2127">
      <formula>$AG58:$AG244="EOB Downloaded"</formula>
    </cfRule>
  </conditionalFormatting>
  <conditionalFormatting sqref="P60">
    <cfRule type="expression" dxfId="2032" priority="2118">
      <formula>$AG60:$AG246="Follow-Up Complete"</formula>
    </cfRule>
    <cfRule type="expression" dxfId="2031" priority="2119">
      <formula>$AG60:$AG246="Further Follow-Up"</formula>
    </cfRule>
    <cfRule type="expression" dxfId="2030" priority="2120">
      <formula>$AG60:$AG246="EOB Requested"</formula>
    </cfRule>
    <cfRule type="expression" dxfId="2029" priority="2121">
      <formula>$AG60:$AG246="EOB Not Found"</formula>
    </cfRule>
    <cfRule type="expression" dxfId="2028" priority="2122">
      <formula>$AG60:$AG246="EOB Downloaded"</formula>
    </cfRule>
  </conditionalFormatting>
  <conditionalFormatting sqref="R60">
    <cfRule type="expression" dxfId="2027" priority="2113">
      <formula>$AG60:$AG246="Follow-Up Complete"</formula>
    </cfRule>
    <cfRule type="expression" dxfId="2026" priority="2114">
      <formula>$AG60:$AG246="Further Follow-Up"</formula>
    </cfRule>
    <cfRule type="expression" dxfId="2025" priority="2115">
      <formula>$AG60:$AG246="EOB Requested"</formula>
    </cfRule>
    <cfRule type="expression" dxfId="2024" priority="2116">
      <formula>$AG60:$AG246="EOB Not Found"</formula>
    </cfRule>
    <cfRule type="expression" dxfId="2023" priority="2117">
      <formula>$AG60:$AG246="EOB Downloaded"</formula>
    </cfRule>
  </conditionalFormatting>
  <conditionalFormatting sqref="T60">
    <cfRule type="expression" dxfId="2022" priority="2108">
      <formula>$AG60:$AG246="Follow-Up Complete"</formula>
    </cfRule>
    <cfRule type="expression" dxfId="2021" priority="2109">
      <formula>$AG60:$AG246="Further Follow-Up"</formula>
    </cfRule>
    <cfRule type="expression" dxfId="2020" priority="2110">
      <formula>$AG60:$AG246="EOB Requested"</formula>
    </cfRule>
    <cfRule type="expression" dxfId="2019" priority="2111">
      <formula>$AG60:$AG246="EOB Not Found"</formula>
    </cfRule>
    <cfRule type="expression" dxfId="2018" priority="2112">
      <formula>$AG60:$AG246="EOB Downloaded"</formula>
    </cfRule>
  </conditionalFormatting>
  <conditionalFormatting sqref="V60">
    <cfRule type="expression" dxfId="2017" priority="2103">
      <formula>$AG60:$AG246="Follow-Up Complete"</formula>
    </cfRule>
    <cfRule type="expression" dxfId="2016" priority="2104">
      <formula>$AG60:$AG246="Further Follow-Up"</formula>
    </cfRule>
    <cfRule type="expression" dxfId="2015" priority="2105">
      <formula>$AG60:$AG246="EOB Requested"</formula>
    </cfRule>
    <cfRule type="expression" dxfId="2014" priority="2106">
      <formula>$AG60:$AG246="EOB Not Found"</formula>
    </cfRule>
    <cfRule type="expression" dxfId="2013" priority="2107">
      <formula>$AG60:$AG246="EOB Downloaded"</formula>
    </cfRule>
  </conditionalFormatting>
  <conditionalFormatting sqref="X60">
    <cfRule type="expression" dxfId="2012" priority="2098">
      <formula>$AG60:$AG246="Follow-Up Complete"</formula>
    </cfRule>
    <cfRule type="expression" dxfId="2011" priority="2099">
      <formula>$AG60:$AG246="Further Follow-Up"</formula>
    </cfRule>
    <cfRule type="expression" dxfId="2010" priority="2100">
      <formula>$AG60:$AG246="EOB Requested"</formula>
    </cfRule>
    <cfRule type="expression" dxfId="2009" priority="2101">
      <formula>$AG60:$AG246="EOB Not Found"</formula>
    </cfRule>
    <cfRule type="expression" dxfId="2008" priority="2102">
      <formula>$AG60:$AG246="EOB Downloaded"</formula>
    </cfRule>
  </conditionalFormatting>
  <conditionalFormatting sqref="AA60">
    <cfRule type="expression" dxfId="2007" priority="2093">
      <formula>$AG60:$AG246="Follow-Up Complete"</formula>
    </cfRule>
    <cfRule type="expression" dxfId="2006" priority="2094">
      <formula>$AG60:$AG246="Further Follow-Up"</formula>
    </cfRule>
    <cfRule type="expression" dxfId="2005" priority="2095">
      <formula>$AG60:$AG246="EOB Requested"</formula>
    </cfRule>
    <cfRule type="expression" dxfId="2004" priority="2096">
      <formula>$AG60:$AG246="EOB Not Found"</formula>
    </cfRule>
    <cfRule type="expression" dxfId="2003" priority="2097">
      <formula>$AG60:$AG246="EOB Downloaded"</formula>
    </cfRule>
  </conditionalFormatting>
  <conditionalFormatting sqref="P61">
    <cfRule type="expression" dxfId="2002" priority="2088">
      <formula>$AG61:$AG247="Follow-Up Complete"</formula>
    </cfRule>
    <cfRule type="expression" dxfId="2001" priority="2089">
      <formula>$AG61:$AG247="Further Follow-Up"</formula>
    </cfRule>
    <cfRule type="expression" dxfId="2000" priority="2090">
      <formula>$AG61:$AG247="EOB Requested"</formula>
    </cfRule>
    <cfRule type="expression" dxfId="1999" priority="2091">
      <formula>$AG61:$AG247="EOB Not Found"</formula>
    </cfRule>
    <cfRule type="expression" dxfId="1998" priority="2092">
      <formula>$AG61:$AG247="EOB Downloaded"</formula>
    </cfRule>
  </conditionalFormatting>
  <conditionalFormatting sqref="X61">
    <cfRule type="expression" dxfId="1997" priority="2083">
      <formula>$AG61:$AG247="Follow-Up Complete"</formula>
    </cfRule>
    <cfRule type="expression" dxfId="1996" priority="2084">
      <formula>$AG61:$AG247="Further Follow-Up"</formula>
    </cfRule>
    <cfRule type="expression" dxfId="1995" priority="2085">
      <formula>$AG61:$AG247="EOB Requested"</formula>
    </cfRule>
    <cfRule type="expression" dxfId="1994" priority="2086">
      <formula>$AG61:$AG247="EOB Not Found"</formula>
    </cfRule>
    <cfRule type="expression" dxfId="1993" priority="2087">
      <formula>$AG61:$AG247="EOB Downloaded"</formula>
    </cfRule>
  </conditionalFormatting>
  <conditionalFormatting sqref="AA61">
    <cfRule type="expression" dxfId="1992" priority="2078">
      <formula>$AG61:$AG247="Follow-Up Complete"</formula>
    </cfRule>
    <cfRule type="expression" dxfId="1991" priority="2079">
      <formula>$AG61:$AG247="Further Follow-Up"</formula>
    </cfRule>
    <cfRule type="expression" dxfId="1990" priority="2080">
      <formula>$AG61:$AG247="EOB Requested"</formula>
    </cfRule>
    <cfRule type="expression" dxfId="1989" priority="2081">
      <formula>$AG61:$AG247="EOB Not Found"</formula>
    </cfRule>
    <cfRule type="expression" dxfId="1988" priority="2082">
      <formula>$AG61:$AG247="EOB Downloaded"</formula>
    </cfRule>
  </conditionalFormatting>
  <conditionalFormatting sqref="P62">
    <cfRule type="expression" dxfId="1987" priority="2073">
      <formula>$AG62:$AG248="Follow-Up Complete"</formula>
    </cfRule>
    <cfRule type="expression" dxfId="1986" priority="2074">
      <formula>$AG62:$AG248="Further Follow-Up"</formula>
    </cfRule>
    <cfRule type="expression" dxfId="1985" priority="2075">
      <formula>$AG62:$AG248="EOB Requested"</formula>
    </cfRule>
    <cfRule type="expression" dxfId="1984" priority="2076">
      <formula>$AG62:$AG248="EOB Not Found"</formula>
    </cfRule>
    <cfRule type="expression" dxfId="1983" priority="2077">
      <formula>$AG62:$AG248="EOB Downloaded"</formula>
    </cfRule>
  </conditionalFormatting>
  <conditionalFormatting sqref="R62">
    <cfRule type="expression" dxfId="1982" priority="2068">
      <formula>$AG62:$AG248="Follow-Up Complete"</formula>
    </cfRule>
    <cfRule type="expression" dxfId="1981" priority="2069">
      <formula>$AG62:$AG248="Further Follow-Up"</formula>
    </cfRule>
    <cfRule type="expression" dxfId="1980" priority="2070">
      <formula>$AG62:$AG248="EOB Requested"</formula>
    </cfRule>
    <cfRule type="expression" dxfId="1979" priority="2071">
      <formula>$AG62:$AG248="EOB Not Found"</formula>
    </cfRule>
    <cfRule type="expression" dxfId="1978" priority="2072">
      <formula>$AG62:$AG248="EOB Downloaded"</formula>
    </cfRule>
  </conditionalFormatting>
  <conditionalFormatting sqref="AA62">
    <cfRule type="expression" dxfId="1977" priority="2063">
      <formula>$AG62:$AG248="Follow-Up Complete"</formula>
    </cfRule>
    <cfRule type="expression" dxfId="1976" priority="2064">
      <formula>$AG62:$AG248="Further Follow-Up"</formula>
    </cfRule>
    <cfRule type="expression" dxfId="1975" priority="2065">
      <formula>$AG62:$AG248="EOB Requested"</formula>
    </cfRule>
    <cfRule type="expression" dxfId="1974" priority="2066">
      <formula>$AG62:$AG248="EOB Not Found"</formula>
    </cfRule>
    <cfRule type="expression" dxfId="1973" priority="2067">
      <formula>$AG62:$AG248="EOB Downloaded"</formula>
    </cfRule>
  </conditionalFormatting>
  <conditionalFormatting sqref="P63">
    <cfRule type="expression" dxfId="1972" priority="2058">
      <formula>$AG63:$AG249="Follow-Up Complete"</formula>
    </cfRule>
    <cfRule type="expression" dxfId="1971" priority="2059">
      <formula>$AG63:$AG249="Further Follow-Up"</formula>
    </cfRule>
    <cfRule type="expression" dxfId="1970" priority="2060">
      <formula>$AG63:$AG249="EOB Requested"</formula>
    </cfRule>
    <cfRule type="expression" dxfId="1969" priority="2061">
      <formula>$AG63:$AG249="EOB Not Found"</formula>
    </cfRule>
    <cfRule type="expression" dxfId="1968" priority="2062">
      <formula>$AG63:$AG249="EOB Downloaded"</formula>
    </cfRule>
  </conditionalFormatting>
  <conditionalFormatting sqref="R63">
    <cfRule type="expression" dxfId="1967" priority="2053">
      <formula>$AG63:$AG249="Follow-Up Complete"</formula>
    </cfRule>
    <cfRule type="expression" dxfId="1966" priority="2054">
      <formula>$AG63:$AG249="Further Follow-Up"</formula>
    </cfRule>
    <cfRule type="expression" dxfId="1965" priority="2055">
      <formula>$AG63:$AG249="EOB Requested"</formula>
    </cfRule>
    <cfRule type="expression" dxfId="1964" priority="2056">
      <formula>$AG63:$AG249="EOB Not Found"</formula>
    </cfRule>
    <cfRule type="expression" dxfId="1963" priority="2057">
      <formula>$AG63:$AG249="EOB Downloaded"</formula>
    </cfRule>
  </conditionalFormatting>
  <conditionalFormatting sqref="T63">
    <cfRule type="expression" dxfId="1962" priority="2048">
      <formula>$AG63:$AG249="Follow-Up Complete"</formula>
    </cfRule>
    <cfRule type="expression" dxfId="1961" priority="2049">
      <formula>$AG63:$AG249="Further Follow-Up"</formula>
    </cfRule>
    <cfRule type="expression" dxfId="1960" priority="2050">
      <formula>$AG63:$AG249="EOB Requested"</formula>
    </cfRule>
    <cfRule type="expression" dxfId="1959" priority="2051">
      <formula>$AG63:$AG249="EOB Not Found"</formula>
    </cfRule>
    <cfRule type="expression" dxfId="1958" priority="2052">
      <formula>$AG63:$AG249="EOB Downloaded"</formula>
    </cfRule>
  </conditionalFormatting>
  <conditionalFormatting sqref="AA63">
    <cfRule type="expression" dxfId="1957" priority="2043">
      <formula>$AG63:$AG249="Follow-Up Complete"</formula>
    </cfRule>
    <cfRule type="expression" dxfId="1956" priority="2044">
      <formula>$AG63:$AG249="Further Follow-Up"</formula>
    </cfRule>
    <cfRule type="expression" dxfId="1955" priority="2045">
      <formula>$AG63:$AG249="EOB Requested"</formula>
    </cfRule>
    <cfRule type="expression" dxfId="1954" priority="2046">
      <formula>$AG63:$AG249="EOB Not Found"</formula>
    </cfRule>
    <cfRule type="expression" dxfId="1953" priority="2047">
      <formula>$AG63:$AG249="EOB Downloaded"</formula>
    </cfRule>
  </conditionalFormatting>
  <conditionalFormatting sqref="P64">
    <cfRule type="expression" dxfId="1952" priority="2038">
      <formula>$AG64:$AG250="Follow-Up Complete"</formula>
    </cfRule>
    <cfRule type="expression" dxfId="1951" priority="2039">
      <formula>$AG64:$AG250="Further Follow-Up"</formula>
    </cfRule>
    <cfRule type="expression" dxfId="1950" priority="2040">
      <formula>$AG64:$AG250="EOB Requested"</formula>
    </cfRule>
    <cfRule type="expression" dxfId="1949" priority="2041">
      <formula>$AG64:$AG250="EOB Not Found"</formula>
    </cfRule>
    <cfRule type="expression" dxfId="1948" priority="2042">
      <formula>$AG64:$AG250="EOB Downloaded"</formula>
    </cfRule>
  </conditionalFormatting>
  <conditionalFormatting sqref="R64">
    <cfRule type="expression" dxfId="1947" priority="2033">
      <formula>$AG64:$AG250="Follow-Up Complete"</formula>
    </cfRule>
    <cfRule type="expression" dxfId="1946" priority="2034">
      <formula>$AG64:$AG250="Further Follow-Up"</formula>
    </cfRule>
    <cfRule type="expression" dxfId="1945" priority="2035">
      <formula>$AG64:$AG250="EOB Requested"</formula>
    </cfRule>
    <cfRule type="expression" dxfId="1944" priority="2036">
      <formula>$AG64:$AG250="EOB Not Found"</formula>
    </cfRule>
    <cfRule type="expression" dxfId="1943" priority="2037">
      <formula>$AG64:$AG250="EOB Downloaded"</formula>
    </cfRule>
  </conditionalFormatting>
  <conditionalFormatting sqref="T64">
    <cfRule type="expression" dxfId="1942" priority="2028">
      <formula>$AG64:$AG250="Follow-Up Complete"</formula>
    </cfRule>
    <cfRule type="expression" dxfId="1941" priority="2029">
      <formula>$AG64:$AG250="Further Follow-Up"</formula>
    </cfRule>
    <cfRule type="expression" dxfId="1940" priority="2030">
      <formula>$AG64:$AG250="EOB Requested"</formula>
    </cfRule>
    <cfRule type="expression" dxfId="1939" priority="2031">
      <formula>$AG64:$AG250="EOB Not Found"</formula>
    </cfRule>
    <cfRule type="expression" dxfId="1938" priority="2032">
      <formula>$AG64:$AG250="EOB Downloaded"</formula>
    </cfRule>
  </conditionalFormatting>
  <conditionalFormatting sqref="V64">
    <cfRule type="expression" dxfId="1937" priority="2023">
      <formula>$AG64:$AG250="Follow-Up Complete"</formula>
    </cfRule>
    <cfRule type="expression" dxfId="1936" priority="2024">
      <formula>$AG64:$AG250="Further Follow-Up"</formula>
    </cfRule>
    <cfRule type="expression" dxfId="1935" priority="2025">
      <formula>$AG64:$AG250="EOB Requested"</formula>
    </cfRule>
    <cfRule type="expression" dxfId="1934" priority="2026">
      <formula>$AG64:$AG250="EOB Not Found"</formula>
    </cfRule>
    <cfRule type="expression" dxfId="1933" priority="2027">
      <formula>$AG64:$AG250="EOB Downloaded"</formula>
    </cfRule>
  </conditionalFormatting>
  <conditionalFormatting sqref="X64">
    <cfRule type="expression" dxfId="1932" priority="2018">
      <formula>$AG64:$AG250="Follow-Up Complete"</formula>
    </cfRule>
    <cfRule type="expression" dxfId="1931" priority="2019">
      <formula>$AG64:$AG250="Further Follow-Up"</formula>
    </cfRule>
    <cfRule type="expression" dxfId="1930" priority="2020">
      <formula>$AG64:$AG250="EOB Requested"</formula>
    </cfRule>
    <cfRule type="expression" dxfId="1929" priority="2021">
      <formula>$AG64:$AG250="EOB Not Found"</formula>
    </cfRule>
    <cfRule type="expression" dxfId="1928" priority="2022">
      <formula>$AG64:$AG250="EOB Downloaded"</formula>
    </cfRule>
  </conditionalFormatting>
  <conditionalFormatting sqref="AA64">
    <cfRule type="expression" dxfId="1927" priority="2013">
      <formula>$AG64:$AG250="Follow-Up Complete"</formula>
    </cfRule>
    <cfRule type="expression" dxfId="1926" priority="2014">
      <formula>$AG64:$AG250="Further Follow-Up"</formula>
    </cfRule>
    <cfRule type="expression" dxfId="1925" priority="2015">
      <formula>$AG64:$AG250="EOB Requested"</formula>
    </cfRule>
    <cfRule type="expression" dxfId="1924" priority="2016">
      <formula>$AG64:$AG250="EOB Not Found"</formula>
    </cfRule>
    <cfRule type="expression" dxfId="1923" priority="2017">
      <formula>$AG64:$AG250="EOB Downloaded"</formula>
    </cfRule>
  </conditionalFormatting>
  <conditionalFormatting sqref="P65">
    <cfRule type="expression" dxfId="1922" priority="2008">
      <formula>$AG65:$AG251="Follow-Up Complete"</formula>
    </cfRule>
    <cfRule type="expression" dxfId="1921" priority="2009">
      <formula>$AG65:$AG251="Further Follow-Up"</formula>
    </cfRule>
    <cfRule type="expression" dxfId="1920" priority="2010">
      <formula>$AG65:$AG251="EOB Requested"</formula>
    </cfRule>
    <cfRule type="expression" dxfId="1919" priority="2011">
      <formula>$AG65:$AG251="EOB Not Found"</formula>
    </cfRule>
    <cfRule type="expression" dxfId="1918" priority="2012">
      <formula>$AG65:$AG251="EOB Downloaded"</formula>
    </cfRule>
  </conditionalFormatting>
  <conditionalFormatting sqref="R65">
    <cfRule type="expression" dxfId="1917" priority="2003">
      <formula>$AG65:$AG251="Follow-Up Complete"</formula>
    </cfRule>
    <cfRule type="expression" dxfId="1916" priority="2004">
      <formula>$AG65:$AG251="Further Follow-Up"</formula>
    </cfRule>
    <cfRule type="expression" dxfId="1915" priority="2005">
      <formula>$AG65:$AG251="EOB Requested"</formula>
    </cfRule>
    <cfRule type="expression" dxfId="1914" priority="2006">
      <formula>$AG65:$AG251="EOB Not Found"</formula>
    </cfRule>
    <cfRule type="expression" dxfId="1913" priority="2007">
      <formula>$AG65:$AG251="EOB Downloaded"</formula>
    </cfRule>
  </conditionalFormatting>
  <conditionalFormatting sqref="T65">
    <cfRule type="expression" dxfId="1912" priority="1998">
      <formula>$AG65:$AG251="Follow-Up Complete"</formula>
    </cfRule>
    <cfRule type="expression" dxfId="1911" priority="1999">
      <formula>$AG65:$AG251="Further Follow-Up"</formula>
    </cfRule>
    <cfRule type="expression" dxfId="1910" priority="2000">
      <formula>$AG65:$AG251="EOB Requested"</formula>
    </cfRule>
    <cfRule type="expression" dxfId="1909" priority="2001">
      <formula>$AG65:$AG251="EOB Not Found"</formula>
    </cfRule>
    <cfRule type="expression" dxfId="1908" priority="2002">
      <formula>$AG65:$AG251="EOB Downloaded"</formula>
    </cfRule>
  </conditionalFormatting>
  <conditionalFormatting sqref="V65">
    <cfRule type="expression" dxfId="1907" priority="1993">
      <formula>$AG65:$AG251="Follow-Up Complete"</formula>
    </cfRule>
    <cfRule type="expression" dxfId="1906" priority="1994">
      <formula>$AG65:$AG251="Further Follow-Up"</formula>
    </cfRule>
    <cfRule type="expression" dxfId="1905" priority="1995">
      <formula>$AG65:$AG251="EOB Requested"</formula>
    </cfRule>
    <cfRule type="expression" dxfId="1904" priority="1996">
      <formula>$AG65:$AG251="EOB Not Found"</formula>
    </cfRule>
    <cfRule type="expression" dxfId="1903" priority="1997">
      <formula>$AG65:$AG251="EOB Downloaded"</formula>
    </cfRule>
  </conditionalFormatting>
  <conditionalFormatting sqref="X65">
    <cfRule type="expression" dxfId="1902" priority="1988">
      <formula>$AG65:$AG251="Follow-Up Complete"</formula>
    </cfRule>
    <cfRule type="expression" dxfId="1901" priority="1989">
      <formula>$AG65:$AG251="Further Follow-Up"</formula>
    </cfRule>
    <cfRule type="expression" dxfId="1900" priority="1990">
      <formula>$AG65:$AG251="EOB Requested"</formula>
    </cfRule>
    <cfRule type="expression" dxfId="1899" priority="1991">
      <formula>$AG65:$AG251="EOB Not Found"</formula>
    </cfRule>
    <cfRule type="expression" dxfId="1898" priority="1992">
      <formula>$AG65:$AG251="EOB Downloaded"</formula>
    </cfRule>
  </conditionalFormatting>
  <conditionalFormatting sqref="AA65">
    <cfRule type="expression" dxfId="1897" priority="1983">
      <formula>$AG65:$AG251="Follow-Up Complete"</formula>
    </cfRule>
    <cfRule type="expression" dxfId="1896" priority="1984">
      <formula>$AG65:$AG251="Further Follow-Up"</formula>
    </cfRule>
    <cfRule type="expression" dxfId="1895" priority="1985">
      <formula>$AG65:$AG251="EOB Requested"</formula>
    </cfRule>
    <cfRule type="expression" dxfId="1894" priority="1986">
      <formula>$AG65:$AG251="EOB Not Found"</formula>
    </cfRule>
    <cfRule type="expression" dxfId="1893" priority="1987">
      <formula>$AG65:$AG251="EOB Downloaded"</formula>
    </cfRule>
  </conditionalFormatting>
  <conditionalFormatting sqref="P66">
    <cfRule type="expression" dxfId="1892" priority="1978">
      <formula>$AG66:$AG252="Follow-Up Complete"</formula>
    </cfRule>
    <cfRule type="expression" dxfId="1891" priority="1979">
      <formula>$AG66:$AG252="Further Follow-Up"</formula>
    </cfRule>
    <cfRule type="expression" dxfId="1890" priority="1980">
      <formula>$AG66:$AG252="EOB Requested"</formula>
    </cfRule>
    <cfRule type="expression" dxfId="1889" priority="1981">
      <formula>$AG66:$AG252="EOB Not Found"</formula>
    </cfRule>
    <cfRule type="expression" dxfId="1888" priority="1982">
      <formula>$AG66:$AG252="EOB Downloaded"</formula>
    </cfRule>
  </conditionalFormatting>
  <conditionalFormatting sqref="R66">
    <cfRule type="expression" dxfId="1887" priority="1973">
      <formula>$AG66:$AG252="Follow-Up Complete"</formula>
    </cfRule>
    <cfRule type="expression" dxfId="1886" priority="1974">
      <formula>$AG66:$AG252="Further Follow-Up"</formula>
    </cfRule>
    <cfRule type="expression" dxfId="1885" priority="1975">
      <formula>$AG66:$AG252="EOB Requested"</formula>
    </cfRule>
    <cfRule type="expression" dxfId="1884" priority="1976">
      <formula>$AG66:$AG252="EOB Not Found"</formula>
    </cfRule>
    <cfRule type="expression" dxfId="1883" priority="1977">
      <formula>$AG66:$AG252="EOB Downloaded"</formula>
    </cfRule>
  </conditionalFormatting>
  <conditionalFormatting sqref="T66">
    <cfRule type="expression" dxfId="1882" priority="1968">
      <formula>$AG66:$AG252="Follow-Up Complete"</formula>
    </cfRule>
    <cfRule type="expression" dxfId="1881" priority="1969">
      <formula>$AG66:$AG252="Further Follow-Up"</formula>
    </cfRule>
    <cfRule type="expression" dxfId="1880" priority="1970">
      <formula>$AG66:$AG252="EOB Requested"</formula>
    </cfRule>
    <cfRule type="expression" dxfId="1879" priority="1971">
      <formula>$AG66:$AG252="EOB Not Found"</formula>
    </cfRule>
    <cfRule type="expression" dxfId="1878" priority="1972">
      <formula>$AG66:$AG252="EOB Downloaded"</formula>
    </cfRule>
  </conditionalFormatting>
  <conditionalFormatting sqref="AA66">
    <cfRule type="expression" dxfId="1877" priority="1963">
      <formula>$AG66:$AG252="Follow-Up Complete"</formula>
    </cfRule>
    <cfRule type="expression" dxfId="1876" priority="1964">
      <formula>$AG66:$AG252="Further Follow-Up"</formula>
    </cfRule>
    <cfRule type="expression" dxfId="1875" priority="1965">
      <formula>$AG66:$AG252="EOB Requested"</formula>
    </cfRule>
    <cfRule type="expression" dxfId="1874" priority="1966">
      <formula>$AG66:$AG252="EOB Not Found"</formula>
    </cfRule>
    <cfRule type="expression" dxfId="1873" priority="1967">
      <formula>$AG66:$AG252="EOB Downloaded"</formula>
    </cfRule>
  </conditionalFormatting>
  <conditionalFormatting sqref="P67">
    <cfRule type="expression" dxfId="1872" priority="1958">
      <formula>$AG67:$AG253="Follow-Up Complete"</formula>
    </cfRule>
    <cfRule type="expression" dxfId="1871" priority="1959">
      <formula>$AG67:$AG253="Further Follow-Up"</formula>
    </cfRule>
    <cfRule type="expression" dxfId="1870" priority="1960">
      <formula>$AG67:$AG253="EOB Requested"</formula>
    </cfRule>
    <cfRule type="expression" dxfId="1869" priority="1961">
      <formula>$AG67:$AG253="EOB Not Found"</formula>
    </cfRule>
    <cfRule type="expression" dxfId="1868" priority="1962">
      <formula>$AG67:$AG253="EOB Downloaded"</formula>
    </cfRule>
  </conditionalFormatting>
  <conditionalFormatting sqref="R67">
    <cfRule type="expression" dxfId="1867" priority="1953">
      <formula>$AG67:$AG253="Follow-Up Complete"</formula>
    </cfRule>
    <cfRule type="expression" dxfId="1866" priority="1954">
      <formula>$AG67:$AG253="Further Follow-Up"</formula>
    </cfRule>
    <cfRule type="expression" dxfId="1865" priority="1955">
      <formula>$AG67:$AG253="EOB Requested"</formula>
    </cfRule>
    <cfRule type="expression" dxfId="1864" priority="1956">
      <formula>$AG67:$AG253="EOB Not Found"</formula>
    </cfRule>
    <cfRule type="expression" dxfId="1863" priority="1957">
      <formula>$AG67:$AG253="EOB Downloaded"</formula>
    </cfRule>
  </conditionalFormatting>
  <conditionalFormatting sqref="T67">
    <cfRule type="expression" dxfId="1862" priority="1948">
      <formula>$AG67:$AG253="Follow-Up Complete"</formula>
    </cfRule>
    <cfRule type="expression" dxfId="1861" priority="1949">
      <formula>$AG67:$AG253="Further Follow-Up"</formula>
    </cfRule>
    <cfRule type="expression" dxfId="1860" priority="1950">
      <formula>$AG67:$AG253="EOB Requested"</formula>
    </cfRule>
    <cfRule type="expression" dxfId="1859" priority="1951">
      <formula>$AG67:$AG253="EOB Not Found"</formula>
    </cfRule>
    <cfRule type="expression" dxfId="1858" priority="1952">
      <formula>$AG67:$AG253="EOB Downloaded"</formula>
    </cfRule>
  </conditionalFormatting>
  <conditionalFormatting sqref="V67">
    <cfRule type="expression" dxfId="1857" priority="1943">
      <formula>$AG67:$AG253="Follow-Up Complete"</formula>
    </cfRule>
    <cfRule type="expression" dxfId="1856" priority="1944">
      <formula>$AG67:$AG253="Further Follow-Up"</formula>
    </cfRule>
    <cfRule type="expression" dxfId="1855" priority="1945">
      <formula>$AG67:$AG253="EOB Requested"</formula>
    </cfRule>
    <cfRule type="expression" dxfId="1854" priority="1946">
      <formula>$AG67:$AG253="EOB Not Found"</formula>
    </cfRule>
    <cfRule type="expression" dxfId="1853" priority="1947">
      <formula>$AG67:$AG253="EOB Downloaded"</formula>
    </cfRule>
  </conditionalFormatting>
  <conditionalFormatting sqref="AA67">
    <cfRule type="expression" dxfId="1852" priority="1938">
      <formula>$AG67:$AG253="Follow-Up Complete"</formula>
    </cfRule>
    <cfRule type="expression" dxfId="1851" priority="1939">
      <formula>$AG67:$AG253="Further Follow-Up"</formula>
    </cfRule>
    <cfRule type="expression" dxfId="1850" priority="1940">
      <formula>$AG67:$AG253="EOB Requested"</formula>
    </cfRule>
    <cfRule type="expression" dxfId="1849" priority="1941">
      <formula>$AG67:$AG253="EOB Not Found"</formula>
    </cfRule>
    <cfRule type="expression" dxfId="1848" priority="1942">
      <formula>$AG67:$AG253="EOB Downloaded"</formula>
    </cfRule>
  </conditionalFormatting>
  <conditionalFormatting sqref="P68">
    <cfRule type="expression" dxfId="1847" priority="1933">
      <formula>$AG68:$AG254="Follow-Up Complete"</formula>
    </cfRule>
    <cfRule type="expression" dxfId="1846" priority="1934">
      <formula>$AG68:$AG254="Further Follow-Up"</formula>
    </cfRule>
    <cfRule type="expression" dxfId="1845" priority="1935">
      <formula>$AG68:$AG254="EOB Requested"</formula>
    </cfRule>
    <cfRule type="expression" dxfId="1844" priority="1936">
      <formula>$AG68:$AG254="EOB Not Found"</formula>
    </cfRule>
    <cfRule type="expression" dxfId="1843" priority="1937">
      <formula>$AG68:$AG254="EOB Downloaded"</formula>
    </cfRule>
  </conditionalFormatting>
  <conditionalFormatting sqref="R68">
    <cfRule type="expression" dxfId="1842" priority="1928">
      <formula>$AG68:$AG254="Follow-Up Complete"</formula>
    </cfRule>
    <cfRule type="expression" dxfId="1841" priority="1929">
      <formula>$AG68:$AG254="Further Follow-Up"</formula>
    </cfRule>
    <cfRule type="expression" dxfId="1840" priority="1930">
      <formula>$AG68:$AG254="EOB Requested"</formula>
    </cfRule>
    <cfRule type="expression" dxfId="1839" priority="1931">
      <formula>$AG68:$AG254="EOB Not Found"</formula>
    </cfRule>
    <cfRule type="expression" dxfId="1838" priority="1932">
      <formula>$AG68:$AG254="EOB Downloaded"</formula>
    </cfRule>
  </conditionalFormatting>
  <conditionalFormatting sqref="T68">
    <cfRule type="expression" dxfId="1837" priority="1923">
      <formula>$AG68:$AG254="Follow-Up Complete"</formula>
    </cfRule>
    <cfRule type="expression" dxfId="1836" priority="1924">
      <formula>$AG68:$AG254="Further Follow-Up"</formula>
    </cfRule>
    <cfRule type="expression" dxfId="1835" priority="1925">
      <formula>$AG68:$AG254="EOB Requested"</formula>
    </cfRule>
    <cfRule type="expression" dxfId="1834" priority="1926">
      <formula>$AG68:$AG254="EOB Not Found"</formula>
    </cfRule>
    <cfRule type="expression" dxfId="1833" priority="1927">
      <formula>$AG68:$AG254="EOB Downloaded"</formula>
    </cfRule>
  </conditionalFormatting>
  <conditionalFormatting sqref="V68">
    <cfRule type="expression" dxfId="1832" priority="1918">
      <formula>$AG68:$AG254="Follow-Up Complete"</formula>
    </cfRule>
    <cfRule type="expression" dxfId="1831" priority="1919">
      <formula>$AG68:$AG254="Further Follow-Up"</formula>
    </cfRule>
    <cfRule type="expression" dxfId="1830" priority="1920">
      <formula>$AG68:$AG254="EOB Requested"</formula>
    </cfRule>
    <cfRule type="expression" dxfId="1829" priority="1921">
      <formula>$AG68:$AG254="EOB Not Found"</formula>
    </cfRule>
    <cfRule type="expression" dxfId="1828" priority="1922">
      <formula>$AG68:$AG254="EOB Downloaded"</formula>
    </cfRule>
  </conditionalFormatting>
  <conditionalFormatting sqref="X68">
    <cfRule type="expression" dxfId="1827" priority="1913">
      <formula>$AG68:$AG254="Follow-Up Complete"</formula>
    </cfRule>
    <cfRule type="expression" dxfId="1826" priority="1914">
      <formula>$AG68:$AG254="Further Follow-Up"</formula>
    </cfRule>
    <cfRule type="expression" dxfId="1825" priority="1915">
      <formula>$AG68:$AG254="EOB Requested"</formula>
    </cfRule>
    <cfRule type="expression" dxfId="1824" priority="1916">
      <formula>$AG68:$AG254="EOB Not Found"</formula>
    </cfRule>
    <cfRule type="expression" dxfId="1823" priority="1917">
      <formula>$AG68:$AG254="EOB Downloaded"</formula>
    </cfRule>
  </conditionalFormatting>
  <conditionalFormatting sqref="AA68">
    <cfRule type="expression" dxfId="1822" priority="1908">
      <formula>$AG68:$AG254="Follow-Up Complete"</formula>
    </cfRule>
    <cfRule type="expression" dxfId="1821" priority="1909">
      <formula>$AG68:$AG254="Further Follow-Up"</formula>
    </cfRule>
    <cfRule type="expression" dxfId="1820" priority="1910">
      <formula>$AG68:$AG254="EOB Requested"</formula>
    </cfRule>
    <cfRule type="expression" dxfId="1819" priority="1911">
      <formula>$AG68:$AG254="EOB Not Found"</formula>
    </cfRule>
    <cfRule type="expression" dxfId="1818" priority="1912">
      <formula>$AG68:$AG254="EOB Downloaded"</formula>
    </cfRule>
  </conditionalFormatting>
  <conditionalFormatting sqref="P69">
    <cfRule type="expression" dxfId="1817" priority="1903">
      <formula>$AG69:$AG255="Follow-Up Complete"</formula>
    </cfRule>
    <cfRule type="expression" dxfId="1816" priority="1904">
      <formula>$AG69:$AG255="Further Follow-Up"</formula>
    </cfRule>
    <cfRule type="expression" dxfId="1815" priority="1905">
      <formula>$AG69:$AG255="EOB Requested"</formula>
    </cfRule>
    <cfRule type="expression" dxfId="1814" priority="1906">
      <formula>$AG69:$AG255="EOB Not Found"</formula>
    </cfRule>
    <cfRule type="expression" dxfId="1813" priority="1907">
      <formula>$AG69:$AG255="EOB Downloaded"</formula>
    </cfRule>
  </conditionalFormatting>
  <conditionalFormatting sqref="R69">
    <cfRule type="expression" dxfId="1812" priority="1898">
      <formula>$AG69:$AG255="Follow-Up Complete"</formula>
    </cfRule>
    <cfRule type="expression" dxfId="1811" priority="1899">
      <formula>$AG69:$AG255="Further Follow-Up"</formula>
    </cfRule>
    <cfRule type="expression" dxfId="1810" priority="1900">
      <formula>$AG69:$AG255="EOB Requested"</formula>
    </cfRule>
    <cfRule type="expression" dxfId="1809" priority="1901">
      <formula>$AG69:$AG255="EOB Not Found"</formula>
    </cfRule>
    <cfRule type="expression" dxfId="1808" priority="1902">
      <formula>$AG69:$AG255="EOB Downloaded"</formula>
    </cfRule>
  </conditionalFormatting>
  <conditionalFormatting sqref="T69">
    <cfRule type="expression" dxfId="1807" priority="1893">
      <formula>$AG69:$AG255="Follow-Up Complete"</formula>
    </cfRule>
    <cfRule type="expression" dxfId="1806" priority="1894">
      <formula>$AG69:$AG255="Further Follow-Up"</formula>
    </cfRule>
    <cfRule type="expression" dxfId="1805" priority="1895">
      <formula>$AG69:$AG255="EOB Requested"</formula>
    </cfRule>
    <cfRule type="expression" dxfId="1804" priority="1896">
      <formula>$AG69:$AG255="EOB Not Found"</formula>
    </cfRule>
    <cfRule type="expression" dxfId="1803" priority="1897">
      <formula>$AG69:$AG255="EOB Downloaded"</formula>
    </cfRule>
  </conditionalFormatting>
  <conditionalFormatting sqref="AA69">
    <cfRule type="expression" dxfId="1802" priority="1888">
      <formula>$AG69:$AG255="Follow-Up Complete"</formula>
    </cfRule>
    <cfRule type="expression" dxfId="1801" priority="1889">
      <formula>$AG69:$AG255="Further Follow-Up"</formula>
    </cfRule>
    <cfRule type="expression" dxfId="1800" priority="1890">
      <formula>$AG69:$AG255="EOB Requested"</formula>
    </cfRule>
    <cfRule type="expression" dxfId="1799" priority="1891">
      <formula>$AG69:$AG255="EOB Not Found"</formula>
    </cfRule>
    <cfRule type="expression" dxfId="1798" priority="1892">
      <formula>$AG69:$AG255="EOB Downloaded"</formula>
    </cfRule>
  </conditionalFormatting>
  <conditionalFormatting sqref="P71">
    <cfRule type="expression" dxfId="1797" priority="1883">
      <formula>$AG71:$AG257="Follow-Up Complete"</formula>
    </cfRule>
    <cfRule type="expression" dxfId="1796" priority="1884">
      <formula>$AG71:$AG257="Further Follow-Up"</formula>
    </cfRule>
    <cfRule type="expression" dxfId="1795" priority="1885">
      <formula>$AG71:$AG257="EOB Requested"</formula>
    </cfRule>
    <cfRule type="expression" dxfId="1794" priority="1886">
      <formula>$AG71:$AG257="EOB Not Found"</formula>
    </cfRule>
    <cfRule type="expression" dxfId="1793" priority="1887">
      <formula>$AG71:$AG257="EOB Downloaded"</formula>
    </cfRule>
  </conditionalFormatting>
  <conditionalFormatting sqref="R71">
    <cfRule type="expression" dxfId="1792" priority="1878">
      <formula>$AG71:$AG257="Follow-Up Complete"</formula>
    </cfRule>
    <cfRule type="expression" dxfId="1791" priority="1879">
      <formula>$AG71:$AG257="Further Follow-Up"</formula>
    </cfRule>
    <cfRule type="expression" dxfId="1790" priority="1880">
      <formula>$AG71:$AG257="EOB Requested"</formula>
    </cfRule>
    <cfRule type="expression" dxfId="1789" priority="1881">
      <formula>$AG71:$AG257="EOB Not Found"</formula>
    </cfRule>
    <cfRule type="expression" dxfId="1788" priority="1882">
      <formula>$AG71:$AG257="EOB Downloaded"</formula>
    </cfRule>
  </conditionalFormatting>
  <conditionalFormatting sqref="AA71">
    <cfRule type="expression" dxfId="1787" priority="1873">
      <formula>$AG71:$AG257="Follow-Up Complete"</formula>
    </cfRule>
    <cfRule type="expression" dxfId="1786" priority="1874">
      <formula>$AG71:$AG257="Further Follow-Up"</formula>
    </cfRule>
    <cfRule type="expression" dxfId="1785" priority="1875">
      <formula>$AG71:$AG257="EOB Requested"</formula>
    </cfRule>
    <cfRule type="expression" dxfId="1784" priority="1876">
      <formula>$AG71:$AG257="EOB Not Found"</formula>
    </cfRule>
    <cfRule type="expression" dxfId="1783" priority="1877">
      <formula>$AG71:$AG257="EOB Downloaded"</formula>
    </cfRule>
  </conditionalFormatting>
  <conditionalFormatting sqref="P72">
    <cfRule type="expression" dxfId="1782" priority="1868">
      <formula>$AG72:$AG258="Follow-Up Complete"</formula>
    </cfRule>
    <cfRule type="expression" dxfId="1781" priority="1869">
      <formula>$AG72:$AG258="Further Follow-Up"</formula>
    </cfRule>
    <cfRule type="expression" dxfId="1780" priority="1870">
      <formula>$AG72:$AG258="EOB Requested"</formula>
    </cfRule>
    <cfRule type="expression" dxfId="1779" priority="1871">
      <formula>$AG72:$AG258="EOB Not Found"</formula>
    </cfRule>
    <cfRule type="expression" dxfId="1778" priority="1872">
      <formula>$AG72:$AG258="EOB Downloaded"</formula>
    </cfRule>
  </conditionalFormatting>
  <conditionalFormatting sqref="R72">
    <cfRule type="expression" dxfId="1777" priority="1863">
      <formula>$AG72:$AG258="Follow-Up Complete"</formula>
    </cfRule>
    <cfRule type="expression" dxfId="1776" priority="1864">
      <formula>$AG72:$AG258="Further Follow-Up"</formula>
    </cfRule>
    <cfRule type="expression" dxfId="1775" priority="1865">
      <formula>$AG72:$AG258="EOB Requested"</formula>
    </cfRule>
    <cfRule type="expression" dxfId="1774" priority="1866">
      <formula>$AG72:$AG258="EOB Not Found"</formula>
    </cfRule>
    <cfRule type="expression" dxfId="1773" priority="1867">
      <formula>$AG72:$AG258="EOB Downloaded"</formula>
    </cfRule>
  </conditionalFormatting>
  <conditionalFormatting sqref="T72">
    <cfRule type="expression" dxfId="1772" priority="1858">
      <formula>$AG72:$AG258="Follow-Up Complete"</formula>
    </cfRule>
    <cfRule type="expression" dxfId="1771" priority="1859">
      <formula>$AG72:$AG258="Further Follow-Up"</formula>
    </cfRule>
    <cfRule type="expression" dxfId="1770" priority="1860">
      <formula>$AG72:$AG258="EOB Requested"</formula>
    </cfRule>
    <cfRule type="expression" dxfId="1769" priority="1861">
      <formula>$AG72:$AG258="EOB Not Found"</formula>
    </cfRule>
    <cfRule type="expression" dxfId="1768" priority="1862">
      <formula>$AG72:$AG258="EOB Downloaded"</formula>
    </cfRule>
  </conditionalFormatting>
  <conditionalFormatting sqref="V72">
    <cfRule type="expression" dxfId="1767" priority="1853">
      <formula>$AG72:$AG258="Follow-Up Complete"</formula>
    </cfRule>
    <cfRule type="expression" dxfId="1766" priority="1854">
      <formula>$AG72:$AG258="Further Follow-Up"</formula>
    </cfRule>
    <cfRule type="expression" dxfId="1765" priority="1855">
      <formula>$AG72:$AG258="EOB Requested"</formula>
    </cfRule>
    <cfRule type="expression" dxfId="1764" priority="1856">
      <formula>$AG72:$AG258="EOB Not Found"</formula>
    </cfRule>
    <cfRule type="expression" dxfId="1763" priority="1857">
      <formula>$AG72:$AG258="EOB Downloaded"</formula>
    </cfRule>
  </conditionalFormatting>
  <conditionalFormatting sqref="X72">
    <cfRule type="expression" dxfId="1762" priority="1848">
      <formula>$AG72:$AG258="Follow-Up Complete"</formula>
    </cfRule>
    <cfRule type="expression" dxfId="1761" priority="1849">
      <formula>$AG72:$AG258="Further Follow-Up"</formula>
    </cfRule>
    <cfRule type="expression" dxfId="1760" priority="1850">
      <formula>$AG72:$AG258="EOB Requested"</formula>
    </cfRule>
    <cfRule type="expression" dxfId="1759" priority="1851">
      <formula>$AG72:$AG258="EOB Not Found"</formula>
    </cfRule>
    <cfRule type="expression" dxfId="1758" priority="1852">
      <formula>$AG72:$AG258="EOB Downloaded"</formula>
    </cfRule>
  </conditionalFormatting>
  <conditionalFormatting sqref="AA72">
    <cfRule type="expression" dxfId="1757" priority="1843">
      <formula>$AG72:$AG258="Follow-Up Complete"</formula>
    </cfRule>
    <cfRule type="expression" dxfId="1756" priority="1844">
      <formula>$AG72:$AG258="Further Follow-Up"</formula>
    </cfRule>
    <cfRule type="expression" dxfId="1755" priority="1845">
      <formula>$AG72:$AG258="EOB Requested"</formula>
    </cfRule>
    <cfRule type="expression" dxfId="1754" priority="1846">
      <formula>$AG72:$AG258="EOB Not Found"</formula>
    </cfRule>
    <cfRule type="expression" dxfId="1753" priority="1847">
      <formula>$AG72:$AG258="EOB Downloaded"</formula>
    </cfRule>
  </conditionalFormatting>
  <conditionalFormatting sqref="AF72">
    <cfRule type="expression" dxfId="1752" priority="1838">
      <formula>$AG72:$AG258="Follow-Up Complete"</formula>
    </cfRule>
    <cfRule type="expression" dxfId="1751" priority="1839">
      <formula>$AG72:$AG258="Further Follow-Up"</formula>
    </cfRule>
    <cfRule type="expression" dxfId="1750" priority="1840">
      <formula>$AG72:$AG258="EOB Requested"</formula>
    </cfRule>
    <cfRule type="expression" dxfId="1749" priority="1841">
      <formula>$AG72:$AG258="EOB Not Found"</formula>
    </cfRule>
    <cfRule type="expression" dxfId="1748" priority="1842">
      <formula>$AG72:$AG258="EOB Downloaded"</formula>
    </cfRule>
  </conditionalFormatting>
  <conditionalFormatting sqref="P73">
    <cfRule type="expression" dxfId="1747" priority="1833">
      <formula>$AG73:$AG259="Follow-Up Complete"</formula>
    </cfRule>
    <cfRule type="expression" dxfId="1746" priority="1834">
      <formula>$AG73:$AG259="Further Follow-Up"</formula>
    </cfRule>
    <cfRule type="expression" dxfId="1745" priority="1835">
      <formula>$AG73:$AG259="EOB Requested"</formula>
    </cfRule>
    <cfRule type="expression" dxfId="1744" priority="1836">
      <formula>$AG73:$AG259="EOB Not Found"</formula>
    </cfRule>
    <cfRule type="expression" dxfId="1743" priority="1837">
      <formula>$AG73:$AG259="EOB Downloaded"</formula>
    </cfRule>
  </conditionalFormatting>
  <conditionalFormatting sqref="R73">
    <cfRule type="expression" dxfId="1742" priority="1828">
      <formula>$AG73:$AG259="Follow-Up Complete"</formula>
    </cfRule>
    <cfRule type="expression" dxfId="1741" priority="1829">
      <formula>$AG73:$AG259="Further Follow-Up"</formula>
    </cfRule>
    <cfRule type="expression" dxfId="1740" priority="1830">
      <formula>$AG73:$AG259="EOB Requested"</formula>
    </cfRule>
    <cfRule type="expression" dxfId="1739" priority="1831">
      <formula>$AG73:$AG259="EOB Not Found"</formula>
    </cfRule>
    <cfRule type="expression" dxfId="1738" priority="1832">
      <formula>$AG73:$AG259="EOB Downloaded"</formula>
    </cfRule>
  </conditionalFormatting>
  <conditionalFormatting sqref="V73">
    <cfRule type="expression" dxfId="1737" priority="1823">
      <formula>$AG73:$AG259="Follow-Up Complete"</formula>
    </cfRule>
    <cfRule type="expression" dxfId="1736" priority="1824">
      <formula>$AG73:$AG259="Further Follow-Up"</formula>
    </cfRule>
    <cfRule type="expression" dxfId="1735" priority="1825">
      <formula>$AG73:$AG259="EOB Requested"</formula>
    </cfRule>
    <cfRule type="expression" dxfId="1734" priority="1826">
      <formula>$AG73:$AG259="EOB Not Found"</formula>
    </cfRule>
    <cfRule type="expression" dxfId="1733" priority="1827">
      <formula>$AG73:$AG259="EOB Downloaded"</formula>
    </cfRule>
  </conditionalFormatting>
  <conditionalFormatting sqref="X73">
    <cfRule type="expression" dxfId="1732" priority="1818">
      <formula>$AG73:$AG259="Follow-Up Complete"</formula>
    </cfRule>
    <cfRule type="expression" dxfId="1731" priority="1819">
      <formula>$AG73:$AG259="Further Follow-Up"</formula>
    </cfRule>
    <cfRule type="expression" dxfId="1730" priority="1820">
      <formula>$AG73:$AG259="EOB Requested"</formula>
    </cfRule>
    <cfRule type="expression" dxfId="1729" priority="1821">
      <formula>$AG73:$AG259="EOB Not Found"</formula>
    </cfRule>
    <cfRule type="expression" dxfId="1728" priority="1822">
      <formula>$AG73:$AG259="EOB Downloaded"</formula>
    </cfRule>
  </conditionalFormatting>
  <conditionalFormatting sqref="AA73">
    <cfRule type="expression" dxfId="1727" priority="1813">
      <formula>$AG73:$AG259="Follow-Up Complete"</formula>
    </cfRule>
    <cfRule type="expression" dxfId="1726" priority="1814">
      <formula>$AG73:$AG259="Further Follow-Up"</formula>
    </cfRule>
    <cfRule type="expression" dxfId="1725" priority="1815">
      <formula>$AG73:$AG259="EOB Requested"</formula>
    </cfRule>
    <cfRule type="expression" dxfId="1724" priority="1816">
      <formula>$AG73:$AG259="EOB Not Found"</formula>
    </cfRule>
    <cfRule type="expression" dxfId="1723" priority="1817">
      <formula>$AG73:$AG259="EOB Downloaded"</formula>
    </cfRule>
  </conditionalFormatting>
  <conditionalFormatting sqref="P74">
    <cfRule type="expression" dxfId="1722" priority="1808">
      <formula>$AG74:$AG260="Follow-Up Complete"</formula>
    </cfRule>
    <cfRule type="expression" dxfId="1721" priority="1809">
      <formula>$AG74:$AG260="Further Follow-Up"</formula>
    </cfRule>
    <cfRule type="expression" dxfId="1720" priority="1810">
      <formula>$AG74:$AG260="EOB Requested"</formula>
    </cfRule>
    <cfRule type="expression" dxfId="1719" priority="1811">
      <formula>$AG74:$AG260="EOB Not Found"</formula>
    </cfRule>
    <cfRule type="expression" dxfId="1718" priority="1812">
      <formula>$AG74:$AG260="EOB Downloaded"</formula>
    </cfRule>
  </conditionalFormatting>
  <conditionalFormatting sqref="R74">
    <cfRule type="expression" dxfId="1717" priority="1803">
      <formula>$AG74:$AG260="Follow-Up Complete"</formula>
    </cfRule>
    <cfRule type="expression" dxfId="1716" priority="1804">
      <formula>$AG74:$AG260="Further Follow-Up"</formula>
    </cfRule>
    <cfRule type="expression" dxfId="1715" priority="1805">
      <formula>$AG74:$AG260="EOB Requested"</formula>
    </cfRule>
    <cfRule type="expression" dxfId="1714" priority="1806">
      <formula>$AG74:$AG260="EOB Not Found"</formula>
    </cfRule>
    <cfRule type="expression" dxfId="1713" priority="1807">
      <formula>$AG74:$AG260="EOB Downloaded"</formula>
    </cfRule>
  </conditionalFormatting>
  <conditionalFormatting sqref="T74">
    <cfRule type="expression" dxfId="1712" priority="1798">
      <formula>$AG74:$AG260="Follow-Up Complete"</formula>
    </cfRule>
    <cfRule type="expression" dxfId="1711" priority="1799">
      <formula>$AG74:$AG260="Further Follow-Up"</formula>
    </cfRule>
    <cfRule type="expression" dxfId="1710" priority="1800">
      <formula>$AG74:$AG260="EOB Requested"</formula>
    </cfRule>
    <cfRule type="expression" dxfId="1709" priority="1801">
      <formula>$AG74:$AG260="EOB Not Found"</formula>
    </cfRule>
    <cfRule type="expression" dxfId="1708" priority="1802">
      <formula>$AG74:$AG260="EOB Downloaded"</formula>
    </cfRule>
  </conditionalFormatting>
  <conditionalFormatting sqref="V74">
    <cfRule type="expression" dxfId="1707" priority="1793">
      <formula>$AG74:$AG260="Follow-Up Complete"</formula>
    </cfRule>
    <cfRule type="expression" dxfId="1706" priority="1794">
      <formula>$AG74:$AG260="Further Follow-Up"</formula>
    </cfRule>
    <cfRule type="expression" dxfId="1705" priority="1795">
      <formula>$AG74:$AG260="EOB Requested"</formula>
    </cfRule>
    <cfRule type="expression" dxfId="1704" priority="1796">
      <formula>$AG74:$AG260="EOB Not Found"</formula>
    </cfRule>
    <cfRule type="expression" dxfId="1703" priority="1797">
      <formula>$AG74:$AG260="EOB Downloaded"</formula>
    </cfRule>
  </conditionalFormatting>
  <conditionalFormatting sqref="X74">
    <cfRule type="expression" dxfId="1702" priority="1788">
      <formula>$AG74:$AG260="Follow-Up Complete"</formula>
    </cfRule>
    <cfRule type="expression" dxfId="1701" priority="1789">
      <formula>$AG74:$AG260="Further Follow-Up"</formula>
    </cfRule>
    <cfRule type="expression" dxfId="1700" priority="1790">
      <formula>$AG74:$AG260="EOB Requested"</formula>
    </cfRule>
    <cfRule type="expression" dxfId="1699" priority="1791">
      <formula>$AG74:$AG260="EOB Not Found"</formula>
    </cfRule>
    <cfRule type="expression" dxfId="1698" priority="1792">
      <formula>$AG74:$AG260="EOB Downloaded"</formula>
    </cfRule>
  </conditionalFormatting>
  <conditionalFormatting sqref="AA74">
    <cfRule type="expression" dxfId="1697" priority="1783">
      <formula>$AG74:$AG260="Follow-Up Complete"</formula>
    </cfRule>
    <cfRule type="expression" dxfId="1696" priority="1784">
      <formula>$AG74:$AG260="Further Follow-Up"</formula>
    </cfRule>
    <cfRule type="expression" dxfId="1695" priority="1785">
      <formula>$AG74:$AG260="EOB Requested"</formula>
    </cfRule>
    <cfRule type="expression" dxfId="1694" priority="1786">
      <formula>$AG74:$AG260="EOB Not Found"</formula>
    </cfRule>
    <cfRule type="expression" dxfId="1693" priority="1787">
      <formula>$AG74:$AG260="EOB Downloaded"</formula>
    </cfRule>
  </conditionalFormatting>
  <conditionalFormatting sqref="P75">
    <cfRule type="expression" dxfId="1692" priority="1778">
      <formula>$AG75:$AG261="Follow-Up Complete"</formula>
    </cfRule>
    <cfRule type="expression" dxfId="1691" priority="1779">
      <formula>$AG75:$AG261="Further Follow-Up"</formula>
    </cfRule>
    <cfRule type="expression" dxfId="1690" priority="1780">
      <formula>$AG75:$AG261="EOB Requested"</formula>
    </cfRule>
    <cfRule type="expression" dxfId="1689" priority="1781">
      <formula>$AG75:$AG261="EOB Not Found"</formula>
    </cfRule>
    <cfRule type="expression" dxfId="1688" priority="1782">
      <formula>$AG75:$AG261="EOB Downloaded"</formula>
    </cfRule>
  </conditionalFormatting>
  <conditionalFormatting sqref="R75">
    <cfRule type="expression" dxfId="1687" priority="1773">
      <formula>$AG75:$AG261="Follow-Up Complete"</formula>
    </cfRule>
    <cfRule type="expression" dxfId="1686" priority="1774">
      <formula>$AG75:$AG261="Further Follow-Up"</formula>
    </cfRule>
    <cfRule type="expression" dxfId="1685" priority="1775">
      <formula>$AG75:$AG261="EOB Requested"</formula>
    </cfRule>
    <cfRule type="expression" dxfId="1684" priority="1776">
      <formula>$AG75:$AG261="EOB Not Found"</formula>
    </cfRule>
    <cfRule type="expression" dxfId="1683" priority="1777">
      <formula>$AG75:$AG261="EOB Downloaded"</formula>
    </cfRule>
  </conditionalFormatting>
  <conditionalFormatting sqref="T75">
    <cfRule type="expression" dxfId="1682" priority="1768">
      <formula>$AG75:$AG261="Follow-Up Complete"</formula>
    </cfRule>
    <cfRule type="expression" dxfId="1681" priority="1769">
      <formula>$AG75:$AG261="Further Follow-Up"</formula>
    </cfRule>
    <cfRule type="expression" dxfId="1680" priority="1770">
      <formula>$AG75:$AG261="EOB Requested"</formula>
    </cfRule>
    <cfRule type="expression" dxfId="1679" priority="1771">
      <formula>$AG75:$AG261="EOB Not Found"</formula>
    </cfRule>
    <cfRule type="expression" dxfId="1678" priority="1772">
      <formula>$AG75:$AG261="EOB Downloaded"</formula>
    </cfRule>
  </conditionalFormatting>
  <conditionalFormatting sqref="V75">
    <cfRule type="expression" dxfId="1677" priority="1763">
      <formula>$AG75:$AG261="Follow-Up Complete"</formula>
    </cfRule>
    <cfRule type="expression" dxfId="1676" priority="1764">
      <formula>$AG75:$AG261="Further Follow-Up"</formula>
    </cfRule>
    <cfRule type="expression" dxfId="1675" priority="1765">
      <formula>$AG75:$AG261="EOB Requested"</formula>
    </cfRule>
    <cfRule type="expression" dxfId="1674" priority="1766">
      <formula>$AG75:$AG261="EOB Not Found"</formula>
    </cfRule>
    <cfRule type="expression" dxfId="1673" priority="1767">
      <formula>$AG75:$AG261="EOB Downloaded"</formula>
    </cfRule>
  </conditionalFormatting>
  <conditionalFormatting sqref="X75">
    <cfRule type="expression" dxfId="1672" priority="1758">
      <formula>$AG75:$AG261="Follow-Up Complete"</formula>
    </cfRule>
    <cfRule type="expression" dxfId="1671" priority="1759">
      <formula>$AG75:$AG261="Further Follow-Up"</formula>
    </cfRule>
    <cfRule type="expression" dxfId="1670" priority="1760">
      <formula>$AG75:$AG261="EOB Requested"</formula>
    </cfRule>
    <cfRule type="expression" dxfId="1669" priority="1761">
      <formula>$AG75:$AG261="EOB Not Found"</formula>
    </cfRule>
    <cfRule type="expression" dxfId="1668" priority="1762">
      <formula>$AG75:$AG261="EOB Downloaded"</formula>
    </cfRule>
  </conditionalFormatting>
  <conditionalFormatting sqref="AA75">
    <cfRule type="expression" dxfId="1667" priority="1753">
      <formula>$AG75:$AG261="Follow-Up Complete"</formula>
    </cfRule>
    <cfRule type="expression" dxfId="1666" priority="1754">
      <formula>$AG75:$AG261="Further Follow-Up"</formula>
    </cfRule>
    <cfRule type="expression" dxfId="1665" priority="1755">
      <formula>$AG75:$AG261="EOB Requested"</formula>
    </cfRule>
    <cfRule type="expression" dxfId="1664" priority="1756">
      <formula>$AG75:$AG261="EOB Not Found"</formula>
    </cfRule>
    <cfRule type="expression" dxfId="1663" priority="1757">
      <formula>$AG75:$AG261="EOB Downloaded"</formula>
    </cfRule>
  </conditionalFormatting>
  <conditionalFormatting sqref="P76">
    <cfRule type="expression" dxfId="1662" priority="1748">
      <formula>$AG76:$AG262="Follow-Up Complete"</formula>
    </cfRule>
    <cfRule type="expression" dxfId="1661" priority="1749">
      <formula>$AG76:$AG262="Further Follow-Up"</formula>
    </cfRule>
    <cfRule type="expression" dxfId="1660" priority="1750">
      <formula>$AG76:$AG262="EOB Requested"</formula>
    </cfRule>
    <cfRule type="expression" dxfId="1659" priority="1751">
      <formula>$AG76:$AG262="EOB Not Found"</formula>
    </cfRule>
    <cfRule type="expression" dxfId="1658" priority="1752">
      <formula>$AG76:$AG262="EOB Downloaded"</formula>
    </cfRule>
  </conditionalFormatting>
  <conditionalFormatting sqref="R76">
    <cfRule type="expression" dxfId="1657" priority="1743">
      <formula>$AG76:$AG262="Follow-Up Complete"</formula>
    </cfRule>
    <cfRule type="expression" dxfId="1656" priority="1744">
      <formula>$AG76:$AG262="Further Follow-Up"</formula>
    </cfRule>
    <cfRule type="expression" dxfId="1655" priority="1745">
      <formula>$AG76:$AG262="EOB Requested"</formula>
    </cfRule>
    <cfRule type="expression" dxfId="1654" priority="1746">
      <formula>$AG76:$AG262="EOB Not Found"</formula>
    </cfRule>
    <cfRule type="expression" dxfId="1653" priority="1747">
      <formula>$AG76:$AG262="EOB Downloaded"</formula>
    </cfRule>
  </conditionalFormatting>
  <conditionalFormatting sqref="T76">
    <cfRule type="expression" dxfId="1652" priority="1738">
      <formula>$AG76:$AG262="Follow-Up Complete"</formula>
    </cfRule>
    <cfRule type="expression" dxfId="1651" priority="1739">
      <formula>$AG76:$AG262="Further Follow-Up"</formula>
    </cfRule>
    <cfRule type="expression" dxfId="1650" priority="1740">
      <formula>$AG76:$AG262="EOB Requested"</formula>
    </cfRule>
    <cfRule type="expression" dxfId="1649" priority="1741">
      <formula>$AG76:$AG262="EOB Not Found"</formula>
    </cfRule>
    <cfRule type="expression" dxfId="1648" priority="1742">
      <formula>$AG76:$AG262="EOB Downloaded"</formula>
    </cfRule>
  </conditionalFormatting>
  <conditionalFormatting sqref="AA76">
    <cfRule type="expression" dxfId="1647" priority="1733">
      <formula>$AG76:$AG262="Follow-Up Complete"</formula>
    </cfRule>
    <cfRule type="expression" dxfId="1646" priority="1734">
      <formula>$AG76:$AG262="Further Follow-Up"</formula>
    </cfRule>
    <cfRule type="expression" dxfId="1645" priority="1735">
      <formula>$AG76:$AG262="EOB Requested"</formula>
    </cfRule>
    <cfRule type="expression" dxfId="1644" priority="1736">
      <formula>$AG76:$AG262="EOB Not Found"</formula>
    </cfRule>
    <cfRule type="expression" dxfId="1643" priority="1737">
      <formula>$AG76:$AG262="EOB Downloaded"</formula>
    </cfRule>
  </conditionalFormatting>
  <conditionalFormatting sqref="P233">
    <cfRule type="expression" dxfId="1642" priority="1728">
      <formula>$AG233:$AG419="Follow-Up Complete"</formula>
    </cfRule>
    <cfRule type="expression" dxfId="1641" priority="1729">
      <formula>$AG233:$AG419="Further Follow-Up"</formula>
    </cfRule>
    <cfRule type="expression" dxfId="1640" priority="1730">
      <formula>$AG233:$AG419="EOB Requested"</formula>
    </cfRule>
    <cfRule type="expression" dxfId="1639" priority="1731">
      <formula>$AG233:$AG419="EOB Not Found"</formula>
    </cfRule>
    <cfRule type="expression" dxfId="1638" priority="1732">
      <formula>$AG233:$AG419="EOB Downloaded"</formula>
    </cfRule>
  </conditionalFormatting>
  <conditionalFormatting sqref="R233">
    <cfRule type="expression" dxfId="1637" priority="1723">
      <formula>$AG233:$AG419="Follow-Up Complete"</formula>
    </cfRule>
    <cfRule type="expression" dxfId="1636" priority="1724">
      <formula>$AG233:$AG419="Further Follow-Up"</formula>
    </cfRule>
    <cfRule type="expression" dxfId="1635" priority="1725">
      <formula>$AG233:$AG419="EOB Requested"</formula>
    </cfRule>
    <cfRule type="expression" dxfId="1634" priority="1726">
      <formula>$AG233:$AG419="EOB Not Found"</formula>
    </cfRule>
    <cfRule type="expression" dxfId="1633" priority="1727">
      <formula>$AG233:$AG419="EOB Downloaded"</formula>
    </cfRule>
  </conditionalFormatting>
  <conditionalFormatting sqref="T233">
    <cfRule type="expression" dxfId="1632" priority="1718">
      <formula>$AG233:$AG419="Follow-Up Complete"</formula>
    </cfRule>
    <cfRule type="expression" dxfId="1631" priority="1719">
      <formula>$AG233:$AG419="Further Follow-Up"</formula>
    </cfRule>
    <cfRule type="expression" dxfId="1630" priority="1720">
      <formula>$AG233:$AG419="EOB Requested"</formula>
    </cfRule>
    <cfRule type="expression" dxfId="1629" priority="1721">
      <formula>$AG233:$AG419="EOB Not Found"</formula>
    </cfRule>
    <cfRule type="expression" dxfId="1628" priority="1722">
      <formula>$AG233:$AG419="EOB Downloaded"</formula>
    </cfRule>
  </conditionalFormatting>
  <conditionalFormatting sqref="V233">
    <cfRule type="expression" dxfId="1627" priority="1713">
      <formula>$AG233:$AG419="Follow-Up Complete"</formula>
    </cfRule>
    <cfRule type="expression" dxfId="1626" priority="1714">
      <formula>$AG233:$AG419="Further Follow-Up"</formula>
    </cfRule>
    <cfRule type="expression" dxfId="1625" priority="1715">
      <formula>$AG233:$AG419="EOB Requested"</formula>
    </cfRule>
    <cfRule type="expression" dxfId="1624" priority="1716">
      <formula>$AG233:$AG419="EOB Not Found"</formula>
    </cfRule>
    <cfRule type="expression" dxfId="1623" priority="1717">
      <formula>$AG233:$AG419="EOB Downloaded"</formula>
    </cfRule>
  </conditionalFormatting>
  <conditionalFormatting sqref="X233">
    <cfRule type="expression" dxfId="1622" priority="1708">
      <formula>$AG233:$AG419="Follow-Up Complete"</formula>
    </cfRule>
    <cfRule type="expression" dxfId="1621" priority="1709">
      <formula>$AG233:$AG419="Further Follow-Up"</formula>
    </cfRule>
    <cfRule type="expression" dxfId="1620" priority="1710">
      <formula>$AG233:$AG419="EOB Requested"</formula>
    </cfRule>
    <cfRule type="expression" dxfId="1619" priority="1711">
      <formula>$AG233:$AG419="EOB Not Found"</formula>
    </cfRule>
    <cfRule type="expression" dxfId="1618" priority="1712">
      <formula>$AG233:$AG419="EOB Downloaded"</formula>
    </cfRule>
  </conditionalFormatting>
  <conditionalFormatting sqref="AA233">
    <cfRule type="expression" dxfId="1617" priority="1703">
      <formula>$AG233:$AG419="Follow-Up Complete"</formula>
    </cfRule>
    <cfRule type="expression" dxfId="1616" priority="1704">
      <formula>$AG233:$AG419="Further Follow-Up"</formula>
    </cfRule>
    <cfRule type="expression" dxfId="1615" priority="1705">
      <formula>$AG233:$AG419="EOB Requested"</formula>
    </cfRule>
    <cfRule type="expression" dxfId="1614" priority="1706">
      <formula>$AG233:$AG419="EOB Not Found"</formula>
    </cfRule>
    <cfRule type="expression" dxfId="1613" priority="1707">
      <formula>$AG233:$AG419="EOB Downloaded"</formula>
    </cfRule>
  </conditionalFormatting>
  <conditionalFormatting sqref="P232">
    <cfRule type="expression" dxfId="1612" priority="1698">
      <formula>$AG232:$AG418="Follow-Up Complete"</formula>
    </cfRule>
    <cfRule type="expression" dxfId="1611" priority="1699">
      <formula>$AG232:$AG418="Further Follow-Up"</formula>
    </cfRule>
    <cfRule type="expression" dxfId="1610" priority="1700">
      <formula>$AG232:$AG418="EOB Requested"</formula>
    </cfRule>
    <cfRule type="expression" dxfId="1609" priority="1701">
      <formula>$AG232:$AG418="EOB Not Found"</formula>
    </cfRule>
    <cfRule type="expression" dxfId="1608" priority="1702">
      <formula>$AG232:$AG418="EOB Downloaded"</formula>
    </cfRule>
  </conditionalFormatting>
  <conditionalFormatting sqref="T232">
    <cfRule type="expression" dxfId="1607" priority="1693">
      <formula>$AG232:$AG418="Follow-Up Complete"</formula>
    </cfRule>
    <cfRule type="expression" dxfId="1606" priority="1694">
      <formula>$AG232:$AG418="Further Follow-Up"</formula>
    </cfRule>
    <cfRule type="expression" dxfId="1605" priority="1695">
      <formula>$AG232:$AG418="EOB Requested"</formula>
    </cfRule>
    <cfRule type="expression" dxfId="1604" priority="1696">
      <formula>$AG232:$AG418="EOB Not Found"</formula>
    </cfRule>
    <cfRule type="expression" dxfId="1603" priority="1697">
      <formula>$AG232:$AG418="EOB Downloaded"</formula>
    </cfRule>
  </conditionalFormatting>
  <conditionalFormatting sqref="V232">
    <cfRule type="expression" dxfId="1602" priority="1688">
      <formula>$AG232:$AG418="Follow-Up Complete"</formula>
    </cfRule>
    <cfRule type="expression" dxfId="1601" priority="1689">
      <formula>$AG232:$AG418="Further Follow-Up"</formula>
    </cfRule>
    <cfRule type="expression" dxfId="1600" priority="1690">
      <formula>$AG232:$AG418="EOB Requested"</formula>
    </cfRule>
    <cfRule type="expression" dxfId="1599" priority="1691">
      <formula>$AG232:$AG418="EOB Not Found"</formula>
    </cfRule>
    <cfRule type="expression" dxfId="1598" priority="1692">
      <formula>$AG232:$AG418="EOB Downloaded"</formula>
    </cfRule>
  </conditionalFormatting>
  <conditionalFormatting sqref="AA232">
    <cfRule type="expression" dxfId="1597" priority="1683">
      <formula>$AG232:$AG418="Follow-Up Complete"</formula>
    </cfRule>
    <cfRule type="expression" dxfId="1596" priority="1684">
      <formula>$AG232:$AG418="Further Follow-Up"</formula>
    </cfRule>
    <cfRule type="expression" dxfId="1595" priority="1685">
      <formula>$AG232:$AG418="EOB Requested"</formula>
    </cfRule>
    <cfRule type="expression" dxfId="1594" priority="1686">
      <formula>$AG232:$AG418="EOB Not Found"</formula>
    </cfRule>
    <cfRule type="expression" dxfId="1593" priority="1687">
      <formula>$AG232:$AG418="EOB Downloaded"</formula>
    </cfRule>
  </conditionalFormatting>
  <conditionalFormatting sqref="P231">
    <cfRule type="expression" dxfId="1592" priority="1678">
      <formula>$AG231:$AG417="Follow-Up Complete"</formula>
    </cfRule>
    <cfRule type="expression" dxfId="1591" priority="1679">
      <formula>$AG231:$AG417="Further Follow-Up"</formula>
    </cfRule>
    <cfRule type="expression" dxfId="1590" priority="1680">
      <formula>$AG231:$AG417="EOB Requested"</formula>
    </cfRule>
    <cfRule type="expression" dxfId="1589" priority="1681">
      <formula>$AG231:$AG417="EOB Not Found"</formula>
    </cfRule>
    <cfRule type="expression" dxfId="1588" priority="1682">
      <formula>$AG231:$AG417="EOB Downloaded"</formula>
    </cfRule>
  </conditionalFormatting>
  <conditionalFormatting sqref="R231">
    <cfRule type="expression" dxfId="1587" priority="1673">
      <formula>$AG231:$AG417="Follow-Up Complete"</formula>
    </cfRule>
    <cfRule type="expression" dxfId="1586" priority="1674">
      <formula>$AG231:$AG417="Further Follow-Up"</formula>
    </cfRule>
    <cfRule type="expression" dxfId="1585" priority="1675">
      <formula>$AG231:$AG417="EOB Requested"</formula>
    </cfRule>
    <cfRule type="expression" dxfId="1584" priority="1676">
      <formula>$AG231:$AG417="EOB Not Found"</formula>
    </cfRule>
    <cfRule type="expression" dxfId="1583" priority="1677">
      <formula>$AG231:$AG417="EOB Downloaded"</formula>
    </cfRule>
  </conditionalFormatting>
  <conditionalFormatting sqref="T231">
    <cfRule type="expression" dxfId="1582" priority="1668">
      <formula>$AG231:$AG417="Follow-Up Complete"</formula>
    </cfRule>
    <cfRule type="expression" dxfId="1581" priority="1669">
      <formula>$AG231:$AG417="Further Follow-Up"</formula>
    </cfRule>
    <cfRule type="expression" dxfId="1580" priority="1670">
      <formula>$AG231:$AG417="EOB Requested"</formula>
    </cfRule>
    <cfRule type="expression" dxfId="1579" priority="1671">
      <formula>$AG231:$AG417="EOB Not Found"</formula>
    </cfRule>
    <cfRule type="expression" dxfId="1578" priority="1672">
      <formula>$AG231:$AG417="EOB Downloaded"</formula>
    </cfRule>
  </conditionalFormatting>
  <conditionalFormatting sqref="V231">
    <cfRule type="expression" dxfId="1577" priority="1663">
      <formula>$AG231:$AG417="Follow-Up Complete"</formula>
    </cfRule>
    <cfRule type="expression" dxfId="1576" priority="1664">
      <formula>$AG231:$AG417="Further Follow-Up"</formula>
    </cfRule>
    <cfRule type="expression" dxfId="1575" priority="1665">
      <formula>$AG231:$AG417="EOB Requested"</formula>
    </cfRule>
    <cfRule type="expression" dxfId="1574" priority="1666">
      <formula>$AG231:$AG417="EOB Not Found"</formula>
    </cfRule>
    <cfRule type="expression" dxfId="1573" priority="1667">
      <formula>$AG231:$AG417="EOB Downloaded"</formula>
    </cfRule>
  </conditionalFormatting>
  <conditionalFormatting sqref="X231">
    <cfRule type="expression" dxfId="1572" priority="1658">
      <formula>$AG231:$AG417="Follow-Up Complete"</formula>
    </cfRule>
    <cfRule type="expression" dxfId="1571" priority="1659">
      <formula>$AG231:$AG417="Further Follow-Up"</formula>
    </cfRule>
    <cfRule type="expression" dxfId="1570" priority="1660">
      <formula>$AG231:$AG417="EOB Requested"</formula>
    </cfRule>
    <cfRule type="expression" dxfId="1569" priority="1661">
      <formula>$AG231:$AG417="EOB Not Found"</formula>
    </cfRule>
    <cfRule type="expression" dxfId="1568" priority="1662">
      <formula>$AG231:$AG417="EOB Downloaded"</formula>
    </cfRule>
  </conditionalFormatting>
  <conditionalFormatting sqref="AA231">
    <cfRule type="expression" dxfId="1567" priority="1653">
      <formula>$AG231:$AG417="Follow-Up Complete"</formula>
    </cfRule>
    <cfRule type="expression" dxfId="1566" priority="1654">
      <formula>$AG231:$AG417="Further Follow-Up"</formula>
    </cfRule>
    <cfRule type="expression" dxfId="1565" priority="1655">
      <formula>$AG231:$AG417="EOB Requested"</formula>
    </cfRule>
    <cfRule type="expression" dxfId="1564" priority="1656">
      <formula>$AG231:$AG417="EOB Not Found"</formula>
    </cfRule>
    <cfRule type="expression" dxfId="1563" priority="1657">
      <formula>$AG231:$AG417="EOB Downloaded"</formula>
    </cfRule>
  </conditionalFormatting>
  <conditionalFormatting sqref="P230">
    <cfRule type="expression" dxfId="1562" priority="1648">
      <formula>$AG230:$AG416="Follow-Up Complete"</formula>
    </cfRule>
    <cfRule type="expression" dxfId="1561" priority="1649">
      <formula>$AG230:$AG416="Further Follow-Up"</formula>
    </cfRule>
    <cfRule type="expression" dxfId="1560" priority="1650">
      <formula>$AG230:$AG416="EOB Requested"</formula>
    </cfRule>
    <cfRule type="expression" dxfId="1559" priority="1651">
      <formula>$AG230:$AG416="EOB Not Found"</formula>
    </cfRule>
    <cfRule type="expression" dxfId="1558" priority="1652">
      <formula>$AG230:$AG416="EOB Downloaded"</formula>
    </cfRule>
  </conditionalFormatting>
  <conditionalFormatting sqref="R230">
    <cfRule type="expression" dxfId="1557" priority="1643">
      <formula>$AG230:$AG416="Follow-Up Complete"</formula>
    </cfRule>
    <cfRule type="expression" dxfId="1556" priority="1644">
      <formula>$AG230:$AG416="Further Follow-Up"</formula>
    </cfRule>
    <cfRule type="expression" dxfId="1555" priority="1645">
      <formula>$AG230:$AG416="EOB Requested"</formula>
    </cfRule>
    <cfRule type="expression" dxfId="1554" priority="1646">
      <formula>$AG230:$AG416="EOB Not Found"</formula>
    </cfRule>
    <cfRule type="expression" dxfId="1553" priority="1647">
      <formula>$AG230:$AG416="EOB Downloaded"</formula>
    </cfRule>
  </conditionalFormatting>
  <conditionalFormatting sqref="T230">
    <cfRule type="expression" dxfId="1552" priority="1638">
      <formula>$AG230:$AG416="Follow-Up Complete"</formula>
    </cfRule>
    <cfRule type="expression" dxfId="1551" priority="1639">
      <formula>$AG230:$AG416="Further Follow-Up"</formula>
    </cfRule>
    <cfRule type="expression" dxfId="1550" priority="1640">
      <formula>$AG230:$AG416="EOB Requested"</formula>
    </cfRule>
    <cfRule type="expression" dxfId="1549" priority="1641">
      <formula>$AG230:$AG416="EOB Not Found"</formula>
    </cfRule>
    <cfRule type="expression" dxfId="1548" priority="1642">
      <formula>$AG230:$AG416="EOB Downloaded"</formula>
    </cfRule>
  </conditionalFormatting>
  <conditionalFormatting sqref="V230">
    <cfRule type="expression" dxfId="1547" priority="1633">
      <formula>$AG230:$AG416="Follow-Up Complete"</formula>
    </cfRule>
    <cfRule type="expression" dxfId="1546" priority="1634">
      <formula>$AG230:$AG416="Further Follow-Up"</formula>
    </cfRule>
    <cfRule type="expression" dxfId="1545" priority="1635">
      <formula>$AG230:$AG416="EOB Requested"</formula>
    </cfRule>
    <cfRule type="expression" dxfId="1544" priority="1636">
      <formula>$AG230:$AG416="EOB Not Found"</formula>
    </cfRule>
    <cfRule type="expression" dxfId="1543" priority="1637">
      <formula>$AG230:$AG416="EOB Downloaded"</formula>
    </cfRule>
  </conditionalFormatting>
  <conditionalFormatting sqref="X230">
    <cfRule type="expression" dxfId="1542" priority="1628">
      <formula>$AG230:$AG416="Follow-Up Complete"</formula>
    </cfRule>
    <cfRule type="expression" dxfId="1541" priority="1629">
      <formula>$AG230:$AG416="Further Follow-Up"</formula>
    </cfRule>
    <cfRule type="expression" dxfId="1540" priority="1630">
      <formula>$AG230:$AG416="EOB Requested"</formula>
    </cfRule>
    <cfRule type="expression" dxfId="1539" priority="1631">
      <formula>$AG230:$AG416="EOB Not Found"</formula>
    </cfRule>
    <cfRule type="expression" dxfId="1538" priority="1632">
      <formula>$AG230:$AG416="EOB Downloaded"</formula>
    </cfRule>
  </conditionalFormatting>
  <conditionalFormatting sqref="AA230">
    <cfRule type="expression" dxfId="1537" priority="1623">
      <formula>$AG230:$AG416="Follow-Up Complete"</formula>
    </cfRule>
    <cfRule type="expression" dxfId="1536" priority="1624">
      <formula>$AG230:$AG416="Further Follow-Up"</formula>
    </cfRule>
    <cfRule type="expression" dxfId="1535" priority="1625">
      <formula>$AG230:$AG416="EOB Requested"</formula>
    </cfRule>
    <cfRule type="expression" dxfId="1534" priority="1626">
      <formula>$AG230:$AG416="EOB Not Found"</formula>
    </cfRule>
    <cfRule type="expression" dxfId="1533" priority="1627">
      <formula>$AG230:$AG416="EOB Downloaded"</formula>
    </cfRule>
  </conditionalFormatting>
  <conditionalFormatting sqref="P229">
    <cfRule type="expression" dxfId="1532" priority="1618">
      <formula>$AG229:$AG415="Follow-Up Complete"</formula>
    </cfRule>
    <cfRule type="expression" dxfId="1531" priority="1619">
      <formula>$AG229:$AG415="Further Follow-Up"</formula>
    </cfRule>
    <cfRule type="expression" dxfId="1530" priority="1620">
      <formula>$AG229:$AG415="EOB Requested"</formula>
    </cfRule>
    <cfRule type="expression" dxfId="1529" priority="1621">
      <formula>$AG229:$AG415="EOB Not Found"</formula>
    </cfRule>
    <cfRule type="expression" dxfId="1528" priority="1622">
      <formula>$AG229:$AG415="EOB Downloaded"</formula>
    </cfRule>
  </conditionalFormatting>
  <conditionalFormatting sqref="R229">
    <cfRule type="expression" dxfId="1527" priority="1613">
      <formula>$AG229:$AG415="Follow-Up Complete"</formula>
    </cfRule>
    <cfRule type="expression" dxfId="1526" priority="1614">
      <formula>$AG229:$AG415="Further Follow-Up"</formula>
    </cfRule>
    <cfRule type="expression" dxfId="1525" priority="1615">
      <formula>$AG229:$AG415="EOB Requested"</formula>
    </cfRule>
    <cfRule type="expression" dxfId="1524" priority="1616">
      <formula>$AG229:$AG415="EOB Not Found"</formula>
    </cfRule>
    <cfRule type="expression" dxfId="1523" priority="1617">
      <formula>$AG229:$AG415="EOB Downloaded"</formula>
    </cfRule>
  </conditionalFormatting>
  <conditionalFormatting sqref="T229">
    <cfRule type="expression" dxfId="1522" priority="1608">
      <formula>$AG229:$AG415="Follow-Up Complete"</formula>
    </cfRule>
    <cfRule type="expression" dxfId="1521" priority="1609">
      <formula>$AG229:$AG415="Further Follow-Up"</formula>
    </cfRule>
    <cfRule type="expression" dxfId="1520" priority="1610">
      <formula>$AG229:$AG415="EOB Requested"</formula>
    </cfRule>
    <cfRule type="expression" dxfId="1519" priority="1611">
      <formula>$AG229:$AG415="EOB Not Found"</formula>
    </cfRule>
    <cfRule type="expression" dxfId="1518" priority="1612">
      <formula>$AG229:$AG415="EOB Downloaded"</formula>
    </cfRule>
  </conditionalFormatting>
  <conditionalFormatting sqref="AA229">
    <cfRule type="expression" dxfId="1517" priority="1603">
      <formula>$AG229:$AG415="Follow-Up Complete"</formula>
    </cfRule>
    <cfRule type="expression" dxfId="1516" priority="1604">
      <formula>$AG229:$AG415="Further Follow-Up"</formula>
    </cfRule>
    <cfRule type="expression" dxfId="1515" priority="1605">
      <formula>$AG229:$AG415="EOB Requested"</formula>
    </cfRule>
    <cfRule type="expression" dxfId="1514" priority="1606">
      <formula>$AG229:$AG415="EOB Not Found"</formula>
    </cfRule>
    <cfRule type="expression" dxfId="1513" priority="1607">
      <formula>$AG229:$AG415="EOB Downloaded"</formula>
    </cfRule>
  </conditionalFormatting>
  <conditionalFormatting sqref="P228">
    <cfRule type="expression" dxfId="1512" priority="1598">
      <formula>$AG228:$AG414="Follow-Up Complete"</formula>
    </cfRule>
    <cfRule type="expression" dxfId="1511" priority="1599">
      <formula>$AG228:$AG414="Further Follow-Up"</formula>
    </cfRule>
    <cfRule type="expression" dxfId="1510" priority="1600">
      <formula>$AG228:$AG414="EOB Requested"</formula>
    </cfRule>
    <cfRule type="expression" dxfId="1509" priority="1601">
      <formula>$AG228:$AG414="EOB Not Found"</formula>
    </cfRule>
    <cfRule type="expression" dxfId="1508" priority="1602">
      <formula>$AG228:$AG414="EOB Downloaded"</formula>
    </cfRule>
  </conditionalFormatting>
  <conditionalFormatting sqref="R228">
    <cfRule type="expression" dxfId="1507" priority="1593">
      <formula>$AG228:$AG414="Follow-Up Complete"</formula>
    </cfRule>
    <cfRule type="expression" dxfId="1506" priority="1594">
      <formula>$AG228:$AG414="Further Follow-Up"</formula>
    </cfRule>
    <cfRule type="expression" dxfId="1505" priority="1595">
      <formula>$AG228:$AG414="EOB Requested"</formula>
    </cfRule>
    <cfRule type="expression" dxfId="1504" priority="1596">
      <formula>$AG228:$AG414="EOB Not Found"</formula>
    </cfRule>
    <cfRule type="expression" dxfId="1503" priority="1597">
      <formula>$AG228:$AG414="EOB Downloaded"</formula>
    </cfRule>
  </conditionalFormatting>
  <conditionalFormatting sqref="T228">
    <cfRule type="expression" dxfId="1502" priority="1588">
      <formula>$AG228:$AG414="Follow-Up Complete"</formula>
    </cfRule>
    <cfRule type="expression" dxfId="1501" priority="1589">
      <formula>$AG228:$AG414="Further Follow-Up"</formula>
    </cfRule>
    <cfRule type="expression" dxfId="1500" priority="1590">
      <formula>$AG228:$AG414="EOB Requested"</formula>
    </cfRule>
    <cfRule type="expression" dxfId="1499" priority="1591">
      <formula>$AG228:$AG414="EOB Not Found"</formula>
    </cfRule>
    <cfRule type="expression" dxfId="1498" priority="1592">
      <formula>$AG228:$AG414="EOB Downloaded"</formula>
    </cfRule>
  </conditionalFormatting>
  <conditionalFormatting sqref="V228">
    <cfRule type="expression" dxfId="1497" priority="1583">
      <formula>$AG228:$AG414="Follow-Up Complete"</formula>
    </cfRule>
    <cfRule type="expression" dxfId="1496" priority="1584">
      <formula>$AG228:$AG414="Further Follow-Up"</formula>
    </cfRule>
    <cfRule type="expression" dxfId="1495" priority="1585">
      <formula>$AG228:$AG414="EOB Requested"</formula>
    </cfRule>
    <cfRule type="expression" dxfId="1494" priority="1586">
      <formula>$AG228:$AG414="EOB Not Found"</formula>
    </cfRule>
    <cfRule type="expression" dxfId="1493" priority="1587">
      <formula>$AG228:$AG414="EOB Downloaded"</formula>
    </cfRule>
  </conditionalFormatting>
  <conditionalFormatting sqref="X228">
    <cfRule type="expression" dxfId="1492" priority="1578">
      <formula>$AG228:$AG414="Follow-Up Complete"</formula>
    </cfRule>
    <cfRule type="expression" dxfId="1491" priority="1579">
      <formula>$AG228:$AG414="Further Follow-Up"</formula>
    </cfRule>
    <cfRule type="expression" dxfId="1490" priority="1580">
      <formula>$AG228:$AG414="EOB Requested"</formula>
    </cfRule>
    <cfRule type="expression" dxfId="1489" priority="1581">
      <formula>$AG228:$AG414="EOB Not Found"</formula>
    </cfRule>
    <cfRule type="expression" dxfId="1488" priority="1582">
      <formula>$AG228:$AG414="EOB Downloaded"</formula>
    </cfRule>
  </conditionalFormatting>
  <conditionalFormatting sqref="AA228">
    <cfRule type="expression" dxfId="1487" priority="1573">
      <formula>$AG228:$AG414="Follow-Up Complete"</formula>
    </cfRule>
    <cfRule type="expression" dxfId="1486" priority="1574">
      <formula>$AG228:$AG414="Further Follow-Up"</formula>
    </cfRule>
    <cfRule type="expression" dxfId="1485" priority="1575">
      <formula>$AG228:$AG414="EOB Requested"</formula>
    </cfRule>
    <cfRule type="expression" dxfId="1484" priority="1576">
      <formula>$AG228:$AG414="EOB Not Found"</formula>
    </cfRule>
    <cfRule type="expression" dxfId="1483" priority="1577">
      <formula>$AG228:$AG414="EOB Downloaded"</formula>
    </cfRule>
  </conditionalFormatting>
  <conditionalFormatting sqref="P227">
    <cfRule type="expression" dxfId="1482" priority="1568">
      <formula>$AG227:$AG413="Follow-Up Complete"</formula>
    </cfRule>
    <cfRule type="expression" dxfId="1481" priority="1569">
      <formula>$AG227:$AG413="Further Follow-Up"</formula>
    </cfRule>
    <cfRule type="expression" dxfId="1480" priority="1570">
      <formula>$AG227:$AG413="EOB Requested"</formula>
    </cfRule>
    <cfRule type="expression" dxfId="1479" priority="1571">
      <formula>$AG227:$AG413="EOB Not Found"</formula>
    </cfRule>
    <cfRule type="expression" dxfId="1478" priority="1572">
      <formula>$AG227:$AG413="EOB Downloaded"</formula>
    </cfRule>
  </conditionalFormatting>
  <conditionalFormatting sqref="R227">
    <cfRule type="expression" dxfId="1477" priority="1563">
      <formula>$AG227:$AG413="Follow-Up Complete"</formula>
    </cfRule>
    <cfRule type="expression" dxfId="1476" priority="1564">
      <formula>$AG227:$AG413="Further Follow-Up"</formula>
    </cfRule>
    <cfRule type="expression" dxfId="1475" priority="1565">
      <formula>$AG227:$AG413="EOB Requested"</formula>
    </cfRule>
    <cfRule type="expression" dxfId="1474" priority="1566">
      <formula>$AG227:$AG413="EOB Not Found"</formula>
    </cfRule>
    <cfRule type="expression" dxfId="1473" priority="1567">
      <formula>$AG227:$AG413="EOB Downloaded"</formula>
    </cfRule>
  </conditionalFormatting>
  <conditionalFormatting sqref="T227">
    <cfRule type="expression" dxfId="1472" priority="1558">
      <formula>$AG227:$AG413="Follow-Up Complete"</formula>
    </cfRule>
    <cfRule type="expression" dxfId="1471" priority="1559">
      <formula>$AG227:$AG413="Further Follow-Up"</formula>
    </cfRule>
    <cfRule type="expression" dxfId="1470" priority="1560">
      <formula>$AG227:$AG413="EOB Requested"</formula>
    </cfRule>
    <cfRule type="expression" dxfId="1469" priority="1561">
      <formula>$AG227:$AG413="EOB Not Found"</formula>
    </cfRule>
    <cfRule type="expression" dxfId="1468" priority="1562">
      <formula>$AG227:$AG413="EOB Downloaded"</formula>
    </cfRule>
  </conditionalFormatting>
  <conditionalFormatting sqref="V227">
    <cfRule type="expression" dxfId="1467" priority="1553">
      <formula>$AG227:$AG413="Follow-Up Complete"</formula>
    </cfRule>
    <cfRule type="expression" dxfId="1466" priority="1554">
      <formula>$AG227:$AG413="Further Follow-Up"</formula>
    </cfRule>
    <cfRule type="expression" dxfId="1465" priority="1555">
      <formula>$AG227:$AG413="EOB Requested"</formula>
    </cfRule>
    <cfRule type="expression" dxfId="1464" priority="1556">
      <formula>$AG227:$AG413="EOB Not Found"</formula>
    </cfRule>
    <cfRule type="expression" dxfId="1463" priority="1557">
      <formula>$AG227:$AG413="EOB Downloaded"</formula>
    </cfRule>
  </conditionalFormatting>
  <conditionalFormatting sqref="X227">
    <cfRule type="expression" dxfId="1462" priority="1548">
      <formula>$AG227:$AG413="Follow-Up Complete"</formula>
    </cfRule>
    <cfRule type="expression" dxfId="1461" priority="1549">
      <formula>$AG227:$AG413="Further Follow-Up"</formula>
    </cfRule>
    <cfRule type="expression" dxfId="1460" priority="1550">
      <formula>$AG227:$AG413="EOB Requested"</formula>
    </cfRule>
    <cfRule type="expression" dxfId="1459" priority="1551">
      <formula>$AG227:$AG413="EOB Not Found"</formula>
    </cfRule>
    <cfRule type="expression" dxfId="1458" priority="1552">
      <formula>$AG227:$AG413="EOB Downloaded"</formula>
    </cfRule>
  </conditionalFormatting>
  <conditionalFormatting sqref="AA227">
    <cfRule type="expression" dxfId="1457" priority="1543">
      <formula>$AG227:$AG413="Follow-Up Complete"</formula>
    </cfRule>
    <cfRule type="expression" dxfId="1456" priority="1544">
      <formula>$AG227:$AG413="Further Follow-Up"</formula>
    </cfRule>
    <cfRule type="expression" dxfId="1455" priority="1545">
      <formula>$AG227:$AG413="EOB Requested"</formula>
    </cfRule>
    <cfRule type="expression" dxfId="1454" priority="1546">
      <formula>$AG227:$AG413="EOB Not Found"</formula>
    </cfRule>
    <cfRule type="expression" dxfId="1453" priority="1547">
      <formula>$AG227:$AG413="EOB Downloaded"</formula>
    </cfRule>
  </conditionalFormatting>
  <conditionalFormatting sqref="P226">
    <cfRule type="expression" dxfId="1452" priority="1538">
      <formula>$AG226:$AG412="Follow-Up Complete"</formula>
    </cfRule>
    <cfRule type="expression" dxfId="1451" priority="1539">
      <formula>$AG226:$AG412="Further Follow-Up"</formula>
    </cfRule>
    <cfRule type="expression" dxfId="1450" priority="1540">
      <formula>$AG226:$AG412="EOB Requested"</formula>
    </cfRule>
    <cfRule type="expression" dxfId="1449" priority="1541">
      <formula>$AG226:$AG412="EOB Not Found"</formula>
    </cfRule>
    <cfRule type="expression" dxfId="1448" priority="1542">
      <formula>$AG226:$AG412="EOB Downloaded"</formula>
    </cfRule>
  </conditionalFormatting>
  <conditionalFormatting sqref="R226">
    <cfRule type="expression" dxfId="1447" priority="1533">
      <formula>$AG226:$AG412="Follow-Up Complete"</formula>
    </cfRule>
    <cfRule type="expression" dxfId="1446" priority="1534">
      <formula>$AG226:$AG412="Further Follow-Up"</formula>
    </cfRule>
    <cfRule type="expression" dxfId="1445" priority="1535">
      <formula>$AG226:$AG412="EOB Requested"</formula>
    </cfRule>
    <cfRule type="expression" dxfId="1444" priority="1536">
      <formula>$AG226:$AG412="EOB Not Found"</formula>
    </cfRule>
    <cfRule type="expression" dxfId="1443" priority="1537">
      <formula>$AG226:$AG412="EOB Downloaded"</formula>
    </cfRule>
  </conditionalFormatting>
  <conditionalFormatting sqref="T226">
    <cfRule type="expression" dxfId="1442" priority="1528">
      <formula>$AG226:$AG412="Follow-Up Complete"</formula>
    </cfRule>
    <cfRule type="expression" dxfId="1441" priority="1529">
      <formula>$AG226:$AG412="Further Follow-Up"</formula>
    </cfRule>
    <cfRule type="expression" dxfId="1440" priority="1530">
      <formula>$AG226:$AG412="EOB Requested"</formula>
    </cfRule>
    <cfRule type="expression" dxfId="1439" priority="1531">
      <formula>$AG226:$AG412="EOB Not Found"</formula>
    </cfRule>
    <cfRule type="expression" dxfId="1438" priority="1532">
      <formula>$AG226:$AG412="EOB Downloaded"</formula>
    </cfRule>
  </conditionalFormatting>
  <conditionalFormatting sqref="V226">
    <cfRule type="expression" dxfId="1437" priority="1523">
      <formula>$AG226:$AG412="Follow-Up Complete"</formula>
    </cfRule>
    <cfRule type="expression" dxfId="1436" priority="1524">
      <formula>$AG226:$AG412="Further Follow-Up"</formula>
    </cfRule>
    <cfRule type="expression" dxfId="1435" priority="1525">
      <formula>$AG226:$AG412="EOB Requested"</formula>
    </cfRule>
    <cfRule type="expression" dxfId="1434" priority="1526">
      <formula>$AG226:$AG412="EOB Not Found"</formula>
    </cfRule>
    <cfRule type="expression" dxfId="1433" priority="1527">
      <formula>$AG226:$AG412="EOB Downloaded"</formula>
    </cfRule>
  </conditionalFormatting>
  <conditionalFormatting sqref="X226">
    <cfRule type="expression" dxfId="1432" priority="1518">
      <formula>$AG226:$AG412="Follow-Up Complete"</formula>
    </cfRule>
    <cfRule type="expression" dxfId="1431" priority="1519">
      <formula>$AG226:$AG412="Further Follow-Up"</formula>
    </cfRule>
    <cfRule type="expression" dxfId="1430" priority="1520">
      <formula>$AG226:$AG412="EOB Requested"</formula>
    </cfRule>
    <cfRule type="expression" dxfId="1429" priority="1521">
      <formula>$AG226:$AG412="EOB Not Found"</formula>
    </cfRule>
    <cfRule type="expression" dxfId="1428" priority="1522">
      <formula>$AG226:$AG412="EOB Downloaded"</formula>
    </cfRule>
  </conditionalFormatting>
  <conditionalFormatting sqref="AA226">
    <cfRule type="expression" dxfId="1427" priority="1513">
      <formula>$AG226:$AG412="Follow-Up Complete"</formula>
    </cfRule>
    <cfRule type="expression" dxfId="1426" priority="1514">
      <formula>$AG226:$AG412="Further Follow-Up"</formula>
    </cfRule>
    <cfRule type="expression" dxfId="1425" priority="1515">
      <formula>$AG226:$AG412="EOB Requested"</formula>
    </cfRule>
    <cfRule type="expression" dxfId="1424" priority="1516">
      <formula>$AG226:$AG412="EOB Not Found"</formula>
    </cfRule>
    <cfRule type="expression" dxfId="1423" priority="1517">
      <formula>$AG226:$AG412="EOB Downloaded"</formula>
    </cfRule>
  </conditionalFormatting>
  <conditionalFormatting sqref="P225">
    <cfRule type="expression" dxfId="1422" priority="1508">
      <formula>$AG225:$AG411="Follow-Up Complete"</formula>
    </cfRule>
    <cfRule type="expression" dxfId="1421" priority="1509">
      <formula>$AG225:$AG411="Further Follow-Up"</formula>
    </cfRule>
    <cfRule type="expression" dxfId="1420" priority="1510">
      <formula>$AG225:$AG411="EOB Requested"</formula>
    </cfRule>
    <cfRule type="expression" dxfId="1419" priority="1511">
      <formula>$AG225:$AG411="EOB Not Found"</formula>
    </cfRule>
    <cfRule type="expression" dxfId="1418" priority="1512">
      <formula>$AG225:$AG411="EOB Downloaded"</formula>
    </cfRule>
  </conditionalFormatting>
  <conditionalFormatting sqref="R225">
    <cfRule type="expression" dxfId="1417" priority="1503">
      <formula>$AG225:$AG411="Follow-Up Complete"</formula>
    </cfRule>
    <cfRule type="expression" dxfId="1416" priority="1504">
      <formula>$AG225:$AG411="Further Follow-Up"</formula>
    </cfRule>
    <cfRule type="expression" dxfId="1415" priority="1505">
      <formula>$AG225:$AG411="EOB Requested"</formula>
    </cfRule>
    <cfRule type="expression" dxfId="1414" priority="1506">
      <formula>$AG225:$AG411="EOB Not Found"</formula>
    </cfRule>
    <cfRule type="expression" dxfId="1413" priority="1507">
      <formula>$AG225:$AG411="EOB Downloaded"</formula>
    </cfRule>
  </conditionalFormatting>
  <conditionalFormatting sqref="T225">
    <cfRule type="expression" dxfId="1412" priority="1498">
      <formula>$AG225:$AG411="Follow-Up Complete"</formula>
    </cfRule>
    <cfRule type="expression" dxfId="1411" priority="1499">
      <formula>$AG225:$AG411="Further Follow-Up"</formula>
    </cfRule>
    <cfRule type="expression" dxfId="1410" priority="1500">
      <formula>$AG225:$AG411="EOB Requested"</formula>
    </cfRule>
    <cfRule type="expression" dxfId="1409" priority="1501">
      <formula>$AG225:$AG411="EOB Not Found"</formula>
    </cfRule>
    <cfRule type="expression" dxfId="1408" priority="1502">
      <formula>$AG225:$AG411="EOB Downloaded"</formula>
    </cfRule>
  </conditionalFormatting>
  <conditionalFormatting sqref="AA225">
    <cfRule type="expression" dxfId="1407" priority="1493">
      <formula>$AG225:$AG411="Follow-Up Complete"</formula>
    </cfRule>
    <cfRule type="expression" dxfId="1406" priority="1494">
      <formula>$AG225:$AG411="Further Follow-Up"</formula>
    </cfRule>
    <cfRule type="expression" dxfId="1405" priority="1495">
      <formula>$AG225:$AG411="EOB Requested"</formula>
    </cfRule>
    <cfRule type="expression" dxfId="1404" priority="1496">
      <formula>$AG225:$AG411="EOB Not Found"</formula>
    </cfRule>
    <cfRule type="expression" dxfId="1403" priority="1497">
      <formula>$AG225:$AG411="EOB Downloaded"</formula>
    </cfRule>
  </conditionalFormatting>
  <conditionalFormatting sqref="P223">
    <cfRule type="expression" dxfId="1402" priority="1488">
      <formula>$AG223:$AG409="Follow-Up Complete"</formula>
    </cfRule>
    <cfRule type="expression" dxfId="1401" priority="1489">
      <formula>$AG223:$AG409="Further Follow-Up"</formula>
    </cfRule>
    <cfRule type="expression" dxfId="1400" priority="1490">
      <formula>$AG223:$AG409="EOB Requested"</formula>
    </cfRule>
    <cfRule type="expression" dxfId="1399" priority="1491">
      <formula>$AG223:$AG409="EOB Not Found"</formula>
    </cfRule>
    <cfRule type="expression" dxfId="1398" priority="1492">
      <formula>$AG223:$AG409="EOB Downloaded"</formula>
    </cfRule>
  </conditionalFormatting>
  <conditionalFormatting sqref="P224">
    <cfRule type="expression" dxfId="1397" priority="1483">
      <formula>$AG224:$AG410="Follow-Up Complete"</formula>
    </cfRule>
    <cfRule type="expression" dxfId="1396" priority="1484">
      <formula>$AG224:$AG410="Further Follow-Up"</formula>
    </cfRule>
    <cfRule type="expression" dxfId="1395" priority="1485">
      <formula>$AG224:$AG410="EOB Requested"</formula>
    </cfRule>
    <cfRule type="expression" dxfId="1394" priority="1486">
      <formula>$AG224:$AG410="EOB Not Found"</formula>
    </cfRule>
    <cfRule type="expression" dxfId="1393" priority="1487">
      <formula>$AG224:$AG410="EOB Downloaded"</formula>
    </cfRule>
  </conditionalFormatting>
  <conditionalFormatting sqref="R224">
    <cfRule type="expression" dxfId="1392" priority="1478">
      <formula>$AG224:$AG410="Follow-Up Complete"</formula>
    </cfRule>
    <cfRule type="expression" dxfId="1391" priority="1479">
      <formula>$AG224:$AG410="Further Follow-Up"</formula>
    </cfRule>
    <cfRule type="expression" dxfId="1390" priority="1480">
      <formula>$AG224:$AG410="EOB Requested"</formula>
    </cfRule>
    <cfRule type="expression" dxfId="1389" priority="1481">
      <formula>$AG224:$AG410="EOB Not Found"</formula>
    </cfRule>
    <cfRule type="expression" dxfId="1388" priority="1482">
      <formula>$AG224:$AG410="EOB Downloaded"</formula>
    </cfRule>
  </conditionalFormatting>
  <conditionalFormatting sqref="R223">
    <cfRule type="expression" dxfId="1387" priority="1473">
      <formula>$AG223:$AG409="Follow-Up Complete"</formula>
    </cfRule>
    <cfRule type="expression" dxfId="1386" priority="1474">
      <formula>$AG223:$AG409="Further Follow-Up"</formula>
    </cfRule>
    <cfRule type="expression" dxfId="1385" priority="1475">
      <formula>$AG223:$AG409="EOB Requested"</formula>
    </cfRule>
    <cfRule type="expression" dxfId="1384" priority="1476">
      <formula>$AG223:$AG409="EOB Not Found"</formula>
    </cfRule>
    <cfRule type="expression" dxfId="1383" priority="1477">
      <formula>$AG223:$AG409="EOB Downloaded"</formula>
    </cfRule>
  </conditionalFormatting>
  <conditionalFormatting sqref="T223">
    <cfRule type="expression" dxfId="1382" priority="1468">
      <formula>$AG223:$AG409="Follow-Up Complete"</formula>
    </cfRule>
    <cfRule type="expression" dxfId="1381" priority="1469">
      <formula>$AG223:$AG409="Further Follow-Up"</formula>
    </cfRule>
    <cfRule type="expression" dxfId="1380" priority="1470">
      <formula>$AG223:$AG409="EOB Requested"</formula>
    </cfRule>
    <cfRule type="expression" dxfId="1379" priority="1471">
      <formula>$AG223:$AG409="EOB Not Found"</formula>
    </cfRule>
    <cfRule type="expression" dxfId="1378" priority="1472">
      <formula>$AG223:$AG409="EOB Downloaded"</formula>
    </cfRule>
  </conditionalFormatting>
  <conditionalFormatting sqref="T224">
    <cfRule type="expression" dxfId="1377" priority="1463">
      <formula>$AG224:$AG410="Follow-Up Complete"</formula>
    </cfRule>
    <cfRule type="expression" dxfId="1376" priority="1464">
      <formula>$AG224:$AG410="Further Follow-Up"</formula>
    </cfRule>
    <cfRule type="expression" dxfId="1375" priority="1465">
      <formula>$AG224:$AG410="EOB Requested"</formula>
    </cfRule>
    <cfRule type="expression" dxfId="1374" priority="1466">
      <formula>$AG224:$AG410="EOB Not Found"</formula>
    </cfRule>
    <cfRule type="expression" dxfId="1373" priority="1467">
      <formula>$AG224:$AG410="EOB Downloaded"</formula>
    </cfRule>
  </conditionalFormatting>
  <conditionalFormatting sqref="V224">
    <cfRule type="expression" dxfId="1372" priority="1458">
      <formula>$AG224:$AG410="Follow-Up Complete"</formula>
    </cfRule>
    <cfRule type="expression" dxfId="1371" priority="1459">
      <formula>$AG224:$AG410="Further Follow-Up"</formula>
    </cfRule>
    <cfRule type="expression" dxfId="1370" priority="1460">
      <formula>$AG224:$AG410="EOB Requested"</formula>
    </cfRule>
    <cfRule type="expression" dxfId="1369" priority="1461">
      <formula>$AG224:$AG410="EOB Not Found"</formula>
    </cfRule>
    <cfRule type="expression" dxfId="1368" priority="1462">
      <formula>$AG224:$AG410="EOB Downloaded"</formula>
    </cfRule>
  </conditionalFormatting>
  <conditionalFormatting sqref="V223">
    <cfRule type="expression" dxfId="1367" priority="1453">
      <formula>$AG223:$AG409="Follow-Up Complete"</formula>
    </cfRule>
    <cfRule type="expression" dxfId="1366" priority="1454">
      <formula>$AG223:$AG409="Further Follow-Up"</formula>
    </cfRule>
    <cfRule type="expression" dxfId="1365" priority="1455">
      <formula>$AG223:$AG409="EOB Requested"</formula>
    </cfRule>
    <cfRule type="expression" dxfId="1364" priority="1456">
      <formula>$AG223:$AG409="EOB Not Found"</formula>
    </cfRule>
    <cfRule type="expression" dxfId="1363" priority="1457">
      <formula>$AG223:$AG409="EOB Downloaded"</formula>
    </cfRule>
  </conditionalFormatting>
  <conditionalFormatting sqref="X223:X224">
    <cfRule type="expression" dxfId="1362" priority="1448">
      <formula>$AG223:$AG409="Follow-Up Complete"</formula>
    </cfRule>
    <cfRule type="expression" dxfId="1361" priority="1449">
      <formula>$AG223:$AG409="Further Follow-Up"</formula>
    </cfRule>
    <cfRule type="expression" dxfId="1360" priority="1450">
      <formula>$AG223:$AG409="EOB Requested"</formula>
    </cfRule>
    <cfRule type="expression" dxfId="1359" priority="1451">
      <formula>$AG223:$AG409="EOB Not Found"</formula>
    </cfRule>
    <cfRule type="expression" dxfId="1358" priority="1452">
      <formula>$AG223:$AG409="EOB Downloaded"</formula>
    </cfRule>
  </conditionalFormatting>
  <conditionalFormatting sqref="AA223">
    <cfRule type="expression" dxfId="1357" priority="1443">
      <formula>$AG223:$AG409="Follow-Up Complete"</formula>
    </cfRule>
    <cfRule type="expression" dxfId="1356" priority="1444">
      <formula>$AG223:$AG409="Further Follow-Up"</formula>
    </cfRule>
    <cfRule type="expression" dxfId="1355" priority="1445">
      <formula>$AG223:$AG409="EOB Requested"</formula>
    </cfRule>
    <cfRule type="expression" dxfId="1354" priority="1446">
      <formula>$AG223:$AG409="EOB Not Found"</formula>
    </cfRule>
    <cfRule type="expression" dxfId="1353" priority="1447">
      <formula>$AG223:$AG409="EOB Downloaded"</formula>
    </cfRule>
  </conditionalFormatting>
  <conditionalFormatting sqref="AA224">
    <cfRule type="expression" dxfId="1352" priority="1438">
      <formula>$AG224:$AG410="Follow-Up Complete"</formula>
    </cfRule>
    <cfRule type="expression" dxfId="1351" priority="1439">
      <formula>$AG224:$AG410="Further Follow-Up"</formula>
    </cfRule>
    <cfRule type="expression" dxfId="1350" priority="1440">
      <formula>$AG224:$AG410="EOB Requested"</formula>
    </cfRule>
    <cfRule type="expression" dxfId="1349" priority="1441">
      <formula>$AG224:$AG410="EOB Not Found"</formula>
    </cfRule>
    <cfRule type="expression" dxfId="1348" priority="1442">
      <formula>$AG224:$AG410="EOB Downloaded"</formula>
    </cfRule>
  </conditionalFormatting>
  <conditionalFormatting sqref="P222">
    <cfRule type="expression" dxfId="1347" priority="1433">
      <formula>$AG222:$AG408="Follow-Up Complete"</formula>
    </cfRule>
    <cfRule type="expression" dxfId="1346" priority="1434">
      <formula>$AG222:$AG408="Further Follow-Up"</formula>
    </cfRule>
    <cfRule type="expression" dxfId="1345" priority="1435">
      <formula>$AG222:$AG408="EOB Requested"</formula>
    </cfRule>
    <cfRule type="expression" dxfId="1344" priority="1436">
      <formula>$AG222:$AG408="EOB Not Found"</formula>
    </cfRule>
    <cfRule type="expression" dxfId="1343" priority="1437">
      <formula>$AG222:$AG408="EOB Downloaded"</formula>
    </cfRule>
  </conditionalFormatting>
  <conditionalFormatting sqref="R222">
    <cfRule type="expression" dxfId="1342" priority="1428">
      <formula>$AG222:$AG408="Follow-Up Complete"</formula>
    </cfRule>
    <cfRule type="expression" dxfId="1341" priority="1429">
      <formula>$AG222:$AG408="Further Follow-Up"</formula>
    </cfRule>
    <cfRule type="expression" dxfId="1340" priority="1430">
      <formula>$AG222:$AG408="EOB Requested"</formula>
    </cfRule>
    <cfRule type="expression" dxfId="1339" priority="1431">
      <formula>$AG222:$AG408="EOB Not Found"</formula>
    </cfRule>
    <cfRule type="expression" dxfId="1338" priority="1432">
      <formula>$AG222:$AG408="EOB Downloaded"</formula>
    </cfRule>
  </conditionalFormatting>
  <conditionalFormatting sqref="T222">
    <cfRule type="expression" dxfId="1337" priority="1423">
      <formula>$AG222:$AG408="Follow-Up Complete"</formula>
    </cfRule>
    <cfRule type="expression" dxfId="1336" priority="1424">
      <formula>$AG222:$AG408="Further Follow-Up"</formula>
    </cfRule>
    <cfRule type="expression" dxfId="1335" priority="1425">
      <formula>$AG222:$AG408="EOB Requested"</formula>
    </cfRule>
    <cfRule type="expression" dxfId="1334" priority="1426">
      <formula>$AG222:$AG408="EOB Not Found"</formula>
    </cfRule>
    <cfRule type="expression" dxfId="1333" priority="1427">
      <formula>$AG222:$AG408="EOB Downloaded"</formula>
    </cfRule>
  </conditionalFormatting>
  <conditionalFormatting sqref="V222">
    <cfRule type="expression" dxfId="1332" priority="1418">
      <formula>$AG222:$AG408="Follow-Up Complete"</formula>
    </cfRule>
    <cfRule type="expression" dxfId="1331" priority="1419">
      <formula>$AG222:$AG408="Further Follow-Up"</formula>
    </cfRule>
    <cfRule type="expression" dxfId="1330" priority="1420">
      <formula>$AG222:$AG408="EOB Requested"</formula>
    </cfRule>
    <cfRule type="expression" dxfId="1329" priority="1421">
      <formula>$AG222:$AG408="EOB Not Found"</formula>
    </cfRule>
    <cfRule type="expression" dxfId="1328" priority="1422">
      <formula>$AG222:$AG408="EOB Downloaded"</formula>
    </cfRule>
  </conditionalFormatting>
  <conditionalFormatting sqref="X222">
    <cfRule type="expression" dxfId="1327" priority="1413">
      <formula>$AG222:$AG408="Follow-Up Complete"</formula>
    </cfRule>
    <cfRule type="expression" dxfId="1326" priority="1414">
      <formula>$AG222:$AG408="Further Follow-Up"</formula>
    </cfRule>
    <cfRule type="expression" dxfId="1325" priority="1415">
      <formula>$AG222:$AG408="EOB Requested"</formula>
    </cfRule>
    <cfRule type="expression" dxfId="1324" priority="1416">
      <formula>$AG222:$AG408="EOB Not Found"</formula>
    </cfRule>
    <cfRule type="expression" dxfId="1323" priority="1417">
      <formula>$AG222:$AG408="EOB Downloaded"</formula>
    </cfRule>
  </conditionalFormatting>
  <conditionalFormatting sqref="AA222">
    <cfRule type="expression" dxfId="1322" priority="1408">
      <formula>$AG222:$AG408="Follow-Up Complete"</formula>
    </cfRule>
    <cfRule type="expression" dxfId="1321" priority="1409">
      <formula>$AG222:$AG408="Further Follow-Up"</formula>
    </cfRule>
    <cfRule type="expression" dxfId="1320" priority="1410">
      <formula>$AG222:$AG408="EOB Requested"</formula>
    </cfRule>
    <cfRule type="expression" dxfId="1319" priority="1411">
      <formula>$AG222:$AG408="EOB Not Found"</formula>
    </cfRule>
    <cfRule type="expression" dxfId="1318" priority="1412">
      <formula>$AG222:$AG408="EOB Downloaded"</formula>
    </cfRule>
  </conditionalFormatting>
  <conditionalFormatting sqref="P221">
    <cfRule type="expression" dxfId="1317" priority="1403">
      <formula>$AG221:$AG407="Follow-Up Complete"</formula>
    </cfRule>
    <cfRule type="expression" dxfId="1316" priority="1404">
      <formula>$AG221:$AG407="Further Follow-Up"</formula>
    </cfRule>
    <cfRule type="expression" dxfId="1315" priority="1405">
      <formula>$AG221:$AG407="EOB Requested"</formula>
    </cfRule>
    <cfRule type="expression" dxfId="1314" priority="1406">
      <formula>$AG221:$AG407="EOB Not Found"</formula>
    </cfRule>
    <cfRule type="expression" dxfId="1313" priority="1407">
      <formula>$AG221:$AG407="EOB Downloaded"</formula>
    </cfRule>
  </conditionalFormatting>
  <conditionalFormatting sqref="T221">
    <cfRule type="expression" dxfId="1312" priority="1398">
      <formula>$AG221:$AG407="Follow-Up Complete"</formula>
    </cfRule>
    <cfRule type="expression" dxfId="1311" priority="1399">
      <formula>$AG221:$AG407="Further Follow-Up"</formula>
    </cfRule>
    <cfRule type="expression" dxfId="1310" priority="1400">
      <formula>$AG221:$AG407="EOB Requested"</formula>
    </cfRule>
    <cfRule type="expression" dxfId="1309" priority="1401">
      <formula>$AG221:$AG407="EOB Not Found"</formula>
    </cfRule>
    <cfRule type="expression" dxfId="1308" priority="1402">
      <formula>$AG221:$AG407="EOB Downloaded"</formula>
    </cfRule>
  </conditionalFormatting>
  <conditionalFormatting sqref="V221">
    <cfRule type="expression" dxfId="1307" priority="1393">
      <formula>$AG221:$AG407="Follow-Up Complete"</formula>
    </cfRule>
    <cfRule type="expression" dxfId="1306" priority="1394">
      <formula>$AG221:$AG407="Further Follow-Up"</formula>
    </cfRule>
    <cfRule type="expression" dxfId="1305" priority="1395">
      <formula>$AG221:$AG407="EOB Requested"</formula>
    </cfRule>
    <cfRule type="expression" dxfId="1304" priority="1396">
      <formula>$AG221:$AG407="EOB Not Found"</formula>
    </cfRule>
    <cfRule type="expression" dxfId="1303" priority="1397">
      <formula>$AG221:$AG407="EOB Downloaded"</formula>
    </cfRule>
  </conditionalFormatting>
  <conditionalFormatting sqref="AA221">
    <cfRule type="expression" dxfId="1302" priority="1388">
      <formula>$AG221:$AG407="Follow-Up Complete"</formula>
    </cfRule>
    <cfRule type="expression" dxfId="1301" priority="1389">
      <formula>$AG221:$AG407="Further Follow-Up"</formula>
    </cfRule>
    <cfRule type="expression" dxfId="1300" priority="1390">
      <formula>$AG221:$AG407="EOB Requested"</formula>
    </cfRule>
    <cfRule type="expression" dxfId="1299" priority="1391">
      <formula>$AG221:$AG407="EOB Not Found"</formula>
    </cfRule>
    <cfRule type="expression" dxfId="1298" priority="1392">
      <formula>$AG221:$AG407="EOB Downloaded"</formula>
    </cfRule>
  </conditionalFormatting>
  <conditionalFormatting sqref="P220">
    <cfRule type="expression" dxfId="1297" priority="1383">
      <formula>$AG220:$AG406="Follow-Up Complete"</formula>
    </cfRule>
    <cfRule type="expression" dxfId="1296" priority="1384">
      <formula>$AG220:$AG406="Further Follow-Up"</formula>
    </cfRule>
    <cfRule type="expression" dxfId="1295" priority="1385">
      <formula>$AG220:$AG406="EOB Requested"</formula>
    </cfRule>
    <cfRule type="expression" dxfId="1294" priority="1386">
      <formula>$AG220:$AG406="EOB Not Found"</formula>
    </cfRule>
    <cfRule type="expression" dxfId="1293" priority="1387">
      <formula>$AG220:$AG406="EOB Downloaded"</formula>
    </cfRule>
  </conditionalFormatting>
  <conditionalFormatting sqref="AA220">
    <cfRule type="expression" dxfId="1292" priority="1378">
      <formula>$AG220:$AG406="Follow-Up Complete"</formula>
    </cfRule>
    <cfRule type="expression" dxfId="1291" priority="1379">
      <formula>$AG220:$AG406="Further Follow-Up"</formula>
    </cfRule>
    <cfRule type="expression" dxfId="1290" priority="1380">
      <formula>$AG220:$AG406="EOB Requested"</formula>
    </cfRule>
    <cfRule type="expression" dxfId="1289" priority="1381">
      <formula>$AG220:$AG406="EOB Not Found"</formula>
    </cfRule>
    <cfRule type="expression" dxfId="1288" priority="1382">
      <formula>$AG220:$AG406="EOB Downloaded"</formula>
    </cfRule>
  </conditionalFormatting>
  <conditionalFormatting sqref="P219">
    <cfRule type="expression" dxfId="1287" priority="1373">
      <formula>$AG219:$AG405="Follow-Up Complete"</formula>
    </cfRule>
    <cfRule type="expression" dxfId="1286" priority="1374">
      <formula>$AG219:$AG405="Further Follow-Up"</formula>
    </cfRule>
    <cfRule type="expression" dxfId="1285" priority="1375">
      <formula>$AG219:$AG405="EOB Requested"</formula>
    </cfRule>
    <cfRule type="expression" dxfId="1284" priority="1376">
      <formula>$AG219:$AG405="EOB Not Found"</formula>
    </cfRule>
    <cfRule type="expression" dxfId="1283" priority="1377">
      <formula>$AG219:$AG405="EOB Downloaded"</formula>
    </cfRule>
  </conditionalFormatting>
  <conditionalFormatting sqref="R219">
    <cfRule type="expression" dxfId="1282" priority="1368">
      <formula>$AG219:$AG405="Follow-Up Complete"</formula>
    </cfRule>
    <cfRule type="expression" dxfId="1281" priority="1369">
      <formula>$AG219:$AG405="Further Follow-Up"</formula>
    </cfRule>
    <cfRule type="expression" dxfId="1280" priority="1370">
      <formula>$AG219:$AG405="EOB Requested"</formula>
    </cfRule>
    <cfRule type="expression" dxfId="1279" priority="1371">
      <formula>$AG219:$AG405="EOB Not Found"</formula>
    </cfRule>
    <cfRule type="expression" dxfId="1278" priority="1372">
      <formula>$AG219:$AG405="EOB Downloaded"</formula>
    </cfRule>
  </conditionalFormatting>
  <conditionalFormatting sqref="T219">
    <cfRule type="expression" dxfId="1277" priority="1363">
      <formula>$AG219:$AG405="Follow-Up Complete"</formula>
    </cfRule>
    <cfRule type="expression" dxfId="1276" priority="1364">
      <formula>$AG219:$AG405="Further Follow-Up"</formula>
    </cfRule>
    <cfRule type="expression" dxfId="1275" priority="1365">
      <formula>$AG219:$AG405="EOB Requested"</formula>
    </cfRule>
    <cfRule type="expression" dxfId="1274" priority="1366">
      <formula>$AG219:$AG405="EOB Not Found"</formula>
    </cfRule>
    <cfRule type="expression" dxfId="1273" priority="1367">
      <formula>$AG219:$AG405="EOB Downloaded"</formula>
    </cfRule>
  </conditionalFormatting>
  <conditionalFormatting sqref="V219">
    <cfRule type="expression" dxfId="1272" priority="1358">
      <formula>$AG219:$AG405="Follow-Up Complete"</formula>
    </cfRule>
    <cfRule type="expression" dxfId="1271" priority="1359">
      <formula>$AG219:$AG405="Further Follow-Up"</formula>
    </cfRule>
    <cfRule type="expression" dxfId="1270" priority="1360">
      <formula>$AG219:$AG405="EOB Requested"</formula>
    </cfRule>
    <cfRule type="expression" dxfId="1269" priority="1361">
      <formula>$AG219:$AG405="EOB Not Found"</formula>
    </cfRule>
    <cfRule type="expression" dxfId="1268" priority="1362">
      <formula>$AG219:$AG405="EOB Downloaded"</formula>
    </cfRule>
  </conditionalFormatting>
  <conditionalFormatting sqref="AA219">
    <cfRule type="expression" dxfId="1267" priority="1353">
      <formula>$AG219:$AG405="Follow-Up Complete"</formula>
    </cfRule>
    <cfRule type="expression" dxfId="1266" priority="1354">
      <formula>$AG219:$AG405="Further Follow-Up"</formula>
    </cfRule>
    <cfRule type="expression" dxfId="1265" priority="1355">
      <formula>$AG219:$AG405="EOB Requested"</formula>
    </cfRule>
    <cfRule type="expression" dxfId="1264" priority="1356">
      <formula>$AG219:$AG405="EOB Not Found"</formula>
    </cfRule>
    <cfRule type="expression" dxfId="1263" priority="1357">
      <formula>$AG219:$AG405="EOB Downloaded"</formula>
    </cfRule>
  </conditionalFormatting>
  <conditionalFormatting sqref="P218">
    <cfRule type="expression" dxfId="1262" priority="1348">
      <formula>$AG218:$AG404="Follow-Up Complete"</formula>
    </cfRule>
    <cfRule type="expression" dxfId="1261" priority="1349">
      <formula>$AG218:$AG404="Further Follow-Up"</formula>
    </cfRule>
    <cfRule type="expression" dxfId="1260" priority="1350">
      <formula>$AG218:$AG404="EOB Requested"</formula>
    </cfRule>
    <cfRule type="expression" dxfId="1259" priority="1351">
      <formula>$AG218:$AG404="EOB Not Found"</formula>
    </cfRule>
    <cfRule type="expression" dxfId="1258" priority="1352">
      <formula>$AG218:$AG404="EOB Downloaded"</formula>
    </cfRule>
  </conditionalFormatting>
  <conditionalFormatting sqref="R218">
    <cfRule type="expression" dxfId="1257" priority="1343">
      <formula>$AG218:$AG404="Follow-Up Complete"</formula>
    </cfRule>
    <cfRule type="expression" dxfId="1256" priority="1344">
      <formula>$AG218:$AG404="Further Follow-Up"</formula>
    </cfRule>
    <cfRule type="expression" dxfId="1255" priority="1345">
      <formula>$AG218:$AG404="EOB Requested"</formula>
    </cfRule>
    <cfRule type="expression" dxfId="1254" priority="1346">
      <formula>$AG218:$AG404="EOB Not Found"</formula>
    </cfRule>
    <cfRule type="expression" dxfId="1253" priority="1347">
      <formula>$AG218:$AG404="EOB Downloaded"</formula>
    </cfRule>
  </conditionalFormatting>
  <conditionalFormatting sqref="T218">
    <cfRule type="expression" dxfId="1252" priority="1338">
      <formula>$AG218:$AG404="Follow-Up Complete"</formula>
    </cfRule>
    <cfRule type="expression" dxfId="1251" priority="1339">
      <formula>$AG218:$AG404="Further Follow-Up"</formula>
    </cfRule>
    <cfRule type="expression" dxfId="1250" priority="1340">
      <formula>$AG218:$AG404="EOB Requested"</formula>
    </cfRule>
    <cfRule type="expression" dxfId="1249" priority="1341">
      <formula>$AG218:$AG404="EOB Not Found"</formula>
    </cfRule>
    <cfRule type="expression" dxfId="1248" priority="1342">
      <formula>$AG218:$AG404="EOB Downloaded"</formula>
    </cfRule>
  </conditionalFormatting>
  <conditionalFormatting sqref="V218">
    <cfRule type="expression" dxfId="1247" priority="1333">
      <formula>$AG218:$AG404="Follow-Up Complete"</formula>
    </cfRule>
    <cfRule type="expression" dxfId="1246" priority="1334">
      <formula>$AG218:$AG404="Further Follow-Up"</formula>
    </cfRule>
    <cfRule type="expression" dxfId="1245" priority="1335">
      <formula>$AG218:$AG404="EOB Requested"</formula>
    </cfRule>
    <cfRule type="expression" dxfId="1244" priority="1336">
      <formula>$AG218:$AG404="EOB Not Found"</formula>
    </cfRule>
    <cfRule type="expression" dxfId="1243" priority="1337">
      <formula>$AG218:$AG404="EOB Downloaded"</formula>
    </cfRule>
  </conditionalFormatting>
  <conditionalFormatting sqref="X218">
    <cfRule type="expression" dxfId="1242" priority="1328">
      <formula>$AG218:$AG404="Follow-Up Complete"</formula>
    </cfRule>
    <cfRule type="expression" dxfId="1241" priority="1329">
      <formula>$AG218:$AG404="Further Follow-Up"</formula>
    </cfRule>
    <cfRule type="expression" dxfId="1240" priority="1330">
      <formula>$AG218:$AG404="EOB Requested"</formula>
    </cfRule>
    <cfRule type="expression" dxfId="1239" priority="1331">
      <formula>$AG218:$AG404="EOB Not Found"</formula>
    </cfRule>
    <cfRule type="expression" dxfId="1238" priority="1332">
      <formula>$AG218:$AG404="EOB Downloaded"</formula>
    </cfRule>
  </conditionalFormatting>
  <conditionalFormatting sqref="AA218">
    <cfRule type="expression" dxfId="1237" priority="1323">
      <formula>$AG218:$AG404="Follow-Up Complete"</formula>
    </cfRule>
    <cfRule type="expression" dxfId="1236" priority="1324">
      <formula>$AG218:$AG404="Further Follow-Up"</formula>
    </cfRule>
    <cfRule type="expression" dxfId="1235" priority="1325">
      <formula>$AG218:$AG404="EOB Requested"</formula>
    </cfRule>
    <cfRule type="expression" dxfId="1234" priority="1326">
      <formula>$AG218:$AG404="EOB Not Found"</formula>
    </cfRule>
    <cfRule type="expression" dxfId="1233" priority="1327">
      <formula>$AG218:$AG404="EOB Downloaded"</formula>
    </cfRule>
  </conditionalFormatting>
  <conditionalFormatting sqref="P217">
    <cfRule type="expression" dxfId="1232" priority="1318">
      <formula>$AG217:$AG403="Follow-Up Complete"</formula>
    </cfRule>
    <cfRule type="expression" dxfId="1231" priority="1319">
      <formula>$AG217:$AG403="Further Follow-Up"</formula>
    </cfRule>
    <cfRule type="expression" dxfId="1230" priority="1320">
      <formula>$AG217:$AG403="EOB Requested"</formula>
    </cfRule>
    <cfRule type="expression" dxfId="1229" priority="1321">
      <formula>$AG217:$AG403="EOB Not Found"</formula>
    </cfRule>
    <cfRule type="expression" dxfId="1228" priority="1322">
      <formula>$AG217:$AG403="EOB Downloaded"</formula>
    </cfRule>
  </conditionalFormatting>
  <conditionalFormatting sqref="R217">
    <cfRule type="expression" dxfId="1227" priority="1313">
      <formula>$AG217:$AG403="Follow-Up Complete"</formula>
    </cfRule>
    <cfRule type="expression" dxfId="1226" priority="1314">
      <formula>$AG217:$AG403="Further Follow-Up"</formula>
    </cfRule>
    <cfRule type="expression" dxfId="1225" priority="1315">
      <formula>$AG217:$AG403="EOB Requested"</formula>
    </cfRule>
    <cfRule type="expression" dxfId="1224" priority="1316">
      <formula>$AG217:$AG403="EOB Not Found"</formula>
    </cfRule>
    <cfRule type="expression" dxfId="1223" priority="1317">
      <formula>$AG217:$AG403="EOB Downloaded"</formula>
    </cfRule>
  </conditionalFormatting>
  <conditionalFormatting sqref="T217">
    <cfRule type="expression" dxfId="1222" priority="1308">
      <formula>$AG217:$AG403="Follow-Up Complete"</formula>
    </cfRule>
    <cfRule type="expression" dxfId="1221" priority="1309">
      <formula>$AG217:$AG403="Further Follow-Up"</formula>
    </cfRule>
    <cfRule type="expression" dxfId="1220" priority="1310">
      <formula>$AG217:$AG403="EOB Requested"</formula>
    </cfRule>
    <cfRule type="expression" dxfId="1219" priority="1311">
      <formula>$AG217:$AG403="EOB Not Found"</formula>
    </cfRule>
    <cfRule type="expression" dxfId="1218" priority="1312">
      <formula>$AG217:$AG403="EOB Downloaded"</formula>
    </cfRule>
  </conditionalFormatting>
  <conditionalFormatting sqref="V217">
    <cfRule type="expression" dxfId="1217" priority="1303">
      <formula>$AG217:$AG403="Follow-Up Complete"</formula>
    </cfRule>
    <cfRule type="expression" dxfId="1216" priority="1304">
      <formula>$AG217:$AG403="Further Follow-Up"</formula>
    </cfRule>
    <cfRule type="expression" dxfId="1215" priority="1305">
      <formula>$AG217:$AG403="EOB Requested"</formula>
    </cfRule>
    <cfRule type="expression" dxfId="1214" priority="1306">
      <formula>$AG217:$AG403="EOB Not Found"</formula>
    </cfRule>
    <cfRule type="expression" dxfId="1213" priority="1307">
      <formula>$AG217:$AG403="EOB Downloaded"</formula>
    </cfRule>
  </conditionalFormatting>
  <conditionalFormatting sqref="X217">
    <cfRule type="expression" dxfId="1212" priority="1298">
      <formula>$AG217:$AG403="Follow-Up Complete"</formula>
    </cfRule>
    <cfRule type="expression" dxfId="1211" priority="1299">
      <formula>$AG217:$AG403="Further Follow-Up"</formula>
    </cfRule>
    <cfRule type="expression" dxfId="1210" priority="1300">
      <formula>$AG217:$AG403="EOB Requested"</formula>
    </cfRule>
    <cfRule type="expression" dxfId="1209" priority="1301">
      <formula>$AG217:$AG403="EOB Not Found"</formula>
    </cfRule>
    <cfRule type="expression" dxfId="1208" priority="1302">
      <formula>$AG217:$AG403="EOB Downloaded"</formula>
    </cfRule>
  </conditionalFormatting>
  <conditionalFormatting sqref="AA217">
    <cfRule type="expression" dxfId="1207" priority="1293">
      <formula>$AG217:$AG403="Follow-Up Complete"</formula>
    </cfRule>
    <cfRule type="expression" dxfId="1206" priority="1294">
      <formula>$AG217:$AG403="Further Follow-Up"</formula>
    </cfRule>
    <cfRule type="expression" dxfId="1205" priority="1295">
      <formula>$AG217:$AG403="EOB Requested"</formula>
    </cfRule>
    <cfRule type="expression" dxfId="1204" priority="1296">
      <formula>$AG217:$AG403="EOB Not Found"</formula>
    </cfRule>
    <cfRule type="expression" dxfId="1203" priority="1297">
      <formula>$AG217:$AG403="EOB Downloaded"</formula>
    </cfRule>
  </conditionalFormatting>
  <conditionalFormatting sqref="R216">
    <cfRule type="expression" dxfId="1202" priority="1288">
      <formula>$AG216:$AG402="Follow-Up Complete"</formula>
    </cfRule>
    <cfRule type="expression" dxfId="1201" priority="1289">
      <formula>$AG216:$AG402="Further Follow-Up"</formula>
    </cfRule>
    <cfRule type="expression" dxfId="1200" priority="1290">
      <formula>$AG216:$AG402="EOB Requested"</formula>
    </cfRule>
    <cfRule type="expression" dxfId="1199" priority="1291">
      <formula>$AG216:$AG402="EOB Not Found"</formula>
    </cfRule>
    <cfRule type="expression" dxfId="1198" priority="1292">
      <formula>$AG216:$AG402="EOB Downloaded"</formula>
    </cfRule>
  </conditionalFormatting>
  <conditionalFormatting sqref="T216">
    <cfRule type="expression" dxfId="1197" priority="1283">
      <formula>$AG216:$AG402="Follow-Up Complete"</formula>
    </cfRule>
    <cfRule type="expression" dxfId="1196" priority="1284">
      <formula>$AG216:$AG402="Further Follow-Up"</formula>
    </cfRule>
    <cfRule type="expression" dxfId="1195" priority="1285">
      <formula>$AG216:$AG402="EOB Requested"</formula>
    </cfRule>
    <cfRule type="expression" dxfId="1194" priority="1286">
      <formula>$AG216:$AG402="EOB Not Found"</formula>
    </cfRule>
    <cfRule type="expression" dxfId="1193" priority="1287">
      <formula>$AG216:$AG402="EOB Downloaded"</formula>
    </cfRule>
  </conditionalFormatting>
  <conditionalFormatting sqref="V216">
    <cfRule type="expression" dxfId="1192" priority="1278">
      <formula>$AG216:$AG402="Follow-Up Complete"</formula>
    </cfRule>
    <cfRule type="expression" dxfId="1191" priority="1279">
      <formula>$AG216:$AG402="Further Follow-Up"</formula>
    </cfRule>
    <cfRule type="expression" dxfId="1190" priority="1280">
      <formula>$AG216:$AG402="EOB Requested"</formula>
    </cfRule>
    <cfRule type="expression" dxfId="1189" priority="1281">
      <formula>$AG216:$AG402="EOB Not Found"</formula>
    </cfRule>
    <cfRule type="expression" dxfId="1188" priority="1282">
      <formula>$AG216:$AG402="EOB Downloaded"</formula>
    </cfRule>
  </conditionalFormatting>
  <conditionalFormatting sqref="X216">
    <cfRule type="expression" dxfId="1187" priority="1273">
      <formula>$AG216:$AG402="Follow-Up Complete"</formula>
    </cfRule>
    <cfRule type="expression" dxfId="1186" priority="1274">
      <formula>$AG216:$AG402="Further Follow-Up"</formula>
    </cfRule>
    <cfRule type="expression" dxfId="1185" priority="1275">
      <formula>$AG216:$AG402="EOB Requested"</formula>
    </cfRule>
    <cfRule type="expression" dxfId="1184" priority="1276">
      <formula>$AG216:$AG402="EOB Not Found"</formula>
    </cfRule>
    <cfRule type="expression" dxfId="1183" priority="1277">
      <formula>$AG216:$AG402="EOB Downloaded"</formula>
    </cfRule>
  </conditionalFormatting>
  <conditionalFormatting sqref="AA216">
    <cfRule type="expression" dxfId="1182" priority="1268">
      <formula>$AG216:$AG402="Follow-Up Complete"</formula>
    </cfRule>
    <cfRule type="expression" dxfId="1181" priority="1269">
      <formula>$AG216:$AG402="Further Follow-Up"</formula>
    </cfRule>
    <cfRule type="expression" dxfId="1180" priority="1270">
      <formula>$AG216:$AG402="EOB Requested"</formula>
    </cfRule>
    <cfRule type="expression" dxfId="1179" priority="1271">
      <formula>$AG216:$AG402="EOB Not Found"</formula>
    </cfRule>
    <cfRule type="expression" dxfId="1178" priority="1272">
      <formula>$AG216:$AG402="EOB Downloaded"</formula>
    </cfRule>
  </conditionalFormatting>
  <conditionalFormatting sqref="P215">
    <cfRule type="expression" dxfId="1177" priority="1263">
      <formula>$AG215:$AG401="Follow-Up Complete"</formula>
    </cfRule>
    <cfRule type="expression" dxfId="1176" priority="1264">
      <formula>$AG215:$AG401="Further Follow-Up"</formula>
    </cfRule>
    <cfRule type="expression" dxfId="1175" priority="1265">
      <formula>$AG215:$AG401="EOB Requested"</formula>
    </cfRule>
    <cfRule type="expression" dxfId="1174" priority="1266">
      <formula>$AG215:$AG401="EOB Not Found"</formula>
    </cfRule>
    <cfRule type="expression" dxfId="1173" priority="1267">
      <formula>$AG215:$AG401="EOB Downloaded"</formula>
    </cfRule>
  </conditionalFormatting>
  <conditionalFormatting sqref="R215">
    <cfRule type="expression" dxfId="1172" priority="1258">
      <formula>$AG215:$AG401="Follow-Up Complete"</formula>
    </cfRule>
    <cfRule type="expression" dxfId="1171" priority="1259">
      <formula>$AG215:$AG401="Further Follow-Up"</formula>
    </cfRule>
    <cfRule type="expression" dxfId="1170" priority="1260">
      <formula>$AG215:$AG401="EOB Requested"</formula>
    </cfRule>
    <cfRule type="expression" dxfId="1169" priority="1261">
      <formula>$AG215:$AG401="EOB Not Found"</formula>
    </cfRule>
    <cfRule type="expression" dxfId="1168" priority="1262">
      <formula>$AG215:$AG401="EOB Downloaded"</formula>
    </cfRule>
  </conditionalFormatting>
  <conditionalFormatting sqref="T215">
    <cfRule type="expression" dxfId="1167" priority="1253">
      <formula>$AG215:$AG401="Follow-Up Complete"</formula>
    </cfRule>
    <cfRule type="expression" dxfId="1166" priority="1254">
      <formula>$AG215:$AG401="Further Follow-Up"</formula>
    </cfRule>
    <cfRule type="expression" dxfId="1165" priority="1255">
      <formula>$AG215:$AG401="EOB Requested"</formula>
    </cfRule>
    <cfRule type="expression" dxfId="1164" priority="1256">
      <formula>$AG215:$AG401="EOB Not Found"</formula>
    </cfRule>
    <cfRule type="expression" dxfId="1163" priority="1257">
      <formula>$AG215:$AG401="EOB Downloaded"</formula>
    </cfRule>
  </conditionalFormatting>
  <conditionalFormatting sqref="V215">
    <cfRule type="expression" dxfId="1162" priority="1248">
      <formula>$AG215:$AG401="Follow-Up Complete"</formula>
    </cfRule>
    <cfRule type="expression" dxfId="1161" priority="1249">
      <formula>$AG215:$AG401="Further Follow-Up"</formula>
    </cfRule>
    <cfRule type="expression" dxfId="1160" priority="1250">
      <formula>$AG215:$AG401="EOB Requested"</formula>
    </cfRule>
    <cfRule type="expression" dxfId="1159" priority="1251">
      <formula>$AG215:$AG401="EOB Not Found"</formula>
    </cfRule>
    <cfRule type="expression" dxfId="1158" priority="1252">
      <formula>$AG215:$AG401="EOB Downloaded"</formula>
    </cfRule>
  </conditionalFormatting>
  <conditionalFormatting sqref="AA215">
    <cfRule type="expression" dxfId="1157" priority="1243">
      <formula>$AG215:$AG401="Follow-Up Complete"</formula>
    </cfRule>
    <cfRule type="expression" dxfId="1156" priority="1244">
      <formula>$AG215:$AG401="Further Follow-Up"</formula>
    </cfRule>
    <cfRule type="expression" dxfId="1155" priority="1245">
      <formula>$AG215:$AG401="EOB Requested"</formula>
    </cfRule>
    <cfRule type="expression" dxfId="1154" priority="1246">
      <formula>$AG215:$AG401="EOB Not Found"</formula>
    </cfRule>
    <cfRule type="expression" dxfId="1153" priority="1247">
      <formula>$AG215:$AG401="EOB Downloaded"</formula>
    </cfRule>
  </conditionalFormatting>
  <conditionalFormatting sqref="P214">
    <cfRule type="expression" dxfId="1152" priority="1238">
      <formula>$AG214:$AG400="Follow-Up Complete"</formula>
    </cfRule>
    <cfRule type="expression" dxfId="1151" priority="1239">
      <formula>$AG214:$AG400="Further Follow-Up"</formula>
    </cfRule>
    <cfRule type="expression" dxfId="1150" priority="1240">
      <formula>$AG214:$AG400="EOB Requested"</formula>
    </cfRule>
    <cfRule type="expression" dxfId="1149" priority="1241">
      <formula>$AG214:$AG400="EOB Not Found"</formula>
    </cfRule>
    <cfRule type="expression" dxfId="1148" priority="1242">
      <formula>$AG214:$AG400="EOB Downloaded"</formula>
    </cfRule>
  </conditionalFormatting>
  <conditionalFormatting sqref="R214">
    <cfRule type="expression" dxfId="1147" priority="1233">
      <formula>$AG214:$AG400="Follow-Up Complete"</formula>
    </cfRule>
    <cfRule type="expression" dxfId="1146" priority="1234">
      <formula>$AG214:$AG400="Further Follow-Up"</formula>
    </cfRule>
    <cfRule type="expression" dxfId="1145" priority="1235">
      <formula>$AG214:$AG400="EOB Requested"</formula>
    </cfRule>
    <cfRule type="expression" dxfId="1144" priority="1236">
      <formula>$AG214:$AG400="EOB Not Found"</formula>
    </cfRule>
    <cfRule type="expression" dxfId="1143" priority="1237">
      <formula>$AG214:$AG400="EOB Downloaded"</formula>
    </cfRule>
  </conditionalFormatting>
  <conditionalFormatting sqref="T214">
    <cfRule type="expression" dxfId="1142" priority="1228">
      <formula>$AG214:$AG400="Follow-Up Complete"</formula>
    </cfRule>
    <cfRule type="expression" dxfId="1141" priority="1229">
      <formula>$AG214:$AG400="Further Follow-Up"</formula>
    </cfRule>
    <cfRule type="expression" dxfId="1140" priority="1230">
      <formula>$AG214:$AG400="EOB Requested"</formula>
    </cfRule>
    <cfRule type="expression" dxfId="1139" priority="1231">
      <formula>$AG214:$AG400="EOB Not Found"</formula>
    </cfRule>
    <cfRule type="expression" dxfId="1138" priority="1232">
      <formula>$AG214:$AG400="EOB Downloaded"</formula>
    </cfRule>
  </conditionalFormatting>
  <conditionalFormatting sqref="V214">
    <cfRule type="expression" dxfId="1137" priority="1223">
      <formula>$AG214:$AG400="Follow-Up Complete"</formula>
    </cfRule>
    <cfRule type="expression" dxfId="1136" priority="1224">
      <formula>$AG214:$AG400="Further Follow-Up"</formula>
    </cfRule>
    <cfRule type="expression" dxfId="1135" priority="1225">
      <formula>$AG214:$AG400="EOB Requested"</formula>
    </cfRule>
    <cfRule type="expression" dxfId="1134" priority="1226">
      <formula>$AG214:$AG400="EOB Not Found"</formula>
    </cfRule>
    <cfRule type="expression" dxfId="1133" priority="1227">
      <formula>$AG214:$AG400="EOB Downloaded"</formula>
    </cfRule>
  </conditionalFormatting>
  <conditionalFormatting sqref="AA214">
    <cfRule type="expression" dxfId="1132" priority="1218">
      <formula>$AG214:$AG400="Follow-Up Complete"</formula>
    </cfRule>
    <cfRule type="expression" dxfId="1131" priority="1219">
      <formula>$AG214:$AG400="Further Follow-Up"</formula>
    </cfRule>
    <cfRule type="expression" dxfId="1130" priority="1220">
      <formula>$AG214:$AG400="EOB Requested"</formula>
    </cfRule>
    <cfRule type="expression" dxfId="1129" priority="1221">
      <formula>$AG214:$AG400="EOB Not Found"</formula>
    </cfRule>
    <cfRule type="expression" dxfId="1128" priority="1222">
      <formula>$AG214:$AG400="EOB Downloaded"</formula>
    </cfRule>
  </conditionalFormatting>
  <conditionalFormatting sqref="P213">
    <cfRule type="expression" dxfId="1127" priority="1213">
      <formula>$AG213:$AG399="Follow-Up Complete"</formula>
    </cfRule>
    <cfRule type="expression" dxfId="1126" priority="1214">
      <formula>$AG213:$AG399="Further Follow-Up"</formula>
    </cfRule>
    <cfRule type="expression" dxfId="1125" priority="1215">
      <formula>$AG213:$AG399="EOB Requested"</formula>
    </cfRule>
    <cfRule type="expression" dxfId="1124" priority="1216">
      <formula>$AG213:$AG399="EOB Not Found"</formula>
    </cfRule>
    <cfRule type="expression" dxfId="1123" priority="1217">
      <formula>$AG213:$AG399="EOB Downloaded"</formula>
    </cfRule>
  </conditionalFormatting>
  <conditionalFormatting sqref="AA213">
    <cfRule type="expression" dxfId="1122" priority="1208">
      <formula>$AG213:$AG399="Follow-Up Complete"</formula>
    </cfRule>
    <cfRule type="expression" dxfId="1121" priority="1209">
      <formula>$AG213:$AG399="Further Follow-Up"</formula>
    </cfRule>
    <cfRule type="expression" dxfId="1120" priority="1210">
      <formula>$AG213:$AG399="EOB Requested"</formula>
    </cfRule>
    <cfRule type="expression" dxfId="1119" priority="1211">
      <formula>$AG213:$AG399="EOB Not Found"</formula>
    </cfRule>
    <cfRule type="expression" dxfId="1118" priority="1212">
      <formula>$AG213:$AG399="EOB Downloaded"</formula>
    </cfRule>
  </conditionalFormatting>
  <conditionalFormatting sqref="R212">
    <cfRule type="expression" dxfId="1117" priority="1203">
      <formula>$AG212:$AG398="Follow-Up Complete"</formula>
    </cfRule>
    <cfRule type="expression" dxfId="1116" priority="1204">
      <formula>$AG212:$AG398="Further Follow-Up"</formula>
    </cfRule>
    <cfRule type="expression" dxfId="1115" priority="1205">
      <formula>$AG212:$AG398="EOB Requested"</formula>
    </cfRule>
    <cfRule type="expression" dxfId="1114" priority="1206">
      <formula>$AG212:$AG398="EOB Not Found"</formula>
    </cfRule>
    <cfRule type="expression" dxfId="1113" priority="1207">
      <formula>$AG212:$AG398="EOB Downloaded"</formula>
    </cfRule>
  </conditionalFormatting>
  <conditionalFormatting sqref="T212">
    <cfRule type="expression" dxfId="1112" priority="1198">
      <formula>$AG212:$AG398="Follow-Up Complete"</formula>
    </cfRule>
    <cfRule type="expression" dxfId="1111" priority="1199">
      <formula>$AG212:$AG398="Further Follow-Up"</formula>
    </cfRule>
    <cfRule type="expression" dxfId="1110" priority="1200">
      <formula>$AG212:$AG398="EOB Requested"</formula>
    </cfRule>
    <cfRule type="expression" dxfId="1109" priority="1201">
      <formula>$AG212:$AG398="EOB Not Found"</formula>
    </cfRule>
    <cfRule type="expression" dxfId="1108" priority="1202">
      <formula>$AG212:$AG398="EOB Downloaded"</formula>
    </cfRule>
  </conditionalFormatting>
  <conditionalFormatting sqref="AA212">
    <cfRule type="expression" dxfId="1107" priority="1193">
      <formula>$AG212:$AG398="Follow-Up Complete"</formula>
    </cfRule>
    <cfRule type="expression" dxfId="1106" priority="1194">
      <formula>$AG212:$AG398="Further Follow-Up"</formula>
    </cfRule>
    <cfRule type="expression" dxfId="1105" priority="1195">
      <formula>$AG212:$AG398="EOB Requested"</formula>
    </cfRule>
    <cfRule type="expression" dxfId="1104" priority="1196">
      <formula>$AG212:$AG398="EOB Not Found"</formula>
    </cfRule>
    <cfRule type="expression" dxfId="1103" priority="1197">
      <formula>$AG212:$AG398="EOB Downloaded"</formula>
    </cfRule>
  </conditionalFormatting>
  <conditionalFormatting sqref="P211">
    <cfRule type="expression" dxfId="1102" priority="1188">
      <formula>$AG211:$AG397="Follow-Up Complete"</formula>
    </cfRule>
    <cfRule type="expression" dxfId="1101" priority="1189">
      <formula>$AG211:$AG397="Further Follow-Up"</formula>
    </cfRule>
    <cfRule type="expression" dxfId="1100" priority="1190">
      <formula>$AG211:$AG397="EOB Requested"</formula>
    </cfRule>
    <cfRule type="expression" dxfId="1099" priority="1191">
      <formula>$AG211:$AG397="EOB Not Found"</formula>
    </cfRule>
    <cfRule type="expression" dxfId="1098" priority="1192">
      <formula>$AG211:$AG397="EOB Downloaded"</formula>
    </cfRule>
  </conditionalFormatting>
  <conditionalFormatting sqref="R211">
    <cfRule type="expression" dxfId="1097" priority="1183">
      <formula>$AG211:$AG397="Follow-Up Complete"</formula>
    </cfRule>
    <cfRule type="expression" dxfId="1096" priority="1184">
      <formula>$AG211:$AG397="Further Follow-Up"</formula>
    </cfRule>
    <cfRule type="expression" dxfId="1095" priority="1185">
      <formula>$AG211:$AG397="EOB Requested"</formula>
    </cfRule>
    <cfRule type="expression" dxfId="1094" priority="1186">
      <formula>$AG211:$AG397="EOB Not Found"</formula>
    </cfRule>
    <cfRule type="expression" dxfId="1093" priority="1187">
      <formula>$AG211:$AG397="EOB Downloaded"</formula>
    </cfRule>
  </conditionalFormatting>
  <conditionalFormatting sqref="T211">
    <cfRule type="expression" dxfId="1092" priority="1178">
      <formula>$AG211:$AG397="Follow-Up Complete"</formula>
    </cfRule>
    <cfRule type="expression" dxfId="1091" priority="1179">
      <formula>$AG211:$AG397="Further Follow-Up"</formula>
    </cfRule>
    <cfRule type="expression" dxfId="1090" priority="1180">
      <formula>$AG211:$AG397="EOB Requested"</formula>
    </cfRule>
    <cfRule type="expression" dxfId="1089" priority="1181">
      <formula>$AG211:$AG397="EOB Not Found"</formula>
    </cfRule>
    <cfRule type="expression" dxfId="1088" priority="1182">
      <formula>$AG211:$AG397="EOB Downloaded"</formula>
    </cfRule>
  </conditionalFormatting>
  <conditionalFormatting sqref="V211">
    <cfRule type="expression" dxfId="1087" priority="1173">
      <formula>$AG211:$AG397="Follow-Up Complete"</formula>
    </cfRule>
    <cfRule type="expression" dxfId="1086" priority="1174">
      <formula>$AG211:$AG397="Further Follow-Up"</formula>
    </cfRule>
    <cfRule type="expression" dxfId="1085" priority="1175">
      <formula>$AG211:$AG397="EOB Requested"</formula>
    </cfRule>
    <cfRule type="expression" dxfId="1084" priority="1176">
      <formula>$AG211:$AG397="EOB Not Found"</formula>
    </cfRule>
    <cfRule type="expression" dxfId="1083" priority="1177">
      <formula>$AG211:$AG397="EOB Downloaded"</formula>
    </cfRule>
  </conditionalFormatting>
  <conditionalFormatting sqref="AA211">
    <cfRule type="expression" dxfId="1082" priority="1168">
      <formula>$AG211:$AG397="Follow-Up Complete"</formula>
    </cfRule>
    <cfRule type="expression" dxfId="1081" priority="1169">
      <formula>$AG211:$AG397="Further Follow-Up"</formula>
    </cfRule>
    <cfRule type="expression" dxfId="1080" priority="1170">
      <formula>$AG211:$AG397="EOB Requested"</formula>
    </cfRule>
    <cfRule type="expression" dxfId="1079" priority="1171">
      <formula>$AG211:$AG397="EOB Not Found"</formula>
    </cfRule>
    <cfRule type="expression" dxfId="1078" priority="1172">
      <formula>$AG211:$AG397="EOB Downloaded"</formula>
    </cfRule>
  </conditionalFormatting>
  <conditionalFormatting sqref="P210">
    <cfRule type="expression" dxfId="1077" priority="1163">
      <formula>$AG210:$AG396="Follow-Up Complete"</formula>
    </cfRule>
    <cfRule type="expression" dxfId="1076" priority="1164">
      <formula>$AG210:$AG396="Further Follow-Up"</formula>
    </cfRule>
    <cfRule type="expression" dxfId="1075" priority="1165">
      <formula>$AG210:$AG396="EOB Requested"</formula>
    </cfRule>
    <cfRule type="expression" dxfId="1074" priority="1166">
      <formula>$AG210:$AG396="EOB Not Found"</formula>
    </cfRule>
    <cfRule type="expression" dxfId="1073" priority="1167">
      <formula>$AG210:$AG396="EOB Downloaded"</formula>
    </cfRule>
  </conditionalFormatting>
  <conditionalFormatting sqref="R210">
    <cfRule type="expression" dxfId="1072" priority="1158">
      <formula>$AG210:$AG396="Follow-Up Complete"</formula>
    </cfRule>
    <cfRule type="expression" dxfId="1071" priority="1159">
      <formula>$AG210:$AG396="Further Follow-Up"</formula>
    </cfRule>
    <cfRule type="expression" dxfId="1070" priority="1160">
      <formula>$AG210:$AG396="EOB Requested"</formula>
    </cfRule>
    <cfRule type="expression" dxfId="1069" priority="1161">
      <formula>$AG210:$AG396="EOB Not Found"</formula>
    </cfRule>
    <cfRule type="expression" dxfId="1068" priority="1162">
      <formula>$AG210:$AG396="EOB Downloaded"</formula>
    </cfRule>
  </conditionalFormatting>
  <conditionalFormatting sqref="T210">
    <cfRule type="expression" dxfId="1067" priority="1153">
      <formula>$AG210:$AG396="Follow-Up Complete"</formula>
    </cfRule>
    <cfRule type="expression" dxfId="1066" priority="1154">
      <formula>$AG210:$AG396="Further Follow-Up"</formula>
    </cfRule>
    <cfRule type="expression" dxfId="1065" priority="1155">
      <formula>$AG210:$AG396="EOB Requested"</formula>
    </cfRule>
    <cfRule type="expression" dxfId="1064" priority="1156">
      <formula>$AG210:$AG396="EOB Not Found"</formula>
    </cfRule>
    <cfRule type="expression" dxfId="1063" priority="1157">
      <formula>$AG210:$AG396="EOB Downloaded"</formula>
    </cfRule>
  </conditionalFormatting>
  <conditionalFormatting sqref="V210">
    <cfRule type="expression" dxfId="1062" priority="1148">
      <formula>$AG210:$AG396="Follow-Up Complete"</formula>
    </cfRule>
    <cfRule type="expression" dxfId="1061" priority="1149">
      <formula>$AG210:$AG396="Further Follow-Up"</formula>
    </cfRule>
    <cfRule type="expression" dxfId="1060" priority="1150">
      <formula>$AG210:$AG396="EOB Requested"</formula>
    </cfRule>
    <cfRule type="expression" dxfId="1059" priority="1151">
      <formula>$AG210:$AG396="EOB Not Found"</formula>
    </cfRule>
    <cfRule type="expression" dxfId="1058" priority="1152">
      <formula>$AG210:$AG396="EOB Downloaded"</formula>
    </cfRule>
  </conditionalFormatting>
  <conditionalFormatting sqref="AA210">
    <cfRule type="expression" dxfId="1057" priority="1143">
      <formula>$AG210:$AG396="Follow-Up Complete"</formula>
    </cfRule>
    <cfRule type="expression" dxfId="1056" priority="1144">
      <formula>$AG210:$AG396="Further Follow-Up"</formula>
    </cfRule>
    <cfRule type="expression" dxfId="1055" priority="1145">
      <formula>$AG210:$AG396="EOB Requested"</formula>
    </cfRule>
    <cfRule type="expression" dxfId="1054" priority="1146">
      <formula>$AG210:$AG396="EOB Not Found"</formula>
    </cfRule>
    <cfRule type="expression" dxfId="1053" priority="1147">
      <formula>$AG210:$AG396="EOB Downloaded"</formula>
    </cfRule>
  </conditionalFormatting>
  <conditionalFormatting sqref="P209">
    <cfRule type="expression" dxfId="1052" priority="1138">
      <formula>$AG209:$AG395="Follow-Up Complete"</formula>
    </cfRule>
    <cfRule type="expression" dxfId="1051" priority="1139">
      <formula>$AG209:$AG395="Further Follow-Up"</formula>
    </cfRule>
    <cfRule type="expression" dxfId="1050" priority="1140">
      <formula>$AG209:$AG395="EOB Requested"</formula>
    </cfRule>
    <cfRule type="expression" dxfId="1049" priority="1141">
      <formula>$AG209:$AG395="EOB Not Found"</formula>
    </cfRule>
    <cfRule type="expression" dxfId="1048" priority="1142">
      <formula>$AG209:$AG395="EOB Downloaded"</formula>
    </cfRule>
  </conditionalFormatting>
  <conditionalFormatting sqref="R209">
    <cfRule type="expression" dxfId="1047" priority="1133">
      <formula>$AG209:$AG395="Follow-Up Complete"</formula>
    </cfRule>
    <cfRule type="expression" dxfId="1046" priority="1134">
      <formula>$AG209:$AG395="Further Follow-Up"</formula>
    </cfRule>
    <cfRule type="expression" dxfId="1045" priority="1135">
      <formula>$AG209:$AG395="EOB Requested"</formula>
    </cfRule>
    <cfRule type="expression" dxfId="1044" priority="1136">
      <formula>$AG209:$AG395="EOB Not Found"</formula>
    </cfRule>
    <cfRule type="expression" dxfId="1043" priority="1137">
      <formula>$AG209:$AG395="EOB Downloaded"</formula>
    </cfRule>
  </conditionalFormatting>
  <conditionalFormatting sqref="T209">
    <cfRule type="expression" dxfId="1042" priority="1128">
      <formula>$AG209:$AG395="Follow-Up Complete"</formula>
    </cfRule>
    <cfRule type="expression" dxfId="1041" priority="1129">
      <formula>$AG209:$AG395="Further Follow-Up"</formula>
    </cfRule>
    <cfRule type="expression" dxfId="1040" priority="1130">
      <formula>$AG209:$AG395="EOB Requested"</formula>
    </cfRule>
    <cfRule type="expression" dxfId="1039" priority="1131">
      <formula>$AG209:$AG395="EOB Not Found"</formula>
    </cfRule>
    <cfRule type="expression" dxfId="1038" priority="1132">
      <formula>$AG209:$AG395="EOB Downloaded"</formula>
    </cfRule>
  </conditionalFormatting>
  <conditionalFormatting sqref="V209">
    <cfRule type="expression" dxfId="1037" priority="1123">
      <formula>$AG209:$AG395="Follow-Up Complete"</formula>
    </cfRule>
    <cfRule type="expression" dxfId="1036" priority="1124">
      <formula>$AG209:$AG395="Further Follow-Up"</formula>
    </cfRule>
    <cfRule type="expression" dxfId="1035" priority="1125">
      <formula>$AG209:$AG395="EOB Requested"</formula>
    </cfRule>
    <cfRule type="expression" dxfId="1034" priority="1126">
      <formula>$AG209:$AG395="EOB Not Found"</formula>
    </cfRule>
    <cfRule type="expression" dxfId="1033" priority="1127">
      <formula>$AG209:$AG395="EOB Downloaded"</formula>
    </cfRule>
  </conditionalFormatting>
  <conditionalFormatting sqref="AA209">
    <cfRule type="expression" dxfId="1032" priority="1118">
      <formula>$AG209:$AG395="Follow-Up Complete"</formula>
    </cfRule>
    <cfRule type="expression" dxfId="1031" priority="1119">
      <formula>$AG209:$AG395="Further Follow-Up"</formula>
    </cfRule>
    <cfRule type="expression" dxfId="1030" priority="1120">
      <formula>$AG209:$AG395="EOB Requested"</formula>
    </cfRule>
    <cfRule type="expression" dxfId="1029" priority="1121">
      <formula>$AG209:$AG395="EOB Not Found"</formula>
    </cfRule>
    <cfRule type="expression" dxfId="1028" priority="1122">
      <formula>$AG209:$AG395="EOB Downloaded"</formula>
    </cfRule>
  </conditionalFormatting>
  <conditionalFormatting sqref="P208">
    <cfRule type="expression" dxfId="1027" priority="1113">
      <formula>$AG208:$AG394="Follow-Up Complete"</formula>
    </cfRule>
    <cfRule type="expression" dxfId="1026" priority="1114">
      <formula>$AG208:$AG394="Further Follow-Up"</formula>
    </cfRule>
    <cfRule type="expression" dxfId="1025" priority="1115">
      <formula>$AG208:$AG394="EOB Requested"</formula>
    </cfRule>
    <cfRule type="expression" dxfId="1024" priority="1116">
      <formula>$AG208:$AG394="EOB Not Found"</formula>
    </cfRule>
    <cfRule type="expression" dxfId="1023" priority="1117">
      <formula>$AG208:$AG394="EOB Downloaded"</formula>
    </cfRule>
  </conditionalFormatting>
  <conditionalFormatting sqref="R208">
    <cfRule type="expression" dxfId="1022" priority="1108">
      <formula>$AG208:$AG394="Follow-Up Complete"</formula>
    </cfRule>
    <cfRule type="expression" dxfId="1021" priority="1109">
      <formula>$AG208:$AG394="Further Follow-Up"</formula>
    </cfRule>
    <cfRule type="expression" dxfId="1020" priority="1110">
      <formula>$AG208:$AG394="EOB Requested"</formula>
    </cfRule>
    <cfRule type="expression" dxfId="1019" priority="1111">
      <formula>$AG208:$AG394="EOB Not Found"</formula>
    </cfRule>
    <cfRule type="expression" dxfId="1018" priority="1112">
      <formula>$AG208:$AG394="EOB Downloaded"</formula>
    </cfRule>
  </conditionalFormatting>
  <conditionalFormatting sqref="T208">
    <cfRule type="expression" dxfId="1017" priority="1103">
      <formula>$AG208:$AG394="Follow-Up Complete"</formula>
    </cfRule>
    <cfRule type="expression" dxfId="1016" priority="1104">
      <formula>$AG208:$AG394="Further Follow-Up"</formula>
    </cfRule>
    <cfRule type="expression" dxfId="1015" priority="1105">
      <formula>$AG208:$AG394="EOB Requested"</formula>
    </cfRule>
    <cfRule type="expression" dxfId="1014" priority="1106">
      <formula>$AG208:$AG394="EOB Not Found"</formula>
    </cfRule>
    <cfRule type="expression" dxfId="1013" priority="1107">
      <formula>$AG208:$AG394="EOB Downloaded"</formula>
    </cfRule>
  </conditionalFormatting>
  <conditionalFormatting sqref="V208">
    <cfRule type="expression" dxfId="1012" priority="1098">
      <formula>$AG208:$AG394="Follow-Up Complete"</formula>
    </cfRule>
    <cfRule type="expression" dxfId="1011" priority="1099">
      <formula>$AG208:$AG394="Further Follow-Up"</formula>
    </cfRule>
    <cfRule type="expression" dxfId="1010" priority="1100">
      <formula>$AG208:$AG394="EOB Requested"</formula>
    </cfRule>
    <cfRule type="expression" dxfId="1009" priority="1101">
      <formula>$AG208:$AG394="EOB Not Found"</formula>
    </cfRule>
    <cfRule type="expression" dxfId="1008" priority="1102">
      <formula>$AG208:$AG394="EOB Downloaded"</formula>
    </cfRule>
  </conditionalFormatting>
  <conditionalFormatting sqref="AA208">
    <cfRule type="expression" dxfId="1007" priority="1093">
      <formula>$AG208:$AG394="Follow-Up Complete"</formula>
    </cfRule>
    <cfRule type="expression" dxfId="1006" priority="1094">
      <formula>$AG208:$AG394="Further Follow-Up"</formula>
    </cfRule>
    <cfRule type="expression" dxfId="1005" priority="1095">
      <formula>$AG208:$AG394="EOB Requested"</formula>
    </cfRule>
    <cfRule type="expression" dxfId="1004" priority="1096">
      <formula>$AG208:$AG394="EOB Not Found"</formula>
    </cfRule>
    <cfRule type="expression" dxfId="1003" priority="1097">
      <formula>$AG208:$AG394="EOB Downloaded"</formula>
    </cfRule>
  </conditionalFormatting>
  <conditionalFormatting sqref="AA207">
    <cfRule type="expression" dxfId="1002" priority="1088">
      <formula>$AG207:$AG393="Follow-Up Complete"</formula>
    </cfRule>
    <cfRule type="expression" dxfId="1001" priority="1089">
      <formula>$AG207:$AG393="Further Follow-Up"</formula>
    </cfRule>
    <cfRule type="expression" dxfId="1000" priority="1090">
      <formula>$AG207:$AG393="EOB Requested"</formula>
    </cfRule>
    <cfRule type="expression" dxfId="999" priority="1091">
      <formula>$AG207:$AG393="EOB Not Found"</formula>
    </cfRule>
    <cfRule type="expression" dxfId="998" priority="1092">
      <formula>$AG207:$AG393="EOB Downloaded"</formula>
    </cfRule>
  </conditionalFormatting>
  <conditionalFormatting sqref="P206">
    <cfRule type="expression" dxfId="997" priority="1083">
      <formula>$AG206:$AG392="Follow-Up Complete"</formula>
    </cfRule>
    <cfRule type="expression" dxfId="996" priority="1084">
      <formula>$AG206:$AG392="Further Follow-Up"</formula>
    </cfRule>
    <cfRule type="expression" dxfId="995" priority="1085">
      <formula>$AG206:$AG392="EOB Requested"</formula>
    </cfRule>
    <cfRule type="expression" dxfId="994" priority="1086">
      <formula>$AG206:$AG392="EOB Not Found"</formula>
    </cfRule>
    <cfRule type="expression" dxfId="993" priority="1087">
      <formula>$AG206:$AG392="EOB Downloaded"</formula>
    </cfRule>
  </conditionalFormatting>
  <conditionalFormatting sqref="R206">
    <cfRule type="expression" dxfId="992" priority="1078">
      <formula>$AG206:$AG392="Follow-Up Complete"</formula>
    </cfRule>
    <cfRule type="expression" dxfId="991" priority="1079">
      <formula>$AG206:$AG392="Further Follow-Up"</formula>
    </cfRule>
    <cfRule type="expression" dxfId="990" priority="1080">
      <formula>$AG206:$AG392="EOB Requested"</formula>
    </cfRule>
    <cfRule type="expression" dxfId="989" priority="1081">
      <formula>$AG206:$AG392="EOB Not Found"</formula>
    </cfRule>
    <cfRule type="expression" dxfId="988" priority="1082">
      <formula>$AG206:$AG392="EOB Downloaded"</formula>
    </cfRule>
  </conditionalFormatting>
  <conditionalFormatting sqref="AA206">
    <cfRule type="expression" dxfId="987" priority="1073">
      <formula>$AG206:$AG392="Follow-Up Complete"</formula>
    </cfRule>
    <cfRule type="expression" dxfId="986" priority="1074">
      <formula>$AG206:$AG392="Further Follow-Up"</formula>
    </cfRule>
    <cfRule type="expression" dxfId="985" priority="1075">
      <formula>$AG206:$AG392="EOB Requested"</formula>
    </cfRule>
    <cfRule type="expression" dxfId="984" priority="1076">
      <formula>$AG206:$AG392="EOB Not Found"</formula>
    </cfRule>
    <cfRule type="expression" dxfId="983" priority="1077">
      <formula>$AG206:$AG392="EOB Downloaded"</formula>
    </cfRule>
  </conditionalFormatting>
  <conditionalFormatting sqref="P205">
    <cfRule type="expression" dxfId="982" priority="1068">
      <formula>$AG205:$AG391="Follow-Up Complete"</formula>
    </cfRule>
    <cfRule type="expression" dxfId="981" priority="1069">
      <formula>$AG205:$AG391="Further Follow-Up"</formula>
    </cfRule>
    <cfRule type="expression" dxfId="980" priority="1070">
      <formula>$AG205:$AG391="EOB Requested"</formula>
    </cfRule>
    <cfRule type="expression" dxfId="979" priority="1071">
      <formula>$AG205:$AG391="EOB Not Found"</formula>
    </cfRule>
    <cfRule type="expression" dxfId="978" priority="1072">
      <formula>$AG205:$AG391="EOB Downloaded"</formula>
    </cfRule>
  </conditionalFormatting>
  <conditionalFormatting sqref="R205">
    <cfRule type="expression" dxfId="977" priority="1063">
      <formula>$AG205:$AG391="Follow-Up Complete"</formula>
    </cfRule>
    <cfRule type="expression" dxfId="976" priority="1064">
      <formula>$AG205:$AG391="Further Follow-Up"</formula>
    </cfRule>
    <cfRule type="expression" dxfId="975" priority="1065">
      <formula>$AG205:$AG391="EOB Requested"</formula>
    </cfRule>
    <cfRule type="expression" dxfId="974" priority="1066">
      <formula>$AG205:$AG391="EOB Not Found"</formula>
    </cfRule>
    <cfRule type="expression" dxfId="973" priority="1067">
      <formula>$AG205:$AG391="EOB Downloaded"</formula>
    </cfRule>
  </conditionalFormatting>
  <conditionalFormatting sqref="T205">
    <cfRule type="expression" dxfId="972" priority="1058">
      <formula>$AG205:$AG391="Follow-Up Complete"</formula>
    </cfRule>
    <cfRule type="expression" dxfId="971" priority="1059">
      <formula>$AG205:$AG391="Further Follow-Up"</formula>
    </cfRule>
    <cfRule type="expression" dxfId="970" priority="1060">
      <formula>$AG205:$AG391="EOB Requested"</formula>
    </cfRule>
    <cfRule type="expression" dxfId="969" priority="1061">
      <formula>$AG205:$AG391="EOB Not Found"</formula>
    </cfRule>
    <cfRule type="expression" dxfId="968" priority="1062">
      <formula>$AG205:$AG391="EOB Downloaded"</formula>
    </cfRule>
  </conditionalFormatting>
  <conditionalFormatting sqref="V205">
    <cfRule type="expression" dxfId="967" priority="1053">
      <formula>$AG205:$AG391="Follow-Up Complete"</formula>
    </cfRule>
    <cfRule type="expression" dxfId="966" priority="1054">
      <formula>$AG205:$AG391="Further Follow-Up"</formula>
    </cfRule>
    <cfRule type="expression" dxfId="965" priority="1055">
      <formula>$AG205:$AG391="EOB Requested"</formula>
    </cfRule>
    <cfRule type="expression" dxfId="964" priority="1056">
      <formula>$AG205:$AG391="EOB Not Found"</formula>
    </cfRule>
    <cfRule type="expression" dxfId="963" priority="1057">
      <formula>$AG205:$AG391="EOB Downloaded"</formula>
    </cfRule>
  </conditionalFormatting>
  <conditionalFormatting sqref="AA205">
    <cfRule type="expression" dxfId="962" priority="1048">
      <formula>$AG205:$AG391="Follow-Up Complete"</formula>
    </cfRule>
    <cfRule type="expression" dxfId="961" priority="1049">
      <formula>$AG205:$AG391="Further Follow-Up"</formula>
    </cfRule>
    <cfRule type="expression" dxfId="960" priority="1050">
      <formula>$AG205:$AG391="EOB Requested"</formula>
    </cfRule>
    <cfRule type="expression" dxfId="959" priority="1051">
      <formula>$AG205:$AG391="EOB Not Found"</formula>
    </cfRule>
    <cfRule type="expression" dxfId="958" priority="1052">
      <formula>$AG205:$AG391="EOB Downloaded"</formula>
    </cfRule>
  </conditionalFormatting>
  <conditionalFormatting sqref="P204">
    <cfRule type="expression" dxfId="957" priority="1043">
      <formula>$AG204:$AG390="Follow-Up Complete"</formula>
    </cfRule>
    <cfRule type="expression" dxfId="956" priority="1044">
      <formula>$AG204:$AG390="Further Follow-Up"</formula>
    </cfRule>
    <cfRule type="expression" dxfId="955" priority="1045">
      <formula>$AG204:$AG390="EOB Requested"</formula>
    </cfRule>
    <cfRule type="expression" dxfId="954" priority="1046">
      <formula>$AG204:$AG390="EOB Not Found"</formula>
    </cfRule>
    <cfRule type="expression" dxfId="953" priority="1047">
      <formula>$AG204:$AG390="EOB Downloaded"</formula>
    </cfRule>
  </conditionalFormatting>
  <conditionalFormatting sqref="R204">
    <cfRule type="expression" dxfId="952" priority="1038">
      <formula>$AG204:$AG390="Follow-Up Complete"</formula>
    </cfRule>
    <cfRule type="expression" dxfId="951" priority="1039">
      <formula>$AG204:$AG390="Further Follow-Up"</formula>
    </cfRule>
    <cfRule type="expression" dxfId="950" priority="1040">
      <formula>$AG204:$AG390="EOB Requested"</formula>
    </cfRule>
    <cfRule type="expression" dxfId="949" priority="1041">
      <formula>$AG204:$AG390="EOB Not Found"</formula>
    </cfRule>
    <cfRule type="expression" dxfId="948" priority="1042">
      <formula>$AG204:$AG390="EOB Downloaded"</formula>
    </cfRule>
  </conditionalFormatting>
  <conditionalFormatting sqref="T204">
    <cfRule type="expression" dxfId="947" priority="1033">
      <formula>$AG204:$AG390="Follow-Up Complete"</formula>
    </cfRule>
    <cfRule type="expression" dxfId="946" priority="1034">
      <formula>$AG204:$AG390="Further Follow-Up"</formula>
    </cfRule>
    <cfRule type="expression" dxfId="945" priority="1035">
      <formula>$AG204:$AG390="EOB Requested"</formula>
    </cfRule>
    <cfRule type="expression" dxfId="944" priority="1036">
      <formula>$AG204:$AG390="EOB Not Found"</formula>
    </cfRule>
    <cfRule type="expression" dxfId="943" priority="1037">
      <formula>$AG204:$AG390="EOB Downloaded"</formula>
    </cfRule>
  </conditionalFormatting>
  <conditionalFormatting sqref="V204">
    <cfRule type="expression" dxfId="942" priority="1028">
      <formula>$AG204:$AG390="Follow-Up Complete"</formula>
    </cfRule>
    <cfRule type="expression" dxfId="941" priority="1029">
      <formula>$AG204:$AG390="Further Follow-Up"</formula>
    </cfRule>
    <cfRule type="expression" dxfId="940" priority="1030">
      <formula>$AG204:$AG390="EOB Requested"</formula>
    </cfRule>
    <cfRule type="expression" dxfId="939" priority="1031">
      <formula>$AG204:$AG390="EOB Not Found"</formula>
    </cfRule>
    <cfRule type="expression" dxfId="938" priority="1032">
      <formula>$AG204:$AG390="EOB Downloaded"</formula>
    </cfRule>
  </conditionalFormatting>
  <conditionalFormatting sqref="X204">
    <cfRule type="expression" dxfId="937" priority="1023">
      <formula>$AG204:$AG390="Follow-Up Complete"</formula>
    </cfRule>
    <cfRule type="expression" dxfId="936" priority="1024">
      <formula>$AG204:$AG390="Further Follow-Up"</formula>
    </cfRule>
    <cfRule type="expression" dxfId="935" priority="1025">
      <formula>$AG204:$AG390="EOB Requested"</formula>
    </cfRule>
    <cfRule type="expression" dxfId="934" priority="1026">
      <formula>$AG204:$AG390="EOB Not Found"</formula>
    </cfRule>
    <cfRule type="expression" dxfId="933" priority="1027">
      <formula>$AG204:$AG390="EOB Downloaded"</formula>
    </cfRule>
  </conditionalFormatting>
  <conditionalFormatting sqref="AA204">
    <cfRule type="expression" dxfId="932" priority="1018">
      <formula>$AG204:$AG390="Follow-Up Complete"</formula>
    </cfRule>
    <cfRule type="expression" dxfId="931" priority="1019">
      <formula>$AG204:$AG390="Further Follow-Up"</formula>
    </cfRule>
    <cfRule type="expression" dxfId="930" priority="1020">
      <formula>$AG204:$AG390="EOB Requested"</formula>
    </cfRule>
    <cfRule type="expression" dxfId="929" priority="1021">
      <formula>$AG204:$AG390="EOB Not Found"</formula>
    </cfRule>
    <cfRule type="expression" dxfId="928" priority="1022">
      <formula>$AG204:$AG390="EOB Downloaded"</formula>
    </cfRule>
  </conditionalFormatting>
  <conditionalFormatting sqref="P203">
    <cfRule type="expression" dxfId="927" priority="1013">
      <formula>$AG203:$AG389="Follow-Up Complete"</formula>
    </cfRule>
    <cfRule type="expression" dxfId="926" priority="1014">
      <formula>$AG203:$AG389="Further Follow-Up"</formula>
    </cfRule>
    <cfRule type="expression" dxfId="925" priority="1015">
      <formula>$AG203:$AG389="EOB Requested"</formula>
    </cfRule>
    <cfRule type="expression" dxfId="924" priority="1016">
      <formula>$AG203:$AG389="EOB Not Found"</formula>
    </cfRule>
    <cfRule type="expression" dxfId="923" priority="1017">
      <formula>$AG203:$AG389="EOB Downloaded"</formula>
    </cfRule>
  </conditionalFormatting>
  <conditionalFormatting sqref="R203">
    <cfRule type="expression" dxfId="922" priority="1008">
      <formula>$AG203:$AG389="Follow-Up Complete"</formula>
    </cfRule>
    <cfRule type="expression" dxfId="921" priority="1009">
      <formula>$AG203:$AG389="Further Follow-Up"</formula>
    </cfRule>
    <cfRule type="expression" dxfId="920" priority="1010">
      <formula>$AG203:$AG389="EOB Requested"</formula>
    </cfRule>
    <cfRule type="expression" dxfId="919" priority="1011">
      <formula>$AG203:$AG389="EOB Not Found"</formula>
    </cfRule>
    <cfRule type="expression" dxfId="918" priority="1012">
      <formula>$AG203:$AG389="EOB Downloaded"</formula>
    </cfRule>
  </conditionalFormatting>
  <conditionalFormatting sqref="T203">
    <cfRule type="expression" dxfId="917" priority="1003">
      <formula>$AG203:$AG389="Follow-Up Complete"</formula>
    </cfRule>
    <cfRule type="expression" dxfId="916" priority="1004">
      <formula>$AG203:$AG389="Further Follow-Up"</formula>
    </cfRule>
    <cfRule type="expression" dxfId="915" priority="1005">
      <formula>$AG203:$AG389="EOB Requested"</formula>
    </cfRule>
    <cfRule type="expression" dxfId="914" priority="1006">
      <formula>$AG203:$AG389="EOB Not Found"</formula>
    </cfRule>
    <cfRule type="expression" dxfId="913" priority="1007">
      <formula>$AG203:$AG389="EOB Downloaded"</formula>
    </cfRule>
  </conditionalFormatting>
  <conditionalFormatting sqref="V203">
    <cfRule type="expression" dxfId="912" priority="998">
      <formula>$AG203:$AG389="Follow-Up Complete"</formula>
    </cfRule>
    <cfRule type="expression" dxfId="911" priority="999">
      <formula>$AG203:$AG389="Further Follow-Up"</formula>
    </cfRule>
    <cfRule type="expression" dxfId="910" priority="1000">
      <formula>$AG203:$AG389="EOB Requested"</formula>
    </cfRule>
    <cfRule type="expression" dxfId="909" priority="1001">
      <formula>$AG203:$AG389="EOB Not Found"</formula>
    </cfRule>
    <cfRule type="expression" dxfId="908" priority="1002">
      <formula>$AG203:$AG389="EOB Downloaded"</formula>
    </cfRule>
  </conditionalFormatting>
  <conditionalFormatting sqref="AA203">
    <cfRule type="expression" dxfId="907" priority="993">
      <formula>$AG203:$AG389="Follow-Up Complete"</formula>
    </cfRule>
    <cfRule type="expression" dxfId="906" priority="994">
      <formula>$AG203:$AG389="Further Follow-Up"</formula>
    </cfRule>
    <cfRule type="expression" dxfId="905" priority="995">
      <formula>$AG203:$AG389="EOB Requested"</formula>
    </cfRule>
    <cfRule type="expression" dxfId="904" priority="996">
      <formula>$AG203:$AG389="EOB Not Found"</formula>
    </cfRule>
    <cfRule type="expression" dxfId="903" priority="997">
      <formula>$AG203:$AG389="EOB Downloaded"</formula>
    </cfRule>
  </conditionalFormatting>
  <conditionalFormatting sqref="P202">
    <cfRule type="expression" dxfId="902" priority="988">
      <formula>$AG202:$AG388="Follow-Up Complete"</formula>
    </cfRule>
    <cfRule type="expression" dxfId="901" priority="989">
      <formula>$AG202:$AG388="Further Follow-Up"</formula>
    </cfRule>
    <cfRule type="expression" dxfId="900" priority="990">
      <formula>$AG202:$AG388="EOB Requested"</formula>
    </cfRule>
    <cfRule type="expression" dxfId="899" priority="991">
      <formula>$AG202:$AG388="EOB Not Found"</formula>
    </cfRule>
    <cfRule type="expression" dxfId="898" priority="992">
      <formula>$AG202:$AG388="EOB Downloaded"</formula>
    </cfRule>
  </conditionalFormatting>
  <conditionalFormatting sqref="R202">
    <cfRule type="expression" dxfId="897" priority="983">
      <formula>$AG202:$AG388="Follow-Up Complete"</formula>
    </cfRule>
    <cfRule type="expression" dxfId="896" priority="984">
      <formula>$AG202:$AG388="Further Follow-Up"</formula>
    </cfRule>
    <cfRule type="expression" dxfId="895" priority="985">
      <formula>$AG202:$AG388="EOB Requested"</formula>
    </cfRule>
    <cfRule type="expression" dxfId="894" priority="986">
      <formula>$AG202:$AG388="EOB Not Found"</formula>
    </cfRule>
    <cfRule type="expression" dxfId="893" priority="987">
      <formula>$AG202:$AG388="EOB Downloaded"</formula>
    </cfRule>
  </conditionalFormatting>
  <conditionalFormatting sqref="T202">
    <cfRule type="expression" dxfId="892" priority="978">
      <formula>$AG202:$AG388="Follow-Up Complete"</formula>
    </cfRule>
    <cfRule type="expression" dxfId="891" priority="979">
      <formula>$AG202:$AG388="Further Follow-Up"</formula>
    </cfRule>
    <cfRule type="expression" dxfId="890" priority="980">
      <formula>$AG202:$AG388="EOB Requested"</formula>
    </cfRule>
    <cfRule type="expression" dxfId="889" priority="981">
      <formula>$AG202:$AG388="EOB Not Found"</formula>
    </cfRule>
    <cfRule type="expression" dxfId="888" priority="982">
      <formula>$AG202:$AG388="EOB Downloaded"</formula>
    </cfRule>
  </conditionalFormatting>
  <conditionalFormatting sqref="V202">
    <cfRule type="expression" dxfId="887" priority="973">
      <formula>$AG202:$AG388="Follow-Up Complete"</formula>
    </cfRule>
    <cfRule type="expression" dxfId="886" priority="974">
      <formula>$AG202:$AG388="Further Follow-Up"</formula>
    </cfRule>
    <cfRule type="expression" dxfId="885" priority="975">
      <formula>$AG202:$AG388="EOB Requested"</formula>
    </cfRule>
    <cfRule type="expression" dxfId="884" priority="976">
      <formula>$AG202:$AG388="EOB Not Found"</formula>
    </cfRule>
    <cfRule type="expression" dxfId="883" priority="977">
      <formula>$AG202:$AG388="EOB Downloaded"</formula>
    </cfRule>
  </conditionalFormatting>
  <conditionalFormatting sqref="X202">
    <cfRule type="expression" dxfId="882" priority="968">
      <formula>$AG202:$AG388="Follow-Up Complete"</formula>
    </cfRule>
    <cfRule type="expression" dxfId="881" priority="969">
      <formula>$AG202:$AG388="Further Follow-Up"</formula>
    </cfRule>
    <cfRule type="expression" dxfId="880" priority="970">
      <formula>$AG202:$AG388="EOB Requested"</formula>
    </cfRule>
    <cfRule type="expression" dxfId="879" priority="971">
      <formula>$AG202:$AG388="EOB Not Found"</formula>
    </cfRule>
    <cfRule type="expression" dxfId="878" priority="972">
      <formula>$AG202:$AG388="EOB Downloaded"</formula>
    </cfRule>
  </conditionalFormatting>
  <conditionalFormatting sqref="AA202">
    <cfRule type="expression" dxfId="877" priority="963">
      <formula>$AG202:$AG388="Follow-Up Complete"</formula>
    </cfRule>
    <cfRule type="expression" dxfId="876" priority="964">
      <formula>$AG202:$AG388="Further Follow-Up"</formula>
    </cfRule>
    <cfRule type="expression" dxfId="875" priority="965">
      <formula>$AG202:$AG388="EOB Requested"</formula>
    </cfRule>
    <cfRule type="expression" dxfId="874" priority="966">
      <formula>$AG202:$AG388="EOB Not Found"</formula>
    </cfRule>
    <cfRule type="expression" dxfId="873" priority="967">
      <formula>$AG202:$AG388="EOB Downloaded"</formula>
    </cfRule>
  </conditionalFormatting>
  <conditionalFormatting sqref="P120:P121">
    <cfRule type="expression" dxfId="872" priority="958">
      <formula>$AG120:$AG306="Follow-Up Complete"</formula>
    </cfRule>
    <cfRule type="expression" dxfId="871" priority="959">
      <formula>$AG120:$AG306="Further Follow-Up"</formula>
    </cfRule>
    <cfRule type="expression" dxfId="870" priority="960">
      <formula>$AG120:$AG306="EOB Requested"</formula>
    </cfRule>
    <cfRule type="expression" dxfId="869" priority="961">
      <formula>$AG120:$AG306="EOB Not Found"</formula>
    </cfRule>
    <cfRule type="expression" dxfId="868" priority="962">
      <formula>$AG120:$AG306="EOB Downloaded"</formula>
    </cfRule>
  </conditionalFormatting>
  <conditionalFormatting sqref="R120:R122">
    <cfRule type="expression" dxfId="867" priority="953">
      <formula>$AG120:$AG306="Follow-Up Complete"</formula>
    </cfRule>
    <cfRule type="expression" dxfId="866" priority="954">
      <formula>$AG120:$AG306="Further Follow-Up"</formula>
    </cfRule>
    <cfRule type="expression" dxfId="865" priority="955">
      <formula>$AG120:$AG306="EOB Requested"</formula>
    </cfRule>
    <cfRule type="expression" dxfId="864" priority="956">
      <formula>$AG120:$AG306="EOB Not Found"</formula>
    </cfRule>
    <cfRule type="expression" dxfId="863" priority="957">
      <formula>$AG120:$AG306="EOB Downloaded"</formula>
    </cfRule>
  </conditionalFormatting>
  <conditionalFormatting sqref="T120">
    <cfRule type="expression" dxfId="862" priority="948">
      <formula>$AG120:$AG306="Follow-Up Complete"</formula>
    </cfRule>
    <cfRule type="expression" dxfId="861" priority="949">
      <formula>$AG120:$AG306="Further Follow-Up"</formula>
    </cfRule>
    <cfRule type="expression" dxfId="860" priority="950">
      <formula>$AG120:$AG306="EOB Requested"</formula>
    </cfRule>
    <cfRule type="expression" dxfId="859" priority="951">
      <formula>$AG120:$AG306="EOB Not Found"</formula>
    </cfRule>
    <cfRule type="expression" dxfId="858" priority="952">
      <formula>$AG120:$AG306="EOB Downloaded"</formula>
    </cfRule>
  </conditionalFormatting>
  <conditionalFormatting sqref="AA120">
    <cfRule type="expression" dxfId="857" priority="943">
      <formula>$AG120:$AG306="Follow-Up Complete"</formula>
    </cfRule>
    <cfRule type="expression" dxfId="856" priority="944">
      <formula>$AG120:$AG306="Further Follow-Up"</formula>
    </cfRule>
    <cfRule type="expression" dxfId="855" priority="945">
      <formula>$AG120:$AG306="EOB Requested"</formula>
    </cfRule>
    <cfRule type="expression" dxfId="854" priority="946">
      <formula>$AG120:$AG306="EOB Not Found"</formula>
    </cfRule>
    <cfRule type="expression" dxfId="853" priority="947">
      <formula>$AG120:$AG306="EOB Downloaded"</formula>
    </cfRule>
  </conditionalFormatting>
  <conditionalFormatting sqref="T121">
    <cfRule type="expression" dxfId="852" priority="928">
      <formula>$AG121:$AG307="Follow-Up Complete"</formula>
    </cfRule>
    <cfRule type="expression" dxfId="851" priority="929">
      <formula>$AG121:$AG307="Further Follow-Up"</formula>
    </cfRule>
    <cfRule type="expression" dxfId="850" priority="930">
      <formula>$AG121:$AG307="EOB Requested"</formula>
    </cfRule>
    <cfRule type="expression" dxfId="849" priority="931">
      <formula>$AG121:$AG307="EOB Not Found"</formula>
    </cfRule>
    <cfRule type="expression" dxfId="848" priority="932">
      <formula>$AG121:$AG307="EOB Downloaded"</formula>
    </cfRule>
  </conditionalFormatting>
  <conditionalFormatting sqref="AA121">
    <cfRule type="expression" dxfId="847" priority="923">
      <formula>$AG121:$AG307="Follow-Up Complete"</formula>
    </cfRule>
    <cfRule type="expression" dxfId="846" priority="924">
      <formula>$AG121:$AG307="Further Follow-Up"</formula>
    </cfRule>
    <cfRule type="expression" dxfId="845" priority="925">
      <formula>$AG121:$AG307="EOB Requested"</formula>
    </cfRule>
    <cfRule type="expression" dxfId="844" priority="926">
      <formula>$AG121:$AG307="EOB Not Found"</formula>
    </cfRule>
    <cfRule type="expression" dxfId="843" priority="927">
      <formula>$AG121:$AG307="EOB Downloaded"</formula>
    </cfRule>
  </conditionalFormatting>
  <conditionalFormatting sqref="P122">
    <cfRule type="expression" dxfId="842" priority="918">
      <formula>$AG122:$AG308="Follow-Up Complete"</formula>
    </cfRule>
    <cfRule type="expression" dxfId="841" priority="919">
      <formula>$AG122:$AG308="Further Follow-Up"</formula>
    </cfRule>
    <cfRule type="expression" dxfId="840" priority="920">
      <formula>$AG122:$AG308="EOB Requested"</formula>
    </cfRule>
    <cfRule type="expression" dxfId="839" priority="921">
      <formula>$AG122:$AG308="EOB Not Found"</formula>
    </cfRule>
    <cfRule type="expression" dxfId="838" priority="922">
      <formula>$AG122:$AG308="EOB Downloaded"</formula>
    </cfRule>
  </conditionalFormatting>
  <conditionalFormatting sqref="T122">
    <cfRule type="expression" dxfId="837" priority="908">
      <formula>$AG122:$AG308="Follow-Up Complete"</formula>
    </cfRule>
    <cfRule type="expression" dxfId="836" priority="909">
      <formula>$AG122:$AG308="Further Follow-Up"</formula>
    </cfRule>
    <cfRule type="expression" dxfId="835" priority="910">
      <formula>$AG122:$AG308="EOB Requested"</formula>
    </cfRule>
    <cfRule type="expression" dxfId="834" priority="911">
      <formula>$AG122:$AG308="EOB Not Found"</formula>
    </cfRule>
    <cfRule type="expression" dxfId="833" priority="912">
      <formula>$AG122:$AG308="EOB Downloaded"</formula>
    </cfRule>
  </conditionalFormatting>
  <conditionalFormatting sqref="AA122">
    <cfRule type="expression" dxfId="832" priority="903">
      <formula>$AG122:$AG308="Follow-Up Complete"</formula>
    </cfRule>
    <cfRule type="expression" dxfId="831" priority="904">
      <formula>$AG122:$AG308="Further Follow-Up"</formula>
    </cfRule>
    <cfRule type="expression" dxfId="830" priority="905">
      <formula>$AG122:$AG308="EOB Requested"</formula>
    </cfRule>
    <cfRule type="expression" dxfId="829" priority="906">
      <formula>$AG122:$AG308="EOB Not Found"</formula>
    </cfRule>
    <cfRule type="expression" dxfId="828" priority="907">
      <formula>$AG122:$AG308="EOB Downloaded"</formula>
    </cfRule>
  </conditionalFormatting>
  <conditionalFormatting sqref="P123">
    <cfRule type="expression" dxfId="827" priority="898">
      <formula>$AG123:$AG309="Follow-Up Complete"</formula>
    </cfRule>
    <cfRule type="expression" dxfId="826" priority="899">
      <formula>$AG123:$AG309="Further Follow-Up"</formula>
    </cfRule>
    <cfRule type="expression" dxfId="825" priority="900">
      <formula>$AG123:$AG309="EOB Requested"</formula>
    </cfRule>
    <cfRule type="expression" dxfId="824" priority="901">
      <formula>$AG123:$AG309="EOB Not Found"</formula>
    </cfRule>
    <cfRule type="expression" dxfId="823" priority="902">
      <formula>$AG123:$AG309="EOB Downloaded"</formula>
    </cfRule>
  </conditionalFormatting>
  <conditionalFormatting sqref="R123">
    <cfRule type="expression" dxfId="822" priority="893">
      <formula>$AG123:$AG309="Follow-Up Complete"</formula>
    </cfRule>
    <cfRule type="expression" dxfId="821" priority="894">
      <formula>$AG123:$AG309="Further Follow-Up"</formula>
    </cfRule>
    <cfRule type="expression" dxfId="820" priority="895">
      <formula>$AG123:$AG309="EOB Requested"</formula>
    </cfRule>
    <cfRule type="expression" dxfId="819" priority="896">
      <formula>$AG123:$AG309="EOB Not Found"</formula>
    </cfRule>
    <cfRule type="expression" dxfId="818" priority="897">
      <formula>$AG123:$AG309="EOB Downloaded"</formula>
    </cfRule>
  </conditionalFormatting>
  <conditionalFormatting sqref="T123">
    <cfRule type="expression" dxfId="817" priority="888">
      <formula>$AG123:$AG309="Follow-Up Complete"</formula>
    </cfRule>
    <cfRule type="expression" dxfId="816" priority="889">
      <formula>$AG123:$AG309="Further Follow-Up"</formula>
    </cfRule>
    <cfRule type="expression" dxfId="815" priority="890">
      <formula>$AG123:$AG309="EOB Requested"</formula>
    </cfRule>
    <cfRule type="expression" dxfId="814" priority="891">
      <formula>$AG123:$AG309="EOB Not Found"</formula>
    </cfRule>
    <cfRule type="expression" dxfId="813" priority="892">
      <formula>$AG123:$AG309="EOB Downloaded"</formula>
    </cfRule>
  </conditionalFormatting>
  <conditionalFormatting sqref="AA123">
    <cfRule type="expression" dxfId="812" priority="883">
      <formula>$AG123:$AG309="Follow-Up Complete"</formula>
    </cfRule>
    <cfRule type="expression" dxfId="811" priority="884">
      <formula>$AG123:$AG309="Further Follow-Up"</formula>
    </cfRule>
    <cfRule type="expression" dxfId="810" priority="885">
      <formula>$AG123:$AG309="EOB Requested"</formula>
    </cfRule>
    <cfRule type="expression" dxfId="809" priority="886">
      <formula>$AG123:$AG309="EOB Not Found"</formula>
    </cfRule>
    <cfRule type="expression" dxfId="808" priority="887">
      <formula>$AG123:$AG309="EOB Downloaded"</formula>
    </cfRule>
  </conditionalFormatting>
  <conditionalFormatting sqref="P124">
    <cfRule type="expression" dxfId="807" priority="878">
      <formula>$AG124:$AG310="Follow-Up Complete"</formula>
    </cfRule>
    <cfRule type="expression" dxfId="806" priority="879">
      <formula>$AG124:$AG310="Further Follow-Up"</formula>
    </cfRule>
    <cfRule type="expression" dxfId="805" priority="880">
      <formula>$AG124:$AG310="EOB Requested"</formula>
    </cfRule>
    <cfRule type="expression" dxfId="804" priority="881">
      <formula>$AG124:$AG310="EOB Not Found"</formula>
    </cfRule>
    <cfRule type="expression" dxfId="803" priority="882">
      <formula>$AG124:$AG310="EOB Downloaded"</formula>
    </cfRule>
  </conditionalFormatting>
  <conditionalFormatting sqref="R124">
    <cfRule type="expression" dxfId="802" priority="873">
      <formula>$AG124:$AG310="Follow-Up Complete"</formula>
    </cfRule>
    <cfRule type="expression" dxfId="801" priority="874">
      <formula>$AG124:$AG310="Further Follow-Up"</formula>
    </cfRule>
    <cfRule type="expression" dxfId="800" priority="875">
      <formula>$AG124:$AG310="EOB Requested"</formula>
    </cfRule>
    <cfRule type="expression" dxfId="799" priority="876">
      <formula>$AG124:$AG310="EOB Not Found"</formula>
    </cfRule>
    <cfRule type="expression" dxfId="798" priority="877">
      <formula>$AG124:$AG310="EOB Downloaded"</formula>
    </cfRule>
  </conditionalFormatting>
  <conditionalFormatting sqref="T124">
    <cfRule type="expression" dxfId="797" priority="868">
      <formula>$AG124:$AG310="Follow-Up Complete"</formula>
    </cfRule>
    <cfRule type="expression" dxfId="796" priority="869">
      <formula>$AG124:$AG310="Further Follow-Up"</formula>
    </cfRule>
    <cfRule type="expression" dxfId="795" priority="870">
      <formula>$AG124:$AG310="EOB Requested"</formula>
    </cfRule>
    <cfRule type="expression" dxfId="794" priority="871">
      <formula>$AG124:$AG310="EOB Not Found"</formula>
    </cfRule>
    <cfRule type="expression" dxfId="793" priority="872">
      <formula>$AG124:$AG310="EOB Downloaded"</formula>
    </cfRule>
  </conditionalFormatting>
  <conditionalFormatting sqref="AA124">
    <cfRule type="expression" dxfId="792" priority="863">
      <formula>$AG124:$AG310="Follow-Up Complete"</formula>
    </cfRule>
    <cfRule type="expression" dxfId="791" priority="864">
      <formula>$AG124:$AG310="Further Follow-Up"</formula>
    </cfRule>
    <cfRule type="expression" dxfId="790" priority="865">
      <formula>$AG124:$AG310="EOB Requested"</formula>
    </cfRule>
    <cfRule type="expression" dxfId="789" priority="866">
      <formula>$AG124:$AG310="EOB Not Found"</formula>
    </cfRule>
    <cfRule type="expression" dxfId="788" priority="867">
      <formula>$AG124:$AG310="EOB Downloaded"</formula>
    </cfRule>
  </conditionalFormatting>
  <conditionalFormatting sqref="P125">
    <cfRule type="expression" dxfId="787" priority="858">
      <formula>$AG125:$AG311="Follow-Up Complete"</formula>
    </cfRule>
    <cfRule type="expression" dxfId="786" priority="859">
      <formula>$AG125:$AG311="Further Follow-Up"</formula>
    </cfRule>
    <cfRule type="expression" dxfId="785" priority="860">
      <formula>$AG125:$AG311="EOB Requested"</formula>
    </cfRule>
    <cfRule type="expression" dxfId="784" priority="861">
      <formula>$AG125:$AG311="EOB Not Found"</formula>
    </cfRule>
    <cfRule type="expression" dxfId="783" priority="862">
      <formula>$AG125:$AG311="EOB Downloaded"</formula>
    </cfRule>
  </conditionalFormatting>
  <conditionalFormatting sqref="R125">
    <cfRule type="expression" dxfId="782" priority="853">
      <formula>$AG125:$AG311="Follow-Up Complete"</formula>
    </cfRule>
    <cfRule type="expression" dxfId="781" priority="854">
      <formula>$AG125:$AG311="Further Follow-Up"</formula>
    </cfRule>
    <cfRule type="expression" dxfId="780" priority="855">
      <formula>$AG125:$AG311="EOB Requested"</formula>
    </cfRule>
    <cfRule type="expression" dxfId="779" priority="856">
      <formula>$AG125:$AG311="EOB Not Found"</formula>
    </cfRule>
    <cfRule type="expression" dxfId="778" priority="857">
      <formula>$AG125:$AG311="EOB Downloaded"</formula>
    </cfRule>
  </conditionalFormatting>
  <conditionalFormatting sqref="T125">
    <cfRule type="expression" dxfId="777" priority="848">
      <formula>$AG125:$AG311="Follow-Up Complete"</formula>
    </cfRule>
    <cfRule type="expression" dxfId="776" priority="849">
      <formula>$AG125:$AG311="Further Follow-Up"</formula>
    </cfRule>
    <cfRule type="expression" dxfId="775" priority="850">
      <formula>$AG125:$AG311="EOB Requested"</formula>
    </cfRule>
    <cfRule type="expression" dxfId="774" priority="851">
      <formula>$AG125:$AG311="EOB Not Found"</formula>
    </cfRule>
    <cfRule type="expression" dxfId="773" priority="852">
      <formula>$AG125:$AG311="EOB Downloaded"</formula>
    </cfRule>
  </conditionalFormatting>
  <conditionalFormatting sqref="AA125">
    <cfRule type="expression" dxfId="772" priority="843">
      <formula>$AG125:$AG311="Follow-Up Complete"</formula>
    </cfRule>
    <cfRule type="expression" dxfId="771" priority="844">
      <formula>$AG125:$AG311="Further Follow-Up"</formula>
    </cfRule>
    <cfRule type="expression" dxfId="770" priority="845">
      <formula>$AG125:$AG311="EOB Requested"</formula>
    </cfRule>
    <cfRule type="expression" dxfId="769" priority="846">
      <formula>$AG125:$AG311="EOB Not Found"</formula>
    </cfRule>
    <cfRule type="expression" dxfId="768" priority="847">
      <formula>$AG125:$AG311="EOB Downloaded"</formula>
    </cfRule>
  </conditionalFormatting>
  <conditionalFormatting sqref="P126">
    <cfRule type="expression" dxfId="767" priority="838">
      <formula>$AG126:$AG312="Follow-Up Complete"</formula>
    </cfRule>
    <cfRule type="expression" dxfId="766" priority="839">
      <formula>$AG126:$AG312="Further Follow-Up"</formula>
    </cfRule>
    <cfRule type="expression" dxfId="765" priority="840">
      <formula>$AG126:$AG312="EOB Requested"</formula>
    </cfRule>
    <cfRule type="expression" dxfId="764" priority="841">
      <formula>$AG126:$AG312="EOB Not Found"</formula>
    </cfRule>
    <cfRule type="expression" dxfId="763" priority="842">
      <formula>$AG126:$AG312="EOB Downloaded"</formula>
    </cfRule>
  </conditionalFormatting>
  <conditionalFormatting sqref="R126">
    <cfRule type="expression" dxfId="762" priority="833">
      <formula>$AG126:$AG312="Follow-Up Complete"</formula>
    </cfRule>
    <cfRule type="expression" dxfId="761" priority="834">
      <formula>$AG126:$AG312="Further Follow-Up"</formula>
    </cfRule>
    <cfRule type="expression" dxfId="760" priority="835">
      <formula>$AG126:$AG312="EOB Requested"</formula>
    </cfRule>
    <cfRule type="expression" dxfId="759" priority="836">
      <formula>$AG126:$AG312="EOB Not Found"</formula>
    </cfRule>
    <cfRule type="expression" dxfId="758" priority="837">
      <formula>$AG126:$AG312="EOB Downloaded"</formula>
    </cfRule>
  </conditionalFormatting>
  <conditionalFormatting sqref="AA126">
    <cfRule type="expression" dxfId="757" priority="828">
      <formula>$AG126:$AG312="Follow-Up Complete"</formula>
    </cfRule>
    <cfRule type="expression" dxfId="756" priority="829">
      <formula>$AG126:$AG312="Further Follow-Up"</formula>
    </cfRule>
    <cfRule type="expression" dxfId="755" priority="830">
      <formula>$AG126:$AG312="EOB Requested"</formula>
    </cfRule>
    <cfRule type="expression" dxfId="754" priority="831">
      <formula>$AG126:$AG312="EOB Not Found"</formula>
    </cfRule>
    <cfRule type="expression" dxfId="753" priority="832">
      <formula>$AG126:$AG312="EOB Downloaded"</formula>
    </cfRule>
  </conditionalFormatting>
  <conditionalFormatting sqref="R127">
    <cfRule type="expression" dxfId="752" priority="823">
      <formula>$AG127:$AG313="Follow-Up Complete"</formula>
    </cfRule>
    <cfRule type="expression" dxfId="751" priority="824">
      <formula>$AG127:$AG313="Further Follow-Up"</formula>
    </cfRule>
    <cfRule type="expression" dxfId="750" priority="825">
      <formula>$AG127:$AG313="EOB Requested"</formula>
    </cfRule>
    <cfRule type="expression" dxfId="749" priority="826">
      <formula>$AG127:$AG313="EOB Not Found"</formula>
    </cfRule>
    <cfRule type="expression" dxfId="748" priority="827">
      <formula>$AG127:$AG313="EOB Downloaded"</formula>
    </cfRule>
  </conditionalFormatting>
  <conditionalFormatting sqref="P127">
    <cfRule type="expression" dxfId="747" priority="818">
      <formula>$AG127:$AG313="Follow-Up Complete"</formula>
    </cfRule>
    <cfRule type="expression" dxfId="746" priority="819">
      <formula>$AG127:$AG313="Further Follow-Up"</formula>
    </cfRule>
    <cfRule type="expression" dxfId="745" priority="820">
      <formula>$AG127:$AG313="EOB Requested"</formula>
    </cfRule>
    <cfRule type="expression" dxfId="744" priority="821">
      <formula>$AG127:$AG313="EOB Not Found"</formula>
    </cfRule>
    <cfRule type="expression" dxfId="743" priority="822">
      <formula>$AG127:$AG313="EOB Downloaded"</formula>
    </cfRule>
  </conditionalFormatting>
  <conditionalFormatting sqref="T127">
    <cfRule type="expression" dxfId="742" priority="813">
      <formula>$AG127:$AG313="Follow-Up Complete"</formula>
    </cfRule>
    <cfRule type="expression" dxfId="741" priority="814">
      <formula>$AG127:$AG313="Further Follow-Up"</formula>
    </cfRule>
    <cfRule type="expression" dxfId="740" priority="815">
      <formula>$AG127:$AG313="EOB Requested"</formula>
    </cfRule>
    <cfRule type="expression" dxfId="739" priority="816">
      <formula>$AG127:$AG313="EOB Not Found"</formula>
    </cfRule>
    <cfRule type="expression" dxfId="738" priority="817">
      <formula>$AG127:$AG313="EOB Downloaded"</formula>
    </cfRule>
  </conditionalFormatting>
  <conditionalFormatting sqref="AA127">
    <cfRule type="expression" dxfId="737" priority="808">
      <formula>$AG127:$AG313="Follow-Up Complete"</formula>
    </cfRule>
    <cfRule type="expression" dxfId="736" priority="809">
      <formula>$AG127:$AG313="Further Follow-Up"</formula>
    </cfRule>
    <cfRule type="expression" dxfId="735" priority="810">
      <formula>$AG127:$AG313="EOB Requested"</formula>
    </cfRule>
    <cfRule type="expression" dxfId="734" priority="811">
      <formula>$AG127:$AG313="EOB Not Found"</formula>
    </cfRule>
    <cfRule type="expression" dxfId="733" priority="812">
      <formula>$AG127:$AG313="EOB Downloaded"</formula>
    </cfRule>
  </conditionalFormatting>
  <conditionalFormatting sqref="P128">
    <cfRule type="expression" dxfId="732" priority="803">
      <formula>$AG128:$AG314="Follow-Up Complete"</formula>
    </cfRule>
    <cfRule type="expression" dxfId="731" priority="804">
      <formula>$AG128:$AG314="Further Follow-Up"</formula>
    </cfRule>
    <cfRule type="expression" dxfId="730" priority="805">
      <formula>$AG128:$AG314="EOB Requested"</formula>
    </cfRule>
    <cfRule type="expression" dxfId="729" priority="806">
      <formula>$AG128:$AG314="EOB Not Found"</formula>
    </cfRule>
    <cfRule type="expression" dxfId="728" priority="807">
      <formula>$AG128:$AG314="EOB Downloaded"</formula>
    </cfRule>
  </conditionalFormatting>
  <conditionalFormatting sqref="R128">
    <cfRule type="expression" dxfId="727" priority="798">
      <formula>$AG128:$AG314="Follow-Up Complete"</formula>
    </cfRule>
    <cfRule type="expression" dxfId="726" priority="799">
      <formula>$AG128:$AG314="Further Follow-Up"</formula>
    </cfRule>
    <cfRule type="expression" dxfId="725" priority="800">
      <formula>$AG128:$AG314="EOB Requested"</formula>
    </cfRule>
    <cfRule type="expression" dxfId="724" priority="801">
      <formula>$AG128:$AG314="EOB Not Found"</formula>
    </cfRule>
    <cfRule type="expression" dxfId="723" priority="802">
      <formula>$AG128:$AG314="EOB Downloaded"</formula>
    </cfRule>
  </conditionalFormatting>
  <conditionalFormatting sqref="T128">
    <cfRule type="expression" dxfId="722" priority="793">
      <formula>$AG128:$AG314="Follow-Up Complete"</formula>
    </cfRule>
    <cfRule type="expression" dxfId="721" priority="794">
      <formula>$AG128:$AG314="Further Follow-Up"</formula>
    </cfRule>
    <cfRule type="expression" dxfId="720" priority="795">
      <formula>$AG128:$AG314="EOB Requested"</formula>
    </cfRule>
    <cfRule type="expression" dxfId="719" priority="796">
      <formula>$AG128:$AG314="EOB Not Found"</formula>
    </cfRule>
    <cfRule type="expression" dxfId="718" priority="797">
      <formula>$AG128:$AG314="EOB Downloaded"</formula>
    </cfRule>
  </conditionalFormatting>
  <conditionalFormatting sqref="AA128">
    <cfRule type="expression" dxfId="717" priority="788">
      <formula>$AG128:$AG314="Follow-Up Complete"</formula>
    </cfRule>
    <cfRule type="expression" dxfId="716" priority="789">
      <formula>$AG128:$AG314="Further Follow-Up"</formula>
    </cfRule>
    <cfRule type="expression" dxfId="715" priority="790">
      <formula>$AG128:$AG314="EOB Requested"</formula>
    </cfRule>
    <cfRule type="expression" dxfId="714" priority="791">
      <formula>$AG128:$AG314="EOB Not Found"</formula>
    </cfRule>
    <cfRule type="expression" dxfId="713" priority="792">
      <formula>$AG128:$AG314="EOB Downloaded"</formula>
    </cfRule>
  </conditionalFormatting>
  <conditionalFormatting sqref="T129">
    <cfRule type="expression" dxfId="712" priority="773">
      <formula>$AG129:$AG315="Follow-Up Complete"</formula>
    </cfRule>
    <cfRule type="expression" dxfId="711" priority="774">
      <formula>$AG129:$AG315="Further Follow-Up"</formula>
    </cfRule>
    <cfRule type="expression" dxfId="710" priority="775">
      <formula>$AG129:$AG315="EOB Requested"</formula>
    </cfRule>
    <cfRule type="expression" dxfId="709" priority="776">
      <formula>$AG129:$AG315="EOB Not Found"</formula>
    </cfRule>
    <cfRule type="expression" dxfId="708" priority="777">
      <formula>$AG129:$AG315="EOB Downloaded"</formula>
    </cfRule>
  </conditionalFormatting>
  <conditionalFormatting sqref="AA129">
    <cfRule type="expression" dxfId="707" priority="768">
      <formula>$AG129:$AG315="Follow-Up Complete"</formula>
    </cfRule>
    <cfRule type="expression" dxfId="706" priority="769">
      <formula>$AG129:$AG315="Further Follow-Up"</formula>
    </cfRule>
    <cfRule type="expression" dxfId="705" priority="770">
      <formula>$AG129:$AG315="EOB Requested"</formula>
    </cfRule>
    <cfRule type="expression" dxfId="704" priority="771">
      <formula>$AG129:$AG315="EOB Not Found"</formula>
    </cfRule>
    <cfRule type="expression" dxfId="703" priority="772">
      <formula>$AG129:$AG315="EOB Downloaded"</formula>
    </cfRule>
  </conditionalFormatting>
  <conditionalFormatting sqref="P130">
    <cfRule type="expression" dxfId="702" priority="763">
      <formula>$AG130:$AG316="Follow-Up Complete"</formula>
    </cfRule>
    <cfRule type="expression" dxfId="701" priority="764">
      <formula>$AG130:$AG316="Further Follow-Up"</formula>
    </cfRule>
    <cfRule type="expression" dxfId="700" priority="765">
      <formula>$AG130:$AG316="EOB Requested"</formula>
    </cfRule>
    <cfRule type="expression" dxfId="699" priority="766">
      <formula>$AG130:$AG316="EOB Not Found"</formula>
    </cfRule>
    <cfRule type="expression" dxfId="698" priority="767">
      <formula>$AG130:$AG316="EOB Downloaded"</formula>
    </cfRule>
  </conditionalFormatting>
  <conditionalFormatting sqref="AA130">
    <cfRule type="expression" dxfId="697" priority="758">
      <formula>$AG130:$AG316="Follow-Up Complete"</formula>
    </cfRule>
    <cfRule type="expression" dxfId="696" priority="759">
      <formula>$AG130:$AG316="Further Follow-Up"</formula>
    </cfRule>
    <cfRule type="expression" dxfId="695" priority="760">
      <formula>$AG130:$AG316="EOB Requested"</formula>
    </cfRule>
    <cfRule type="expression" dxfId="694" priority="761">
      <formula>$AG130:$AG316="EOB Not Found"</formula>
    </cfRule>
    <cfRule type="expression" dxfId="693" priority="762">
      <formula>$AG130:$AG316="EOB Downloaded"</formula>
    </cfRule>
  </conditionalFormatting>
  <conditionalFormatting sqref="P131:P132">
    <cfRule type="expression" dxfId="692" priority="753">
      <formula>$AG131:$AG317="Follow-Up Complete"</formula>
    </cfRule>
    <cfRule type="expression" dxfId="691" priority="754">
      <formula>$AG131:$AG317="Further Follow-Up"</formula>
    </cfRule>
    <cfRule type="expression" dxfId="690" priority="755">
      <formula>$AG131:$AG317="EOB Requested"</formula>
    </cfRule>
    <cfRule type="expression" dxfId="689" priority="756">
      <formula>$AG131:$AG317="EOB Not Found"</formula>
    </cfRule>
    <cfRule type="expression" dxfId="688" priority="757">
      <formula>$AG131:$AG317="EOB Downloaded"</formula>
    </cfRule>
  </conditionalFormatting>
  <conditionalFormatting sqref="R131:R132">
    <cfRule type="expression" dxfId="687" priority="748">
      <formula>$AG131:$AG317="Follow-Up Complete"</formula>
    </cfRule>
    <cfRule type="expression" dxfId="686" priority="749">
      <formula>$AG131:$AG317="Further Follow-Up"</formula>
    </cfRule>
    <cfRule type="expression" dxfId="685" priority="750">
      <formula>$AG131:$AG317="EOB Requested"</formula>
    </cfRule>
    <cfRule type="expression" dxfId="684" priority="751">
      <formula>$AG131:$AG317="EOB Not Found"</formula>
    </cfRule>
    <cfRule type="expression" dxfId="683" priority="752">
      <formula>$AG131:$AG317="EOB Downloaded"</formula>
    </cfRule>
  </conditionalFormatting>
  <conditionalFormatting sqref="T131">
    <cfRule type="expression" dxfId="682" priority="743">
      <formula>$AG131:$AG317="Follow-Up Complete"</formula>
    </cfRule>
    <cfRule type="expression" dxfId="681" priority="744">
      <formula>$AG131:$AG317="Further Follow-Up"</formula>
    </cfRule>
    <cfRule type="expression" dxfId="680" priority="745">
      <formula>$AG131:$AG317="EOB Requested"</formula>
    </cfRule>
    <cfRule type="expression" dxfId="679" priority="746">
      <formula>$AG131:$AG317="EOB Not Found"</formula>
    </cfRule>
    <cfRule type="expression" dxfId="678" priority="747">
      <formula>$AG131:$AG317="EOB Downloaded"</formula>
    </cfRule>
  </conditionalFormatting>
  <conditionalFormatting sqref="AA131">
    <cfRule type="expression" dxfId="677" priority="738">
      <formula>$AG131:$AG317="Follow-Up Complete"</formula>
    </cfRule>
    <cfRule type="expression" dxfId="676" priority="739">
      <formula>$AG131:$AG317="Further Follow-Up"</formula>
    </cfRule>
    <cfRule type="expression" dxfId="675" priority="740">
      <formula>$AG131:$AG317="EOB Requested"</formula>
    </cfRule>
    <cfRule type="expression" dxfId="674" priority="741">
      <formula>$AG131:$AG317="EOB Not Found"</formula>
    </cfRule>
    <cfRule type="expression" dxfId="673" priority="742">
      <formula>$AG131:$AG317="EOB Downloaded"</formula>
    </cfRule>
  </conditionalFormatting>
  <conditionalFormatting sqref="T132">
    <cfRule type="expression" dxfId="672" priority="723">
      <formula>$AG132:$AG318="Follow-Up Complete"</formula>
    </cfRule>
    <cfRule type="expression" dxfId="671" priority="724">
      <formula>$AG132:$AG318="Further Follow-Up"</formula>
    </cfRule>
    <cfRule type="expression" dxfId="670" priority="725">
      <formula>$AG132:$AG318="EOB Requested"</formula>
    </cfRule>
    <cfRule type="expression" dxfId="669" priority="726">
      <formula>$AG132:$AG318="EOB Not Found"</formula>
    </cfRule>
    <cfRule type="expression" dxfId="668" priority="727">
      <formula>$AG132:$AG318="EOB Downloaded"</formula>
    </cfRule>
  </conditionalFormatting>
  <conditionalFormatting sqref="AA132">
    <cfRule type="expression" dxfId="667" priority="718">
      <formula>$AG132:$AG318="Follow-Up Complete"</formula>
    </cfRule>
    <cfRule type="expression" dxfId="666" priority="719">
      <formula>$AG132:$AG318="Further Follow-Up"</formula>
    </cfRule>
    <cfRule type="expression" dxfId="665" priority="720">
      <formula>$AG132:$AG318="EOB Requested"</formula>
    </cfRule>
    <cfRule type="expression" dxfId="664" priority="721">
      <formula>$AG132:$AG318="EOB Not Found"</formula>
    </cfRule>
    <cfRule type="expression" dxfId="663" priority="722">
      <formula>$AG132:$AG318="EOB Downloaded"</formula>
    </cfRule>
  </conditionalFormatting>
  <conditionalFormatting sqref="P133">
    <cfRule type="expression" dxfId="662" priority="713">
      <formula>$AG133:$AG319="Follow-Up Complete"</formula>
    </cfRule>
    <cfRule type="expression" dxfId="661" priority="714">
      <formula>$AG133:$AG319="Further Follow-Up"</formula>
    </cfRule>
    <cfRule type="expression" dxfId="660" priority="715">
      <formula>$AG133:$AG319="EOB Requested"</formula>
    </cfRule>
    <cfRule type="expression" dxfId="659" priority="716">
      <formula>$AG133:$AG319="EOB Not Found"</formula>
    </cfRule>
    <cfRule type="expression" dxfId="658" priority="717">
      <formula>$AG133:$AG319="EOB Downloaded"</formula>
    </cfRule>
  </conditionalFormatting>
  <conditionalFormatting sqref="R133">
    <cfRule type="expression" dxfId="657" priority="708">
      <formula>$AG133:$AG319="Follow-Up Complete"</formula>
    </cfRule>
    <cfRule type="expression" dxfId="656" priority="709">
      <formula>$AG133:$AG319="Further Follow-Up"</formula>
    </cfRule>
    <cfRule type="expression" dxfId="655" priority="710">
      <formula>$AG133:$AG319="EOB Requested"</formula>
    </cfRule>
    <cfRule type="expression" dxfId="654" priority="711">
      <formula>$AG133:$AG319="EOB Not Found"</formula>
    </cfRule>
    <cfRule type="expression" dxfId="653" priority="712">
      <formula>$AG133:$AG319="EOB Downloaded"</formula>
    </cfRule>
  </conditionalFormatting>
  <conditionalFormatting sqref="T133">
    <cfRule type="expression" dxfId="652" priority="703">
      <formula>$AG133:$AG319="Follow-Up Complete"</formula>
    </cfRule>
    <cfRule type="expression" dxfId="651" priority="704">
      <formula>$AG133:$AG319="Further Follow-Up"</formula>
    </cfRule>
    <cfRule type="expression" dxfId="650" priority="705">
      <formula>$AG133:$AG319="EOB Requested"</formula>
    </cfRule>
    <cfRule type="expression" dxfId="649" priority="706">
      <formula>$AG133:$AG319="EOB Not Found"</formula>
    </cfRule>
    <cfRule type="expression" dxfId="648" priority="707">
      <formula>$AG133:$AG319="EOB Downloaded"</formula>
    </cfRule>
  </conditionalFormatting>
  <conditionalFormatting sqref="AA133">
    <cfRule type="expression" dxfId="647" priority="698">
      <formula>$AG133:$AG319="Follow-Up Complete"</formula>
    </cfRule>
    <cfRule type="expression" dxfId="646" priority="699">
      <formula>$AG133:$AG319="Further Follow-Up"</formula>
    </cfRule>
    <cfRule type="expression" dxfId="645" priority="700">
      <formula>$AG133:$AG319="EOB Requested"</formula>
    </cfRule>
    <cfRule type="expression" dxfId="644" priority="701">
      <formula>$AG133:$AG319="EOB Not Found"</formula>
    </cfRule>
    <cfRule type="expression" dxfId="643" priority="702">
      <formula>$AG133:$AG319="EOB Downloaded"</formula>
    </cfRule>
  </conditionalFormatting>
  <conditionalFormatting sqref="P134">
    <cfRule type="expression" dxfId="642" priority="688">
      <formula>$AG134:$AG320="Follow-Up Complete"</formula>
    </cfRule>
    <cfRule type="expression" dxfId="641" priority="689">
      <formula>$AG134:$AG320="Further Follow-Up"</formula>
    </cfRule>
    <cfRule type="expression" dxfId="640" priority="690">
      <formula>$AG134:$AG320="EOB Requested"</formula>
    </cfRule>
    <cfRule type="expression" dxfId="639" priority="691">
      <formula>$AG134:$AG320="EOB Not Found"</formula>
    </cfRule>
    <cfRule type="expression" dxfId="638" priority="692">
      <formula>$AG134:$AG320="EOB Downloaded"</formula>
    </cfRule>
  </conditionalFormatting>
  <conditionalFormatting sqref="R134">
    <cfRule type="expression" dxfId="637" priority="683">
      <formula>$AG134:$AG320="Follow-Up Complete"</formula>
    </cfRule>
    <cfRule type="expression" dxfId="636" priority="684">
      <formula>$AG134:$AG320="Further Follow-Up"</formula>
    </cfRule>
    <cfRule type="expression" dxfId="635" priority="685">
      <formula>$AG134:$AG320="EOB Requested"</formula>
    </cfRule>
    <cfRule type="expression" dxfId="634" priority="686">
      <formula>$AG134:$AG320="EOB Not Found"</formula>
    </cfRule>
    <cfRule type="expression" dxfId="633" priority="687">
      <formula>$AG134:$AG320="EOB Downloaded"</formula>
    </cfRule>
  </conditionalFormatting>
  <conditionalFormatting sqref="T134">
    <cfRule type="expression" dxfId="632" priority="678">
      <formula>$AG134:$AG320="Follow-Up Complete"</formula>
    </cfRule>
    <cfRule type="expression" dxfId="631" priority="679">
      <formula>$AG134:$AG320="Further Follow-Up"</formula>
    </cfRule>
    <cfRule type="expression" dxfId="630" priority="680">
      <formula>$AG134:$AG320="EOB Requested"</formula>
    </cfRule>
    <cfRule type="expression" dxfId="629" priority="681">
      <formula>$AG134:$AG320="EOB Not Found"</formula>
    </cfRule>
    <cfRule type="expression" dxfId="628" priority="682">
      <formula>$AG134:$AG320="EOB Downloaded"</formula>
    </cfRule>
  </conditionalFormatting>
  <conditionalFormatting sqref="AA134">
    <cfRule type="expression" dxfId="627" priority="673">
      <formula>$AG134:$AG320="Follow-Up Complete"</formula>
    </cfRule>
    <cfRule type="expression" dxfId="626" priority="674">
      <formula>$AG134:$AG320="Further Follow-Up"</formula>
    </cfRule>
    <cfRule type="expression" dxfId="625" priority="675">
      <formula>$AG134:$AG320="EOB Requested"</formula>
    </cfRule>
    <cfRule type="expression" dxfId="624" priority="676">
      <formula>$AG134:$AG320="EOB Not Found"</formula>
    </cfRule>
    <cfRule type="expression" dxfId="623" priority="677">
      <formula>$AG134:$AG320="EOB Downloaded"</formula>
    </cfRule>
  </conditionalFormatting>
  <conditionalFormatting sqref="P135">
    <cfRule type="expression" dxfId="622" priority="668">
      <formula>$AG135:$AG321="Follow-Up Complete"</formula>
    </cfRule>
    <cfRule type="expression" dxfId="621" priority="669">
      <formula>$AG135:$AG321="Further Follow-Up"</formula>
    </cfRule>
    <cfRule type="expression" dxfId="620" priority="670">
      <formula>$AG135:$AG321="EOB Requested"</formula>
    </cfRule>
    <cfRule type="expression" dxfId="619" priority="671">
      <formula>$AG135:$AG321="EOB Not Found"</formula>
    </cfRule>
    <cfRule type="expression" dxfId="618" priority="672">
      <formula>$AG135:$AG321="EOB Downloaded"</formula>
    </cfRule>
  </conditionalFormatting>
  <conditionalFormatting sqref="R135">
    <cfRule type="expression" dxfId="617" priority="663">
      <formula>$AG135:$AG321="Follow-Up Complete"</formula>
    </cfRule>
    <cfRule type="expression" dxfId="616" priority="664">
      <formula>$AG135:$AG321="Further Follow-Up"</formula>
    </cfRule>
    <cfRule type="expression" dxfId="615" priority="665">
      <formula>$AG135:$AG321="EOB Requested"</formula>
    </cfRule>
    <cfRule type="expression" dxfId="614" priority="666">
      <formula>$AG135:$AG321="EOB Not Found"</formula>
    </cfRule>
    <cfRule type="expression" dxfId="613" priority="667">
      <formula>$AG135:$AG321="EOB Downloaded"</formula>
    </cfRule>
  </conditionalFormatting>
  <conditionalFormatting sqref="T135">
    <cfRule type="expression" dxfId="612" priority="658">
      <formula>$AG135:$AG321="Follow-Up Complete"</formula>
    </cfRule>
    <cfRule type="expression" dxfId="611" priority="659">
      <formula>$AG135:$AG321="Further Follow-Up"</formula>
    </cfRule>
    <cfRule type="expression" dxfId="610" priority="660">
      <formula>$AG135:$AG321="EOB Requested"</formula>
    </cfRule>
    <cfRule type="expression" dxfId="609" priority="661">
      <formula>$AG135:$AG321="EOB Not Found"</formula>
    </cfRule>
    <cfRule type="expression" dxfId="608" priority="662">
      <formula>$AG135:$AG321="EOB Downloaded"</formula>
    </cfRule>
  </conditionalFormatting>
  <conditionalFormatting sqref="AA135">
    <cfRule type="expression" dxfId="607" priority="653">
      <formula>$AG135:$AG321="Follow-Up Complete"</formula>
    </cfRule>
    <cfRule type="expression" dxfId="606" priority="654">
      <formula>$AG135:$AG321="Further Follow-Up"</formula>
    </cfRule>
    <cfRule type="expression" dxfId="605" priority="655">
      <formula>$AG135:$AG321="EOB Requested"</formula>
    </cfRule>
    <cfRule type="expression" dxfId="604" priority="656">
      <formula>$AG135:$AG321="EOB Not Found"</formula>
    </cfRule>
    <cfRule type="expression" dxfId="603" priority="657">
      <formula>$AG135:$AG321="EOB Downloaded"</formula>
    </cfRule>
  </conditionalFormatting>
  <conditionalFormatting sqref="T136">
    <cfRule type="expression" dxfId="602" priority="638">
      <formula>$AG136:$AG322="Follow-Up Complete"</formula>
    </cfRule>
    <cfRule type="expression" dxfId="601" priority="639">
      <formula>$AG136:$AG322="Further Follow-Up"</formula>
    </cfRule>
    <cfRule type="expression" dxfId="600" priority="640">
      <formula>$AG136:$AG322="EOB Requested"</formula>
    </cfRule>
    <cfRule type="expression" dxfId="599" priority="641">
      <formula>$AG136:$AG322="EOB Not Found"</formula>
    </cfRule>
    <cfRule type="expression" dxfId="598" priority="642">
      <formula>$AG136:$AG322="EOB Downloaded"</formula>
    </cfRule>
  </conditionalFormatting>
  <conditionalFormatting sqref="AA136">
    <cfRule type="expression" dxfId="597" priority="633">
      <formula>$AG136:$AG322="Follow-Up Complete"</formula>
    </cfRule>
    <cfRule type="expression" dxfId="596" priority="634">
      <formula>$AG136:$AG322="Further Follow-Up"</formula>
    </cfRule>
    <cfRule type="expression" dxfId="595" priority="635">
      <formula>$AG136:$AG322="EOB Requested"</formula>
    </cfRule>
    <cfRule type="expression" dxfId="594" priority="636">
      <formula>$AG136:$AG322="EOB Not Found"</formula>
    </cfRule>
    <cfRule type="expression" dxfId="593" priority="637">
      <formula>$AG136:$AG322="EOB Downloaded"</formula>
    </cfRule>
  </conditionalFormatting>
  <conditionalFormatting sqref="T137">
    <cfRule type="expression" dxfId="592" priority="618">
      <formula>$AG137:$AG323="Follow-Up Complete"</formula>
    </cfRule>
    <cfRule type="expression" dxfId="591" priority="619">
      <formula>$AG137:$AG323="Further Follow-Up"</formula>
    </cfRule>
    <cfRule type="expression" dxfId="590" priority="620">
      <formula>$AG137:$AG323="EOB Requested"</formula>
    </cfRule>
    <cfRule type="expression" dxfId="589" priority="621">
      <formula>$AG137:$AG323="EOB Not Found"</formula>
    </cfRule>
    <cfRule type="expression" dxfId="588" priority="622">
      <formula>$AG137:$AG323="EOB Downloaded"</formula>
    </cfRule>
  </conditionalFormatting>
  <conditionalFormatting sqref="AA137">
    <cfRule type="expression" dxfId="587" priority="613">
      <formula>$AG137:$AG323="Follow-Up Complete"</formula>
    </cfRule>
    <cfRule type="expression" dxfId="586" priority="614">
      <formula>$AG137:$AG323="Further Follow-Up"</formula>
    </cfRule>
    <cfRule type="expression" dxfId="585" priority="615">
      <formula>$AG137:$AG323="EOB Requested"</formula>
    </cfRule>
    <cfRule type="expression" dxfId="584" priority="616">
      <formula>$AG137:$AG323="EOB Not Found"</formula>
    </cfRule>
    <cfRule type="expression" dxfId="583" priority="617">
      <formula>$AG137:$AG323="EOB Downloaded"</formula>
    </cfRule>
  </conditionalFormatting>
  <conditionalFormatting sqref="T138">
    <cfRule type="expression" dxfId="582" priority="598">
      <formula>$AG138:$AG324="Follow-Up Complete"</formula>
    </cfRule>
    <cfRule type="expression" dxfId="581" priority="599">
      <formula>$AG138:$AG324="Further Follow-Up"</formula>
    </cfRule>
    <cfRule type="expression" dxfId="580" priority="600">
      <formula>$AG138:$AG324="EOB Requested"</formula>
    </cfRule>
    <cfRule type="expression" dxfId="579" priority="601">
      <formula>$AG138:$AG324="EOB Not Found"</formula>
    </cfRule>
    <cfRule type="expression" dxfId="578" priority="602">
      <formula>$AG138:$AG324="EOB Downloaded"</formula>
    </cfRule>
  </conditionalFormatting>
  <conditionalFormatting sqref="AA138">
    <cfRule type="expression" dxfId="577" priority="593">
      <formula>$AG138:$AG324="Follow-Up Complete"</formula>
    </cfRule>
    <cfRule type="expression" dxfId="576" priority="594">
      <formula>$AG138:$AG324="Further Follow-Up"</formula>
    </cfRule>
    <cfRule type="expression" dxfId="575" priority="595">
      <formula>$AG138:$AG324="EOB Requested"</formula>
    </cfRule>
    <cfRule type="expression" dxfId="574" priority="596">
      <formula>$AG138:$AG324="EOB Not Found"</formula>
    </cfRule>
    <cfRule type="expression" dxfId="573" priority="597">
      <formula>$AG138:$AG324="EOB Downloaded"</formula>
    </cfRule>
  </conditionalFormatting>
  <conditionalFormatting sqref="T139">
    <cfRule type="expression" dxfId="572" priority="578">
      <formula>$AG139:$AG325="Follow-Up Complete"</formula>
    </cfRule>
    <cfRule type="expression" dxfId="571" priority="579">
      <formula>$AG139:$AG325="Further Follow-Up"</formula>
    </cfRule>
    <cfRule type="expression" dxfId="570" priority="580">
      <formula>$AG139:$AG325="EOB Requested"</formula>
    </cfRule>
    <cfRule type="expression" dxfId="569" priority="581">
      <formula>$AG139:$AG325="EOB Not Found"</formula>
    </cfRule>
    <cfRule type="expression" dxfId="568" priority="582">
      <formula>$AG139:$AG325="EOB Downloaded"</formula>
    </cfRule>
  </conditionalFormatting>
  <conditionalFormatting sqref="AA139">
    <cfRule type="expression" dxfId="567" priority="573">
      <formula>$AG139:$AG325="Follow-Up Complete"</formula>
    </cfRule>
    <cfRule type="expression" dxfId="566" priority="574">
      <formula>$AG139:$AG325="Further Follow-Up"</formula>
    </cfRule>
    <cfRule type="expression" dxfId="565" priority="575">
      <formula>$AG139:$AG325="EOB Requested"</formula>
    </cfRule>
    <cfRule type="expression" dxfId="564" priority="576">
      <formula>$AG139:$AG325="EOB Not Found"</formula>
    </cfRule>
    <cfRule type="expression" dxfId="563" priority="577">
      <formula>$AG139:$AG325="EOB Downloaded"</formula>
    </cfRule>
  </conditionalFormatting>
  <conditionalFormatting sqref="T140">
    <cfRule type="expression" dxfId="562" priority="558">
      <formula>$AG140:$AG326="Follow-Up Complete"</formula>
    </cfRule>
    <cfRule type="expression" dxfId="561" priority="559">
      <formula>$AG140:$AG326="Further Follow-Up"</formula>
    </cfRule>
    <cfRule type="expression" dxfId="560" priority="560">
      <formula>$AG140:$AG326="EOB Requested"</formula>
    </cfRule>
    <cfRule type="expression" dxfId="559" priority="561">
      <formula>$AG140:$AG326="EOB Not Found"</formula>
    </cfRule>
    <cfRule type="expression" dxfId="558" priority="562">
      <formula>$AG140:$AG326="EOB Downloaded"</formula>
    </cfRule>
  </conditionalFormatting>
  <conditionalFormatting sqref="AA140">
    <cfRule type="expression" dxfId="557" priority="553">
      <formula>$AG140:$AG326="Follow-Up Complete"</formula>
    </cfRule>
    <cfRule type="expression" dxfId="556" priority="554">
      <formula>$AG140:$AG326="Further Follow-Up"</formula>
    </cfRule>
    <cfRule type="expression" dxfId="555" priority="555">
      <formula>$AG140:$AG326="EOB Requested"</formula>
    </cfRule>
    <cfRule type="expression" dxfId="554" priority="556">
      <formula>$AG140:$AG326="EOB Not Found"</formula>
    </cfRule>
    <cfRule type="expression" dxfId="553" priority="557">
      <formula>$AG140:$AG326="EOB Downloaded"</formula>
    </cfRule>
  </conditionalFormatting>
  <conditionalFormatting sqref="P141">
    <cfRule type="expression" dxfId="552" priority="548">
      <formula>$AG141:$AG327="Follow-Up Complete"</formula>
    </cfRule>
    <cfRule type="expression" dxfId="551" priority="549">
      <formula>$AG141:$AG327="Further Follow-Up"</formula>
    </cfRule>
    <cfRule type="expression" dxfId="550" priority="550">
      <formula>$AG141:$AG327="EOB Requested"</formula>
    </cfRule>
    <cfRule type="expression" dxfId="549" priority="551">
      <formula>$AG141:$AG327="EOB Not Found"</formula>
    </cfRule>
    <cfRule type="expression" dxfId="548" priority="552">
      <formula>$AG141:$AG327="EOB Downloaded"</formula>
    </cfRule>
  </conditionalFormatting>
  <conditionalFormatting sqref="R141">
    <cfRule type="expression" dxfId="547" priority="543">
      <formula>$AG141:$AG327="Follow-Up Complete"</formula>
    </cfRule>
    <cfRule type="expression" dxfId="546" priority="544">
      <formula>$AG141:$AG327="Further Follow-Up"</formula>
    </cfRule>
    <cfRule type="expression" dxfId="545" priority="545">
      <formula>$AG141:$AG327="EOB Requested"</formula>
    </cfRule>
    <cfRule type="expression" dxfId="544" priority="546">
      <formula>$AG141:$AG327="EOB Not Found"</formula>
    </cfRule>
    <cfRule type="expression" dxfId="543" priority="547">
      <formula>$AG141:$AG327="EOB Downloaded"</formula>
    </cfRule>
  </conditionalFormatting>
  <conditionalFormatting sqref="T141">
    <cfRule type="expression" dxfId="542" priority="538">
      <formula>$AG141:$AG327="Follow-Up Complete"</formula>
    </cfRule>
    <cfRule type="expression" dxfId="541" priority="539">
      <formula>$AG141:$AG327="Further Follow-Up"</formula>
    </cfRule>
    <cfRule type="expression" dxfId="540" priority="540">
      <formula>$AG141:$AG327="EOB Requested"</formula>
    </cfRule>
    <cfRule type="expression" dxfId="539" priority="541">
      <formula>$AG141:$AG327="EOB Not Found"</formula>
    </cfRule>
    <cfRule type="expression" dxfId="538" priority="542">
      <formula>$AG141:$AG327="EOB Downloaded"</formula>
    </cfRule>
  </conditionalFormatting>
  <conditionalFormatting sqref="AA141">
    <cfRule type="expression" dxfId="537" priority="533">
      <formula>$AG141:$AG327="Follow-Up Complete"</formula>
    </cfRule>
    <cfRule type="expression" dxfId="536" priority="534">
      <formula>$AG141:$AG327="Further Follow-Up"</formula>
    </cfRule>
    <cfRule type="expression" dxfId="535" priority="535">
      <formula>$AG141:$AG327="EOB Requested"</formula>
    </cfRule>
    <cfRule type="expression" dxfId="534" priority="536">
      <formula>$AG141:$AG327="EOB Not Found"</formula>
    </cfRule>
    <cfRule type="expression" dxfId="533" priority="537">
      <formula>$AG141:$AG327="EOB Downloaded"</formula>
    </cfRule>
  </conditionalFormatting>
  <conditionalFormatting sqref="P142">
    <cfRule type="expression" dxfId="532" priority="528">
      <formula>$AG142:$AG328="Follow-Up Complete"</formula>
    </cfRule>
    <cfRule type="expression" dxfId="531" priority="529">
      <formula>$AG142:$AG328="Further Follow-Up"</formula>
    </cfRule>
    <cfRule type="expression" dxfId="530" priority="530">
      <formula>$AG142:$AG328="EOB Requested"</formula>
    </cfRule>
    <cfRule type="expression" dxfId="529" priority="531">
      <formula>$AG142:$AG328="EOB Not Found"</formula>
    </cfRule>
    <cfRule type="expression" dxfId="528" priority="532">
      <formula>$AG142:$AG328="EOB Downloaded"</formula>
    </cfRule>
  </conditionalFormatting>
  <conditionalFormatting sqref="R142">
    <cfRule type="expression" dxfId="527" priority="523">
      <formula>$AG142:$AG328="Follow-Up Complete"</formula>
    </cfRule>
    <cfRule type="expression" dxfId="526" priority="524">
      <formula>$AG142:$AG328="Further Follow-Up"</formula>
    </cfRule>
    <cfRule type="expression" dxfId="525" priority="525">
      <formula>$AG142:$AG328="EOB Requested"</formula>
    </cfRule>
    <cfRule type="expression" dxfId="524" priority="526">
      <formula>$AG142:$AG328="EOB Not Found"</formula>
    </cfRule>
    <cfRule type="expression" dxfId="523" priority="527">
      <formula>$AG142:$AG328="EOB Downloaded"</formula>
    </cfRule>
  </conditionalFormatting>
  <conditionalFormatting sqref="T142">
    <cfRule type="expression" dxfId="522" priority="518">
      <formula>$AG142:$AG328="Follow-Up Complete"</formula>
    </cfRule>
    <cfRule type="expression" dxfId="521" priority="519">
      <formula>$AG142:$AG328="Further Follow-Up"</formula>
    </cfRule>
    <cfRule type="expression" dxfId="520" priority="520">
      <formula>$AG142:$AG328="EOB Requested"</formula>
    </cfRule>
    <cfRule type="expression" dxfId="519" priority="521">
      <formula>$AG142:$AG328="EOB Not Found"</formula>
    </cfRule>
    <cfRule type="expression" dxfId="518" priority="522">
      <formula>$AG142:$AG328="EOB Downloaded"</formula>
    </cfRule>
  </conditionalFormatting>
  <conditionalFormatting sqref="AA142">
    <cfRule type="expression" dxfId="517" priority="513">
      <formula>$AG142:$AG328="Follow-Up Complete"</formula>
    </cfRule>
    <cfRule type="expression" dxfId="516" priority="514">
      <formula>$AG142:$AG328="Further Follow-Up"</formula>
    </cfRule>
    <cfRule type="expression" dxfId="515" priority="515">
      <formula>$AG142:$AG328="EOB Requested"</formula>
    </cfRule>
    <cfRule type="expression" dxfId="514" priority="516">
      <formula>$AG142:$AG328="EOB Not Found"</formula>
    </cfRule>
    <cfRule type="expression" dxfId="513" priority="517">
      <formula>$AG142:$AG328="EOB Downloaded"</formula>
    </cfRule>
  </conditionalFormatting>
  <conditionalFormatting sqref="P143">
    <cfRule type="expression" dxfId="512" priority="508">
      <formula>$AG143:$AG329="Follow-Up Complete"</formula>
    </cfRule>
    <cfRule type="expression" dxfId="511" priority="509">
      <formula>$AG143:$AG329="Further Follow-Up"</formula>
    </cfRule>
    <cfRule type="expression" dxfId="510" priority="510">
      <formula>$AG143:$AG329="EOB Requested"</formula>
    </cfRule>
    <cfRule type="expression" dxfId="509" priority="511">
      <formula>$AG143:$AG329="EOB Not Found"</formula>
    </cfRule>
    <cfRule type="expression" dxfId="508" priority="512">
      <formula>$AG143:$AG329="EOB Downloaded"</formula>
    </cfRule>
  </conditionalFormatting>
  <conditionalFormatting sqref="R143">
    <cfRule type="expression" dxfId="507" priority="503">
      <formula>$AG143:$AG329="Follow-Up Complete"</formula>
    </cfRule>
    <cfRule type="expression" dxfId="506" priority="504">
      <formula>$AG143:$AG329="Further Follow-Up"</formula>
    </cfRule>
    <cfRule type="expression" dxfId="505" priority="505">
      <formula>$AG143:$AG329="EOB Requested"</formula>
    </cfRule>
    <cfRule type="expression" dxfId="504" priority="506">
      <formula>$AG143:$AG329="EOB Not Found"</formula>
    </cfRule>
    <cfRule type="expression" dxfId="503" priority="507">
      <formula>$AG143:$AG329="EOB Downloaded"</formula>
    </cfRule>
  </conditionalFormatting>
  <conditionalFormatting sqref="T143">
    <cfRule type="expression" dxfId="502" priority="498">
      <formula>$AG143:$AG329="Follow-Up Complete"</formula>
    </cfRule>
    <cfRule type="expression" dxfId="501" priority="499">
      <formula>$AG143:$AG329="Further Follow-Up"</formula>
    </cfRule>
    <cfRule type="expression" dxfId="500" priority="500">
      <formula>$AG143:$AG329="EOB Requested"</formula>
    </cfRule>
    <cfRule type="expression" dxfId="499" priority="501">
      <formula>$AG143:$AG329="EOB Not Found"</formula>
    </cfRule>
    <cfRule type="expression" dxfId="498" priority="502">
      <formula>$AG143:$AG329="EOB Downloaded"</formula>
    </cfRule>
  </conditionalFormatting>
  <conditionalFormatting sqref="AA143">
    <cfRule type="expression" dxfId="497" priority="493">
      <formula>$AG143:$AG329="Follow-Up Complete"</formula>
    </cfRule>
    <cfRule type="expression" dxfId="496" priority="494">
      <formula>$AG143:$AG329="Further Follow-Up"</formula>
    </cfRule>
    <cfRule type="expression" dxfId="495" priority="495">
      <formula>$AG143:$AG329="EOB Requested"</formula>
    </cfRule>
    <cfRule type="expression" dxfId="494" priority="496">
      <formula>$AG143:$AG329="EOB Not Found"</formula>
    </cfRule>
    <cfRule type="expression" dxfId="493" priority="497">
      <formula>$AG143:$AG329="EOB Downloaded"</formula>
    </cfRule>
  </conditionalFormatting>
  <conditionalFormatting sqref="P144">
    <cfRule type="expression" dxfId="492" priority="488">
      <formula>$AG144:$AG330="Follow-Up Complete"</formula>
    </cfRule>
    <cfRule type="expression" dxfId="491" priority="489">
      <formula>$AG144:$AG330="Further Follow-Up"</formula>
    </cfRule>
    <cfRule type="expression" dxfId="490" priority="490">
      <formula>$AG144:$AG330="EOB Requested"</formula>
    </cfRule>
    <cfRule type="expression" dxfId="489" priority="491">
      <formula>$AG144:$AG330="EOB Not Found"</formula>
    </cfRule>
    <cfRule type="expression" dxfId="488" priority="492">
      <formula>$AG144:$AG330="EOB Downloaded"</formula>
    </cfRule>
  </conditionalFormatting>
  <conditionalFormatting sqref="R144">
    <cfRule type="expression" dxfId="487" priority="483">
      <formula>$AG144:$AG330="Follow-Up Complete"</formula>
    </cfRule>
    <cfRule type="expression" dxfId="486" priority="484">
      <formula>$AG144:$AG330="Further Follow-Up"</formula>
    </cfRule>
    <cfRule type="expression" dxfId="485" priority="485">
      <formula>$AG144:$AG330="EOB Requested"</formula>
    </cfRule>
    <cfRule type="expression" dxfId="484" priority="486">
      <formula>$AG144:$AG330="EOB Not Found"</formula>
    </cfRule>
    <cfRule type="expression" dxfId="483" priority="487">
      <formula>$AG144:$AG330="EOB Downloaded"</formula>
    </cfRule>
  </conditionalFormatting>
  <conditionalFormatting sqref="T144">
    <cfRule type="expression" dxfId="482" priority="478">
      <formula>$AG144:$AG330="Follow-Up Complete"</formula>
    </cfRule>
    <cfRule type="expression" dxfId="481" priority="479">
      <formula>$AG144:$AG330="Further Follow-Up"</formula>
    </cfRule>
    <cfRule type="expression" dxfId="480" priority="480">
      <formula>$AG144:$AG330="EOB Requested"</formula>
    </cfRule>
    <cfRule type="expression" dxfId="479" priority="481">
      <formula>$AG144:$AG330="EOB Not Found"</formula>
    </cfRule>
    <cfRule type="expression" dxfId="478" priority="482">
      <formula>$AG144:$AG330="EOB Downloaded"</formula>
    </cfRule>
  </conditionalFormatting>
  <conditionalFormatting sqref="AA144">
    <cfRule type="expression" dxfId="477" priority="473">
      <formula>$AG144:$AG330="Follow-Up Complete"</formula>
    </cfRule>
    <cfRule type="expression" dxfId="476" priority="474">
      <formula>$AG144:$AG330="Further Follow-Up"</formula>
    </cfRule>
    <cfRule type="expression" dxfId="475" priority="475">
      <formula>$AG144:$AG330="EOB Requested"</formula>
    </cfRule>
    <cfRule type="expression" dxfId="474" priority="476">
      <formula>$AG144:$AG330="EOB Not Found"</formula>
    </cfRule>
    <cfRule type="expression" dxfId="473" priority="477">
      <formula>$AG144:$AG330="EOB Downloaded"</formula>
    </cfRule>
  </conditionalFormatting>
  <conditionalFormatting sqref="P145">
    <cfRule type="expression" dxfId="472" priority="468">
      <formula>$AG145:$AG331="Follow-Up Complete"</formula>
    </cfRule>
    <cfRule type="expression" dxfId="471" priority="469">
      <formula>$AG145:$AG331="Further Follow-Up"</formula>
    </cfRule>
    <cfRule type="expression" dxfId="470" priority="470">
      <formula>$AG145:$AG331="EOB Requested"</formula>
    </cfRule>
    <cfRule type="expression" dxfId="469" priority="471">
      <formula>$AG145:$AG331="EOB Not Found"</formula>
    </cfRule>
    <cfRule type="expression" dxfId="468" priority="472">
      <formula>$AG145:$AG331="EOB Downloaded"</formula>
    </cfRule>
  </conditionalFormatting>
  <conditionalFormatting sqref="R145">
    <cfRule type="expression" dxfId="467" priority="463">
      <formula>$AG145:$AG331="Follow-Up Complete"</formula>
    </cfRule>
    <cfRule type="expression" dxfId="466" priority="464">
      <formula>$AG145:$AG331="Further Follow-Up"</formula>
    </cfRule>
    <cfRule type="expression" dxfId="465" priority="465">
      <formula>$AG145:$AG331="EOB Requested"</formula>
    </cfRule>
    <cfRule type="expression" dxfId="464" priority="466">
      <formula>$AG145:$AG331="EOB Not Found"</formula>
    </cfRule>
    <cfRule type="expression" dxfId="463" priority="467">
      <formula>$AG145:$AG331="EOB Downloaded"</formula>
    </cfRule>
  </conditionalFormatting>
  <conditionalFormatting sqref="T145">
    <cfRule type="expression" dxfId="462" priority="458">
      <formula>$AG145:$AG331="Follow-Up Complete"</formula>
    </cfRule>
    <cfRule type="expression" dxfId="461" priority="459">
      <formula>$AG145:$AG331="Further Follow-Up"</formula>
    </cfRule>
    <cfRule type="expression" dxfId="460" priority="460">
      <formula>$AG145:$AG331="EOB Requested"</formula>
    </cfRule>
    <cfRule type="expression" dxfId="459" priority="461">
      <formula>$AG145:$AG331="EOB Not Found"</formula>
    </cfRule>
    <cfRule type="expression" dxfId="458" priority="462">
      <formula>$AG145:$AG331="EOB Downloaded"</formula>
    </cfRule>
  </conditionalFormatting>
  <conditionalFormatting sqref="AA145">
    <cfRule type="expression" dxfId="457" priority="453">
      <formula>$AG145:$AG331="Follow-Up Complete"</formula>
    </cfRule>
    <cfRule type="expression" dxfId="456" priority="454">
      <formula>$AG145:$AG331="Further Follow-Up"</formula>
    </cfRule>
    <cfRule type="expression" dxfId="455" priority="455">
      <formula>$AG145:$AG331="EOB Requested"</formula>
    </cfRule>
    <cfRule type="expression" dxfId="454" priority="456">
      <formula>$AG145:$AG331="EOB Not Found"</formula>
    </cfRule>
    <cfRule type="expression" dxfId="453" priority="457">
      <formula>$AG145:$AG331="EOB Downloaded"</formula>
    </cfRule>
  </conditionalFormatting>
  <conditionalFormatting sqref="P146">
    <cfRule type="expression" dxfId="452" priority="448">
      <formula>$AG146:$AG332="Follow-Up Complete"</formula>
    </cfRule>
    <cfRule type="expression" dxfId="451" priority="449">
      <formula>$AG146:$AG332="Further Follow-Up"</formula>
    </cfRule>
    <cfRule type="expression" dxfId="450" priority="450">
      <formula>$AG146:$AG332="EOB Requested"</formula>
    </cfRule>
    <cfRule type="expression" dxfId="449" priority="451">
      <formula>$AG146:$AG332="EOB Not Found"</formula>
    </cfRule>
    <cfRule type="expression" dxfId="448" priority="452">
      <formula>$AG146:$AG332="EOB Downloaded"</formula>
    </cfRule>
  </conditionalFormatting>
  <conditionalFormatting sqref="R146">
    <cfRule type="expression" dxfId="447" priority="443">
      <formula>$AG146:$AG332="Follow-Up Complete"</formula>
    </cfRule>
    <cfRule type="expression" dxfId="446" priority="444">
      <formula>$AG146:$AG332="Further Follow-Up"</formula>
    </cfRule>
    <cfRule type="expression" dxfId="445" priority="445">
      <formula>$AG146:$AG332="EOB Requested"</formula>
    </cfRule>
    <cfRule type="expression" dxfId="444" priority="446">
      <formula>$AG146:$AG332="EOB Not Found"</formula>
    </cfRule>
    <cfRule type="expression" dxfId="443" priority="447">
      <formula>$AG146:$AG332="EOB Downloaded"</formula>
    </cfRule>
  </conditionalFormatting>
  <conditionalFormatting sqref="T146">
    <cfRule type="expression" dxfId="442" priority="438">
      <formula>$AG146:$AG332="Follow-Up Complete"</formula>
    </cfRule>
    <cfRule type="expression" dxfId="441" priority="439">
      <formula>$AG146:$AG332="Further Follow-Up"</formula>
    </cfRule>
    <cfRule type="expression" dxfId="440" priority="440">
      <formula>$AG146:$AG332="EOB Requested"</formula>
    </cfRule>
    <cfRule type="expression" dxfId="439" priority="441">
      <formula>$AG146:$AG332="EOB Not Found"</formula>
    </cfRule>
    <cfRule type="expression" dxfId="438" priority="442">
      <formula>$AG146:$AG332="EOB Downloaded"</formula>
    </cfRule>
  </conditionalFormatting>
  <conditionalFormatting sqref="AA146">
    <cfRule type="expression" dxfId="437" priority="433">
      <formula>$AG146:$AG332="Follow-Up Complete"</formula>
    </cfRule>
    <cfRule type="expression" dxfId="436" priority="434">
      <formula>$AG146:$AG332="Further Follow-Up"</formula>
    </cfRule>
    <cfRule type="expression" dxfId="435" priority="435">
      <formula>$AG146:$AG332="EOB Requested"</formula>
    </cfRule>
    <cfRule type="expression" dxfId="434" priority="436">
      <formula>$AG146:$AG332="EOB Not Found"</formula>
    </cfRule>
    <cfRule type="expression" dxfId="433" priority="437">
      <formula>$AG146:$AG332="EOB Downloaded"</formula>
    </cfRule>
  </conditionalFormatting>
  <conditionalFormatting sqref="P147">
    <cfRule type="expression" dxfId="432" priority="428">
      <formula>$AG147:$AG333="Follow-Up Complete"</formula>
    </cfRule>
    <cfRule type="expression" dxfId="431" priority="429">
      <formula>$AG147:$AG333="Further Follow-Up"</formula>
    </cfRule>
    <cfRule type="expression" dxfId="430" priority="430">
      <formula>$AG147:$AG333="EOB Requested"</formula>
    </cfRule>
    <cfRule type="expression" dxfId="429" priority="431">
      <formula>$AG147:$AG333="EOB Not Found"</formula>
    </cfRule>
    <cfRule type="expression" dxfId="428" priority="432">
      <formula>$AG147:$AG333="EOB Downloaded"</formula>
    </cfRule>
  </conditionalFormatting>
  <conditionalFormatting sqref="R147">
    <cfRule type="expression" dxfId="427" priority="423">
      <formula>$AG147:$AG333="Follow-Up Complete"</formula>
    </cfRule>
    <cfRule type="expression" dxfId="426" priority="424">
      <formula>$AG147:$AG333="Further Follow-Up"</formula>
    </cfRule>
    <cfRule type="expression" dxfId="425" priority="425">
      <formula>$AG147:$AG333="EOB Requested"</formula>
    </cfRule>
    <cfRule type="expression" dxfId="424" priority="426">
      <formula>$AG147:$AG333="EOB Not Found"</formula>
    </cfRule>
    <cfRule type="expression" dxfId="423" priority="427">
      <formula>$AG147:$AG333="EOB Downloaded"</formula>
    </cfRule>
  </conditionalFormatting>
  <conditionalFormatting sqref="T147">
    <cfRule type="expression" dxfId="422" priority="418">
      <formula>$AG147:$AG333="Follow-Up Complete"</formula>
    </cfRule>
    <cfRule type="expression" dxfId="421" priority="419">
      <formula>$AG147:$AG333="Further Follow-Up"</formula>
    </cfRule>
    <cfRule type="expression" dxfId="420" priority="420">
      <formula>$AG147:$AG333="EOB Requested"</formula>
    </cfRule>
    <cfRule type="expression" dxfId="419" priority="421">
      <formula>$AG147:$AG333="EOB Not Found"</formula>
    </cfRule>
    <cfRule type="expression" dxfId="418" priority="422">
      <formula>$AG147:$AG333="EOB Downloaded"</formula>
    </cfRule>
  </conditionalFormatting>
  <conditionalFormatting sqref="AA147">
    <cfRule type="expression" dxfId="417" priority="413">
      <formula>$AG147:$AG333="Follow-Up Complete"</formula>
    </cfRule>
    <cfRule type="expression" dxfId="416" priority="414">
      <formula>$AG147:$AG333="Further Follow-Up"</formula>
    </cfRule>
    <cfRule type="expression" dxfId="415" priority="415">
      <formula>$AG147:$AG333="EOB Requested"</formula>
    </cfRule>
    <cfRule type="expression" dxfId="414" priority="416">
      <formula>$AG147:$AG333="EOB Not Found"</formula>
    </cfRule>
    <cfRule type="expression" dxfId="413" priority="417">
      <formula>$AG147:$AG333="EOB Downloaded"</formula>
    </cfRule>
  </conditionalFormatting>
  <conditionalFormatting sqref="P148">
    <cfRule type="expression" dxfId="412" priority="408">
      <formula>$AG148:$AG334="Follow-Up Complete"</formula>
    </cfRule>
    <cfRule type="expression" dxfId="411" priority="409">
      <formula>$AG148:$AG334="Further Follow-Up"</formula>
    </cfRule>
    <cfRule type="expression" dxfId="410" priority="410">
      <formula>$AG148:$AG334="EOB Requested"</formula>
    </cfRule>
    <cfRule type="expression" dxfId="409" priority="411">
      <formula>$AG148:$AG334="EOB Not Found"</formula>
    </cfRule>
    <cfRule type="expression" dxfId="408" priority="412">
      <formula>$AG148:$AG334="EOB Downloaded"</formula>
    </cfRule>
  </conditionalFormatting>
  <conditionalFormatting sqref="R148">
    <cfRule type="expression" dxfId="407" priority="403">
      <formula>$AG148:$AG334="Follow-Up Complete"</formula>
    </cfRule>
    <cfRule type="expression" dxfId="406" priority="404">
      <formula>$AG148:$AG334="Further Follow-Up"</formula>
    </cfRule>
    <cfRule type="expression" dxfId="405" priority="405">
      <formula>$AG148:$AG334="EOB Requested"</formula>
    </cfRule>
    <cfRule type="expression" dxfId="404" priority="406">
      <formula>$AG148:$AG334="EOB Not Found"</formula>
    </cfRule>
    <cfRule type="expression" dxfId="403" priority="407">
      <formula>$AG148:$AG334="EOB Downloaded"</formula>
    </cfRule>
  </conditionalFormatting>
  <conditionalFormatting sqref="T148">
    <cfRule type="expression" dxfId="402" priority="398">
      <formula>$AG148:$AG334="Follow-Up Complete"</formula>
    </cfRule>
    <cfRule type="expression" dxfId="401" priority="399">
      <formula>$AG148:$AG334="Further Follow-Up"</formula>
    </cfRule>
    <cfRule type="expression" dxfId="400" priority="400">
      <formula>$AG148:$AG334="EOB Requested"</formula>
    </cfRule>
    <cfRule type="expression" dxfId="399" priority="401">
      <formula>$AG148:$AG334="EOB Not Found"</formula>
    </cfRule>
    <cfRule type="expression" dxfId="398" priority="402">
      <formula>$AG148:$AG334="EOB Downloaded"</formula>
    </cfRule>
  </conditionalFormatting>
  <conditionalFormatting sqref="V148">
    <cfRule type="expression" dxfId="397" priority="393">
      <formula>$AG148:$AG334="Follow-Up Complete"</formula>
    </cfRule>
    <cfRule type="expression" dxfId="396" priority="394">
      <formula>$AG148:$AG334="Further Follow-Up"</formula>
    </cfRule>
    <cfRule type="expression" dxfId="395" priority="395">
      <formula>$AG148:$AG334="EOB Requested"</formula>
    </cfRule>
    <cfRule type="expression" dxfId="394" priority="396">
      <formula>$AG148:$AG334="EOB Not Found"</formula>
    </cfRule>
    <cfRule type="expression" dxfId="393" priority="397">
      <formula>$AG148:$AG334="EOB Downloaded"</formula>
    </cfRule>
  </conditionalFormatting>
  <conditionalFormatting sqref="X148">
    <cfRule type="expression" dxfId="392" priority="388">
      <formula>$AG148:$AG334="Follow-Up Complete"</formula>
    </cfRule>
    <cfRule type="expression" dxfId="391" priority="389">
      <formula>$AG148:$AG334="Further Follow-Up"</formula>
    </cfRule>
    <cfRule type="expression" dxfId="390" priority="390">
      <formula>$AG148:$AG334="EOB Requested"</formula>
    </cfRule>
    <cfRule type="expression" dxfId="389" priority="391">
      <formula>$AG148:$AG334="EOB Not Found"</formula>
    </cfRule>
    <cfRule type="expression" dxfId="388" priority="392">
      <formula>$AG148:$AG334="EOB Downloaded"</formula>
    </cfRule>
  </conditionalFormatting>
  <conditionalFormatting sqref="AA148">
    <cfRule type="expression" dxfId="387" priority="383">
      <formula>$AG148:$AG334="Follow-Up Complete"</formula>
    </cfRule>
    <cfRule type="expression" dxfId="386" priority="384">
      <formula>$AG148:$AG334="Further Follow-Up"</formula>
    </cfRule>
    <cfRule type="expression" dxfId="385" priority="385">
      <formula>$AG148:$AG334="EOB Requested"</formula>
    </cfRule>
    <cfRule type="expression" dxfId="384" priority="386">
      <formula>$AG148:$AG334="EOB Not Found"</formula>
    </cfRule>
    <cfRule type="expression" dxfId="383" priority="387">
      <formula>$AG148:$AG334="EOB Downloaded"</formula>
    </cfRule>
  </conditionalFormatting>
  <conditionalFormatting sqref="P149">
    <cfRule type="expression" dxfId="382" priority="378">
      <formula>$AG149:$AG335="Follow-Up Complete"</formula>
    </cfRule>
    <cfRule type="expression" dxfId="381" priority="379">
      <formula>$AG149:$AG335="Further Follow-Up"</formula>
    </cfRule>
    <cfRule type="expression" dxfId="380" priority="380">
      <formula>$AG149:$AG335="EOB Requested"</formula>
    </cfRule>
    <cfRule type="expression" dxfId="379" priority="381">
      <formula>$AG149:$AG335="EOB Not Found"</formula>
    </cfRule>
    <cfRule type="expression" dxfId="378" priority="382">
      <formula>$AG149:$AG335="EOB Downloaded"</formula>
    </cfRule>
  </conditionalFormatting>
  <conditionalFormatting sqref="R149">
    <cfRule type="expression" dxfId="377" priority="373">
      <formula>$AG149:$AG335="Follow-Up Complete"</formula>
    </cfRule>
    <cfRule type="expression" dxfId="376" priority="374">
      <formula>$AG149:$AG335="Further Follow-Up"</formula>
    </cfRule>
    <cfRule type="expression" dxfId="375" priority="375">
      <formula>$AG149:$AG335="EOB Requested"</formula>
    </cfRule>
    <cfRule type="expression" dxfId="374" priority="376">
      <formula>$AG149:$AG335="EOB Not Found"</formula>
    </cfRule>
    <cfRule type="expression" dxfId="373" priority="377">
      <formula>$AG149:$AG335="EOB Downloaded"</formula>
    </cfRule>
  </conditionalFormatting>
  <conditionalFormatting sqref="T149">
    <cfRule type="expression" dxfId="372" priority="368">
      <formula>$AG149:$AG335="Follow-Up Complete"</formula>
    </cfRule>
    <cfRule type="expression" dxfId="371" priority="369">
      <formula>$AG149:$AG335="Further Follow-Up"</formula>
    </cfRule>
    <cfRule type="expression" dxfId="370" priority="370">
      <formula>$AG149:$AG335="EOB Requested"</formula>
    </cfRule>
    <cfRule type="expression" dxfId="369" priority="371">
      <formula>$AG149:$AG335="EOB Not Found"</formula>
    </cfRule>
    <cfRule type="expression" dxfId="368" priority="372">
      <formula>$AG149:$AG335="EOB Downloaded"</formula>
    </cfRule>
  </conditionalFormatting>
  <conditionalFormatting sqref="AA149">
    <cfRule type="expression" dxfId="367" priority="363">
      <formula>$AG149:$AG335="Follow-Up Complete"</formula>
    </cfRule>
    <cfRule type="expression" dxfId="366" priority="364">
      <formula>$AG149:$AG335="Further Follow-Up"</formula>
    </cfRule>
    <cfRule type="expression" dxfId="365" priority="365">
      <formula>$AG149:$AG335="EOB Requested"</formula>
    </cfRule>
    <cfRule type="expression" dxfId="364" priority="366">
      <formula>$AG149:$AG335="EOB Not Found"</formula>
    </cfRule>
    <cfRule type="expression" dxfId="363" priority="367">
      <formula>$AG149:$AG335="EOB Downloaded"</formula>
    </cfRule>
  </conditionalFormatting>
  <conditionalFormatting sqref="T150">
    <cfRule type="expression" dxfId="362" priority="358">
      <formula>$AG150:$AG336="Follow-Up Complete"</formula>
    </cfRule>
    <cfRule type="expression" dxfId="361" priority="359">
      <formula>$AG150:$AG336="Further Follow-Up"</formula>
    </cfRule>
    <cfRule type="expression" dxfId="360" priority="360">
      <formula>$AG150:$AG336="EOB Requested"</formula>
    </cfRule>
    <cfRule type="expression" dxfId="359" priority="361">
      <formula>$AG150:$AG336="EOB Not Found"</formula>
    </cfRule>
    <cfRule type="expression" dxfId="358" priority="362">
      <formula>$AG150:$AG336="EOB Downloaded"</formula>
    </cfRule>
  </conditionalFormatting>
  <conditionalFormatting sqref="V150">
    <cfRule type="expression" dxfId="357" priority="353">
      <formula>$AG150:$AG336="Follow-Up Complete"</formula>
    </cfRule>
    <cfRule type="expression" dxfId="356" priority="354">
      <formula>$AG150:$AG336="Further Follow-Up"</formula>
    </cfRule>
    <cfRule type="expression" dxfId="355" priority="355">
      <formula>$AG150:$AG336="EOB Requested"</formula>
    </cfRule>
    <cfRule type="expression" dxfId="354" priority="356">
      <formula>$AG150:$AG336="EOB Not Found"</formula>
    </cfRule>
    <cfRule type="expression" dxfId="353" priority="357">
      <formula>$AG150:$AG336="EOB Downloaded"</formula>
    </cfRule>
  </conditionalFormatting>
  <conditionalFormatting sqref="AA150">
    <cfRule type="expression" dxfId="352" priority="348">
      <formula>$AG150:$AG336="Follow-Up Complete"</formula>
    </cfRule>
    <cfRule type="expression" dxfId="351" priority="349">
      <formula>$AG150:$AG336="Further Follow-Up"</formula>
    </cfRule>
    <cfRule type="expression" dxfId="350" priority="350">
      <formula>$AG150:$AG336="EOB Requested"</formula>
    </cfRule>
    <cfRule type="expression" dxfId="349" priority="351">
      <formula>$AG150:$AG336="EOB Not Found"</formula>
    </cfRule>
    <cfRule type="expression" dxfId="348" priority="352">
      <formula>$AG150:$AG336="EOB Downloaded"</formula>
    </cfRule>
  </conditionalFormatting>
  <conditionalFormatting sqref="P151">
    <cfRule type="expression" dxfId="347" priority="343">
      <formula>$AG151:$AG337="Follow-Up Complete"</formula>
    </cfRule>
    <cfRule type="expression" dxfId="346" priority="344">
      <formula>$AG151:$AG337="Further Follow-Up"</formula>
    </cfRule>
    <cfRule type="expression" dxfId="345" priority="345">
      <formula>$AG151:$AG337="EOB Requested"</formula>
    </cfRule>
    <cfRule type="expression" dxfId="344" priority="346">
      <formula>$AG151:$AG337="EOB Not Found"</formula>
    </cfRule>
    <cfRule type="expression" dxfId="343" priority="347">
      <formula>$AG151:$AG337="EOB Downloaded"</formula>
    </cfRule>
  </conditionalFormatting>
  <conditionalFormatting sqref="R151">
    <cfRule type="expression" dxfId="342" priority="338">
      <formula>$AG151:$AG337="Follow-Up Complete"</formula>
    </cfRule>
    <cfRule type="expression" dxfId="341" priority="339">
      <formula>$AG151:$AG337="Further Follow-Up"</formula>
    </cfRule>
    <cfRule type="expression" dxfId="340" priority="340">
      <formula>$AG151:$AG337="EOB Requested"</formula>
    </cfRule>
    <cfRule type="expression" dxfId="339" priority="341">
      <formula>$AG151:$AG337="EOB Not Found"</formula>
    </cfRule>
    <cfRule type="expression" dxfId="338" priority="342">
      <formula>$AG151:$AG337="EOB Downloaded"</formula>
    </cfRule>
  </conditionalFormatting>
  <conditionalFormatting sqref="T151">
    <cfRule type="expression" dxfId="337" priority="333">
      <formula>$AG151:$AG337="Follow-Up Complete"</formula>
    </cfRule>
    <cfRule type="expression" dxfId="336" priority="334">
      <formula>$AG151:$AG337="Further Follow-Up"</formula>
    </cfRule>
    <cfRule type="expression" dxfId="335" priority="335">
      <formula>$AG151:$AG337="EOB Requested"</formula>
    </cfRule>
    <cfRule type="expression" dxfId="334" priority="336">
      <formula>$AG151:$AG337="EOB Not Found"</formula>
    </cfRule>
    <cfRule type="expression" dxfId="333" priority="337">
      <formula>$AG151:$AG337="EOB Downloaded"</formula>
    </cfRule>
  </conditionalFormatting>
  <conditionalFormatting sqref="AA151">
    <cfRule type="expression" dxfId="332" priority="328">
      <formula>$AG151:$AG337="Follow-Up Complete"</formula>
    </cfRule>
    <cfRule type="expression" dxfId="331" priority="329">
      <formula>$AG151:$AG337="Further Follow-Up"</formula>
    </cfRule>
    <cfRule type="expression" dxfId="330" priority="330">
      <formula>$AG151:$AG337="EOB Requested"</formula>
    </cfRule>
    <cfRule type="expression" dxfId="329" priority="331">
      <formula>$AG151:$AG337="EOB Not Found"</formula>
    </cfRule>
    <cfRule type="expression" dxfId="328" priority="332">
      <formula>$AG151:$AG337="EOB Downloaded"</formula>
    </cfRule>
  </conditionalFormatting>
  <conditionalFormatting sqref="P152">
    <cfRule type="expression" dxfId="327" priority="323">
      <formula>$AG152:$AG338="Follow-Up Complete"</formula>
    </cfRule>
    <cfRule type="expression" dxfId="326" priority="324">
      <formula>$AG152:$AG338="Further Follow-Up"</formula>
    </cfRule>
    <cfRule type="expression" dxfId="325" priority="325">
      <formula>$AG152:$AG338="EOB Requested"</formula>
    </cfRule>
    <cfRule type="expression" dxfId="324" priority="326">
      <formula>$AG152:$AG338="EOB Not Found"</formula>
    </cfRule>
    <cfRule type="expression" dxfId="323" priority="327">
      <formula>$AG152:$AG338="EOB Downloaded"</formula>
    </cfRule>
  </conditionalFormatting>
  <conditionalFormatting sqref="R152">
    <cfRule type="expression" dxfId="322" priority="318">
      <formula>$AG152:$AG338="Follow-Up Complete"</formula>
    </cfRule>
    <cfRule type="expression" dxfId="321" priority="319">
      <formula>$AG152:$AG338="Further Follow-Up"</formula>
    </cfRule>
    <cfRule type="expression" dxfId="320" priority="320">
      <formula>$AG152:$AG338="EOB Requested"</formula>
    </cfRule>
    <cfRule type="expression" dxfId="319" priority="321">
      <formula>$AG152:$AG338="EOB Not Found"</formula>
    </cfRule>
    <cfRule type="expression" dxfId="318" priority="322">
      <formula>$AG152:$AG338="EOB Downloaded"</formula>
    </cfRule>
  </conditionalFormatting>
  <conditionalFormatting sqref="T152">
    <cfRule type="expression" dxfId="317" priority="313">
      <formula>$AG152:$AG338="Follow-Up Complete"</formula>
    </cfRule>
    <cfRule type="expression" dxfId="316" priority="314">
      <formula>$AG152:$AG338="Further Follow-Up"</formula>
    </cfRule>
    <cfRule type="expression" dxfId="315" priority="315">
      <formula>$AG152:$AG338="EOB Requested"</formula>
    </cfRule>
    <cfRule type="expression" dxfId="314" priority="316">
      <formula>$AG152:$AG338="EOB Not Found"</formula>
    </cfRule>
    <cfRule type="expression" dxfId="313" priority="317">
      <formula>$AG152:$AG338="EOB Downloaded"</formula>
    </cfRule>
  </conditionalFormatting>
  <conditionalFormatting sqref="V152">
    <cfRule type="expression" dxfId="312" priority="308">
      <formula>$AG152:$AG338="Follow-Up Complete"</formula>
    </cfRule>
    <cfRule type="expression" dxfId="311" priority="309">
      <formula>$AG152:$AG338="Further Follow-Up"</formula>
    </cfRule>
    <cfRule type="expression" dxfId="310" priority="310">
      <formula>$AG152:$AG338="EOB Requested"</formula>
    </cfRule>
    <cfRule type="expression" dxfId="309" priority="311">
      <formula>$AG152:$AG338="EOB Not Found"</formula>
    </cfRule>
    <cfRule type="expression" dxfId="308" priority="312">
      <formula>$AG152:$AG338="EOB Downloaded"</formula>
    </cfRule>
  </conditionalFormatting>
  <conditionalFormatting sqref="X152">
    <cfRule type="expression" dxfId="307" priority="303">
      <formula>$AG152:$AG338="Follow-Up Complete"</formula>
    </cfRule>
    <cfRule type="expression" dxfId="306" priority="304">
      <formula>$AG152:$AG338="Further Follow-Up"</formula>
    </cfRule>
    <cfRule type="expression" dxfId="305" priority="305">
      <formula>$AG152:$AG338="EOB Requested"</formula>
    </cfRule>
    <cfRule type="expression" dxfId="304" priority="306">
      <formula>$AG152:$AG338="EOB Not Found"</formula>
    </cfRule>
    <cfRule type="expression" dxfId="303" priority="307">
      <formula>$AG152:$AG338="EOB Downloaded"</formula>
    </cfRule>
  </conditionalFormatting>
  <conditionalFormatting sqref="AA152">
    <cfRule type="expression" dxfId="302" priority="298">
      <formula>$AG152:$AG338="Follow-Up Complete"</formula>
    </cfRule>
    <cfRule type="expression" dxfId="301" priority="299">
      <formula>$AG152:$AG338="Further Follow-Up"</formula>
    </cfRule>
    <cfRule type="expression" dxfId="300" priority="300">
      <formula>$AG152:$AG338="EOB Requested"</formula>
    </cfRule>
    <cfRule type="expression" dxfId="299" priority="301">
      <formula>$AG152:$AG338="EOB Not Found"</formula>
    </cfRule>
    <cfRule type="expression" dxfId="298" priority="302">
      <formula>$AG152:$AG338="EOB Downloaded"</formula>
    </cfRule>
  </conditionalFormatting>
  <conditionalFormatting sqref="P153">
    <cfRule type="expression" dxfId="297" priority="293">
      <formula>$AG153:$AG339="Follow-Up Complete"</formula>
    </cfRule>
    <cfRule type="expression" dxfId="296" priority="294">
      <formula>$AG153:$AG339="Further Follow-Up"</formula>
    </cfRule>
    <cfRule type="expression" dxfId="295" priority="295">
      <formula>$AG153:$AG339="EOB Requested"</formula>
    </cfRule>
    <cfRule type="expression" dxfId="294" priority="296">
      <formula>$AG153:$AG339="EOB Not Found"</formula>
    </cfRule>
    <cfRule type="expression" dxfId="293" priority="297">
      <formula>$AG153:$AG339="EOB Downloaded"</formula>
    </cfRule>
  </conditionalFormatting>
  <conditionalFormatting sqref="AA153">
    <cfRule type="expression" dxfId="292" priority="288">
      <formula>$AG153:$AG339="Follow-Up Complete"</formula>
    </cfRule>
    <cfRule type="expression" dxfId="291" priority="289">
      <formula>$AG153:$AG339="Further Follow-Up"</formula>
    </cfRule>
    <cfRule type="expression" dxfId="290" priority="290">
      <formula>$AG153:$AG339="EOB Requested"</formula>
    </cfRule>
    <cfRule type="expression" dxfId="289" priority="291">
      <formula>$AG153:$AG339="EOB Not Found"</formula>
    </cfRule>
    <cfRule type="expression" dxfId="288" priority="292">
      <formula>$AG153:$AG339="EOB Downloaded"</formula>
    </cfRule>
  </conditionalFormatting>
  <conditionalFormatting sqref="P154">
    <cfRule type="expression" dxfId="287" priority="278">
      <formula>$AG154:$AG340="Follow-Up Complete"</formula>
    </cfRule>
    <cfRule type="expression" dxfId="286" priority="279">
      <formula>$AG154:$AG340="Further Follow-Up"</formula>
    </cfRule>
    <cfRule type="expression" dxfId="285" priority="280">
      <formula>$AG154:$AG340="EOB Requested"</formula>
    </cfRule>
    <cfRule type="expression" dxfId="284" priority="281">
      <formula>$AG154:$AG340="EOB Not Found"</formula>
    </cfRule>
    <cfRule type="expression" dxfId="283" priority="282">
      <formula>$AG154:$AG340="EOB Downloaded"</formula>
    </cfRule>
  </conditionalFormatting>
  <conditionalFormatting sqref="R154">
    <cfRule type="expression" dxfId="282" priority="273">
      <formula>$AG154:$AG340="Follow-Up Complete"</formula>
    </cfRule>
    <cfRule type="expression" dxfId="281" priority="274">
      <formula>$AG154:$AG340="Further Follow-Up"</formula>
    </cfRule>
    <cfRule type="expression" dxfId="280" priority="275">
      <formula>$AG154:$AG340="EOB Requested"</formula>
    </cfRule>
    <cfRule type="expression" dxfId="279" priority="276">
      <formula>$AG154:$AG340="EOB Not Found"</formula>
    </cfRule>
    <cfRule type="expression" dxfId="278" priority="277">
      <formula>$AG154:$AG340="EOB Downloaded"</formula>
    </cfRule>
  </conditionalFormatting>
  <conditionalFormatting sqref="T154">
    <cfRule type="expression" dxfId="277" priority="268">
      <formula>$AG154:$AG340="Follow-Up Complete"</formula>
    </cfRule>
    <cfRule type="expression" dxfId="276" priority="269">
      <formula>$AG154:$AG340="Further Follow-Up"</formula>
    </cfRule>
    <cfRule type="expression" dxfId="275" priority="270">
      <formula>$AG154:$AG340="EOB Requested"</formula>
    </cfRule>
    <cfRule type="expression" dxfId="274" priority="271">
      <formula>$AG154:$AG340="EOB Not Found"</formula>
    </cfRule>
    <cfRule type="expression" dxfId="273" priority="272">
      <formula>$AG154:$AG340="EOB Downloaded"</formula>
    </cfRule>
  </conditionalFormatting>
  <conditionalFormatting sqref="V154">
    <cfRule type="expression" dxfId="272" priority="263">
      <formula>$AG154:$AG340="Follow-Up Complete"</formula>
    </cfRule>
    <cfRule type="expression" dxfId="271" priority="264">
      <formula>$AG154:$AG340="Further Follow-Up"</formula>
    </cfRule>
    <cfRule type="expression" dxfId="270" priority="265">
      <formula>$AG154:$AG340="EOB Requested"</formula>
    </cfRule>
    <cfRule type="expression" dxfId="269" priority="266">
      <formula>$AG154:$AG340="EOB Not Found"</formula>
    </cfRule>
    <cfRule type="expression" dxfId="268" priority="267">
      <formula>$AG154:$AG340="EOB Downloaded"</formula>
    </cfRule>
  </conditionalFormatting>
  <conditionalFormatting sqref="X154">
    <cfRule type="expression" dxfId="267" priority="258">
      <formula>$AG154:$AG340="Follow-Up Complete"</formula>
    </cfRule>
    <cfRule type="expression" dxfId="266" priority="259">
      <formula>$AG154:$AG340="Further Follow-Up"</formula>
    </cfRule>
    <cfRule type="expression" dxfId="265" priority="260">
      <formula>$AG154:$AG340="EOB Requested"</formula>
    </cfRule>
    <cfRule type="expression" dxfId="264" priority="261">
      <formula>$AG154:$AG340="EOB Not Found"</formula>
    </cfRule>
    <cfRule type="expression" dxfId="263" priority="262">
      <formula>$AG154:$AG340="EOB Downloaded"</formula>
    </cfRule>
  </conditionalFormatting>
  <conditionalFormatting sqref="AA154">
    <cfRule type="expression" dxfId="262" priority="253">
      <formula>$AG154:$AG340="Follow-Up Complete"</formula>
    </cfRule>
    <cfRule type="expression" dxfId="261" priority="254">
      <formula>$AG154:$AG340="Further Follow-Up"</formula>
    </cfRule>
    <cfRule type="expression" dxfId="260" priority="255">
      <formula>$AG154:$AG340="EOB Requested"</formula>
    </cfRule>
    <cfRule type="expression" dxfId="259" priority="256">
      <formula>$AG154:$AG340="EOB Not Found"</formula>
    </cfRule>
    <cfRule type="expression" dxfId="258" priority="257">
      <formula>$AG154:$AG340="EOB Downloaded"</formula>
    </cfRule>
  </conditionalFormatting>
  <conditionalFormatting sqref="P155">
    <cfRule type="expression" dxfId="257" priority="248">
      <formula>$AG155:$AG341="Follow-Up Complete"</formula>
    </cfRule>
    <cfRule type="expression" dxfId="256" priority="249">
      <formula>$AG155:$AG341="Further Follow-Up"</formula>
    </cfRule>
    <cfRule type="expression" dxfId="255" priority="250">
      <formula>$AG155:$AG341="EOB Requested"</formula>
    </cfRule>
    <cfRule type="expression" dxfId="254" priority="251">
      <formula>$AG155:$AG341="EOB Not Found"</formula>
    </cfRule>
    <cfRule type="expression" dxfId="253" priority="252">
      <formula>$AG155:$AG341="EOB Downloaded"</formula>
    </cfRule>
  </conditionalFormatting>
  <conditionalFormatting sqref="R155">
    <cfRule type="expression" dxfId="252" priority="243">
      <formula>$AG155:$AG341="Follow-Up Complete"</formula>
    </cfRule>
    <cfRule type="expression" dxfId="251" priority="244">
      <formula>$AG155:$AG341="Further Follow-Up"</formula>
    </cfRule>
    <cfRule type="expression" dxfId="250" priority="245">
      <formula>$AG155:$AG341="EOB Requested"</formula>
    </cfRule>
    <cfRule type="expression" dxfId="249" priority="246">
      <formula>$AG155:$AG341="EOB Not Found"</formula>
    </cfRule>
    <cfRule type="expression" dxfId="248" priority="247">
      <formula>$AG155:$AG341="EOB Downloaded"</formula>
    </cfRule>
  </conditionalFormatting>
  <conditionalFormatting sqref="T155">
    <cfRule type="expression" dxfId="247" priority="238">
      <formula>$AG155:$AG341="Follow-Up Complete"</formula>
    </cfRule>
    <cfRule type="expression" dxfId="246" priority="239">
      <formula>$AG155:$AG341="Further Follow-Up"</formula>
    </cfRule>
    <cfRule type="expression" dxfId="245" priority="240">
      <formula>$AG155:$AG341="EOB Requested"</formula>
    </cfRule>
    <cfRule type="expression" dxfId="244" priority="241">
      <formula>$AG155:$AG341="EOB Not Found"</formula>
    </cfRule>
    <cfRule type="expression" dxfId="243" priority="242">
      <formula>$AG155:$AG341="EOB Downloaded"</formula>
    </cfRule>
  </conditionalFormatting>
  <conditionalFormatting sqref="V155">
    <cfRule type="expression" dxfId="242" priority="233">
      <formula>$AG155:$AG341="Follow-Up Complete"</formula>
    </cfRule>
    <cfRule type="expression" dxfId="241" priority="234">
      <formula>$AG155:$AG341="Further Follow-Up"</formula>
    </cfRule>
    <cfRule type="expression" dxfId="240" priority="235">
      <formula>$AG155:$AG341="EOB Requested"</formula>
    </cfRule>
    <cfRule type="expression" dxfId="239" priority="236">
      <formula>$AG155:$AG341="EOB Not Found"</formula>
    </cfRule>
    <cfRule type="expression" dxfId="238" priority="237">
      <formula>$AG155:$AG341="EOB Downloaded"</formula>
    </cfRule>
  </conditionalFormatting>
  <conditionalFormatting sqref="X155">
    <cfRule type="expression" dxfId="237" priority="228">
      <formula>$AG155:$AG341="Follow-Up Complete"</formula>
    </cfRule>
    <cfRule type="expression" dxfId="236" priority="229">
      <formula>$AG155:$AG341="Further Follow-Up"</formula>
    </cfRule>
    <cfRule type="expression" dxfId="235" priority="230">
      <formula>$AG155:$AG341="EOB Requested"</formula>
    </cfRule>
    <cfRule type="expression" dxfId="234" priority="231">
      <formula>$AG155:$AG341="EOB Not Found"</formula>
    </cfRule>
    <cfRule type="expression" dxfId="233" priority="232">
      <formula>$AG155:$AG341="EOB Downloaded"</formula>
    </cfRule>
  </conditionalFormatting>
  <conditionalFormatting sqref="AA155">
    <cfRule type="expression" dxfId="232" priority="223">
      <formula>$AG155:$AG341="Follow-Up Complete"</formula>
    </cfRule>
    <cfRule type="expression" dxfId="231" priority="224">
      <formula>$AG155:$AG341="Further Follow-Up"</formula>
    </cfRule>
    <cfRule type="expression" dxfId="230" priority="225">
      <formula>$AG155:$AG341="EOB Requested"</formula>
    </cfRule>
    <cfRule type="expression" dxfId="229" priority="226">
      <formula>$AG155:$AG341="EOB Not Found"</formula>
    </cfRule>
    <cfRule type="expression" dxfId="228" priority="227">
      <formula>$AG155:$AG341="EOB Downloaded"</formula>
    </cfRule>
  </conditionalFormatting>
  <conditionalFormatting sqref="P156">
    <cfRule type="expression" dxfId="227" priority="218">
      <formula>$AG156:$AG342="Follow-Up Complete"</formula>
    </cfRule>
    <cfRule type="expression" dxfId="226" priority="219">
      <formula>$AG156:$AG342="Further Follow-Up"</formula>
    </cfRule>
    <cfRule type="expression" dxfId="225" priority="220">
      <formula>$AG156:$AG342="EOB Requested"</formula>
    </cfRule>
    <cfRule type="expression" dxfId="224" priority="221">
      <formula>$AG156:$AG342="EOB Not Found"</formula>
    </cfRule>
    <cfRule type="expression" dxfId="223" priority="222">
      <formula>$AG156:$AG342="EOB Downloaded"</formula>
    </cfRule>
  </conditionalFormatting>
  <conditionalFormatting sqref="R156">
    <cfRule type="expression" dxfId="222" priority="213">
      <formula>$AG156:$AG342="Follow-Up Complete"</formula>
    </cfRule>
    <cfRule type="expression" dxfId="221" priority="214">
      <formula>$AG156:$AG342="Further Follow-Up"</formula>
    </cfRule>
    <cfRule type="expression" dxfId="220" priority="215">
      <formula>$AG156:$AG342="EOB Requested"</formula>
    </cfRule>
    <cfRule type="expression" dxfId="219" priority="216">
      <formula>$AG156:$AG342="EOB Not Found"</formula>
    </cfRule>
    <cfRule type="expression" dxfId="218" priority="217">
      <formula>$AG156:$AG342="EOB Downloaded"</formula>
    </cfRule>
  </conditionalFormatting>
  <conditionalFormatting sqref="T156">
    <cfRule type="expression" dxfId="217" priority="208">
      <formula>$AG156:$AG342="Follow-Up Complete"</formula>
    </cfRule>
    <cfRule type="expression" dxfId="216" priority="209">
      <formula>$AG156:$AG342="Further Follow-Up"</formula>
    </cfRule>
    <cfRule type="expression" dxfId="215" priority="210">
      <formula>$AG156:$AG342="EOB Requested"</formula>
    </cfRule>
    <cfRule type="expression" dxfId="214" priority="211">
      <formula>$AG156:$AG342="EOB Not Found"</formula>
    </cfRule>
    <cfRule type="expression" dxfId="213" priority="212">
      <formula>$AG156:$AG342="EOB Downloaded"</formula>
    </cfRule>
  </conditionalFormatting>
  <conditionalFormatting sqref="V156">
    <cfRule type="expression" dxfId="212" priority="203">
      <formula>$AG156:$AG342="Follow-Up Complete"</formula>
    </cfRule>
    <cfRule type="expression" dxfId="211" priority="204">
      <formula>$AG156:$AG342="Further Follow-Up"</formula>
    </cfRule>
    <cfRule type="expression" dxfId="210" priority="205">
      <formula>$AG156:$AG342="EOB Requested"</formula>
    </cfRule>
    <cfRule type="expression" dxfId="209" priority="206">
      <formula>$AG156:$AG342="EOB Not Found"</formula>
    </cfRule>
    <cfRule type="expression" dxfId="208" priority="207">
      <formula>$AG156:$AG342="EOB Downloaded"</formula>
    </cfRule>
  </conditionalFormatting>
  <conditionalFormatting sqref="AA156">
    <cfRule type="expression" dxfId="207" priority="198">
      <formula>$AG156:$AG342="Follow-Up Complete"</formula>
    </cfRule>
    <cfRule type="expression" dxfId="206" priority="199">
      <formula>$AG156:$AG342="Further Follow-Up"</formula>
    </cfRule>
    <cfRule type="expression" dxfId="205" priority="200">
      <formula>$AG156:$AG342="EOB Requested"</formula>
    </cfRule>
    <cfRule type="expression" dxfId="204" priority="201">
      <formula>$AG156:$AG342="EOB Not Found"</formula>
    </cfRule>
    <cfRule type="expression" dxfId="203" priority="202">
      <formula>$AG156:$AG342="EOB Downloaded"</formula>
    </cfRule>
  </conditionalFormatting>
  <conditionalFormatting sqref="P157">
    <cfRule type="expression" dxfId="202" priority="193">
      <formula>$AG157:$AG343="Follow-Up Complete"</formula>
    </cfRule>
    <cfRule type="expression" dxfId="201" priority="194">
      <formula>$AG157:$AG343="Further Follow-Up"</formula>
    </cfRule>
    <cfRule type="expression" dxfId="200" priority="195">
      <formula>$AG157:$AG343="EOB Requested"</formula>
    </cfRule>
    <cfRule type="expression" dxfId="199" priority="196">
      <formula>$AG157:$AG343="EOB Not Found"</formula>
    </cfRule>
    <cfRule type="expression" dxfId="198" priority="197">
      <formula>$AG157:$AG343="EOB Downloaded"</formula>
    </cfRule>
  </conditionalFormatting>
  <conditionalFormatting sqref="R157">
    <cfRule type="expression" dxfId="197" priority="188">
      <formula>$AG157:$AG343="Follow-Up Complete"</formula>
    </cfRule>
    <cfRule type="expression" dxfId="196" priority="189">
      <formula>$AG157:$AG343="Further Follow-Up"</formula>
    </cfRule>
    <cfRule type="expression" dxfId="195" priority="190">
      <formula>$AG157:$AG343="EOB Requested"</formula>
    </cfRule>
    <cfRule type="expression" dxfId="194" priority="191">
      <formula>$AG157:$AG343="EOB Not Found"</formula>
    </cfRule>
    <cfRule type="expression" dxfId="193" priority="192">
      <formula>$AG157:$AG343="EOB Downloaded"</formula>
    </cfRule>
  </conditionalFormatting>
  <conditionalFormatting sqref="T157">
    <cfRule type="expression" dxfId="192" priority="183">
      <formula>$AG157:$AG343="Follow-Up Complete"</formula>
    </cfRule>
    <cfRule type="expression" dxfId="191" priority="184">
      <formula>$AG157:$AG343="Further Follow-Up"</formula>
    </cfRule>
    <cfRule type="expression" dxfId="190" priority="185">
      <formula>$AG157:$AG343="EOB Requested"</formula>
    </cfRule>
    <cfRule type="expression" dxfId="189" priority="186">
      <formula>$AG157:$AG343="EOB Not Found"</formula>
    </cfRule>
    <cfRule type="expression" dxfId="188" priority="187">
      <formula>$AG157:$AG343="EOB Downloaded"</formula>
    </cfRule>
  </conditionalFormatting>
  <conditionalFormatting sqref="V157">
    <cfRule type="expression" dxfId="187" priority="178">
      <formula>$AG157:$AG343="Follow-Up Complete"</formula>
    </cfRule>
    <cfRule type="expression" dxfId="186" priority="179">
      <formula>$AG157:$AG343="Further Follow-Up"</formula>
    </cfRule>
    <cfRule type="expression" dxfId="185" priority="180">
      <formula>$AG157:$AG343="EOB Requested"</formula>
    </cfRule>
    <cfRule type="expression" dxfId="184" priority="181">
      <formula>$AG157:$AG343="EOB Not Found"</formula>
    </cfRule>
    <cfRule type="expression" dxfId="183" priority="182">
      <formula>$AG157:$AG343="EOB Downloaded"</formula>
    </cfRule>
  </conditionalFormatting>
  <conditionalFormatting sqref="AA157">
    <cfRule type="expression" dxfId="182" priority="173">
      <formula>$AG157:$AG343="Follow-Up Complete"</formula>
    </cfRule>
    <cfRule type="expression" dxfId="181" priority="174">
      <formula>$AG157:$AG343="Further Follow-Up"</formula>
    </cfRule>
    <cfRule type="expression" dxfId="180" priority="175">
      <formula>$AG157:$AG343="EOB Requested"</formula>
    </cfRule>
    <cfRule type="expression" dxfId="179" priority="176">
      <formula>$AG157:$AG343="EOB Not Found"</formula>
    </cfRule>
    <cfRule type="expression" dxfId="178" priority="177">
      <formula>$AG157:$AG343="EOB Downloaded"</formula>
    </cfRule>
  </conditionalFormatting>
  <conditionalFormatting sqref="P158">
    <cfRule type="expression" dxfId="177" priority="168">
      <formula>$AG158:$AG344="Follow-Up Complete"</formula>
    </cfRule>
    <cfRule type="expression" dxfId="176" priority="169">
      <formula>$AG158:$AG344="Further Follow-Up"</formula>
    </cfRule>
    <cfRule type="expression" dxfId="175" priority="170">
      <formula>$AG158:$AG344="EOB Requested"</formula>
    </cfRule>
    <cfRule type="expression" dxfId="174" priority="171">
      <formula>$AG158:$AG344="EOB Not Found"</formula>
    </cfRule>
    <cfRule type="expression" dxfId="173" priority="172">
      <formula>$AG158:$AG344="EOB Downloaded"</formula>
    </cfRule>
  </conditionalFormatting>
  <conditionalFormatting sqref="R158">
    <cfRule type="expression" dxfId="172" priority="163">
      <formula>$AG158:$AG344="Follow-Up Complete"</formula>
    </cfRule>
    <cfRule type="expression" dxfId="171" priority="164">
      <formula>$AG158:$AG344="Further Follow-Up"</formula>
    </cfRule>
    <cfRule type="expression" dxfId="170" priority="165">
      <formula>$AG158:$AG344="EOB Requested"</formula>
    </cfRule>
    <cfRule type="expression" dxfId="169" priority="166">
      <formula>$AG158:$AG344="EOB Not Found"</formula>
    </cfRule>
    <cfRule type="expression" dxfId="168" priority="167">
      <formula>$AG158:$AG344="EOB Downloaded"</formula>
    </cfRule>
  </conditionalFormatting>
  <conditionalFormatting sqref="T158">
    <cfRule type="expression" dxfId="167" priority="158">
      <formula>$AG158:$AG344="Follow-Up Complete"</formula>
    </cfRule>
    <cfRule type="expression" dxfId="166" priority="159">
      <formula>$AG158:$AG344="Further Follow-Up"</formula>
    </cfRule>
    <cfRule type="expression" dxfId="165" priority="160">
      <formula>$AG158:$AG344="EOB Requested"</formula>
    </cfRule>
    <cfRule type="expression" dxfId="164" priority="161">
      <formula>$AG158:$AG344="EOB Not Found"</formula>
    </cfRule>
    <cfRule type="expression" dxfId="163" priority="162">
      <formula>$AG158:$AG344="EOB Downloaded"</formula>
    </cfRule>
  </conditionalFormatting>
  <conditionalFormatting sqref="V158">
    <cfRule type="expression" dxfId="162" priority="153">
      <formula>$AG158:$AG344="Follow-Up Complete"</formula>
    </cfRule>
    <cfRule type="expression" dxfId="161" priority="154">
      <formula>$AG158:$AG344="Further Follow-Up"</formula>
    </cfRule>
    <cfRule type="expression" dxfId="160" priority="155">
      <formula>$AG158:$AG344="EOB Requested"</formula>
    </cfRule>
    <cfRule type="expression" dxfId="159" priority="156">
      <formula>$AG158:$AG344="EOB Not Found"</formula>
    </cfRule>
    <cfRule type="expression" dxfId="158" priority="157">
      <formula>$AG158:$AG344="EOB Downloaded"</formula>
    </cfRule>
  </conditionalFormatting>
  <conditionalFormatting sqref="X158">
    <cfRule type="expression" dxfId="157" priority="148">
      <formula>$AG158:$AG344="Follow-Up Complete"</formula>
    </cfRule>
    <cfRule type="expression" dxfId="156" priority="149">
      <formula>$AG158:$AG344="Further Follow-Up"</formula>
    </cfRule>
    <cfRule type="expression" dxfId="155" priority="150">
      <formula>$AG158:$AG344="EOB Requested"</formula>
    </cfRule>
    <cfRule type="expression" dxfId="154" priority="151">
      <formula>$AG158:$AG344="EOB Not Found"</formula>
    </cfRule>
    <cfRule type="expression" dxfId="153" priority="152">
      <formula>$AG158:$AG344="EOB Downloaded"</formula>
    </cfRule>
  </conditionalFormatting>
  <conditionalFormatting sqref="AA158">
    <cfRule type="expression" dxfId="152" priority="143">
      <formula>$AG158:$AG344="Follow-Up Complete"</formula>
    </cfRule>
    <cfRule type="expression" dxfId="151" priority="144">
      <formula>$AG158:$AG344="Further Follow-Up"</formula>
    </cfRule>
    <cfRule type="expression" dxfId="150" priority="145">
      <formula>$AG158:$AG344="EOB Requested"</formula>
    </cfRule>
    <cfRule type="expression" dxfId="149" priority="146">
      <formula>$AG158:$AG344="EOB Not Found"</formula>
    </cfRule>
    <cfRule type="expression" dxfId="148" priority="147">
      <formula>$AG158:$AG344="EOB Downloaded"</formula>
    </cfRule>
  </conditionalFormatting>
  <conditionalFormatting sqref="P159">
    <cfRule type="expression" dxfId="147" priority="138">
      <formula>$AG159:$AG345="Follow-Up Complete"</formula>
    </cfRule>
    <cfRule type="expression" dxfId="146" priority="139">
      <formula>$AG159:$AG345="Further Follow-Up"</formula>
    </cfRule>
    <cfRule type="expression" dxfId="145" priority="140">
      <formula>$AG159:$AG345="EOB Requested"</formula>
    </cfRule>
    <cfRule type="expression" dxfId="144" priority="141">
      <formula>$AG159:$AG345="EOB Not Found"</formula>
    </cfRule>
    <cfRule type="expression" dxfId="143" priority="142">
      <formula>$AG159:$AG345="EOB Downloaded"</formula>
    </cfRule>
  </conditionalFormatting>
  <conditionalFormatting sqref="R159">
    <cfRule type="expression" dxfId="142" priority="133">
      <formula>$AG159:$AG345="Follow-Up Complete"</formula>
    </cfRule>
    <cfRule type="expression" dxfId="141" priority="134">
      <formula>$AG159:$AG345="Further Follow-Up"</formula>
    </cfRule>
    <cfRule type="expression" dxfId="140" priority="135">
      <formula>$AG159:$AG345="EOB Requested"</formula>
    </cfRule>
    <cfRule type="expression" dxfId="139" priority="136">
      <formula>$AG159:$AG345="EOB Not Found"</formula>
    </cfRule>
    <cfRule type="expression" dxfId="138" priority="137">
      <formula>$AG159:$AG345="EOB Downloaded"</formula>
    </cfRule>
  </conditionalFormatting>
  <conditionalFormatting sqref="T159">
    <cfRule type="expression" dxfId="137" priority="128">
      <formula>$AG159:$AG345="Follow-Up Complete"</formula>
    </cfRule>
    <cfRule type="expression" dxfId="136" priority="129">
      <formula>$AG159:$AG345="Further Follow-Up"</formula>
    </cfRule>
    <cfRule type="expression" dxfId="135" priority="130">
      <formula>$AG159:$AG345="EOB Requested"</formula>
    </cfRule>
    <cfRule type="expression" dxfId="134" priority="131">
      <formula>$AG159:$AG345="EOB Not Found"</formula>
    </cfRule>
    <cfRule type="expression" dxfId="133" priority="132">
      <formula>$AG159:$AG345="EOB Downloaded"</formula>
    </cfRule>
  </conditionalFormatting>
  <conditionalFormatting sqref="V159">
    <cfRule type="expression" dxfId="132" priority="123">
      <formula>$AG159:$AG345="Follow-Up Complete"</formula>
    </cfRule>
    <cfRule type="expression" dxfId="131" priority="124">
      <formula>$AG159:$AG345="Further Follow-Up"</formula>
    </cfRule>
    <cfRule type="expression" dxfId="130" priority="125">
      <formula>$AG159:$AG345="EOB Requested"</formula>
    </cfRule>
    <cfRule type="expression" dxfId="129" priority="126">
      <formula>$AG159:$AG345="EOB Not Found"</formula>
    </cfRule>
    <cfRule type="expression" dxfId="128" priority="127">
      <formula>$AG159:$AG345="EOB Downloaded"</formula>
    </cfRule>
  </conditionalFormatting>
  <conditionalFormatting sqref="X159">
    <cfRule type="expression" dxfId="127" priority="118">
      <formula>$AG159:$AG345="Follow-Up Complete"</formula>
    </cfRule>
    <cfRule type="expression" dxfId="126" priority="119">
      <formula>$AG159:$AG345="Further Follow-Up"</formula>
    </cfRule>
    <cfRule type="expression" dxfId="125" priority="120">
      <formula>$AG159:$AG345="EOB Requested"</formula>
    </cfRule>
    <cfRule type="expression" dxfId="124" priority="121">
      <formula>$AG159:$AG345="EOB Not Found"</formula>
    </cfRule>
    <cfRule type="expression" dxfId="123" priority="122">
      <formula>$AG159:$AG345="EOB Downloaded"</formula>
    </cfRule>
  </conditionalFormatting>
  <conditionalFormatting sqref="AA159">
    <cfRule type="expression" dxfId="122" priority="113">
      <formula>$AG159:$AG345="Follow-Up Complete"</formula>
    </cfRule>
    <cfRule type="expression" dxfId="121" priority="114">
      <formula>$AG159:$AG345="Further Follow-Up"</formula>
    </cfRule>
    <cfRule type="expression" dxfId="120" priority="115">
      <formula>$AG159:$AG345="EOB Requested"</formula>
    </cfRule>
    <cfRule type="expression" dxfId="119" priority="116">
      <formula>$AG159:$AG345="EOB Not Found"</formula>
    </cfRule>
    <cfRule type="expression" dxfId="118" priority="117">
      <formula>$AG159:$AG345="EOB Downloaded"</formula>
    </cfRule>
  </conditionalFormatting>
  <conditionalFormatting sqref="AA200:AA201">
    <cfRule type="expression" dxfId="117" priority="108">
      <formula>$AG200:$AG386="Follow-Up Complete"</formula>
    </cfRule>
    <cfRule type="expression" dxfId="116" priority="109">
      <formula>$AG200:$AG386="Further Follow-Up"</formula>
    </cfRule>
    <cfRule type="expression" dxfId="115" priority="110">
      <formula>$AG200:$AG386="EOB Requested"</formula>
    </cfRule>
    <cfRule type="expression" dxfId="114" priority="111">
      <formula>$AG200:$AG386="EOB Not Found"</formula>
    </cfRule>
    <cfRule type="expression" dxfId="113" priority="112">
      <formula>$AG200:$AG386="EOB Downloaded"</formula>
    </cfRule>
  </conditionalFormatting>
  <conditionalFormatting sqref="M791:M792">
    <cfRule type="expression" dxfId="112" priority="103">
      <formula>$AG791:$AG977="Follow-Up Complete"</formula>
    </cfRule>
    <cfRule type="expression" dxfId="111" priority="104">
      <formula>$AG791:$AG977="Further Follow-Up"</formula>
    </cfRule>
    <cfRule type="expression" dxfId="110" priority="105">
      <formula>$AG791:$AG977="EOB Requested"</formula>
    </cfRule>
    <cfRule type="expression" dxfId="109" priority="106">
      <formula>$AG791:$AG977="EOB Not Found"</formula>
    </cfRule>
    <cfRule type="expression" dxfId="108" priority="107">
      <formula>$AG791:$AG977="EOB Downloaded"</formula>
    </cfRule>
  </conditionalFormatting>
  <conditionalFormatting sqref="M966">
    <cfRule type="expression" dxfId="107" priority="95">
      <formula>$AG966:$AG1152="Follow-Up Complete"</formula>
    </cfRule>
    <cfRule type="expression" dxfId="106" priority="96">
      <formula>$AG966:$AG1152="Further Follow-Up"</formula>
    </cfRule>
    <cfRule type="expression" dxfId="105" priority="97">
      <formula>$AG966:$AG1152="EOB Requested"</formula>
    </cfRule>
    <cfRule type="expression" dxfId="104" priority="98">
      <formula>$AG966:$AG1152="EOB Not Found"</formula>
    </cfRule>
    <cfRule type="expression" dxfId="103" priority="99">
      <formula>$AG966:$AG1152="EOB Downloaded"</formula>
    </cfRule>
  </conditionalFormatting>
  <conditionalFormatting sqref="M853">
    <cfRule type="expression" dxfId="102" priority="85">
      <formula>$AG853:$AG1039="Follow-Up Complete"</formula>
    </cfRule>
    <cfRule type="expression" dxfId="101" priority="86">
      <formula>$AG853:$AG1039="Further Follow-Up"</formula>
    </cfRule>
    <cfRule type="expression" dxfId="100" priority="87">
      <formula>$AG853:$AG1039="EOB Requested"</formula>
    </cfRule>
    <cfRule type="expression" dxfId="99" priority="88">
      <formula>$AG853:$AG1039="EOB Not Found"</formula>
    </cfRule>
    <cfRule type="expression" dxfId="98" priority="89">
      <formula>$AG853:$AG1039="EOB Downloaded"</formula>
    </cfRule>
  </conditionalFormatting>
  <conditionalFormatting sqref="X196">
    <cfRule type="expression" dxfId="97" priority="69">
      <formula>$AG196:$AG382="Follow-Up Complete"</formula>
    </cfRule>
    <cfRule type="expression" dxfId="96" priority="70">
      <formula>$AG196:$AG382="Further Follow-Up"</formula>
    </cfRule>
    <cfRule type="expression" dxfId="95" priority="71">
      <formula>$AG196:$AG382="EOB Requested"</formula>
    </cfRule>
    <cfRule type="expression" dxfId="94" priority="72">
      <formula>$AG196:$AG382="EOB Not Found"</formula>
    </cfRule>
    <cfRule type="expression" dxfId="93" priority="73">
      <formula>$AG196:$AG382="EOB Downloaded"</formula>
    </cfRule>
  </conditionalFormatting>
  <conditionalFormatting sqref="T114">
    <cfRule type="expression" dxfId="92" priority="56">
      <formula>$AG114:$AG300="Follow-Up Complete"</formula>
    </cfRule>
    <cfRule type="expression" dxfId="91" priority="57">
      <formula>$AG114:$AG300="Further Follow-Up"</formula>
    </cfRule>
    <cfRule type="expression" dxfId="90" priority="58">
      <formula>$AG114:$AG300="EOB Requested"</formula>
    </cfRule>
    <cfRule type="expression" dxfId="89" priority="59">
      <formula>$AG114:$AG300="EOB Not Found"</formula>
    </cfRule>
    <cfRule type="expression" dxfId="88" priority="60">
      <formula>$AG114:$AG300="EOB Downloaded"</formula>
    </cfRule>
  </conditionalFormatting>
  <conditionalFormatting sqref="R114">
    <cfRule type="expression" dxfId="87" priority="51">
      <formula>$AG114:$AG300="Follow-Up Complete"</formula>
    </cfRule>
    <cfRule type="expression" dxfId="86" priority="52">
      <formula>$AG114:$AG300="Further Follow-Up"</formula>
    </cfRule>
    <cfRule type="expression" dxfId="85" priority="53">
      <formula>$AG114:$AG300="EOB Requested"</formula>
    </cfRule>
    <cfRule type="expression" dxfId="84" priority="54">
      <formula>$AG114:$AG300="EOB Not Found"</formula>
    </cfRule>
    <cfRule type="expression" dxfId="83" priority="55">
      <formula>$AG114:$AG300="EOB Downloaded"</formula>
    </cfRule>
  </conditionalFormatting>
  <conditionalFormatting sqref="T116">
    <cfRule type="expression" dxfId="82" priority="46">
      <formula>$AG116:$AG302="Follow-Up Complete"</formula>
    </cfRule>
    <cfRule type="expression" dxfId="81" priority="47">
      <formula>$AG116:$AG302="Further Follow-Up"</formula>
    </cfRule>
    <cfRule type="expression" dxfId="80" priority="48">
      <formula>$AG116:$AG302="EOB Requested"</formula>
    </cfRule>
    <cfRule type="expression" dxfId="79" priority="49">
      <formula>$AG116:$AG302="EOB Not Found"</formula>
    </cfRule>
    <cfRule type="expression" dxfId="78" priority="50">
      <formula>$AG116:$AG302="EOB Downloaded"</formula>
    </cfRule>
  </conditionalFormatting>
  <conditionalFormatting sqref="V117">
    <cfRule type="expression" dxfId="77" priority="41">
      <formula>$AG117:$AG303="Follow-Up Complete"</formula>
    </cfRule>
    <cfRule type="expression" dxfId="76" priority="42">
      <formula>$AG117:$AG303="Further Follow-Up"</formula>
    </cfRule>
    <cfRule type="expression" dxfId="75" priority="43">
      <formula>$AG117:$AG303="EOB Requested"</formula>
    </cfRule>
    <cfRule type="expression" dxfId="74" priority="44">
      <formula>$AG117:$AG303="EOB Not Found"</formula>
    </cfRule>
    <cfRule type="expression" dxfId="73" priority="45">
      <formula>$AG117:$AG303="EOB Downloaded"</formula>
    </cfRule>
  </conditionalFormatting>
  <conditionalFormatting sqref="P129">
    <cfRule type="expression" dxfId="72" priority="36">
      <formula>$AG129:$AG315="Follow-Up Complete"</formula>
    </cfRule>
    <cfRule type="expression" dxfId="71" priority="37">
      <formula>$AG129:$AG315="Further Follow-Up"</formula>
    </cfRule>
    <cfRule type="expression" dxfId="70" priority="38">
      <formula>$AG129:$AG315="EOB Requested"</formula>
    </cfRule>
    <cfRule type="expression" dxfId="69" priority="39">
      <formula>$AG129:$AG315="EOB Not Found"</formula>
    </cfRule>
    <cfRule type="expression" dxfId="68" priority="40">
      <formula>$AG129:$AG315="EOB Downloaded"</formula>
    </cfRule>
  </conditionalFormatting>
  <conditionalFormatting sqref="R129">
    <cfRule type="expression" dxfId="67" priority="31">
      <formula>$AG129:$AG315="Follow-Up Complete"</formula>
    </cfRule>
    <cfRule type="expression" dxfId="66" priority="32">
      <formula>$AG129:$AG315="Further Follow-Up"</formula>
    </cfRule>
    <cfRule type="expression" dxfId="65" priority="33">
      <formula>$AG129:$AG315="EOB Requested"</formula>
    </cfRule>
    <cfRule type="expression" dxfId="64" priority="34">
      <formula>$AG129:$AG315="EOB Not Found"</formula>
    </cfRule>
    <cfRule type="expression" dxfId="63" priority="35">
      <formula>$AG129:$AG315="EOB Downloaded"</formula>
    </cfRule>
  </conditionalFormatting>
  <conditionalFormatting sqref="P136:P140">
    <cfRule type="expression" dxfId="62" priority="26">
      <formula>$AG136:$AG322="Follow-Up Complete"</formula>
    </cfRule>
    <cfRule type="expression" dxfId="61" priority="27">
      <formula>$AG136:$AG322="Further Follow-Up"</formula>
    </cfRule>
    <cfRule type="expression" dxfId="60" priority="28">
      <formula>$AG136:$AG322="EOB Requested"</formula>
    </cfRule>
    <cfRule type="expression" dxfId="59" priority="29">
      <formula>$AG136:$AG322="EOB Not Found"</formula>
    </cfRule>
    <cfRule type="expression" dxfId="58" priority="30">
      <formula>$AG136:$AG322="EOB Downloaded"</formula>
    </cfRule>
  </conditionalFormatting>
  <conditionalFormatting sqref="R136:R140">
    <cfRule type="expression" dxfId="57" priority="21">
      <formula>$AG136:$AG322="Follow-Up Complete"</formula>
    </cfRule>
    <cfRule type="expression" dxfId="56" priority="22">
      <formula>$AG136:$AG322="Further Follow-Up"</formula>
    </cfRule>
    <cfRule type="expression" dxfId="55" priority="23">
      <formula>$AG136:$AG322="EOB Requested"</formula>
    </cfRule>
    <cfRule type="expression" dxfId="54" priority="24">
      <formula>$AG136:$AG322="EOB Not Found"</formula>
    </cfRule>
    <cfRule type="expression" dxfId="53" priority="25">
      <formula>$AG136:$AG322="EOB Downloaded"</formula>
    </cfRule>
  </conditionalFormatting>
  <conditionalFormatting sqref="AA199">
    <cfRule type="expression" dxfId="52" priority="16">
      <formula>$AG199:$AG385="Follow-Up Complete"</formula>
    </cfRule>
    <cfRule type="expression" dxfId="51" priority="17">
      <formula>$AG199:$AG385="Further Follow-Up"</formula>
    </cfRule>
    <cfRule type="expression" dxfId="50" priority="18">
      <formula>$AG199:$AG385="EOB Requested"</formula>
    </cfRule>
    <cfRule type="expression" dxfId="49" priority="19">
      <formula>$AG199:$AG385="EOB Not Found"</formula>
    </cfRule>
    <cfRule type="expression" dxfId="48" priority="20">
      <formula>$AG199:$AG385="EOB Downloaded"</formula>
    </cfRule>
  </conditionalFormatting>
  <conditionalFormatting sqref="R201">
    <cfRule type="expression" dxfId="47" priority="11">
      <formula>$AG201:$AG387="Follow-Up Complete"</formula>
    </cfRule>
    <cfRule type="expression" dxfId="46" priority="12">
      <formula>$AG201:$AG387="Further Follow-Up"</formula>
    </cfRule>
    <cfRule type="expression" dxfId="45" priority="13">
      <formula>$AG201:$AG387="EOB Requested"</formula>
    </cfRule>
    <cfRule type="expression" dxfId="44" priority="14">
      <formula>$AG201:$AG387="EOB Not Found"</formula>
    </cfRule>
    <cfRule type="expression" dxfId="43" priority="15">
      <formula>$AG201:$AG387="EOB Downloaded"</formula>
    </cfRule>
  </conditionalFormatting>
  <conditionalFormatting sqref="P795">
    <cfRule type="expression" dxfId="42" priority="6">
      <formula>$AG795:$AG981="Follow-Up Complete"</formula>
    </cfRule>
    <cfRule type="expression" dxfId="41" priority="7">
      <formula>$AG795:$AG981="Further Follow-Up"</formula>
    </cfRule>
    <cfRule type="expression" dxfId="40" priority="8">
      <formula>$AG795:$AG981="EOB Requested"</formula>
    </cfRule>
    <cfRule type="expression" dxfId="39" priority="9">
      <formula>$AG795:$AG981="EOB Not Found"</formula>
    </cfRule>
    <cfRule type="expression" dxfId="38" priority="10">
      <formula>$AG795:$AG981="EOB Downloaded"</formula>
    </cfRule>
  </conditionalFormatting>
  <conditionalFormatting sqref="R795">
    <cfRule type="expression" dxfId="37" priority="1">
      <formula>$AG795:$AG981="Follow-Up Complete"</formula>
    </cfRule>
    <cfRule type="expression" dxfId="36" priority="2">
      <formula>$AG795:$AG981="Further Follow-Up"</formula>
    </cfRule>
    <cfRule type="expression" dxfId="35" priority="3">
      <formula>$AG795:$AG981="EOB Requested"</formula>
    </cfRule>
    <cfRule type="expression" dxfId="34" priority="4">
      <formula>$AG795:$AG981="EOB Not Found"</formula>
    </cfRule>
    <cfRule type="expression" dxfId="33" priority="5">
      <formula>$AG795:$AG981="EOB Downloaded"</formula>
    </cfRule>
  </conditionalFormatting>
  <pageMargins left="0.7" right="0.7" top="0.75" bottom="0.75" header="0.3" footer="0.3"/>
  <pageSetup scale="13" orientation="landscape" r:id="rId1"/>
  <extLst>
    <ext xmlns:x14="http://schemas.microsoft.com/office/spreadsheetml/2009/9/main" uri="{78C0D931-6437-407d-A8EE-F0AAD7539E65}">
      <x14:conditionalFormattings>
        <x14:conditionalFormatting xmlns:xm="http://schemas.microsoft.com/office/excel/2006/main">
          <x14:cfRule type="expression" priority="6457" id="{2B2024F4-B792-4071-A496-3A1BF727ADCD}">
            <xm:f>'Level 2'!$E5:$E191="Further Follow-Up"</xm:f>
            <x14:dxf>
              <fill>
                <patternFill>
                  <bgColor rgb="FFF39D3F"/>
                </patternFill>
              </fill>
            </x14:dxf>
          </x14:cfRule>
          <xm:sqref>A5:AF5 A6:D296 F6:K296 E6:E1200 AE6:AF17 P21:AB28 M1201:M1217 N6:O6 Q6 S6 U6 W6 Y6:Z6 AB6 W15:W18 Y15:Z18 AE18 W19:Z19 Q15:Q20 S15:S20 U15:U20 W20 Y20:Z20 AB16:AB20 P40:AB40 Y29:Z30 S29:S31 U29:U31 AE19:AF45 S32:U32 Y31:AB31 Q29:Q39 S33:S39 U33:U39 W29:W39 Y32:Z39 Q41:Z41 Q42 S42 U42 W42 Y42:Z42 P48:AB48 Q43:Z43 U44:Z44 U45 W45 Y45:Z45 U46:Z46 AE46 Q44:Q47 S44:S47 U47 W47 Y47:Z47 P52:AB56 Q49:Q51 S49:S51 U49:U51 W49:W51 Y49:Z51 AB49:AB51 P59:AB59 Q57 S57 U57:Z57 Q58:S58 U58 W58 Y58:Z58 P70:AB70 S60:S61 U60:U61 W60:W61 Y60:Z61 S62:Z62 U63:Z63 U64:U65 W64:W65 Y64:Z65 U66:Z66 W67:Z67 U67:U68 W68 Y68:Z68 Q60:Q69 S63:S69 U69:Z69 AE47:AF71 S71:Z71 S72 U72 AE72 S73:U73 Q71:Q76 U74:U75 W72:W75 Y72:Z75 S74:S76 U76:Z76 AB71:AB76 Q233 S233 N234:AB296 W233 Y233:Z233 W232:Z232 Q232:S232 U230:U233 W230:W231 Y230:Z231 U229:Z229 U226:U228 W226:W228 Y226:Z228 U225:Z225 Q222:Q231 S222:S231 W222:W224 Y222:Z224 U221:U224 W221:Z221 T220:Z220 Q220:S221 W219:Z219 N217:O233 Q217:Q219 N216:Q216 W216:W218 Y216:Z218 Q214:Q215 S214:S219 U214:U219 W214:Z215 N213:O215 Q213:Z213 N212:Q212 U212:Z212 N208:O211 Q208:Q211 S208:S212 U208:U211 W208:Z211 N207:Z207 S206:Z206 W205:Z205 W204 Y204:Z204 W203:Z203 N202:O206 Q202:Q206 S202:S205 U202:U205 W202 Y202:Z202 AB202:AB233 U120:Z125 T126:Z126 S120:S129 U127:Z129 R130:Z130 U131:Z147 U148 W148 Y148:Z148 N15:O149 Q120:Q149 S131:S149 U149:Z149 N150:S150 U150 W150:Z150 U151:Z151 Q151:Q152 S151:S152 U152 W152 Y152:Z152 Q153:Z153 W154:W155 Y154:Z155 W156:Z157 N151:O159 Q154:Q159 S154:S159 U154:U159 W158:W159 Y158:Z159 L6:M1200 AE73:AF296 N7:AB14 AB29:AB39 AB41:AB47 AB56:AB58 AB60:AB69 AF791:AF792 AB792 AF853 AF951 AF303 AF963:AF966 AE788:AF788 AE950:AF950 P77:AB119 AB120:AB159 AC6:AD1200 N160:AB201</xm:sqref>
        </x14:conditionalFormatting>
        <x14:conditionalFormatting xmlns:xm="http://schemas.microsoft.com/office/excel/2006/main">
          <x14:cfRule type="expression" priority="6459" id="{7F847F47-AABB-4F22-8643-153100B16ED2}">
            <xm:f>'Level 2'!$E5:$E191="YES"</xm:f>
            <x14:dxf>
              <fill>
                <patternFill>
                  <bgColor rgb="FF92D050"/>
                </patternFill>
              </fill>
            </x14:dxf>
          </x14:cfRule>
          <xm:sqref>A5:AF5 A6:D296 F6:K296 E6:E1200 AE6:AF17 P21:AB28 M1201:M1217 N6:O6 Q6 S6 U6 W6 Y6:Z6 AB6 W15:W18 Y15:Z18 AE18 W19:Z19 Q15:Q20 S15:S20 U15:U20 W20 Y20:Z20 AB16:AB20 P40:AB40 Y29:Z30 S29:S31 U29:U31 AE19:AF45 S32:U32 Y31:AB31 Q29:Q39 S33:S39 U33:U39 W29:W39 Y32:Z39 Q41:Z41 Q42 S42 U42 W42 Y42:Z42 P48:AB48 Q43:Z43 U44:Z44 U45 W45 Y45:Z45 U46:Z46 AE46 Q44:Q47 S44:S47 U47 W47 Y47:Z47 P52:AB56 Q49:Q51 S49:S51 U49:U51 W49:W51 Y49:Z51 AB49:AB51 P59:AB59 Q57 S57 U57:Z57 Q58:S58 U58 W58 Y58:Z58 P70:AB70 S60:S61 U60:U61 W60:W61 Y60:Z61 S62:Z62 U63:Z63 U64:U65 W64:W65 Y64:Z65 U66:Z66 W67:Z67 U67:U68 W68 Y68:Z68 Q60:Q69 S63:S69 U69:Z69 AE47:AF71 S71:Z71 S72 U72 AE72 S73:U73 Q71:Q76 U74:U75 W72:W75 Y72:Z75 S74:S76 U76:Z76 AB71:AB76 Q233 S233 N234:AB296 W233 Y233:Z233 W232:Z232 Q232:S232 U230:U233 W230:W231 Y230:Z231 U229:Z229 U226:U228 W226:W228 Y226:Z228 U225:Z225 Q222:Q231 S222:S231 W222:W224 Y222:Z224 U221:U224 W221:Z221 T220:Z220 Q220:S221 W219:Z219 N217:O233 Q217:Q219 N216:Q216 W216:W218 Y216:Z218 Q214:Q215 S214:S219 U214:U219 W214:Z215 N213:O215 Q213:Z213 N212:Q212 U212:Z212 N208:O211 Q208:Q211 S208:S212 U208:U211 W208:Z211 N207:Z207 S206:Z206 W205:Z205 W204 Y204:Z204 W203:Z203 N202:O206 Q202:Q206 S202:S205 U202:U205 W202 Y202:Z202 AB202:AB233 U120:Z125 T126:Z126 S120:S129 U127:Z129 R130:Z130 U131:Z147 U148 W148 Y148:Z148 N15:O149 Q120:Q149 S131:S149 U149:Z149 N150:S150 U150 W150:Z150 U151:Z151 Q151:Q152 S151:S152 U152 W152 Y152:Z152 Q153:Z153 W154:W155 Y154:Z155 W156:Z157 N151:O159 Q154:Q159 S154:S159 U154:U159 W158:W159 Y158:Z159 L6:M1200 AE73:AF296 N7:AB14 AB29:AB39 AB41:AB47 AB56:AB58 AB60:AB69 AF791:AF792 AB792 AF853 AF951 AF303 AF963:AF966 AE788:AF788 AE950:AF950 P77:AB119 AB120:AB159 AC6:AD1200 N160:AB201</xm:sqref>
        </x14:conditionalFormatting>
        <x14:conditionalFormatting xmlns:xm="http://schemas.microsoft.com/office/excel/2006/main">
          <x14:cfRule type="expression" priority="6458" id="{C326C52F-5F08-45DB-8EEF-EBF7ABAEBD27}">
            <xm:f>'Level 2'!$E$6:$E$191="YES"</xm:f>
            <x14:dxf>
              <fill>
                <patternFill>
                  <bgColor rgb="FF92D050"/>
                </patternFill>
              </fill>
            </x14:dxf>
          </x14:cfRule>
          <xm:sqref>A6 A193 N6:O6 A207 A213 A221 A234 A246 A260 A286 A313 A328 A344 A385 A409 A427 A457 AE6:AF6 Q6 S6 U6 W6 Y6:Z6 AB6 M219:M1200</xm:sqref>
        </x14:conditionalFormatting>
        <x14:conditionalFormatting xmlns:xm="http://schemas.microsoft.com/office/excel/2006/main">
          <x14:cfRule type="expression" priority="6469" id="{2B2024F4-B792-4071-A496-3A1BF727ADCD}">
            <xm:f>'Level 2'!$E301:$E483="Further Follow-Up"</xm:f>
            <x14:dxf>
              <fill>
                <patternFill>
                  <bgColor rgb="FFF39D3F"/>
                </patternFill>
              </fill>
            </x14:dxf>
          </x14:cfRule>
          <xm:sqref>A301:D1200 F1200:L1200 F301:K1199 N1053:AB1200 N1052:O1052 Q1052 N1051:Q1051 AE1052:AF1200 AE1051 S1051:AB1052 W1047:W1050 Y1047:Z1050 U1045:U1050 W1045:Z1046 U1044:Z1044 U1043 W1043:Z1043 U1042:Z1042 AE1042:AF1050 AE1041 S1040:S1050 U1040:U1041 S1039:U1039 N1036:O1050 Q1036:Q1050 S1036:S1038 U1036:U1038 W1036:W1041 Y1036:Z1041 AB1036:AB1050 N1035:AB1035 S1031:S1034 U1031:U1034 W1031:W1034 Y1031:Z1034 S1030:Z1030 N1029:O1034 Q1029:Q1034 S1029 U1029 W1029 Y1029:Z1029 S1028:Z1028 S1027 U1027 S1026:U1026 U1025 W1025:W1027 Y1025:Z1027 N1024:Q1028 S1024:S1025 U1024:Z1024 Q1023:S1023 W1023:Z1023 N1019:O1023 Q1019:Q1022 N1018:Q1018 Q1016:Q1017 S1016:S1022 W1016:W1022 Y1016:Z1022 Q1014:S1015 W1013:Z1015 Q1012:Q1013 S1012:S1013 W1012 Y1012:Z1012 Q1011:S1011 U1011:U1023 W1011:Z1011 S1010:Z1010 AE1010:AF1040 Q1008:Q1010 S1008:S1009 W1008:W1009 Y1008:Z1009 Q1007:S1007 W1007:Z1007 AE1003:AE1009 Q1002:Q1006 S1002:S1006 U1002:U1009 W1002:W1006 Y1002:Z1006 Q1001:U1001 W1001:Z1001 N1000:O1017 Q1000 N999:Q999 S999:S1000 U999:U1000 W999:W1000 Y999:Z1000 Q997:Z998 Q996 S996 Q995:S995 U995:U996 W995:W996 Y995:Z996 Q994:Z994 N993:O998 Q993 S993 U993:Z993 AB993:AB1034 N992:AB992 N991:Q991 S991:Z991 AB991 N977:AB990 W974:Z976 S973:S976 U973:U976 N969:O976 Q969:Q976 W968:W973 Y968:Z973 N967:Q968 S967:U972 W967:Z967 AB967:AB976 Q954:S954 U954:Z954 N952:O954 Q952:Q953 S952:U953 W953:Z953 W952 Y952:Z952 AB952:AB954 N877:O878 Q877:S878 U877:U878 W877:W878 Y877:Z878 N873:Q876 S873:Z876 N871:O872 Q871:S872 U871:U872 W871:W872 Y871:Z872 AB871:AB878 N870:AB870 N867:Q869 S867:Z869 N866:O866 Q866 S866 U866:Z866 N864:Q865 S864:Z865 N863:O863 Q863 S863:U863 W863:Z863 N857:Q862 S857:Z862 N856:O856 Q856:S856 U856 W856 Y856:Z856 N855:Q855 N854:O854 Q854 S854:Z855 AB854:AB869 N852:Q852 S852 U852:Z852 N850:Z851 N849:O849 Q849:Z849 AB849:AB852 N843:AB848 S841:S842 U841:U842 AB841:AB842 S840:U840 S838:S839 U838:U839 S837:U837 W837:W842 Y837:Z842 AE837 S836 U836 W836:Z836 S835:U835 W835 Y835:Z835 AE835:AF836 N833:O842 Q833:Q842 S833:Z834 N831:Z832 AE831:AE834 N830:O830 Q830 S830:Z830 AB830:AB839 N828:AB829 Q827 S827 U827:Z827 Q826:Z826 Q825 S825 U825:Z825 N821:O827 Q821:Z824 N820:Z820 Q816:Z819 N815:O819 Q815:S815 U815 W815 Y815:Z815 N814:Z814 W813 Y813:Z813 S812:S813 U812:U813 Q811:Q813 S811:U811 W811:Z812 U810 W810 Y810:Z810 AE811:AF830 AE810 Q809:S810 U809:Z809 AE805:AF809 N798:O813 Q798:Q808 S798:U808 W798:Z808 AE798:AE804 N797:AB797 S796:U796 AE797:AF797 AE796 Q795:Q796 S795 W795:Z796 N793:O796 Q793:S794 U793:U795 W793:W794 Y793:Z794 AB793:AB796 AE301:AF795 N853:AB853 N879:AB951 AE838:AF1002 N301:AB792 AB798:AB827 N955:AB966</xm:sqref>
        </x14:conditionalFormatting>
        <x14:conditionalFormatting xmlns:xm="http://schemas.microsoft.com/office/excel/2006/main">
          <x14:cfRule type="expression" priority="6471" id="{2B2024F4-B792-4071-A496-3A1BF727ADCD}">
            <xm:f>'Level 2'!$E297:$E482="Further Follow-Up"</xm:f>
            <x14:dxf>
              <fill>
                <patternFill>
                  <bgColor rgb="FFF39D3F"/>
                </patternFill>
              </fill>
            </x14:dxf>
          </x14:cfRule>
          <xm:sqref>AE297:AF300 N297:AB300 A297:D300 F297:K300</xm:sqref>
        </x14:conditionalFormatting>
        <x14:conditionalFormatting xmlns:xm="http://schemas.microsoft.com/office/excel/2006/main">
          <x14:cfRule type="expression" priority="6477" id="{7F847F47-AABB-4F22-8643-153100B16ED2}">
            <xm:f>'Level 2'!$E301:$E483="YES"</xm:f>
            <x14:dxf>
              <fill>
                <patternFill>
                  <bgColor rgb="FF92D050"/>
                </patternFill>
              </fill>
            </x14:dxf>
          </x14:cfRule>
          <xm:sqref>A301:D1200 F1200:L1200 F301:K1199 N1053:AB1200 N1052:O1052 Q1052 N1051:Q1051 AE1052:AF1200 AE1051 S1051:AB1052 W1047:W1050 Y1047:Z1050 U1045:U1050 W1045:Z1046 U1044:Z1044 U1043 W1043:Z1043 U1042:Z1042 AE1042:AF1050 AE1041 S1040:S1050 U1040:U1041 S1039:U1039 N1036:O1050 Q1036:Q1050 S1036:S1038 U1036:U1038 W1036:W1041 Y1036:Z1041 AB1036:AB1050 N1035:AB1035 S1031:S1034 U1031:U1034 W1031:W1034 Y1031:Z1034 S1030:Z1030 N1029:O1034 Q1029:Q1034 S1029 U1029 W1029 Y1029:Z1029 S1028:Z1028 S1027 U1027 S1026:U1026 U1025 W1025:W1027 Y1025:Z1027 N1024:Q1028 S1024:S1025 U1024:Z1024 Q1023:S1023 W1023:Z1023 N1019:O1023 Q1019:Q1022 N1018:Q1018 Q1016:Q1017 S1016:S1022 W1016:W1022 Y1016:Z1022 Q1014:S1015 W1013:Z1015 Q1012:Q1013 S1012:S1013 W1012 Y1012:Z1012 Q1011:S1011 U1011:U1023 W1011:Z1011 S1010:Z1010 AE1010:AF1040 Q1008:Q1010 S1008:S1009 W1008:W1009 Y1008:Z1009 Q1007:S1007 W1007:Z1007 AE1003:AE1009 Q1002:Q1006 S1002:S1006 U1002:U1009 W1002:W1006 Y1002:Z1006 Q1001:U1001 W1001:Z1001 N1000:O1017 Q1000 N999:Q999 S999:S1000 U999:U1000 W999:W1000 Y999:Z1000 Q997:Z998 Q996 S996 Q995:S995 U995:U996 W995:W996 Y995:Z996 Q994:Z994 N993:O998 Q993 S993 U993:Z993 AB993:AB1034 N992:AB992 N991:Q991 S991:Z991 AB991 N977:AB990 W974:Z976 S973:S976 U973:U976 N969:O976 Q969:Q976 W968:W973 Y968:Z973 N967:Q968 S967:U972 W967:Z967 AB967:AB976 Q954:S954 U954:Z954 N952:O954 Q952:Q953 S952:U953 W953:Z953 W952 Y952:Z952 AB952:AB954 N877:O878 Q877:S878 U877:U878 W877:W878 Y877:Z878 N873:Q876 S873:Z876 N871:O872 Q871:S872 U871:U872 W871:W872 Y871:Z872 AB871:AB878 N870:AB870 N867:Q869 S867:Z869 N866:O866 Q866 S866 U866:Z866 N864:Q865 S864:Z865 N863:O863 Q863 S863:U863 W863:Z863 N857:Q862 S857:Z862 N856:O856 Q856:S856 U856 W856 Y856:Z856 N855:Q855 N854:O854 Q854 S854:Z855 AB854:AB869 N852:Q852 S852 U852:Z852 N850:Z851 N849:O849 Q849:Z849 AB849:AB852 N843:AB848 S841:S842 U841:U842 AB841:AB842 S840:U840 S838:S839 U838:U839 S837:U837 W837:W842 Y837:Z842 AE837 S836 U836 W836:Z836 S835:U835 W835 Y835:Z835 AE835:AF836 N833:O842 Q833:Q842 S833:Z834 N831:Z832 AE831:AE834 N830:O830 Q830 S830:Z830 AB830:AB839 N828:AB829 Q827 S827 U827:Z827 Q826:Z826 Q825 S825 U825:Z825 N821:O827 Q821:Z824 N820:Z820 Q816:Z819 N815:O819 Q815:S815 U815 W815 Y815:Z815 N814:Z814 W813 Y813:Z813 S812:S813 U812:U813 Q811:Q813 S811:U811 W811:Z812 U810 W810 Y810:Z810 AE811:AF830 AE810 Q809:S810 U809:Z809 AE805:AF809 N798:O813 Q798:Q808 S798:U808 W798:Z808 AE798:AE804 N797:AB797 S796:U796 AE797:AF797 AE796 Q795:Q796 S795 W795:Z796 N793:O796 Q793:S794 U793:U795 W793:W794 Y793:Z794 AB793:AB796 AE301:AF795 N853:AB853 N879:AB951 AE838:AF1002 N301:AB792 AB798:AB827 N955:AB966</xm:sqref>
        </x14:conditionalFormatting>
        <x14:conditionalFormatting xmlns:xm="http://schemas.microsoft.com/office/excel/2006/main">
          <x14:cfRule type="expression" priority="6479" id="{7F847F47-AABB-4F22-8643-153100B16ED2}">
            <xm:f>'Level 2'!$E297:$E482="YES"</xm:f>
            <x14:dxf>
              <fill>
                <patternFill>
                  <bgColor rgb="FF92D050"/>
                </patternFill>
              </fill>
            </x14:dxf>
          </x14:cfRule>
          <xm:sqref>AE297:AF300 N297:AB300 A297:D300 F297:K300</xm:sqref>
        </x14:conditionalFormatting>
        <x14:conditionalFormatting xmlns:xm="http://schemas.microsoft.com/office/excel/2006/main">
          <x14:cfRule type="expression" priority="6443" id="{E6F42237-6880-45BC-BA5C-A8335CC037DD}">
            <xm:f>'Level 2'!$E$6:$E$191="YES"</xm:f>
            <x14:dxf>
              <fill>
                <patternFill>
                  <bgColor rgb="FF92D050"/>
                </patternFill>
              </fill>
            </x14:dxf>
          </x14:cfRule>
          <xm:sqref>M139:M218</xm:sqref>
        </x14:conditionalFormatting>
        <x14:conditionalFormatting xmlns:xm="http://schemas.microsoft.com/office/excel/2006/main">
          <x14:cfRule type="expression" priority="5940" id="{87B2FF20-26B0-44AE-A63A-CC7F4843049E}">
            <xm:f>'Level 2'!$E$6:$E$191="YES"</xm:f>
            <x14:dxf>
              <fill>
                <patternFill>
                  <bgColor rgb="FF92D050"/>
                </patternFill>
              </fill>
            </x14:dxf>
          </x14:cfRule>
          <xm:sqref>AB12</xm:sqref>
        </x14:conditionalFormatting>
        <x14:conditionalFormatting xmlns:xm="http://schemas.microsoft.com/office/excel/2006/main">
          <x14:cfRule type="expression" priority="102" id="{BB5D97E8-7438-4239-AF2E-1D1A4B6C3AAB}">
            <xm:f>'Level 2'!$E$6:$E$191="YES"</xm:f>
            <x14:dxf>
              <fill>
                <patternFill>
                  <bgColor rgb="FF92D050"/>
                </patternFill>
              </fill>
            </x14:dxf>
          </x14:cfRule>
          <xm:sqref>M791:M792</xm:sqref>
        </x14:conditionalFormatting>
        <x14:conditionalFormatting xmlns:xm="http://schemas.microsoft.com/office/excel/2006/main">
          <x14:cfRule type="expression" priority="94" id="{8BDD3FAC-3164-4684-8722-F713CC5F2F29}">
            <xm:f>'Level 2'!$E$6:$E$191="YES"</xm:f>
            <x14:dxf>
              <fill>
                <patternFill>
                  <bgColor rgb="FF92D050"/>
                </patternFill>
              </fill>
            </x14:dxf>
          </x14:cfRule>
          <xm:sqref>M966</xm:sqref>
        </x14:conditionalFormatting>
        <x14:conditionalFormatting xmlns:xm="http://schemas.microsoft.com/office/excel/2006/main">
          <x14:cfRule type="expression" priority="84" id="{C8355464-19C6-42C3-97D0-D9943A7DCE18}">
            <xm:f>'Level 2'!$E$6:$E$191="YES"</xm:f>
            <x14:dxf>
              <fill>
                <patternFill>
                  <bgColor rgb="FF92D050"/>
                </patternFill>
              </fill>
            </x14:dxf>
          </x14:cfRule>
          <xm:sqref>M853</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0000000}">
          <x14:formula1>
            <xm:f>'QPS Codes'!$A$2:$A$26</xm:f>
          </x14:formula1>
          <xm:sqref>M5:M194</xm:sqref>
        </x14:dataValidation>
        <x14:dataValidation type="list" allowBlank="1" showInputMessage="1" showErrorMessage="1" xr:uid="{00000000-0002-0000-0100-000001000000}">
          <x14:formula1>
            <xm:f>'QPS Codes'!$K$2:$K$8</xm:f>
          </x14:formula1>
          <xm:sqref>AG5:AG1200</xm:sqref>
        </x14:dataValidation>
        <x14:dataValidation type="list" allowBlank="1" showInputMessage="1" showErrorMessage="1" xr:uid="{00000000-0002-0000-0100-000002000000}">
          <x14:formula1>
            <xm:f>'QPS Codes'!$A$2:$A$30</xm:f>
          </x14:formula1>
          <xm:sqref>M195:M1200</xm:sqref>
        </x14:dataValidation>
        <x14:dataValidation type="list" allowBlank="1" showInputMessage="1" showErrorMessage="1" xr:uid="{00000000-0002-0000-0100-000003000000}">
          <x14:formula1>
            <xm:f>'QPS Codes'!$O$2:$O$6</xm:f>
          </x14:formula1>
          <xm:sqref>AC5:AC1200</xm:sqref>
        </x14:dataValidation>
        <x14:dataValidation type="list" allowBlank="1" showInputMessage="1" showErrorMessage="1" xr:uid="{00000000-0002-0000-0100-000004000000}">
          <x14:formula1>
            <xm:f>'QPS Codes'!$M$2:$M$4</xm:f>
          </x14:formula1>
          <xm:sqref>AD5:AD1200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A1:AJ1200"/>
  <sheetViews>
    <sheetView topLeftCell="A17" zoomScale="64" zoomScaleNormal="64" workbookViewId="0">
      <selection activeCell="A28" sqref="A28"/>
    </sheetView>
  </sheetViews>
  <sheetFormatPr defaultColWidth="0" defaultRowHeight="15" x14ac:dyDescent="0.25"/>
  <cols>
    <col min="1" max="1" width="72.28515625" style="23" customWidth="1"/>
    <col min="2" max="2" width="107.42578125" style="23" customWidth="1"/>
    <col min="3" max="3" width="35.28515625" style="19" bestFit="1" customWidth="1"/>
    <col min="4" max="4" width="87.140625" style="23" bestFit="1" customWidth="1"/>
    <col min="5" max="5" width="17.42578125" style="30" bestFit="1" customWidth="1"/>
    <col min="6" max="6" width="24.5703125" style="30" customWidth="1"/>
    <col min="7" max="7" width="72.5703125" customWidth="1"/>
    <col min="8" max="8" width="14.5703125" style="4" bestFit="1" customWidth="1"/>
    <col min="9" max="9" width="17.5703125" bestFit="1" customWidth="1"/>
    <col min="10" max="10" width="9.140625" hidden="1" customWidth="1"/>
    <col min="11" max="36" width="0" hidden="1" customWidth="1"/>
    <col min="37" max="16384" width="9.140625" hidden="1"/>
  </cols>
  <sheetData>
    <row r="1" spans="1:8" ht="22.9" customHeight="1" x14ac:dyDescent="0.35">
      <c r="C1" s="19" t="s">
        <v>150</v>
      </c>
      <c r="D1" s="100" t="s">
        <v>201</v>
      </c>
      <c r="E1" s="94">
        <f>'Summary '!C27</f>
        <v>1065</v>
      </c>
      <c r="F1" s="108">
        <f>COUNTIF(E5:E1200,"Task Created")</f>
        <v>16</v>
      </c>
      <c r="G1" s="106" t="s">
        <v>204</v>
      </c>
      <c r="H1"/>
    </row>
    <row r="2" spans="1:8" ht="27.6" customHeight="1" x14ac:dyDescent="0.5">
      <c r="A2" s="72" t="s">
        <v>148</v>
      </c>
      <c r="D2" s="101" t="s">
        <v>200</v>
      </c>
      <c r="E2" s="93">
        <f>COUNTIF(E5:E1200,"INSB NV Team Task ")</f>
        <v>216</v>
      </c>
      <c r="F2" s="107">
        <f>COUNTIF(E5:E1200,"Further Follow-Up")</f>
        <v>0</v>
      </c>
      <c r="G2" s="105" t="s">
        <v>206</v>
      </c>
      <c r="H2"/>
    </row>
    <row r="3" spans="1:8" ht="22.5" customHeight="1" x14ac:dyDescent="0.45">
      <c r="D3" s="102" t="s">
        <v>205</v>
      </c>
      <c r="E3" s="109">
        <f>COUNTIF(E5:E1200,"Claim Resolved ")+COUNTIF(E5:E1200,"Task Created")</f>
        <v>32</v>
      </c>
      <c r="F3" s="104" t="s">
        <v>150</v>
      </c>
      <c r="G3" s="17"/>
      <c r="H3"/>
    </row>
    <row r="4" spans="1:8" ht="18.75" x14ac:dyDescent="0.3">
      <c r="A4" s="91" t="s">
        <v>92</v>
      </c>
      <c r="B4" s="91" t="s">
        <v>108</v>
      </c>
      <c r="C4" s="20" t="s">
        <v>25</v>
      </c>
      <c r="D4" s="92" t="s">
        <v>106</v>
      </c>
      <c r="E4" s="54" t="s">
        <v>0</v>
      </c>
      <c r="F4" s="54" t="s">
        <v>114</v>
      </c>
      <c r="G4" s="103" t="s">
        <v>202</v>
      </c>
      <c r="H4"/>
    </row>
    <row r="5" spans="1:8" ht="21" x14ac:dyDescent="0.25">
      <c r="A5" s="43" t="str">
        <f>CONCATENATE("Pt Id:",'Level 1'!E5," ","Pt Name: ",'Level 1'!F5," ","DOS: ", TEXT('Level 1'!H5,"mm-dd-yyyy"),"  "," Amnt: ","$",'Level 1'!J5,"  ", 'Level 1'!N5)</f>
        <v>Pt Id:9200 Pt Name: Passehl , Kayla DOS: 03-15-2022   Amnt: $292.4  Note</v>
      </c>
      <c r="B5" s="43" t="str">
        <f>CONCATENATE("Detail: ",'Level 1'!N5,"  ",'Level 1'!O5,TEXT('Level 1'!P5,"  mm-dd-yyyy"),";"," ",'Level 1'!Q5,'Level 1'!R5,"  ",'Level 1'!T5," ","Payment "," ",'Level 1'!U5,"  ",'Level 1'!V5,"  ",'Level 1'!W5,"  ",'Level 1'!X5,"  ",'Level 1'!Z5, "  ",'Level 1'!AA5, " ","Insurance: ",'Level 1'!A5)</f>
        <v>Detail: Note  Q1  01-00-1900; Q2   Payment  Q4    Q5    Additional Notes:   Insurance: Aetna</v>
      </c>
      <c r="C5" s="60" t="str">
        <f>'Level 1'!Y5</f>
        <v>Action</v>
      </c>
      <c r="D5" s="44" t="str">
        <f>VLOOKUP(C5,Table2[#All],3,FALSE)</f>
        <v>What we need from you/Reason</v>
      </c>
      <c r="E5" s="75" t="s">
        <v>199</v>
      </c>
      <c r="F5" s="95"/>
      <c r="G5" s="97"/>
      <c r="H5"/>
    </row>
    <row r="6" spans="1:8" ht="63" x14ac:dyDescent="0.25">
      <c r="A6" s="43" t="str">
        <f>CONCATENATE("Pt Id:",'Level 1'!E6," ","Pt Name: ",'Level 1'!F6," ","DOS: ", TEXT('Level 1'!H6,"mm-dd-yyyy"),"  "," Amnt: ","$",'Level 1'!J6,"  ", 'Level 1'!N6)</f>
        <v>Pt Id:7412 Pt Name: Brown, Isabella  DOS: 10-01-2021   Amnt: $1036.8  Claim Paid by Check;</v>
      </c>
      <c r="B6" s="43" t="str">
        <f>CONCATENATE("Detail: ",'Level 1'!N6,"  ",'Level 1'!O6,TEXT('Level 1'!P6,"  mm-dd-yyyy"),";"," ",'Level 1'!Q6,'Level 1'!R6,"  ",'Level 1'!T6," ","Payment "," ",'Level 1'!U6,"  ",'Level 1'!V6,"  ",'Level 1'!W6,"  ",'Level 1'!X6,"  ",'Level 1'!Z6, "  ",'Level 1'!AA6, " ","Insurance: ",'Level 1'!A6)</f>
        <v>Detail: Claim Paid by Check;  Issue Date:  10-15-2021; CHK#237237308  Single Payment  Call Ref#:  2070  Cust Rep:  Poni  Additional Notes:  Rep states that clm #043444672190, paid amt $702.40, Its is a V.C.C payment and the draft number #237237308, patient responsibility is 303.60. cashed dt 10/26/2021. Insurance: Ameritas</v>
      </c>
      <c r="C6" s="60" t="str">
        <f>'Level 1'!Y6</f>
        <v xml:space="preserve">Task Cashed Chk Queue </v>
      </c>
      <c r="D6" s="44" t="str">
        <f>VLOOKUP(C6,Table2[#All],3,FALSE)</f>
        <v>What We Need From You: Please confirm Check was received. Reason: To close claim.</v>
      </c>
      <c r="E6" s="75" t="s">
        <v>113</v>
      </c>
      <c r="F6" s="95" t="s">
        <v>3776</v>
      </c>
      <c r="G6" s="97"/>
      <c r="H6"/>
    </row>
    <row r="7" spans="1:8" ht="21" x14ac:dyDescent="0.25">
      <c r="A7" s="43" t="str">
        <f>CONCATENATE("Pt Id:",'Level 1'!E7," ","Pt Name: ",'Level 1'!F7," ","DOS: ", TEXT('Level 1'!H7,"mm-dd-yyyy"),"  "," Amnt: ","$",'Level 1'!J7,"  ", 'Level 1'!N7)</f>
        <v>Pt Id:9330 Pt Name: Thom, Keri DOS: 03-22-2022   Amnt: $294.8  Note</v>
      </c>
      <c r="B7" s="43" t="str">
        <f>CONCATENATE("Detail: ",'Level 1'!N7,"  ",'Level 1'!O7,TEXT('Level 1'!P7,"  mm-dd-yyyy"),";"," ",'Level 1'!Q7,'Level 1'!R7,"  ",'Level 1'!T7," ","Payment "," ",'Level 1'!U7,"  ",'Level 1'!V7,"  ",'Level 1'!W7,"  ",'Level 1'!X7,"  ",'Level 1'!Z7, "  ",'Level 1'!AA7, " ","Insurance: ",'Level 1'!A7)</f>
        <v>Detail: Note  Q1  01-00-1900; Q2   Payment  Q4    Q5    Additional Notes:   Insurance: Anthem</v>
      </c>
      <c r="C7" s="60" t="str">
        <f>'Level 1'!Y7</f>
        <v>Action</v>
      </c>
      <c r="D7" s="44" t="str">
        <f>VLOOKUP(C7,Table2[#All],3,FALSE)</f>
        <v>What we need from you/Reason</v>
      </c>
      <c r="E7" s="75" t="s">
        <v>199</v>
      </c>
      <c r="F7" s="114"/>
      <c r="G7" s="97"/>
      <c r="H7"/>
    </row>
    <row r="8" spans="1:8" ht="19.5" customHeight="1" x14ac:dyDescent="0.25">
      <c r="A8" s="43" t="str">
        <f>CONCATENATE("Pt Id:",'Level 1'!E8," ","Pt Name: ",'Level 1'!F8," ","DOS: ", TEXT('Level 1'!H8,"mm-dd-yyyy"),"  "," Amnt: ","$",'Level 1'!J8,"  ", 'Level 1'!N8)</f>
        <v>Pt Id:4527 Pt Name: Wricks, Derrishia DOS: 12-15-2021   Amnt: $266  Claim not on file. Patient is active ;</v>
      </c>
      <c r="B8" s="43" t="str">
        <f>CONCATENATE("Detail: ",'Level 1'!N8,"  ",'Level 1'!O8,TEXT('Level 1'!P8,"  mm-dd-yyyy"),";"," ",'Level 1'!Q8,'Level 1'!R8,"  ",'Level 1'!T8," ","Payment "," ",'Level 1'!U8,"  ",'Level 1'!V8,"  ",'Level 1'!W8,"  ",'Level 1'!X8,"  ",'Level 1'!Z8, "  ",'Level 1'!AA8, " ","Insurance: ",'Level 1'!A8)</f>
        <v>Detail: Claim not on file. Patient is active ;  Payor ID &amp; Address:CB950; Fax # (If Fax Yes):  12Months from Dos Payment  Call Ref#:  LEANDRO  Cust Rep:  8719609  Additional Notes:  CNOF - Active  Insurance: Anthem</v>
      </c>
      <c r="C8" s="60" t="str">
        <f>'Level 1'!Y8</f>
        <v>Task Sub Pending Claims Queue</v>
      </c>
      <c r="D8" s="44" t="str">
        <f>VLOOKUP(C8,Table2[#All],3,FALSE)</f>
        <v>N/A</v>
      </c>
      <c r="E8" s="75" t="s">
        <v>193</v>
      </c>
      <c r="F8" s="95" t="s">
        <v>3698</v>
      </c>
      <c r="G8" s="97"/>
      <c r="H8"/>
    </row>
    <row r="9" spans="1:8" ht="42" x14ac:dyDescent="0.25">
      <c r="A9" s="43" t="str">
        <f>CONCATENATE("Pt Id:",'Level 1'!E9," ","Pt Name: ",'Level 1'!F9," ","DOS: ", TEXT('Level 1'!H9,"mm-dd-yyyy"),"  "," Amnt: ","$",'Level 1'!J9,"  ", 'Level 1'!N9)</f>
        <v>Pt Id:8543 Pt Name: Allen, Janiyah DOS: 12-15-2021   Amnt: $307.2  Claim not on file. Patient is active ;</v>
      </c>
      <c r="B9" s="43" t="str">
        <f>CONCATENATE("Detail: ",'Level 1'!N9,"  ",'Level 1'!O9,TEXT('Level 1'!P9,"  mm-dd-yyyy"),";"," ",'Level 1'!Q9,'Level 1'!R9,"  ",'Level 1'!T9," ","Payment "," ",'Level 1'!U9,"  ",'Level 1'!V9,"  ",'Level 1'!W9,"  ",'Level 1'!X9,"  ",'Level 1'!Z9, "  ",'Level 1'!AA9, " ","Insurance: ",'Level 1'!A9)</f>
        <v>Detail: Claim not on file. Patient is active ;  Payor ID &amp; Address:CB950; Fax # (If Fax Yes):  12 Months from Dos Payment  Call Ref#:  87214304  Cust Rep:  CELLE  Additional Notes:  CNOF - Active. Insurance: Anthem</v>
      </c>
      <c r="C9" s="60" t="str">
        <f>'Level 1'!Y9</f>
        <v>Task Sub Pending Claims Queue</v>
      </c>
      <c r="D9" s="44" t="str">
        <f>VLOOKUP(C9,Table2[#All],3,FALSE)</f>
        <v>N/A</v>
      </c>
      <c r="E9" s="75" t="s">
        <v>193</v>
      </c>
      <c r="F9" s="95" t="s">
        <v>3698</v>
      </c>
      <c r="G9" s="97"/>
    </row>
    <row r="10" spans="1:8" s="2" customFormat="1" ht="21" customHeight="1" x14ac:dyDescent="0.25">
      <c r="A10" s="43" t="str">
        <f>CONCATENATE("Pt Id:",'Level 1'!E10," ","Pt Name: ",'Level 1'!F10," ","DOS: ", TEXT('Level 1'!H10,"mm-dd-yyyy"),"  "," Amnt: ","$",'Level 1'!J10,"  ", 'Level 1'!N10)</f>
        <v>Pt Id:9345 Pt Name: Sullivan, Jessica  DOS: 03-24-2022   Amnt: $302.4  Note</v>
      </c>
      <c r="B10" s="43" t="str">
        <f>CONCATENATE("Detail: ",'Level 1'!N10,"  ",'Level 1'!O10,TEXT('Level 1'!P10,"  mm-dd-yyyy"),";"," ",'Level 1'!Q10,'Level 1'!R10,"  ",'Level 1'!T10," ","Payment "," ",'Level 1'!U10,"  ",'Level 1'!V10,"  ",'Level 1'!W10,"  ",'Level 1'!X10,"  ",'Level 1'!Z10, "  ",'Level 1'!AA10, " ","Insurance: ",'Level 1'!A10)</f>
        <v xml:space="preserve">Detail: Note  Q1  01-00-1900; Q2   Payment  Q4    Q5    Additional Notes:   Insurance: Cigna </v>
      </c>
      <c r="C10" s="60" t="str">
        <f>'Level 1'!Y10</f>
        <v>Action</v>
      </c>
      <c r="D10" s="44" t="str">
        <f>VLOOKUP(C10,Table2[#All],3,FALSE)</f>
        <v>What we need from you/Reason</v>
      </c>
      <c r="E10" s="75" t="s">
        <v>199</v>
      </c>
      <c r="F10" s="96"/>
      <c r="G10" s="98"/>
    </row>
    <row r="11" spans="1:8" ht="21" x14ac:dyDescent="0.25">
      <c r="A11" s="43" t="str">
        <f>CONCATENATE("Pt Id:",'Level 1'!E11," ","Pt Name: ",'Level 1'!F11," ","DOS: ", TEXT('Level 1'!H11,"mm-dd-yyyy"),"  "," Amnt: ","$",'Level 1'!J11,"  ", 'Level 1'!N11)</f>
        <v>Pt Id:2668 Pt Name: Sullivan, Carter  DOS: 03-23-2022   Amnt: $102  Note</v>
      </c>
      <c r="B11" s="43" t="str">
        <f>CONCATENATE("Detail: ",'Level 1'!N11,"  ",'Level 1'!O11,TEXT('Level 1'!P11,"  mm-dd-yyyy"),";"," ",'Level 1'!Q11,'Level 1'!R11,"  ",'Level 1'!T11," ","Payment "," ",'Level 1'!U11,"  ",'Level 1'!V11,"  ",'Level 1'!W11,"  ",'Level 1'!X11,"  ",'Level 1'!Z11, "  ",'Level 1'!AA11, " ","Insurance: ",'Level 1'!A11)</f>
        <v xml:space="preserve">Detail: Note  Q1  01-00-1900; Q2   Payment  Q4    Q5    Additional Notes:   Insurance: Cigna </v>
      </c>
      <c r="C11" s="60" t="str">
        <f>'Level 1'!Y11</f>
        <v>Action</v>
      </c>
      <c r="D11" s="44" t="str">
        <f>VLOOKUP(C11,Table2[#All],3,FALSE)</f>
        <v>What we need from you/Reason</v>
      </c>
      <c r="E11" s="75" t="s">
        <v>199</v>
      </c>
      <c r="F11" s="96"/>
      <c r="G11" s="97"/>
      <c r="H11"/>
    </row>
    <row r="12" spans="1:8" ht="21" x14ac:dyDescent="0.25">
      <c r="A12" s="43" t="str">
        <f>CONCATENATE("Pt Id:",'Level 1'!E12," ","Pt Name: ",'Level 1'!F12," ","DOS: ", TEXT('Level 1'!H12,"mm-dd-yyyy"),"  "," Amnt: ","$",'Level 1'!J12,"  ", 'Level 1'!N12)</f>
        <v>Pt Id:3727 Pt Name: Arthur, Bernika DOS: 03-19-2022   Amnt: $123.6  Note</v>
      </c>
      <c r="B12" s="43" t="str">
        <f>CONCATENATE("Detail: ",'Level 1'!N12,"  ",'Level 1'!O12,TEXT('Level 1'!P12,"  mm-dd-yyyy"),";"," ",'Level 1'!Q12,'Level 1'!R12,"  ",'Level 1'!T12," ","Payment "," ",'Level 1'!U12,"  ",'Level 1'!V12,"  ",'Level 1'!W12,"  ",'Level 1'!X12,"  ",'Level 1'!Z12, "  ",'Level 1'!AA12, " ","Insurance: ",'Level 1'!A12)</f>
        <v xml:space="preserve">Detail: Note  Q1  01-00-1900; Q2   Payment  Q4    Q5    Additional Notes:   Insurance: Cigna </v>
      </c>
      <c r="C12" s="60" t="str">
        <f>'Level 1'!Y12</f>
        <v>Action</v>
      </c>
      <c r="D12" s="44" t="str">
        <f>VLOOKUP(C12,Table2[#All],3,FALSE)</f>
        <v>What we need from you/Reason</v>
      </c>
      <c r="E12" s="75" t="s">
        <v>199</v>
      </c>
      <c r="F12" s="96"/>
      <c r="G12" s="97"/>
      <c r="H12"/>
    </row>
    <row r="13" spans="1:8" ht="19.5" customHeight="1" x14ac:dyDescent="0.25">
      <c r="A13" s="43" t="str">
        <f>CONCATENATE("Pt Id:",'Level 1'!E13," ","Pt Name: ",'Level 1'!F13," ","DOS: ", TEXT('Level 1'!H13,"mm-dd-yyyy"),"  "," Amnt: ","$",'Level 1'!J13,"  ", 'Level 1'!N13)</f>
        <v>Pt Id:3729 Pt Name: Arthur, Lilyana DOS: 03-19-2022   Amnt: $58.8  Note</v>
      </c>
      <c r="B13" s="43" t="str">
        <f>CONCATENATE("Detail: ",'Level 1'!N13,"  ",'Level 1'!O13,TEXT('Level 1'!P13,"  mm-dd-yyyy"),";"," ",'Level 1'!Q13,'Level 1'!R13,"  ",'Level 1'!T13," ","Payment "," ",'Level 1'!U13,"  ",'Level 1'!V13,"  ",'Level 1'!W13,"  ",'Level 1'!X13,"  ",'Level 1'!Z13, "  ",'Level 1'!AA13, " ","Insurance: ",'Level 1'!A13)</f>
        <v xml:space="preserve">Detail: Note  Q1  01-00-1900; Q2   Payment  Q4    Q5    Additional Notes:   Insurance: Cigna </v>
      </c>
      <c r="C13" s="60" t="str">
        <f>'Level 1'!Y13</f>
        <v>Action</v>
      </c>
      <c r="D13" s="44" t="str">
        <f>VLOOKUP(C13,Table2[#All],3,FALSE)</f>
        <v>What we need from you/Reason</v>
      </c>
      <c r="E13" s="75" t="s">
        <v>199</v>
      </c>
      <c r="F13" s="95"/>
      <c r="G13" s="97"/>
      <c r="H13"/>
    </row>
    <row r="14" spans="1:8" ht="21" x14ac:dyDescent="0.25">
      <c r="A14" s="43" t="str">
        <f>CONCATENATE("Pt Id:",'Level 1'!E14," ","Pt Name: ",'Level 1'!F14," ","DOS: ", TEXT('Level 1'!H14,"mm-dd-yyyy"),"  "," Amnt: ","$",'Level 1'!J14,"  ", 'Level 1'!N14)</f>
        <v>Pt Id:3729 Pt Name: Arthur, Lilyana DOS: 03-19-2022   Amnt: $79.2  Note</v>
      </c>
      <c r="B14" s="43" t="str">
        <f>CONCATENATE("Detail: ",'Level 1'!N14,"  ",'Level 1'!O14,TEXT('Level 1'!P14,"  mm-dd-yyyy"),";"," ",'Level 1'!Q14,'Level 1'!R14,"  ",'Level 1'!T14," ","Payment "," ",'Level 1'!U14,"  ",'Level 1'!V14,"  ",'Level 1'!W14,"  ",'Level 1'!X14,"  ",'Level 1'!Z14, "  ",'Level 1'!AA14, " ","Insurance: ",'Level 1'!A14)</f>
        <v xml:space="preserve">Detail: Note  Q1  01-00-1900; Q2   Payment  Q4    Q5    Additional Notes:   Insurance: Cigna </v>
      </c>
      <c r="C14" s="60" t="str">
        <f>'Level 1'!Y14</f>
        <v>Action</v>
      </c>
      <c r="D14" s="44" t="str">
        <f>VLOOKUP(C14,Table2[#All],3,FALSE)</f>
        <v>What we need from you/Reason</v>
      </c>
      <c r="E14" s="75" t="s">
        <v>199</v>
      </c>
      <c r="F14" s="95"/>
      <c r="G14" s="97"/>
      <c r="H14"/>
    </row>
    <row r="15" spans="1:8" ht="84" x14ac:dyDescent="0.25">
      <c r="A15" s="43" t="str">
        <f>CONCATENATE("Pt Id:",'Level 1'!E15," ","Pt Name: ",'Level 1'!F15," ","DOS: ", TEXT('Level 1'!H15,"mm-dd-yyyy"),"  "," Amnt: ","$",'Level 1'!J15,"  ", 'Level 1'!N15)</f>
        <v>Pt Id:4246 Pt Name: Belle , Byron  DOS: 01-12-2022   Amnt: $266  Claim Paid by EFT;</v>
      </c>
      <c r="B15" s="43" t="str">
        <f>CONCATENATE("Detail: ",'Level 1'!N15,"  ",'Level 1'!O15,TEXT('Level 1'!P15,"  mm-dd-yyyy"),";"," ",'Level 1'!Q15,'Level 1'!R15,"  ",'Level 1'!T15," ","Payment "," ",'Level 1'!U15,"  ",'Level 1'!V15,"  ",'Level 1'!W15,"  ",'Level 1'!X15,"  ",'Level 1'!Z15, "  ",'Level 1'!AA15, " ","Insurance: ",'Level 1'!A15)</f>
        <v xml:space="preserve">Detail: Claim Paid by EFT;  Issue Date:  01-19-2022; EFT#9999761864  single Payment  Call Ref#:  2763  Cust Rep:  MJ  Additional Notes:  Rep State that Code D0120, D0220, D0230 &amp; (Partially) D0274 are applied towards the deductable. D1208 - denied due to Age limit (Age limit under 19) Rep Name: Moises, Call Ref: 4641//Rep States that the Claim Paid,Claim No:D220146565680, paid amt$130 Patient Resp: $136. Insurance: Cigna </v>
      </c>
      <c r="C15" s="60" t="str">
        <f>'Level 1'!Y15</f>
        <v xml:space="preserve">Task Post Pmt Queue </v>
      </c>
      <c r="D15" s="44" t="str">
        <f>VLOOKUP(C15,Table2[#All],3,FALSE)</f>
        <v>N/A</v>
      </c>
      <c r="E15" s="75" t="s">
        <v>192</v>
      </c>
      <c r="F15" s="116" t="s">
        <v>4165</v>
      </c>
      <c r="G15" s="97" t="s">
        <v>4166</v>
      </c>
      <c r="H15"/>
    </row>
    <row r="16" spans="1:8" ht="63" x14ac:dyDescent="0.25">
      <c r="A16" s="43" t="str">
        <f>CONCATENATE("Pt Id:",'Level 1'!E16," ","Pt Name: ",'Level 1'!F16," ","DOS: ", TEXT('Level 1'!H16,"mm-dd-yyyy"),"  "," Amnt: ","$",'Level 1'!J16,"  ", 'Level 1'!N16)</f>
        <v>Pt Id:3728 Pt Name: Arthur, Devin DOS: 10-09-2021   Amnt: $230  Claim Paid by EFT;</v>
      </c>
      <c r="B16" s="43" t="str">
        <f>CONCATENATE("Detail: ",'Level 1'!N16,"  ",'Level 1'!O16,TEXT('Level 1'!P16,"  mm-dd-yyyy"),";"," ",'Level 1'!Q16,'Level 1'!R16,"  ",'Level 1'!T16," ","Payment "," ",'Level 1'!U16,"  ",'Level 1'!V16,"  ",'Level 1'!W16,"  ",'Level 1'!X16,"  ",'Level 1'!Z16, "  ",'Level 1'!AA16, " ","Insurance: ",'Level 1'!A16)</f>
        <v xml:space="preserve">Detail: Claim Paid by EFT;  Issue Date:  10-12-2021; EFT#9997740967  Bulk Payment  Call Ref#:  9764  Cust Rep:  sara  Additional Notes:  Rep States that Claim Paid,Claim No:D212856143800, paid amt$113 Patient Resp: NIL, All the lines paid on the claim. Insurance: Cigna </v>
      </c>
      <c r="C16" s="60" t="str">
        <f>'Level 1'!Y16</f>
        <v xml:space="preserve">Task Post Pmt Queue </v>
      </c>
      <c r="D16" s="44" t="str">
        <f>VLOOKUP(C16,Table2[#All],3,FALSE)</f>
        <v>N/A</v>
      </c>
      <c r="E16" s="75" t="s">
        <v>193</v>
      </c>
      <c r="F16" s="116" t="s">
        <v>3698</v>
      </c>
      <c r="G16" s="97"/>
      <c r="H16"/>
    </row>
    <row r="17" spans="1:8" ht="42" x14ac:dyDescent="0.25">
      <c r="A17" s="43" t="str">
        <f>CONCATENATE("Pt Id:",'Level 1'!E17," ","Pt Name: ",'Level 1'!F17," ","DOS: ", TEXT('Level 1'!H17,"mm-dd-yyyy"),"  "," Amnt: ","$",'Level 1'!J17,"  ", 'Level 1'!N17)</f>
        <v>Pt Id:3727 Pt Name: Arthur, Bernika DOS: 10-09-2021   Amnt: $216  Claim Paid by EFT;</v>
      </c>
      <c r="B17" s="43" t="str">
        <f>CONCATENATE("Detail: ",'Level 1'!N17,"  ",'Level 1'!O17,TEXT('Level 1'!P17,"  mm-dd-yyyy"),";"," ",'Level 1'!Q17,'Level 1'!R17,"  ",'Level 1'!T17," ","Payment "," ",'Level 1'!U17,"  ",'Level 1'!V17,"  ",'Level 1'!W17,"  ",'Level 1'!X17,"  ",'Level 1'!Z17, "  ",'Level 1'!AA17, " ","Insurance: ",'Level 1'!A17)</f>
        <v xml:space="preserve">Detail: Claim Paid by EFT;  Issue Date:  10-13-2021; EFT#9997740967  Single  Payment  Call Ref#:  5334  Cust Rep:  Nel  Additional Notes:  Pd $4.00 Pt  res $76.00 Clm #D212856144410  was cashed on 10/18/2021 Insurance: Cigna </v>
      </c>
      <c r="C17" s="60" t="str">
        <f>'Level 1'!Y17</f>
        <v xml:space="preserve">Task Post Pmt Queue </v>
      </c>
      <c r="D17" s="44" t="str">
        <f>VLOOKUP(C17,Table2[#All],3,FALSE)</f>
        <v>N/A</v>
      </c>
      <c r="E17" s="75" t="s">
        <v>193</v>
      </c>
      <c r="F17" s="116" t="s">
        <v>3698</v>
      </c>
      <c r="G17" s="97"/>
      <c r="H17"/>
    </row>
    <row r="18" spans="1:8" ht="63" x14ac:dyDescent="0.25">
      <c r="A18" s="43" t="str">
        <f>CONCATENATE("Pt Id:",'Level 1'!E18," ","Pt Name: ",'Level 1'!F18," ","DOS: ", TEXT('Level 1'!H18,"mm-dd-yyyy"),"  "," Amnt: ","$",'Level 1'!J18,"  ", 'Level 1'!N18)</f>
        <v>Pt Id:6734 Pt Name: Rasmussen , John  DOS: 10-05-2021   Amnt: $88.8  Claim Paid by EFT;</v>
      </c>
      <c r="B18" s="43" t="str">
        <f>CONCATENATE("Detail: ",'Level 1'!N18,"  ",'Level 1'!O18,TEXT('Level 1'!P18,"  mm-dd-yyyy"),";"," ",'Level 1'!Q18,'Level 1'!R18,"  ",'Level 1'!T18," ","Payment "," ",'Level 1'!U18,"  ",'Level 1'!V18,"  ",'Level 1'!W18,"  ",'Level 1'!X18,"  ",'Level 1'!Z18, "  ",'Level 1'!AA18, " ","Insurance: ",'Level 1'!A18)</f>
        <v xml:space="preserve">Detail: Claim Paid by EFT;  Issue Date:  10-08-2021; EFT#9997740965  SEP Payment  Call Ref#:  7209  Cust Rep:  Erick  Additional Notes:  Rep States that Claim Paid,Claim No:R212816304340,Pd Amt $53; Patient Resp: Nil, Insurance: Cigna </v>
      </c>
      <c r="C18" s="60" t="str">
        <f>'Level 1'!Y18</f>
        <v xml:space="preserve">Task Post Pmt Queue </v>
      </c>
      <c r="D18" s="44" t="str">
        <f>VLOOKUP(C18,Table2[#All],3,FALSE)</f>
        <v>N/A</v>
      </c>
      <c r="E18" s="75" t="s">
        <v>193</v>
      </c>
      <c r="F18" s="116" t="s">
        <v>3698</v>
      </c>
      <c r="G18" s="97"/>
      <c r="H18"/>
    </row>
    <row r="19" spans="1:8" ht="84" x14ac:dyDescent="0.25">
      <c r="A19" s="43" t="str">
        <f>CONCATENATE("Pt Id:",'Level 1'!E19," ","Pt Name: ",'Level 1'!F19," ","DOS: ", TEXT('Level 1'!H19,"mm-dd-yyyy"),"  "," Amnt: ","$",'Level 1'!J19,"  ", 'Level 1'!N19)</f>
        <v>Pt Id:5453 Pt Name: Knight, Richard  DOS: 05-06-2021   Amnt: $890  Ins needs more info, need to submit;</v>
      </c>
      <c r="B19" s="43" t="str">
        <f>CONCATENATE("Detail: ",'Level 1'!N19,"  ",'Level 1'!O19,TEXT('Level 1'!P19,"  mm-dd-yyyy"),";"," ",'Level 1'!Q19,'Level 1'!R19,"  ",'Level 1'!T19," ","Payment "," ",'Level 1'!U19,"  ",'Level 1'!V19,"  ",'Level 1'!W19,"  ",'Level 1'!X19,"  ",'Level 1'!Z19, "  ",'Level 1'!AA19, " ","Insurance: ",'Level 1'!A19)</f>
        <v xml:space="preserve">Detail: Ins needs more info, need to submit;  Attachments/Info needed?Prep Date,Seat Date &amp; Initial or Replacement Prior Placement Date; Fax # (If Fax Yes):8595502662  7991 Payment  Cust Rep:  Michal  0    Additional Notes:  Rep State Clm Denied,Claim No: S211306181710,Mailing Address: PO Box 188037. Chattanooga, TN 37422,TFL: 365 Days for Out of Nework Patient,Processed &amp; Denied Date: 07/19/2021 Insurance: Cigna </v>
      </c>
      <c r="C19" s="60" t="str">
        <f>'Level 1'!Y19</f>
        <v xml:space="preserve">Task Sub Pending Claims Queue </v>
      </c>
      <c r="D19" s="44" t="str">
        <f>VLOOKUP(C19,Table2[#All],3,FALSE)</f>
        <v>N/A</v>
      </c>
      <c r="E19" s="75" t="s">
        <v>193</v>
      </c>
      <c r="F19" s="116" t="s">
        <v>3698</v>
      </c>
      <c r="G19" s="97"/>
      <c r="H19"/>
    </row>
    <row r="20" spans="1:8" ht="84" x14ac:dyDescent="0.25">
      <c r="A20" s="43" t="str">
        <f>CONCATENATE("Pt Id:",'Level 1'!E20," ","Pt Name: ",'Level 1'!F20," ","DOS: ", TEXT('Level 1'!H20,"mm-dd-yyyy"),"  "," Amnt: ","$",'Level 1'!J20,"  ", 'Level 1'!N20)</f>
        <v>Pt Id:7171 Pt Name: Mokry, Lila DOS: 05-27-2021   Amnt: $256.4  Claim not on file. Patient is active ;</v>
      </c>
      <c r="B20" s="43" t="str">
        <f>CONCATENATE("Detail: ",'Level 1'!N20,"  ",'Level 1'!O20,TEXT('Level 1'!P20,"  mm-dd-yyyy"),";"," ",'Level 1'!Q20,'Level 1'!R20,"  ",'Level 1'!T20," ","Payment "," ",'Level 1'!U20,"  ",'Level 1'!V20,"  ",'Level 1'!W20,"  ",'Level 1'!X20,"  ",'Level 1'!Z20, "  ",'Level 1'!AA20, " ","Insurance: ",'Level 1'!A20)</f>
        <v xml:space="preserve">Detail: Claim not on file. Patient is active ;  Payor ID &amp; Address:  08-03-2070; Fax # (If Fax Yes):8595502662  No Limit Payment  Call Ref#:  1606  Cust Rep:  Irvin  Additional Notes:  Claim Resubmitted electronically on 05/06/2022  - SN  //       Rep State that CNOF,Effective Date:01/01/2021,  Mailing Adrss: P.O.BOX 188037,Chattanooga,TN 37422 Rep Name: Michal Call Ref: 1569 Insurance: Cigna Out Of Network </v>
      </c>
      <c r="C20" s="60" t="str">
        <f>'Level 1'!Y20</f>
        <v>Task Sub Pending Claims Queue</v>
      </c>
      <c r="D20" s="44" t="str">
        <f>VLOOKUP(C20,Table2[#All],3,FALSE)</f>
        <v>N/A</v>
      </c>
      <c r="E20" s="75" t="s">
        <v>195</v>
      </c>
      <c r="F20" s="116" t="s">
        <v>4177</v>
      </c>
      <c r="G20" s="97" t="s">
        <v>4178</v>
      </c>
      <c r="H20"/>
    </row>
    <row r="21" spans="1:8" ht="21" x14ac:dyDescent="0.25">
      <c r="A21" s="43" t="str">
        <f>CONCATENATE("Pt Id:",'Level 1'!E21," ","Pt Name: ",'Level 1'!F21," ","DOS: ", TEXT('Level 1'!H21,"mm-dd-yyyy"),"  "," Amnt: ","$",'Level 1'!J21,"  ", 'Level 1'!N21)</f>
        <v>Pt Id:5823 Pt Name: Johnson , Alina  DOS: 03-23-2022   Amnt: $496  Note</v>
      </c>
      <c r="B21" s="43" t="str">
        <f>CONCATENATE("Detail: ",'Level 1'!N21,"  ",'Level 1'!O21,TEXT('Level 1'!P21,"  mm-dd-yyyy"),";"," ",'Level 1'!Q21,'Level 1'!R21,"  ",'Level 1'!T21," ","Payment "," ",'Level 1'!U21,"  ",'Level 1'!V21,"  ",'Level 1'!W21,"  ",'Level 1'!X21,"  ",'Level 1'!Z21, "  ",'Level 1'!AA21, " ","Insurance: ",'Level 1'!A21)</f>
        <v>Detail: Note  Q1  01-00-1900; Q2   Payment  Q4    Q5    Additional Notes:   Insurance: Cigna</v>
      </c>
      <c r="C21" s="60" t="str">
        <f>'Level 1'!Y21</f>
        <v>Action</v>
      </c>
      <c r="D21" s="44" t="str">
        <f>VLOOKUP(C21,Table2[#All],3,FALSE)</f>
        <v>What we need from you/Reason</v>
      </c>
      <c r="E21" s="75" t="s">
        <v>199</v>
      </c>
      <c r="F21" s="96"/>
      <c r="G21" s="97"/>
      <c r="H21"/>
    </row>
    <row r="22" spans="1:8" ht="21" x14ac:dyDescent="0.25">
      <c r="A22" s="43" t="str">
        <f>CONCATENATE("Pt Id:",'Level 1'!E22," ","Pt Name: ",'Level 1'!F22," ","DOS: ", TEXT('Level 1'!H22,"mm-dd-yyyy"),"  "," Amnt: ","$",'Level 1'!J22,"  ", 'Level 1'!N22)</f>
        <v>Pt Id:9036 Pt Name: Johnson, Aila DOS: 03-23-2022   Amnt: $396  Note</v>
      </c>
      <c r="B22" s="43" t="str">
        <f>CONCATENATE("Detail: ",'Level 1'!N22,"  ",'Level 1'!O22,TEXT('Level 1'!P22,"  mm-dd-yyyy"),";"," ",'Level 1'!Q22,'Level 1'!R22,"  ",'Level 1'!T22," ","Payment "," ",'Level 1'!U22,"  ",'Level 1'!V22,"  ",'Level 1'!W22,"  ",'Level 1'!X22,"  ",'Level 1'!Z22, "  ",'Level 1'!AA22, " ","Insurance: ",'Level 1'!A22)</f>
        <v>Detail: Note  Q1  01-00-1900; Q2   Payment  Q4    Q5    Additional Notes:   Insurance: Cigna</v>
      </c>
      <c r="C22" s="60" t="str">
        <f>'Level 1'!Y22</f>
        <v>Action</v>
      </c>
      <c r="D22" s="44" t="str">
        <f>VLOOKUP(C22,Table2[#All],3,FALSE)</f>
        <v>What we need from you/Reason</v>
      </c>
      <c r="E22" s="75" t="s">
        <v>199</v>
      </c>
      <c r="F22" s="96"/>
      <c r="G22" s="97"/>
      <c r="H22"/>
    </row>
    <row r="23" spans="1:8" ht="21" x14ac:dyDescent="0.25">
      <c r="A23" s="43" t="str">
        <f>CONCATENATE("Pt Id:",'Level 1'!E23," ","Pt Name: ",'Level 1'!F23," ","DOS: ", TEXT('Level 1'!H23,"mm-dd-yyyy"),"  "," Amnt: ","$",'Level 1'!J23,"  ", 'Level 1'!N23)</f>
        <v>Pt Id:7711 Pt Name: Kienia, Jaxon DOS: 03-16-2022   Amnt: $940  Note</v>
      </c>
      <c r="B23" s="43" t="str">
        <f>CONCATENATE("Detail: ",'Level 1'!N23,"  ",'Level 1'!O23,TEXT('Level 1'!P23,"  mm-dd-yyyy"),";"," ",'Level 1'!Q23,'Level 1'!R23,"  ",'Level 1'!T23," ","Payment "," ",'Level 1'!U23,"  ",'Level 1'!V23,"  ",'Level 1'!W23,"  ",'Level 1'!X23,"  ",'Level 1'!Z23, "  ",'Level 1'!AA23, " ","Insurance: ",'Level 1'!A23)</f>
        <v>Detail: Note  Q1  01-00-1900; Q2   Payment  Q4    Q5    Additional Notes:   Insurance: Cigna</v>
      </c>
      <c r="C23" s="60" t="str">
        <f>'Level 1'!Y23</f>
        <v>Action</v>
      </c>
      <c r="D23" s="44" t="str">
        <f>VLOOKUP(C23,Table2[#All],3,FALSE)</f>
        <v>What we need from you/Reason</v>
      </c>
      <c r="E23" s="75" t="s">
        <v>199</v>
      </c>
      <c r="F23" s="114"/>
      <c r="G23" s="97"/>
      <c r="H23"/>
    </row>
    <row r="24" spans="1:8" ht="42" x14ac:dyDescent="0.25">
      <c r="A24" s="43" t="str">
        <f>CONCATENATE("Pt Id:",'Level 1'!E24," ","Pt Name: ",'Level 1'!F24," ","DOS: ", TEXT('Level 1'!H24,"mm-dd-yyyy"),"  "," Amnt: ","$",'Level 1'!J24,"  ", 'Level 1'!N24)</f>
        <v>Pt Id:8777 Pt Name: Michaelis, Benjamin DOS: 03-10-2022   Amnt: $1062  Note</v>
      </c>
      <c r="B24" s="43" t="str">
        <f>CONCATENATE("Detail: ",'Level 1'!N24,"  ",'Level 1'!O24,TEXT('Level 1'!P24,"  mm-dd-yyyy"),";"," ",'Level 1'!Q24,'Level 1'!R24,"  ",'Level 1'!T24," ","Payment "," ",'Level 1'!U24,"  ",'Level 1'!V24,"  ",'Level 1'!W24,"  ",'Level 1'!X24,"  ",'Level 1'!Z24, "  ",'Level 1'!AA24, " ","Insurance: ",'Level 1'!A24)</f>
        <v>Detail: Note  Q1  01-00-1900; Q2   Payment  Q4    Q5    Additional Notes:   Insurance: Cigna</v>
      </c>
      <c r="C24" s="60" t="str">
        <f>'Level 1'!Y24</f>
        <v>Action</v>
      </c>
      <c r="D24" s="44" t="str">
        <f>VLOOKUP(C24,Table2[#All],3,FALSE)</f>
        <v>What we need from you/Reason</v>
      </c>
      <c r="E24" s="75" t="s">
        <v>199</v>
      </c>
      <c r="F24" s="96"/>
      <c r="G24" s="97"/>
      <c r="H24"/>
    </row>
    <row r="25" spans="1:8" ht="21" x14ac:dyDescent="0.25">
      <c r="A25" s="43" t="str">
        <f>CONCATENATE("Pt Id:",'Level 1'!E25," ","Pt Name: ",'Level 1'!F25," ","DOS: ", TEXT('Level 1'!H25,"mm-dd-yyyy"),"  "," Amnt: ","$",'Level 1'!J25,"  ", 'Level 1'!N25)</f>
        <v>Pt Id:9237 Pt Name: Salgado, Manuel DOS: 03-10-2022   Amnt: $256.4  Note</v>
      </c>
      <c r="B25" s="43" t="str">
        <f>CONCATENATE("Detail: ",'Level 1'!N25,"  ",'Level 1'!O25,TEXT('Level 1'!P25,"  mm-dd-yyyy"),";"," ",'Level 1'!Q25,'Level 1'!R25,"  ",'Level 1'!T25," ","Payment "," ",'Level 1'!U25,"  ",'Level 1'!V25,"  ",'Level 1'!W25,"  ",'Level 1'!X25,"  ",'Level 1'!Z25, "  ",'Level 1'!AA25, " ","Insurance: ",'Level 1'!A25)</f>
        <v>Detail: Note  Q1  01-00-1900; Q2   Payment  Q4    Q5    Additional Notes:   Insurance: Cigna</v>
      </c>
      <c r="C25" s="60" t="str">
        <f>'Level 1'!Y25</f>
        <v>Action</v>
      </c>
      <c r="D25" s="44" t="str">
        <f>VLOOKUP(C25,Table2[#All],3,FALSE)</f>
        <v>What we need from you/Reason</v>
      </c>
      <c r="E25" s="75" t="s">
        <v>199</v>
      </c>
      <c r="F25" s="116"/>
      <c r="G25" s="97"/>
      <c r="H25"/>
    </row>
    <row r="26" spans="1:8" ht="21" x14ac:dyDescent="0.25">
      <c r="A26" s="43" t="str">
        <f>CONCATENATE("Pt Id:",'Level 1'!E26," ","Pt Name: ",'Level 1'!F26," ","DOS: ", TEXT('Level 1'!H26,"mm-dd-yyyy"),"  "," Amnt: ","$",'Level 1'!J26,"  ", 'Level 1'!N26)</f>
        <v>Pt Id:7471 Pt Name: Cox, Racheal  DOS: 07-07-2021   Amnt: $820.8  Note</v>
      </c>
      <c r="B26" s="43" t="str">
        <f>CONCATENATE("Detail: ",'Level 1'!N26,"  ",'Level 1'!O26,TEXT('Level 1'!P26,"  mm-dd-yyyy"),";"," ",'Level 1'!Q26,'Level 1'!R26,"  ",'Level 1'!T26," ","Payment "," ",'Level 1'!U26,"  ",'Level 1'!V26,"  ",'Level 1'!W26,"  ",'Level 1'!X26,"  ",'Level 1'!Z26, "  ",'Level 1'!AA26, " ","Insurance: ",'Level 1'!A26)</f>
        <v>Detail: Note  Q1  01-00-1900; Q2   Payment  Q4    Q5    Additional Notes:   Insurance: Cigna</v>
      </c>
      <c r="C26" s="60" t="str">
        <f>'Level 1'!Y26</f>
        <v>Action</v>
      </c>
      <c r="D26" s="44" t="str">
        <f>VLOOKUP(C26,Table2[#All],3,FALSE)</f>
        <v>What we need from you/Reason</v>
      </c>
      <c r="E26" s="75" t="s">
        <v>199</v>
      </c>
      <c r="F26" s="96"/>
      <c r="G26" s="97"/>
      <c r="H26"/>
    </row>
    <row r="27" spans="1:8" ht="42" x14ac:dyDescent="0.25">
      <c r="A27" s="43" t="str">
        <f>CONCATENATE("Pt Id:",'Level 1'!E27," ","Pt Name: ",'Level 1'!F27," ","DOS: ", TEXT('Level 1'!H27,"mm-dd-yyyy"),"  "," Amnt: ","$",'Level 1'!J27,"  ", 'Level 1'!N27)</f>
        <v>Pt Id:5759 Pt Name: Sexton Free , Brittney DOS: 03-04-2022   Amnt: $1315.2  Note</v>
      </c>
      <c r="B27" s="43" t="str">
        <f>CONCATENATE("Detail: ",'Level 1'!N27,"  ",'Level 1'!O27,TEXT('Level 1'!P27,"  mm-dd-yyyy"),";"," ",'Level 1'!Q27,'Level 1'!R27,"  ",'Level 1'!T27," ","Payment "," ",'Level 1'!U27,"  ",'Level 1'!V27,"  ",'Level 1'!W27,"  ",'Level 1'!X27,"  ",'Level 1'!Z27, "  ",'Level 1'!AA27, " ","Insurance: ",'Level 1'!A27)</f>
        <v>Detail: Note  Q1  01-00-1900; Q2   Payment  Q4    Q5    Additional Notes:   Insurance: Cigna</v>
      </c>
      <c r="C27" s="60" t="str">
        <f>'Level 1'!Y27</f>
        <v>Action</v>
      </c>
      <c r="D27" s="44" t="str">
        <f>VLOOKUP(C27,Table2[#All],3,FALSE)</f>
        <v>What we need from you/Reason</v>
      </c>
      <c r="E27" s="75" t="s">
        <v>199</v>
      </c>
      <c r="F27" s="96"/>
      <c r="G27" s="97"/>
      <c r="H27"/>
    </row>
    <row r="28" spans="1:8" ht="63" x14ac:dyDescent="0.25">
      <c r="A28" s="43" t="str">
        <f>CONCATENATE("Pt Id:",'Level 1'!E28," ","Pt Name: ",'Level 1'!F28," ","DOS: ", TEXT('Level 1'!H28,"mm-dd-yyyy"),"  "," Amnt: ","$",'Level 1'!J28,"  ", 'Level 1'!N28)</f>
        <v>Pt Id:5759 Pt Name: Sexton Free , Brittney DOS: 02-09-2022   Amnt: $253.2  Procedure is not a covered benefit;</v>
      </c>
      <c r="B28" s="43" t="str">
        <f>CONCATENATE("Detail: ",'Level 1'!N28,"  ",'Level 1'!O28,TEXT('Level 1'!P28,"  mm-dd-yyyy"),";"," ",'Level 1'!Q28,'Level 1'!R28,"  ",'Level 1'!T28," ","Payment "," ",'Level 1'!U28,"  ",'Level 1'!V28,"  ",'Level 1'!W28,"  ",'Level 1'!X28,"  ",'Level 1'!Z28, "  ",'Level 1'!AA28, " ","Insurance: ",'Level 1'!A28)</f>
        <v>Detail: Procedure is not a covered benefit;  Why? Not covered under pt plan; Call Ref#:1142  RHEA Payment  0    0    Additional Notes:   CLM#D22042654574,Processed Date: 02/11/2022,Your plan does not provide benefits for this service,Patient Resp: $253.20 Insurance: Cigna</v>
      </c>
      <c r="C28" s="60" t="str">
        <f>'Level 1'!Y28</f>
        <v xml:space="preserve">Task Client - Denied Claim Queue </v>
      </c>
      <c r="D28" s="44" t="str">
        <f>VLOOKUP(C28,Table2[#All],3,FALSE)</f>
        <v>What We Need From You: Pls confirm if we can close the claims Reason: To close claim</v>
      </c>
      <c r="E28" s="75" t="s">
        <v>199</v>
      </c>
      <c r="F28" s="96"/>
      <c r="G28" s="97"/>
      <c r="H28"/>
    </row>
    <row r="29" spans="1:8" ht="42" x14ac:dyDescent="0.25">
      <c r="A29" s="43" t="str">
        <f>CONCATENATE("Pt Id:",'Level 1'!E29," ","Pt Name: ",'Level 1'!F29," ","DOS: ", TEXT('Level 1'!H29,"mm-dd-yyyy"),"  "," Amnt: ","$",'Level 1'!J29,"  ", 'Level 1'!N29)</f>
        <v>Pt Id:5759 Pt Name: Sexton Free , Brittney DOS: 01-12-2022   Amnt: $210  Claim Paid by EFT;</v>
      </c>
      <c r="B29" s="43" t="str">
        <f>CONCATENATE("Detail: ",'Level 1'!N29,"  ",'Level 1'!O29,TEXT('Level 1'!P29,"  mm-dd-yyyy"),";"," ",'Level 1'!Q29,'Level 1'!R29,"  ",'Level 1'!T29," ","Payment "," ",'Level 1'!U29,"  ",'Level 1'!V29,"  ",'Level 1'!W29,"  ",'Level 1'!X29,"  ",'Level 1'!Z29, "  ",'Level 1'!AA29, " ","Insurance: ",'Level 1'!A29)</f>
        <v>Detail: Claim Paid by EFT;  Issue Date:  01-19-2022; EFT#9999730907  Bulk Payment  Call Ref#:  83827  Cust Rep:  Mabby  Additional Notes:  Rep States that Claim Paid,Claim No:E220186079630,Patient Resp: NIL. Insurance: Cigna</v>
      </c>
      <c r="C29" s="60" t="str">
        <f>'Level 1'!Y29</f>
        <v xml:space="preserve">Task Post Pmt Queue </v>
      </c>
      <c r="D29" s="44" t="str">
        <f>VLOOKUP(C29,Table2[#All],3,FALSE)</f>
        <v>N/A</v>
      </c>
      <c r="E29" s="75" t="s">
        <v>192</v>
      </c>
      <c r="F29" s="96" t="s">
        <v>4167</v>
      </c>
      <c r="G29" s="97" t="s">
        <v>4166</v>
      </c>
      <c r="H29"/>
    </row>
    <row r="30" spans="1:8" ht="63" x14ac:dyDescent="0.25">
      <c r="A30" s="43" t="str">
        <f>CONCATENATE("Pt Id:",'Level 1'!E30," ","Pt Name: ",'Level 1'!F30," ","DOS: ", TEXT('Level 1'!H30,"mm-dd-yyyy"),"  "," Amnt: ","$",'Level 1'!J30,"  ", 'Level 1'!N30)</f>
        <v>Pt Id:8803 Pt Name: Gibson, Karl  DOS: 01-14-2022   Amnt: $294.8  Claim Paid by EFT;</v>
      </c>
      <c r="B30" s="43" t="str">
        <f>CONCATENATE("Detail: ",'Level 1'!N30,"  ",'Level 1'!O30,TEXT('Level 1'!P30,"  mm-dd-yyyy"),";"," ",'Level 1'!Q30,'Level 1'!R30,"  ",'Level 1'!T30," ","Payment "," ",'Level 1'!U30,"  ",'Level 1'!V30,"  ",'Level 1'!W30,"  ",'Level 1'!X30,"  ",'Level 1'!Z30, "  ",'Level 1'!AA30, " ","Insurance: ",'Level 1'!A30)</f>
        <v>Detail: Claim Paid by EFT;  Issue Date:  01-19-2022; EFT#9999761865  Bulk Payment  Call Ref#:  7994  Cust Rep:  Mabby  Additional Notes:  Rep States that Claim Paid,Claim No:S220186079630,Patient Resp: NIL  All the lines paid on the claim. Insurance: Cigna</v>
      </c>
      <c r="C30" s="60" t="str">
        <f>'Level 1'!Y30</f>
        <v xml:space="preserve">Task Post Pmt Queue </v>
      </c>
      <c r="D30" s="44" t="str">
        <f>VLOOKUP(C30,Table2[#All],3,FALSE)</f>
        <v>N/A</v>
      </c>
      <c r="E30" s="75" t="s">
        <v>192</v>
      </c>
      <c r="F30" s="96" t="s">
        <v>4167</v>
      </c>
      <c r="G30" s="97" t="s">
        <v>4166</v>
      </c>
      <c r="H30"/>
    </row>
    <row r="31" spans="1:8" ht="84" x14ac:dyDescent="0.25">
      <c r="A31" s="43" t="str">
        <f>CONCATENATE("Pt Id:",'Level 1'!E31," ","Pt Name: ",'Level 1'!F31," ","DOS: ", TEXT('Level 1'!H31,"mm-dd-yyyy"),"  "," Amnt: ","$",'Level 1'!J31,"  ", 'Level 1'!N31)</f>
        <v>Pt Id:8802 Pt Name: Huston, Olivia DOS: 01-14-2022   Amnt: $256.4  Claim not on file. Patient is active ;</v>
      </c>
      <c r="B31" s="43" t="str">
        <f>CONCATENATE("Detail: ",'Level 1'!N31,"  ",'Level 1'!O31,TEXT('Level 1'!P31,"  mm-dd-yyyy"),";"," ",'Level 1'!Q31,'Level 1'!R31,"  ",'Level 1'!T31," ","Payment "," ",'Level 1'!U31,"  ",'Level 1'!V31,"  ",'Level 1'!W31,"  ",'Level 1'!X31,"  ",'Level 1'!Z31, "  ",'Level 1'!AA31, " ","Insurance: ",'Level 1'!A31)</f>
        <v>Detail: Claim not on file. Patient is active ;  Payor ID &amp; Address:  08-03-2070; Fax # (If Fax Yes):8595502662  No Limit Payment  Call Ref#:  6550  Cust Rep:  Mabby  Additional Notes:  Claim Resubmitted through fax on 05/06/2022 - SN   //   Rep states that clm is not on file for the dos, the patient is active, we can send send the clm through fax #8595502662,  NO TFL. Insurance: Cigna</v>
      </c>
      <c r="C31" s="60" t="str">
        <f>'Level 1'!Y31</f>
        <v>Task Sub Pending Claims Queue</v>
      </c>
      <c r="D31" s="44" t="str">
        <f>VLOOKUP(C31,Table2[#All],3,FALSE)</f>
        <v>N/A</v>
      </c>
      <c r="E31" s="75" t="s">
        <v>195</v>
      </c>
      <c r="F31" s="116" t="s">
        <v>4177</v>
      </c>
      <c r="G31" s="97" t="s">
        <v>4179</v>
      </c>
      <c r="H31"/>
    </row>
    <row r="32" spans="1:8" ht="63" x14ac:dyDescent="0.25">
      <c r="A32" s="43" t="str">
        <f>CONCATENATE("Pt Id:",'Level 1'!E32," ","Pt Name: ",'Level 1'!F32," ","DOS: ", TEXT('Level 1'!H32,"mm-dd-yyyy"),"  "," Amnt: ","$",'Level 1'!J32,"  ", 'Level 1'!N32)</f>
        <v>Pt Id:8777 Pt Name: Michaelis, Benjamin DOS: 01-05-2022   Amnt: $186  Claim Paid by EFT;</v>
      </c>
      <c r="B32" s="43" t="str">
        <f>CONCATENATE("Detail: ",'Level 1'!N32,"  ",'Level 1'!O32,TEXT('Level 1'!P32,"  mm-dd-yyyy"),";"," ",'Level 1'!Q32,'Level 1'!R32,"  ",'Level 1'!T32," ","Payment "," ",'Level 1'!U32,"  ",'Level 1'!V32,"  ",'Level 1'!W32,"  ",'Level 1'!X32,"  ",'Level 1'!Z32, "  ",'Level 1'!AA32, " ","Insurance: ",'Level 1'!A32)</f>
        <v>Detail: Claim Paid by EFT;  Issue Date:  01-14-2022; EFT#9999761866  bulk Payment  Call Ref#:  5749  Cust Rep:  Joei  Additional Notes:  Rep States that Claim Paid,Paid Amt: 123.20,Claim No:E220146565650,Patient Resp:$62.80  All the lines paid on the claim. Insurance: Cigna</v>
      </c>
      <c r="C32" s="60" t="str">
        <f>'Level 1'!Y32</f>
        <v xml:space="preserve">Task Post Pmt Queue </v>
      </c>
      <c r="D32" s="44" t="str">
        <f>VLOOKUP(C32,Table2[#All],3,FALSE)</f>
        <v>N/A</v>
      </c>
      <c r="E32" s="75" t="s">
        <v>193</v>
      </c>
      <c r="F32" s="116" t="s">
        <v>3698</v>
      </c>
      <c r="G32" s="97"/>
      <c r="H32"/>
    </row>
    <row r="33" spans="1:8" ht="105" x14ac:dyDescent="0.25">
      <c r="A33" s="43" t="str">
        <f>CONCATENATE("Pt Id:",'Level 1'!E33," ","Pt Name: ",'Level 1'!F33," ","DOS: ", TEXT('Level 1'!H33,"mm-dd-yyyy"),"  "," Amnt: ","$",'Level 1'!J33,"  ", 'Level 1'!N33)</f>
        <v>Pt Id:8713 Pt Name: Delk, Mark DOS: 12-27-2021   Amnt: $372.8  Claim Paid by EFT;</v>
      </c>
      <c r="B33" s="43" t="str">
        <f>CONCATENATE("Detail: ",'Level 1'!N33,"  ",'Level 1'!O33,TEXT('Level 1'!P33,"  mm-dd-yyyy"),";"," ",'Level 1'!Q33,'Level 1'!R33,"  ",'Level 1'!T33," ","Payment "," ",'Level 1'!U33,"  ",'Level 1'!V33,"  ",'Level 1'!W33,"  ",'Level 1'!X33,"  ",'Level 1'!Z33, "  ",'Level 1'!AA33, " ","Insurance: ",'Level 1'!A33)</f>
        <v>Detail: Claim Paid by EFT;  Issue Date:  12-31-2021; EFT#9999367367  Sep Payment  Call Ref#:  4651  Cust Rep:  natalie  Additional Notes:  Rep states that, Claim paid EFT Mode. Cashed out 01/05/2022  for $320.40.   Rep name: NICs. Ref# 8666.  Claim# E213656187000.//EOB Requested 24 Hr as per Rep Rep Name: Michal  Call Ref: 1569//GET EOB  -SN   //    Rep States that the Claim Paid,Claim No:E21365618700, paid amt$320.40 Patient Resp: $52.40 Insurance: Cigna</v>
      </c>
      <c r="C33" s="60" t="str">
        <f>'Level 1'!Y33</f>
        <v xml:space="preserve">Task Post Pmt Queue </v>
      </c>
      <c r="D33" s="44" t="str">
        <f>VLOOKUP(C33,Table2[#All],3,FALSE)</f>
        <v>N/A</v>
      </c>
      <c r="E33" s="75" t="s">
        <v>193</v>
      </c>
      <c r="F33" s="116" t="s">
        <v>3698</v>
      </c>
      <c r="G33" s="97"/>
      <c r="H33"/>
    </row>
    <row r="34" spans="1:8" ht="63" x14ac:dyDescent="0.25">
      <c r="A34" s="43" t="str">
        <f>CONCATENATE("Pt Id:",'Level 1'!E34," ","Pt Name: ",'Level 1'!F34," ","DOS: ", TEXT('Level 1'!H34,"mm-dd-yyyy"),"  "," Amnt: ","$",'Level 1'!J34,"  ", 'Level 1'!N34)</f>
        <v>Pt Id:8165 Pt Name: Ramsey, Jerod  DOS: 10-08-2021   Amnt: $244.8  Claim Paid by EFT;</v>
      </c>
      <c r="B34" s="43" t="str">
        <f>CONCATENATE("Detail: ",'Level 1'!N34,"  ",'Level 1'!O34,TEXT('Level 1'!P34,"  mm-dd-yyyy"),";"," ",'Level 1'!Q34,'Level 1'!R34,"  ",'Level 1'!T34," ","Payment "," ",'Level 1'!U34,"  ",'Level 1'!V34,"  ",'Level 1'!W34,"  ",'Level 1'!X34,"  ",'Level 1'!Z34, "  ",'Level 1'!AA34, " ","Insurance: ",'Level 1'!A34)</f>
        <v>Detail: Claim Paid by EFT;  Issue Date:  10-13-2021; EFT#9997740966  Single Payment  Call Ref#:  5422  Cust Rep:  Ey  Additional Notes:  Pd $105 Pt responsibility $'0'  Clm #D212856143770. All codes are got paid. Eob requested Insurance: Cigna</v>
      </c>
      <c r="C34" s="60" t="str">
        <f>'Level 1'!Y34</f>
        <v xml:space="preserve">Task Post Pmt Queue </v>
      </c>
      <c r="D34" s="44" t="str">
        <f>VLOOKUP(C34,Table2[#All],3,FALSE)</f>
        <v>N/A</v>
      </c>
      <c r="E34" s="75" t="s">
        <v>192</v>
      </c>
      <c r="F34" s="96" t="s">
        <v>4167</v>
      </c>
      <c r="G34" s="97" t="s">
        <v>4166</v>
      </c>
      <c r="H34"/>
    </row>
    <row r="35" spans="1:8" ht="63" x14ac:dyDescent="0.25">
      <c r="A35" s="43" t="str">
        <f>CONCATENATE("Pt Id:",'Level 1'!E35," ","Pt Name: ",'Level 1'!F35," ","DOS: ", TEXT('Level 1'!H35,"mm-dd-yyyy"),"  "," Amnt: ","$",'Level 1'!J35,"  ", 'Level 1'!N35)</f>
        <v>Pt Id:7712 Pt Name: Kienia, Brooke DOS: 08-18-2021   Amnt: $273.2  Claim Paid by EFT;</v>
      </c>
      <c r="B35" s="43" t="str">
        <f>CONCATENATE("Detail: ",'Level 1'!N35,"  ",'Level 1'!O35,TEXT('Level 1'!P35,"  mm-dd-yyyy"),";"," ",'Level 1'!Q35,'Level 1'!R35,"  ",'Level 1'!T35," ","Payment "," ",'Level 1'!U35,"  ",'Level 1'!V35,"  ",'Level 1'!W35,"  ",'Level 1'!X35,"  ",'Level 1'!Z35, "  ",'Level 1'!AA35, " ","Insurance: ",'Level 1'!A35)</f>
        <v>Detail: Claim Paid by EFT;  Issue Date:  08-30-2021; EFT#128408296  Bulk Payment  Call Ref#:  7115  Cust Rep:  Roger  Additional Notes:  Rep States that Claim Paid,Claim No:E212426363940, paid amt$124 Patient Resp: NIL, All the lines paid on the claim. Insurance: Cigna</v>
      </c>
      <c r="C35" s="60" t="str">
        <f>'Level 1'!Y35</f>
        <v xml:space="preserve">Task Post Pmt Queue </v>
      </c>
      <c r="D35" s="44" t="str">
        <f>VLOOKUP(C35,Table2[#All],3,FALSE)</f>
        <v>N/A</v>
      </c>
      <c r="E35" s="75" t="s">
        <v>192</v>
      </c>
      <c r="F35" s="96" t="s">
        <v>4167</v>
      </c>
      <c r="G35" s="97" t="s">
        <v>4166</v>
      </c>
      <c r="H35"/>
    </row>
    <row r="36" spans="1:8" ht="63" x14ac:dyDescent="0.25">
      <c r="A36" s="43" t="str">
        <f>CONCATENATE("Pt Id:",'Level 1'!E36," ","Pt Name: ",'Level 1'!F36," ","DOS: ", TEXT('Level 1'!H36,"mm-dd-yyyy"),"  "," Amnt: ","$",'Level 1'!J36,"  ", 'Level 1'!N36)</f>
        <v>Pt Id:7711 Pt Name: Kienia, Jaxon DOS: 08-18-2021   Amnt: $256.4  Claim Paid by EFT;</v>
      </c>
      <c r="B36" s="43" t="str">
        <f>CONCATENATE("Detail: ",'Level 1'!N36,"  ",'Level 1'!O36,TEXT('Level 1'!P36,"  mm-dd-yyyy"),";"," ",'Level 1'!Q36,'Level 1'!R36,"  ",'Level 1'!T36," ","Payment "," ",'Level 1'!U36,"  ",'Level 1'!V36,"  ",'Level 1'!W36,"  ",'Level 1'!X36,"  ",'Level 1'!Z36, "  ",'Level 1'!AA36, " ","Insurance: ",'Level 1'!A36)</f>
        <v>Detail: Claim Paid by EFT;  Issue Date:  08-30-2021; EFT#9996836027  Bulk Payment  Call Ref#:  9985  Cust Rep:  sara  Additional Notes:  EOB Requested//Get EOB -  SN   //   Rep States that the Claim Paid,Claim No:D212426363980, paid amt$114 , All the lines paid on the claim. Insurance: Cigna</v>
      </c>
      <c r="C36" s="60" t="str">
        <f>'Level 1'!Y36</f>
        <v xml:space="preserve">Task Post Pmt Queue </v>
      </c>
      <c r="D36" s="44" t="str">
        <f>VLOOKUP(C36,Table2[#All],3,FALSE)</f>
        <v>N/A</v>
      </c>
      <c r="E36" s="75" t="s">
        <v>192</v>
      </c>
      <c r="F36" s="96" t="s">
        <v>4167</v>
      </c>
      <c r="G36" s="97" t="s">
        <v>4166</v>
      </c>
      <c r="H36"/>
    </row>
    <row r="37" spans="1:8" ht="63" x14ac:dyDescent="0.25">
      <c r="A37" s="43" t="str">
        <f>CONCATENATE("Pt Id:",'Level 1'!E37," ","Pt Name: ",'Level 1'!F37," ","DOS: ", TEXT('Level 1'!H37,"mm-dd-yyyy"),"  "," Amnt: ","$",'Level 1'!J37,"  ", 'Level 1'!N37)</f>
        <v>Pt Id:7755 Pt Name: Al-Jehani, Afton DOS: 08-17-2021   Amnt: $325.2  Claim Paid by EFT;</v>
      </c>
      <c r="B37" s="43" t="str">
        <f>CONCATENATE("Detail: ",'Level 1'!N37,"  ",'Level 1'!O37,TEXT('Level 1'!P37,"  mm-dd-yyyy"),";"," ",'Level 1'!Q37,'Level 1'!R37,"  ",'Level 1'!T37," ","Payment "," ",'Level 1'!U37,"  ",'Level 1'!V37,"  ",'Level 1'!W37,"  ",'Level 1'!X37,"  ",'Level 1'!Z37, "  ",'Level 1'!AA37, " ","Insurance: ",'Level 1'!A37)</f>
        <v>Detail: Claim Paid by EFT;  Issue Date:  08-31-2021; EFT#6836028  Single Payment  Call Ref#:  3545  Cust Rep:  karissa  Additional Notes:  Pd $105 Pt responsibility $47.00 Clm #E2124726363920. All codes are got paid. Eob requested Insurance: Cigna</v>
      </c>
      <c r="C37" s="60" t="str">
        <f>'Level 1'!Y37</f>
        <v xml:space="preserve">Task Post Pmt Queue </v>
      </c>
      <c r="D37" s="44" t="str">
        <f>VLOOKUP(C37,Table2[#All],3,FALSE)</f>
        <v>N/A</v>
      </c>
      <c r="E37" s="75" t="s">
        <v>192</v>
      </c>
      <c r="F37" s="96" t="s">
        <v>4167</v>
      </c>
      <c r="G37" s="97" t="s">
        <v>4166</v>
      </c>
      <c r="H37"/>
    </row>
    <row r="38" spans="1:8" ht="63" x14ac:dyDescent="0.25">
      <c r="A38" s="43" t="str">
        <f>CONCATENATE("Pt Id:",'Level 1'!E38," ","Pt Name: ",'Level 1'!F38," ","DOS: ", TEXT('Level 1'!H38,"mm-dd-yyyy"),"  "," Amnt: ","$",'Level 1'!J38,"  ", 'Level 1'!N38)</f>
        <v>Pt Id:3523 Pt Name: SHERMAN, STEPHANIE DOS: 03-10-2021   Amnt: $230  Claim Paid by EFT;</v>
      </c>
      <c r="B38" s="43" t="str">
        <f>CONCATENATE("Detail: ",'Level 1'!N38,"  ",'Level 1'!O38,TEXT('Level 1'!P38,"  mm-dd-yyyy"),";"," ",'Level 1'!Q38,'Level 1'!R38,"  ",'Level 1'!T38," ","Payment "," ",'Level 1'!U38,"  ",'Level 1'!V38,"  ",'Level 1'!W38,"  ",'Level 1'!X38,"  ",'Level 1'!Z38, "  ",'Level 1'!AA38, " ","Insurance: ",'Level 1'!A38)</f>
        <v>Detail: Claim Paid by EFT;  Issue Date:  05-05-2021; EFT#921050501590  Bulk Payment  Call Ref#:  021720211010  Cust Rep:  jane  Additional Notes:  Rep states that the clm#202110611427-1 total amt$181 Pt resp paid on the Nil. Insurance: DELTA DENTAL OF IOWA</v>
      </c>
      <c r="C38" s="60" t="str">
        <f>'Level 1'!Y38</f>
        <v xml:space="preserve">Task Post Pmt Queue </v>
      </c>
      <c r="D38" s="44" t="str">
        <f>VLOOKUP(C38,Table2[#All],3,FALSE)</f>
        <v>N/A</v>
      </c>
      <c r="E38" s="75" t="s">
        <v>193</v>
      </c>
      <c r="F38" s="116" t="s">
        <v>3698</v>
      </c>
      <c r="G38" s="97"/>
      <c r="H38"/>
    </row>
    <row r="39" spans="1:8" ht="168" x14ac:dyDescent="0.25">
      <c r="A39" s="43" t="str">
        <f>CONCATENATE("Pt Id:",'Level 1'!E39," ","Pt Name: ",'Level 1'!F39," ","DOS: ", TEXT('Level 1'!H39,"mm-dd-yyyy"),"  "," Amnt: ","$",'Level 1'!J39,"  ", 'Level 1'!N39)</f>
        <v>Pt Id:5758 Pt Name: Tamsen , Robin  DOS: 10-29-2021   Amnt: $593.2  Claim Partially Paid by EFT; Add notes</v>
      </c>
      <c r="B39" s="43" t="str">
        <f>CONCATENATE("Detail: ",'Level 1'!N39,"  ",'Level 1'!O39,TEXT('Level 1'!P39,"  mm-dd-yyyy"),";"," ",'Level 1'!Q39,'Level 1'!R39,"  ",'Level 1'!T39," ","Payment "," ",'Level 1'!U39,"  ",'Level 1'!V39,"  ",'Level 1'!W39,"  ",'Level 1'!X39,"  ",'Level 1'!Z39, "  ",'Level 1'!AA39, " ","Insurance: ",'Level 1'!A39)</f>
        <v xml:space="preserve">Detail: Claim Partially Paid by EFT; Add notes  Issue Date:  04-07-2022; EFT#9907646801  Sep Payment  Call Ref#:  2001833603  Cust Rep:  Musheerah  Additional Notes:  Rep State Clm No:2111102306400,Paid Amt: 190.50,Patient Resp 292.50 Code D9230 is denied as it is not covered //Rep states that claim has been sent for reprosessing and the EOB has sent to the provideers mailing address. Rep Santo id #2001261703.       ///REWORK &amp; UPDATE - SN    //   Rep states that the clm #2112142747268, the claim is on hold because the ins is wondering that the member has the sec policy with him, there is a DPOW-CCHP is the sec policy for the patient, Rep says that we have to submitt with only the primay insurance policy which is Delta dental to allow the benifits of the claim. Insurance: DELTA DENTAL OF MICHIGAN </v>
      </c>
      <c r="C39" s="60" t="str">
        <f>'Level 1'!Y39</f>
        <v xml:space="preserve">Task Post Pmt Queue </v>
      </c>
      <c r="D39" s="44" t="str">
        <f>VLOOKUP(C39,Table2[#All],3,FALSE)</f>
        <v>N/A</v>
      </c>
      <c r="E39" s="75" t="s">
        <v>199</v>
      </c>
      <c r="F39" s="96"/>
      <c r="G39" s="97"/>
      <c r="H39"/>
    </row>
    <row r="40" spans="1:8" ht="21" x14ac:dyDescent="0.25">
      <c r="A40" s="43" t="str">
        <f>CONCATENATE("Pt Id:",'Level 1'!E40," ","Pt Name: ",'Level 1'!F40," ","DOS: ", TEXT('Level 1'!H40,"mm-dd-yyyy"),"  "," Amnt: ","$",'Level 1'!J40,"  ", 'Level 1'!N40)</f>
        <v>Pt Id:8109 Pt Name: Tweedt, David  DOS: 02-25-2022   Amnt: $890  Note</v>
      </c>
      <c r="B40" s="43" t="str">
        <f>CONCATENATE("Detail: ",'Level 1'!N40,"  ",'Level 1'!O40,TEXT('Level 1'!P40,"  mm-dd-yyyy"),";"," ",'Level 1'!Q40,'Level 1'!R40,"  ",'Level 1'!T40," ","Payment "," ",'Level 1'!U40,"  ",'Level 1'!V40,"  ",'Level 1'!W40,"  ",'Level 1'!X40,"  ",'Level 1'!Z40, "  ",'Level 1'!AA40, " ","Insurance: ",'Level 1'!A40)</f>
        <v xml:space="preserve">Detail: Note  Q1  01-00-1900; Q2   Payment  Q4    Q5    Additional Notes:   Insurance: Delta Dental of Minnesota </v>
      </c>
      <c r="C40" s="60" t="str">
        <f>'Level 1'!Y40</f>
        <v>Action</v>
      </c>
      <c r="D40" s="44" t="str">
        <f>VLOOKUP(C40,Table2[#All],3,FALSE)</f>
        <v>What we need from you/Reason</v>
      </c>
      <c r="E40" s="75" t="s">
        <v>199</v>
      </c>
      <c r="F40" s="96"/>
      <c r="G40" s="97"/>
      <c r="H40"/>
    </row>
    <row r="41" spans="1:8" ht="105" x14ac:dyDescent="0.25">
      <c r="A41" s="43" t="str">
        <f>CONCATENATE("Pt Id:",'Level 1'!E41," ","Pt Name: ",'Level 1'!F41," ","DOS: ", TEXT('Level 1'!H41,"mm-dd-yyyy"),"  "," Amnt: ","$",'Level 1'!J41,"  ", 'Level 1'!N41)</f>
        <v>Pt Id:479 Pt Name: Penland, Teagan DOS: 12-08-2021   Amnt: $333.2  Procedure is not a covered benefit;</v>
      </c>
      <c r="B41" s="43" t="str">
        <f>CONCATENATE("Detail: ",'Level 1'!N41,"  ",'Level 1'!O41,TEXT('Level 1'!P41,"  mm-dd-yyyy"),";"," ",'Level 1'!Q41,'Level 1'!R41,"  ",'Level 1'!T41," ","Payment "," ",'Level 1'!U41,"  ",'Level 1'!V41,"  ",'Level 1'!W41,"  ",'Level 1'!X41,"  ",'Level 1'!Z41, "  ",'Level 1'!AA41, " ","Insurance: ",'Level 1'!A41)</f>
        <v xml:space="preserve">Detail: Procedure is not a covered benefit;  Why?   01-00-1900; Call Ref#:   Payment  0    0    Additional Notes:  Clm # 2112152962231, This claim could not be processed since the submitted combination of member ID, first name and/or date of birth could not be located in our records. Please confirm the claim was submitted to the correct carrier and if so, resubmit the claim with the correct member ID (which may not be the Social Security Number), first name and date of birth. Insurance: Delta Dental of Minnesota </v>
      </c>
      <c r="C41" s="60" t="str">
        <f>'Level 1'!Y41</f>
        <v xml:space="preserve">Task Client - Denied Claim Queue </v>
      </c>
      <c r="D41" s="44" t="str">
        <f>VLOOKUP(C41,Table2[#All],3,FALSE)</f>
        <v>What We Need From You: Pls confirm if we can close the claims Reason: To close claim</v>
      </c>
      <c r="E41" s="75" t="s">
        <v>193</v>
      </c>
      <c r="F41" s="96" t="s">
        <v>3698</v>
      </c>
      <c r="G41" s="97"/>
      <c r="H41"/>
    </row>
    <row r="42" spans="1:8" ht="105" x14ac:dyDescent="0.25">
      <c r="A42" s="43" t="str">
        <f>CONCATENATE("Pt Id:",'Level 1'!E42," ","Pt Name: ",'Level 1'!F42," ","DOS: ", TEXT('Level 1'!H42,"mm-dd-yyyy"),"  "," Amnt: ","$",'Level 1'!J42,"  ", 'Level 1'!N42)</f>
        <v>Pt Id:5310 Pt Name: Turner, Lukas DOS: 10-13-2021   Amnt: $326  Claim Partially Paid by EFT; Add notes</v>
      </c>
      <c r="B42" s="43" t="str">
        <f>CONCATENATE("Detail: ",'Level 1'!N42,"  ",'Level 1'!O42,TEXT('Level 1'!P42,"  mm-dd-yyyy"),";"," ",'Level 1'!Q42,'Level 1'!R42,"  ",'Level 1'!T42," ","Payment "," ",'Level 1'!U42,"  ",'Level 1'!V42,"  ",'Level 1'!W42,"  ",'Level 1'!X42,"  ",'Level 1'!Z42, "  ",'Level 1'!AA42, " ","Insurance: ",'Level 1'!A42)</f>
        <v xml:space="preserve">Detail: Claim Partially Paid by EFT; Add notes  Issue Date:  12-14-2021; EFT#9100859245  Single Payment  Call Ref#:  1538617207  Cust Rep:  Siera  Additional Notes:  Rep states that clm #2112142789895, paid amt $196,Rcd on 12/14/2021 processed on the same day D0272 and D1208 is denied due to frequency and the freq for both is 1 per calender year, his dates for both the codes are 4/12/2021. ///Get the status - SN Insurance: Delta Dental of Minnesota </v>
      </c>
      <c r="C42" s="60" t="str">
        <f>'Level 1'!Y42</f>
        <v xml:space="preserve">Task Post Pmt Queue </v>
      </c>
      <c r="D42" s="44" t="str">
        <f>VLOOKUP(C42,Table2[#All],3,FALSE)</f>
        <v>N/A</v>
      </c>
      <c r="E42" s="75" t="s">
        <v>193</v>
      </c>
      <c r="F42" s="116" t="s">
        <v>3698</v>
      </c>
      <c r="G42" s="97"/>
      <c r="H42"/>
    </row>
    <row r="43" spans="1:8" ht="63" x14ac:dyDescent="0.25">
      <c r="A43" s="43" t="str">
        <f>CONCATENATE("Pt Id:",'Level 1'!E43," ","Pt Name: ",'Level 1'!F43," ","DOS: ", TEXT('Level 1'!H43,"mm-dd-yyyy"),"  "," Amnt: ","$",'Level 1'!J43,"  ", 'Level 1'!N43)</f>
        <v>Pt Id:7084 Pt Name: Mccarter , Markayla  DOS: 09-22-2021   Amnt: $0  Claim not on file. Patient is active ;</v>
      </c>
      <c r="B43" s="43" t="str">
        <f>CONCATENATE("Detail: ",'Level 1'!N43,"  ",'Level 1'!O43,TEXT('Level 1'!P43,"  mm-dd-yyyy"),";"," ",'Level 1'!Q43,'Level 1'!R43,"  ",'Level 1'!T43," ","Payment "," ",'Level 1'!U43,"  ",'Level 1'!V43,"  ",'Level 1'!W43,"  ",'Level 1'!X43,"  ",'Level 1'!Z43, "  ",'Level 1'!AA43, " ","Insurance: ",'Level 1'!A43)</f>
        <v xml:space="preserve">Detail: Claim not on file. Patient is active ;  Payor ID &amp; Address:  03-01-1919; Fax # (If Fax Yes):  12 Months from Dos Payment  Call Ref#:  1538986657  Cust Rep:  ANGIE  Additional Notes:  CNOF - patient Active. Address: PO Box# 9120, Farmington Hill MI -48333 Insurance: Delta Dental of Minnesota </v>
      </c>
      <c r="C43" s="60" t="str">
        <f>'Level 1'!Y43</f>
        <v>Task Sub Pending Claims Queue</v>
      </c>
      <c r="D43" s="44" t="str">
        <f>VLOOKUP(C43,Table2[#All],3,FALSE)</f>
        <v>N/A</v>
      </c>
      <c r="E43" s="75" t="s">
        <v>192</v>
      </c>
      <c r="F43" s="116" t="s">
        <v>4177</v>
      </c>
      <c r="G43" s="97" t="s">
        <v>4180</v>
      </c>
      <c r="H43"/>
    </row>
    <row r="44" spans="1:8" ht="63" x14ac:dyDescent="0.25">
      <c r="A44" s="43" t="str">
        <f>CONCATENATE("Pt Id:",'Level 1'!E44," ","Pt Name: ",'Level 1'!F44," ","DOS: ", TEXT('Level 1'!H44,"mm-dd-yyyy"),"  "," Amnt: ","$",'Level 1'!J44,"  ", 'Level 1'!N44)</f>
        <v>Pt Id:821 Pt Name: Cordero, Ana  DOS: 12-07-2021   Amnt: $61.2  Patient not active/no active policy;</v>
      </c>
      <c r="B44" s="43" t="str">
        <f>CONCATENATE("Detail: ",'Level 1'!N44,"  ",'Level 1'!O44,TEXT('Level 1'!P44,"  mm-dd-yyyy"),";"," ",'Level 1'!Q44,'Level 1'!R44,"  ",'Level 1'!T44," ","Payment "," ",'Level 1'!U44,"  ",'Level 1'!V44,"  ",'Level 1'!W44,"  ",'Level 1'!X44,"  ",'Level 1'!Z44, "  ",'Level 1'!AA44, " ","Insurance: ",'Level 1'!A44)</f>
        <v>Detail: Patient not active/no active policy;  Policy Term Dt:  10-20-2021; Call Ref#:9104701  Siera Payment  0    0    Additional Notes:  Rep states that the policy has been terminated for the patient, term date 10/20/2021. Insurance: Delta Dental of Missouri</v>
      </c>
      <c r="C44" s="60" t="str">
        <f>'Level 1'!Y44</f>
        <v>Task Denied Claims Queue</v>
      </c>
      <c r="D44" s="44" t="str">
        <f>VLOOKUP(C44,Table2[#All],3,FALSE)</f>
        <v xml:space="preserve">What We Need From You: Reason: </v>
      </c>
      <c r="E44" s="75" t="s">
        <v>199</v>
      </c>
      <c r="F44" s="96"/>
      <c r="G44" s="97"/>
      <c r="H44"/>
    </row>
    <row r="45" spans="1:8" ht="63" x14ac:dyDescent="0.25">
      <c r="A45" s="43" t="str">
        <f>CONCATENATE("Pt Id:",'Level 1'!E45," ","Pt Name: ",'Level 1'!F45," ","DOS: ", TEXT('Level 1'!H45,"mm-dd-yyyy"),"  "," Amnt: ","$",'Level 1'!J45,"  ", 'Level 1'!N45)</f>
        <v>Pt Id:3001 Pt Name: Mejia , Jason  DOS: 05-05-2021   Amnt: $782.8  Claim Paid by EFT;</v>
      </c>
      <c r="B45" s="43" t="str">
        <f>CONCATENATE("Detail: ",'Level 1'!N45,"  ",'Level 1'!O45,TEXT('Level 1'!P45,"  mm-dd-yyyy"),";"," ",'Level 1'!Q45,'Level 1'!R45,"  ",'Level 1'!T45," ","Payment "," ",'Level 1'!U45,"  ",'Level 1'!V45,"  ",'Level 1'!W45,"  ",'Level 1'!X45,"  ",'Level 1'!Z45, "  ",'Level 1'!AA45, " ","Insurance: ",'Level 1'!A45)</f>
        <v>Detail: Claim Paid by EFT;  Issue Date:  05-13-2021; EFT#11234233  Single Payment  Call Ref#:  20220139569  Cust Rep:  Morgan  Additional Notes:  Rep states that clm #202113031228400, paid amt $153.40, It is a direct deposit cased dt 5/13/2021, Pt res 153.40. Insurance: Delta Dental of Washington</v>
      </c>
      <c r="C45" s="60" t="str">
        <f>'Level 1'!Y45</f>
        <v xml:space="preserve">Task Post Pmt Queue </v>
      </c>
      <c r="D45" s="44" t="str">
        <f>VLOOKUP(C45,Table2[#All],3,FALSE)</f>
        <v>N/A</v>
      </c>
      <c r="E45" s="75" t="s">
        <v>193</v>
      </c>
      <c r="F45" s="116" t="s">
        <v>3698</v>
      </c>
      <c r="G45" s="97"/>
      <c r="H45"/>
    </row>
    <row r="46" spans="1:8" ht="84" x14ac:dyDescent="0.25">
      <c r="A46" s="43" t="str">
        <f>CONCATENATE("Pt Id:",'Level 1'!E46," ","Pt Name: ",'Level 1'!F46," ","DOS: ", TEXT('Level 1'!H46,"mm-dd-yyyy"),"  "," Amnt: ","$",'Level 1'!J46,"  ", 'Level 1'!N46)</f>
        <v>Pt Id:1865 Pt Name: Clark, Charles  DOS: 05-03-2021   Amnt: $610.8  Procedure is not a covered benefit;</v>
      </c>
      <c r="B46" s="43" t="str">
        <f>CONCATENATE("Detail: ",'Level 1'!N46,"  ",'Level 1'!O46,TEXT('Level 1'!P46,"  mm-dd-yyyy"),";"," ",'Level 1'!Q46,'Level 1'!R46,"  ",'Level 1'!T46," ","Payment "," ",'Level 1'!U46,"  ",'Level 1'!V46,"  ",'Level 1'!W46,"  ",'Level 1'!X46,"  ",'Level 1'!Z46, "  ",'Level 1'!AA46, " ","Insurance: ",'Level 1'!A46)</f>
        <v>Detail: Procedure is not a covered benefit;  Why? Not eligible at DOS; Call Ref#:202200054335  Kathleen Payment  0    0    Additional Notes:  Rep State that Claim Denied as patient is Inactive at the time of service,Termination Date:04/30/2021,Last Active Date:03/23/2020,  Effective Date: 03/23/2020,  Claim No:202113031229700,  Processed &amp; Denied Date: 05/28/2021,  Patient Resp:$610.80 Insurance: Delta Dental of Washington</v>
      </c>
      <c r="C46" s="60" t="str">
        <f>'Level 1'!Y46</f>
        <v xml:space="preserve">Task Client - Denied Claim Queue </v>
      </c>
      <c r="D46" s="44" t="str">
        <f>VLOOKUP(C46,Table2[#All],3,FALSE)</f>
        <v>What We Need From You: Pls confirm if we can close the claims Reason: To close claim</v>
      </c>
      <c r="E46" s="75" t="s">
        <v>193</v>
      </c>
      <c r="F46" s="116" t="s">
        <v>3698</v>
      </c>
      <c r="G46" s="97"/>
      <c r="H46"/>
    </row>
    <row r="47" spans="1:8" ht="63" x14ac:dyDescent="0.25">
      <c r="A47" s="43" t="str">
        <f>CONCATENATE("Pt Id:",'Level 1'!E47," ","Pt Name: ",'Level 1'!F47," ","DOS: ", TEXT('Level 1'!H47,"mm-dd-yyyy"),"  "," Amnt: ","$",'Level 1'!J47,"  ", 'Level 1'!N47)</f>
        <v>Pt Id:5461 Pt Name: Syas, Brenae DOS: 04-15-2021   Amnt: $396  Claim Paid by EFT;</v>
      </c>
      <c r="B47" s="43" t="str">
        <f>CONCATENATE("Detail: ",'Level 1'!N47,"  ",'Level 1'!O47,TEXT('Level 1'!P47,"  mm-dd-yyyy"),";"," ",'Level 1'!Q47,'Level 1'!R47,"  ",'Level 1'!T47," ","Payment "," ",'Level 1'!U47,"  ",'Level 1'!V47,"  ",'Level 1'!W47,"  ",'Level 1'!X47,"  ",'Level 1'!Z47, "  ",'Level 1'!AA47, " ","Insurance: ",'Level 1'!A47)</f>
        <v>Detail: Claim Paid by EFT;  Issue Date:  04-22-2021; EFT#11207602  Bulk Payment  Call Ref#:  202200054382  Cust Rep:  Kathleen  Additional Notes:  Rep State that Claim Paid,Claim No: 202110631644400,  Paid Amt:$239.40,Paid by Bulk(Bulk Amt: $855.90)  ,  Patient Resp:$76.60 Insurance: Delta Dental of Washington</v>
      </c>
      <c r="C47" s="60" t="str">
        <f>'Level 1'!Y47</f>
        <v xml:space="preserve">Task Post Pmt Queue </v>
      </c>
      <c r="D47" s="44" t="str">
        <f>VLOOKUP(C47,Table2[#All],3,FALSE)</f>
        <v>N/A</v>
      </c>
      <c r="E47" s="75" t="s">
        <v>193</v>
      </c>
      <c r="F47" s="116" t="s">
        <v>3698</v>
      </c>
      <c r="G47" s="97"/>
      <c r="H47"/>
    </row>
    <row r="48" spans="1:8" ht="42" x14ac:dyDescent="0.25">
      <c r="A48" s="43" t="str">
        <f>CONCATENATE("Pt Id:",'Level 1'!E48," ","Pt Name: ",'Level 1'!F48," ","DOS: ", TEXT('Level 1'!H48,"mm-dd-yyyy"),"  "," Amnt: ","$",'Level 1'!J48,"  ", 'Level 1'!N48)</f>
        <v>Pt Id:2870 Pt Name: Mejia, Viannie DOS: 04-15-2021   Amnt: $532  Write information in Addl Notes</v>
      </c>
      <c r="B48" s="43" t="str">
        <f>CONCATENATE("Detail: ",'Level 1'!N48,"  ",'Level 1'!O48,TEXT('Level 1'!P48,"  mm-dd-yyyy"),";"," ",'Level 1'!Q48,'Level 1'!R48,"  ",'Level 1'!T48," ","Payment "," ",'Level 1'!U48,"  ",'Level 1'!V48,"  ",'Level 1'!W48,"  ",'Level 1'!X48,"  ",'Level 1'!Z48, "  ",'Level 1'!AA48, " ","Insurance: ",'Level 1'!A48)</f>
        <v>Detail: Write information in Addl Notes  Call Ref#:  01-00-1900; Cust Rep:   Payment            Additional Notes:   Insurance: Delta Dental of Washington</v>
      </c>
      <c r="C48" s="60" t="str">
        <f>'Level 1'!Y48</f>
        <v xml:space="preserve"> Team Lead to review &amp; Follow-Up</v>
      </c>
      <c r="D48" s="44" t="e">
        <f>VLOOKUP(C48,Table2[#All],3,FALSE)</f>
        <v>#N/A</v>
      </c>
      <c r="E48" s="75" t="s">
        <v>193</v>
      </c>
      <c r="F48" s="116" t="s">
        <v>3698</v>
      </c>
      <c r="G48" s="97"/>
      <c r="H48"/>
    </row>
    <row r="49" spans="1:8" ht="84" x14ac:dyDescent="0.25">
      <c r="A49" s="43" t="str">
        <f>CONCATENATE("Pt Id:",'Level 1'!E49," ","Pt Name: ",'Level 1'!F49," ","DOS: ", TEXT('Level 1'!H49,"mm-dd-yyyy"),"  "," Amnt: ","$",'Level 1'!J49,"  ", 'Level 1'!N49)</f>
        <v>Pt Id:3001 Pt Name: Mejia , Jason  DOS: 04-13-2021   Amnt: $748  Claim Paid by EFT;</v>
      </c>
      <c r="B49" s="43" t="str">
        <f>CONCATENATE("Detail: ",'Level 1'!N49,"  ",'Level 1'!O49,TEXT('Level 1'!P49,"  mm-dd-yyyy"),";"," ",'Level 1'!Q49,'Level 1'!R49,"  ",'Level 1'!T49," ","Payment "," ",'Level 1'!U49,"  ",'Level 1'!V49,"  ",'Level 1'!W49,"  ",'Level 1'!X49,"  ",'Level 1'!Z49, "  ",'Level 1'!AA49, " ","Insurance: ",'Level 1'!A49)</f>
        <v>Detail: Claim Paid by EFT;  Issue Date:  04-22-2021; EFT#11207602  Bulk Payment  Call Ref#:  20220139569  Cust Rep:  Morgan  Additional Notes:  Rep states that clm #202110631649100, paid amt $411.30, It is a bulk amt $855.90, PR aamt $195.70, It’s a direct deposit, cashed dt 4/22/2021, There are 3 codes on the claim which has been paid. Insurance: Delta Dental of Washington</v>
      </c>
      <c r="C49" s="60" t="str">
        <f>'Level 1'!Y49</f>
        <v xml:space="preserve">Task Post Pmt Queue </v>
      </c>
      <c r="D49" s="44" t="str">
        <f>VLOOKUP(C49,Table2[#All],3,FALSE)</f>
        <v>N/A</v>
      </c>
      <c r="E49" s="75" t="s">
        <v>193</v>
      </c>
      <c r="F49" s="116" t="s">
        <v>3698</v>
      </c>
      <c r="G49" s="97"/>
      <c r="H49"/>
    </row>
    <row r="50" spans="1:8" ht="63" x14ac:dyDescent="0.25">
      <c r="A50" s="43" t="str">
        <f>CONCATENATE("Pt Id:",'Level 1'!E50," ","Pt Name: ",'Level 1'!F50," ","DOS: ", TEXT('Level 1'!H50,"mm-dd-yyyy"),"  "," Amnt: ","$",'Level 1'!J50,"  ", 'Level 1'!N50)</f>
        <v>Pt Id:3001 Pt Name: Mejia , Jason  DOS: 03-18-2021   Amnt: $227.6  Claim Paid by EFT;</v>
      </c>
      <c r="B50" s="43" t="str">
        <f>CONCATENATE("Detail: ",'Level 1'!N50,"  ",'Level 1'!O50,TEXT('Level 1'!P50,"  mm-dd-yyyy"),";"," ",'Level 1'!Q50,'Level 1'!R50,"  ",'Level 1'!T50," ","Payment "," ",'Level 1'!U50,"  ",'Level 1'!V50,"  ",'Level 1'!W50,"  ",'Level 1'!X50,"  ",'Level 1'!Z50, "  ",'Level 1'!AA50, " ","Insurance: ",'Level 1'!A50)</f>
        <v>Detail: Claim Paid by EFT;  Issue Date:  04-01-2021; EFT#11181248  Bulk Payment  Call Ref#:  20220139569  Cust Rep:  Morgan  Additional Notes:  Rep states that clm #202108332109200, paid amt $178, Patient res NIL, It’s a direct deposit cashed dt 4/1/2021, there are 6 codes on the claim which is paid. Insurance: Delta Dental of Washington</v>
      </c>
      <c r="C50" s="60" t="str">
        <f>'Level 1'!Y50</f>
        <v xml:space="preserve">Task Post Pmt Queue </v>
      </c>
      <c r="D50" s="44" t="str">
        <f>VLOOKUP(C50,Table2[#All],3,FALSE)</f>
        <v>N/A</v>
      </c>
      <c r="E50" s="75" t="s">
        <v>193</v>
      </c>
      <c r="F50" s="116" t="s">
        <v>3698</v>
      </c>
      <c r="G50" s="97"/>
      <c r="H50"/>
    </row>
    <row r="51" spans="1:8" ht="63" x14ac:dyDescent="0.25">
      <c r="A51" s="43" t="str">
        <f>CONCATENATE("Pt Id:",'Level 1'!E51," ","Pt Name: ",'Level 1'!F51," ","DOS: ", TEXT('Level 1'!H51,"mm-dd-yyyy"),"  "," Amnt: ","$",'Level 1'!J51,"  ", 'Level 1'!N51)</f>
        <v>Pt Id:2870 Pt Name: Mejia, Viannie DOS: 03-18-2021   Amnt: $227.6  Claim Paid by EFT;</v>
      </c>
      <c r="B51" s="43" t="str">
        <f>CONCATENATE("Detail: ",'Level 1'!N51,"  ",'Level 1'!O51,TEXT('Level 1'!P51,"  mm-dd-yyyy"),";"," ",'Level 1'!Q51,'Level 1'!R51,"  ",'Level 1'!T51," ","Payment "," ",'Level 1'!U51,"  ",'Level 1'!V51,"  ",'Level 1'!W51,"  ",'Level 1'!X51,"  ",'Level 1'!Z51, "  ",'Level 1'!AA51, " ","Insurance: ",'Level 1'!A51)</f>
        <v>Detail: Claim Paid by EFT;  Issue Date:  04-01-2021; EFT#11181248  Bulk Payment  Call Ref#:  202200139640  Cust Rep:  Morgan  Additional Notes:  Rep states that clm #202108332129600, paid amt $178, patient res NIL, it’s a bulk payment $366, there are 6lines on the claim which has been paid. Insurance: Delta Dental of Washington</v>
      </c>
      <c r="C51" s="60" t="str">
        <f>'Level 1'!Y51</f>
        <v xml:space="preserve">Task Post Pmt Queue </v>
      </c>
      <c r="D51" s="44" t="str">
        <f>VLOOKUP(C51,Table2[#All],3,FALSE)</f>
        <v>N/A</v>
      </c>
      <c r="E51" s="75" t="s">
        <v>193</v>
      </c>
      <c r="F51" s="116" t="s">
        <v>3698</v>
      </c>
      <c r="G51" s="97"/>
      <c r="H51"/>
    </row>
    <row r="52" spans="1:8" ht="21" x14ac:dyDescent="0.25">
      <c r="A52" s="43" t="str">
        <f>CONCATENATE("Pt Id:",'Level 1'!E52," ","Pt Name: ",'Level 1'!F52," ","DOS: ", TEXT('Level 1'!H52,"mm-dd-yyyy"),"  "," Amnt: ","$",'Level 1'!J52,"  ", 'Level 1'!N52)</f>
        <v>Pt Id:6277 Pt Name: Legree, Cristie DOS: 03-31-2022   Amnt: $82.8  Note</v>
      </c>
      <c r="B52" s="43" t="str">
        <f>CONCATENATE("Detail: ",'Level 1'!N52,"  ",'Level 1'!O52,TEXT('Level 1'!P52,"  mm-dd-yyyy"),";"," ",'Level 1'!Q52,'Level 1'!R52,"  ",'Level 1'!T52," ","Payment "," ",'Level 1'!U52,"  ",'Level 1'!V52,"  ",'Level 1'!W52,"  ",'Level 1'!X52,"  ",'Level 1'!Z52, "  ",'Level 1'!AA52, " ","Insurance: ",'Level 1'!A52)</f>
        <v xml:space="preserve">Detail: Note  Q1  01-00-1900; Q2   Payment  Q4    Q5    Additional Notes:   Insurance: Delta Dental Of Wisconsin </v>
      </c>
      <c r="C52" s="60" t="str">
        <f>'Level 1'!Y52</f>
        <v>Action</v>
      </c>
      <c r="D52" s="44" t="str">
        <f>VLOOKUP(C52,Table2[#All],3,FALSE)</f>
        <v>What we need from you/Reason</v>
      </c>
      <c r="E52" s="75" t="s">
        <v>199</v>
      </c>
      <c r="F52" s="95"/>
      <c r="G52" s="97"/>
      <c r="H52"/>
    </row>
    <row r="53" spans="1:8" ht="21" x14ac:dyDescent="0.25">
      <c r="A53" s="43" t="str">
        <f>CONCATENATE("Pt Id:",'Level 1'!E53," ","Pt Name: ",'Level 1'!F53," ","DOS: ", TEXT('Level 1'!H53,"mm-dd-yyyy"),"  "," Amnt: ","$",'Level 1'!J53,"  ", 'Level 1'!N53)</f>
        <v>Pt Id:9286 Pt Name: Barber, Jazaria  DOS: 03-23-2022   Amnt: $1480.4  Note</v>
      </c>
      <c r="B53" s="43" t="str">
        <f>CONCATENATE("Detail: ",'Level 1'!N53,"  ",'Level 1'!O53,TEXT('Level 1'!P53,"  mm-dd-yyyy"),";"," ",'Level 1'!Q53,'Level 1'!R53,"  ",'Level 1'!T53," ","Payment "," ",'Level 1'!U53,"  ",'Level 1'!V53,"  ",'Level 1'!W53,"  ",'Level 1'!X53,"  ",'Level 1'!Z53, "  ",'Level 1'!AA53, " ","Insurance: ",'Level 1'!A53)</f>
        <v xml:space="preserve">Detail: Note  Q1  01-00-1900; Q2   Payment  Q4    Q5    Additional Notes:   Insurance: Delta Dental Of Wisconsin </v>
      </c>
      <c r="C53" s="60" t="str">
        <f>'Level 1'!Y53</f>
        <v>Action</v>
      </c>
      <c r="D53" s="44" t="str">
        <f>VLOOKUP(C53,Table2[#All],3,FALSE)</f>
        <v>What we need from you/Reason</v>
      </c>
      <c r="E53" s="75" t="s">
        <v>199</v>
      </c>
      <c r="F53" s="95"/>
      <c r="G53" s="97"/>
      <c r="H53"/>
    </row>
    <row r="54" spans="1:8" ht="42" x14ac:dyDescent="0.25">
      <c r="A54" s="43" t="str">
        <f>CONCATENATE("Pt Id:",'Level 1'!E54," ","Pt Name: ",'Level 1'!F54," ","DOS: ", TEXT('Level 1'!H54,"mm-dd-yyyy"),"  "," Amnt: ","$",'Level 1'!J54,"  ", 'Level 1'!N54)</f>
        <v>Pt Id:8966 Pt Name: Casarez , Romeo DOS: 03-02-2022   Amnt: $1183.2  Note</v>
      </c>
      <c r="B54" s="43" t="str">
        <f>CONCATENATE("Detail: ",'Level 1'!N54,"  ",'Level 1'!O54,TEXT('Level 1'!P54,"  mm-dd-yyyy"),";"," ",'Level 1'!Q54,'Level 1'!R54,"  ",'Level 1'!T54," ","Payment "," ",'Level 1'!U54,"  ",'Level 1'!V54,"  ",'Level 1'!W54,"  ",'Level 1'!X54,"  ",'Level 1'!Z54, "  ",'Level 1'!AA54, " ","Insurance: ",'Level 1'!A54)</f>
        <v xml:space="preserve">Detail: Note  Q1  01-00-1900; Q2   Payment  Q4    Q5    Additional Notes:   Insurance: Delta Dental Of Wisconsin </v>
      </c>
      <c r="C54" s="60" t="str">
        <f>'Level 1'!Y54</f>
        <v>Action</v>
      </c>
      <c r="D54" s="44" t="str">
        <f>VLOOKUP(C54,Table2[#All],3,FALSE)</f>
        <v>What we need from you/Reason</v>
      </c>
      <c r="E54" s="75" t="s">
        <v>199</v>
      </c>
      <c r="F54" s="96"/>
      <c r="G54" s="97"/>
      <c r="H54"/>
    </row>
    <row r="55" spans="1:8" ht="21" x14ac:dyDescent="0.25">
      <c r="A55" s="43" t="str">
        <f>CONCATENATE("Pt Id:",'Level 1'!E55," ","Pt Name: ",'Level 1'!F55," ","DOS: ", TEXT('Level 1'!H55,"mm-dd-yyyy"),"  "," Amnt: ","$",'Level 1'!J55,"  ", 'Level 1'!N55)</f>
        <v>Pt Id:9079 Pt Name: Anadell, Carrie  DOS: 02-15-2022   Amnt: $220.4  Note</v>
      </c>
      <c r="B55" s="43" t="str">
        <f>CONCATENATE("Detail: ",'Level 1'!N55,"  ",'Level 1'!O55,TEXT('Level 1'!P55,"  mm-dd-yyyy"),";"," ",'Level 1'!Q55,'Level 1'!R55,"  ",'Level 1'!T55," ","Payment "," ",'Level 1'!U55,"  ",'Level 1'!V55,"  ",'Level 1'!W55,"  ",'Level 1'!X55,"  ",'Level 1'!Z55, "  ",'Level 1'!AA55, " ","Insurance: ",'Level 1'!A55)</f>
        <v xml:space="preserve">Detail: Note  Q1  01-00-1900; Q2   Payment  Q4    Q5    Additional Notes:   Insurance: Delta Dental Of Wisconsin </v>
      </c>
      <c r="C55" s="60" t="str">
        <f>'Level 1'!Y55</f>
        <v>Action</v>
      </c>
      <c r="D55" s="44" t="str">
        <f>VLOOKUP(C55,Table2[#All],3,FALSE)</f>
        <v>What we need from you/Reason</v>
      </c>
      <c r="E55" s="75" t="s">
        <v>199</v>
      </c>
      <c r="F55" s="96"/>
      <c r="G55" s="97"/>
      <c r="H55"/>
    </row>
    <row r="56" spans="1:8" ht="105" x14ac:dyDescent="0.25">
      <c r="A56" s="43" t="str">
        <f>CONCATENATE("Pt Id:",'Level 1'!E56," ","Pt Name: ",'Level 1'!F56," ","DOS: ", TEXT('Level 1'!H56,"mm-dd-yyyy"),"  "," Amnt: ","$",'Level 1'!J56,"  ", 'Level 1'!N56)</f>
        <v>Pt Id:4735 Pt Name: Wooden, Jasmine  DOS: 01-26-2022   Amnt: $432  Claim Paid by EFT;</v>
      </c>
      <c r="B56" s="43" t="str">
        <f>CONCATENATE("Detail: ",'Level 1'!N56,"  ",'Level 1'!O56,TEXT('Level 1'!P56,"  mm-dd-yyyy"),";"," ",'Level 1'!Q56,'Level 1'!R56,"  ",'Level 1'!T56," ","Payment "," ",'Level 1'!U56,"  ",'Level 1'!V56,"  ",'Level 1'!W56,"  ",'Level 1'!X56,"  ",'Level 1'!Z56, "  ",'Level 1'!AA56, " ","Insurance: ",'Level 1'!A56)</f>
        <v xml:space="preserve">Detail: Claim Paid by EFT;  Issue Date:  05-04-2022; EFT#"1088874  Bulk Payment  Call Ref#:  Char05062022  Cust Rep:  Char  Additional Notes:  Rep State that Claim Paid,Paid Amt: $232,Patient Resp: $106,Paid by Direct Deposit,Rep Also State that Elisha from Dental office Called on 04/25/2022 and said to Changed the Date to 01/25/2022 for Tretment and Insurance Denied for 01/26/2022 as Duplicate and Paid for 01/25/2022 Insurance: Delta Dental Of Wisconsin </v>
      </c>
      <c r="C56" s="60" t="str">
        <f>'Level 1'!Y56</f>
        <v xml:space="preserve">Task Post Pmt Queue </v>
      </c>
      <c r="D56" s="44" t="str">
        <f>VLOOKUP(C56,Table2[#All],3,FALSE)</f>
        <v>N/A</v>
      </c>
      <c r="E56" s="75" t="s">
        <v>192</v>
      </c>
      <c r="F56" s="96" t="s">
        <v>3698</v>
      </c>
      <c r="G56" s="97"/>
      <c r="H56"/>
    </row>
    <row r="57" spans="1:8" ht="63" x14ac:dyDescent="0.25">
      <c r="A57" s="43" t="str">
        <f>CONCATENATE("Pt Id:",'Level 1'!E57," ","Pt Name: ",'Level 1'!F57," ","DOS: ", TEXT('Level 1'!H57,"mm-dd-yyyy"),"  "," Amnt: ","$",'Level 1'!J57,"  ", 'Level 1'!N57)</f>
        <v>Pt Id:6339 Pt Name: Malone , Kalahni DOS: 09-18-2021   Amnt: $227.6  Procedure is not a covered benefit;</v>
      </c>
      <c r="B57" s="43" t="str">
        <f>CONCATENATE("Detail: ",'Level 1'!N57,"  ",'Level 1'!O57,TEXT('Level 1'!P57,"  mm-dd-yyyy"),";"," ",'Level 1'!Q57,'Level 1'!R57,"  ",'Level 1'!T57," ","Payment "," ",'Level 1'!U57,"  ",'Level 1'!V57,"  ",'Level 1'!W57,"  ",'Level 1'!X57,"  ",'Level 1'!Z57, "  ",'Level 1'!AA57, " ","Insurance: ",'Level 1'!A57)</f>
        <v xml:space="preserve">Detail: Procedure is not a covered benefit;  Why? Not covered under pt plan; Call Ref#:Can  can 3/18/2022 Payment  0    0    Additional Notes:  Rep states that clm #2129240113, clm has been denied due to not covered under patient plan &amp; COB. Insurance: Delta Dental Of Wisconsin </v>
      </c>
      <c r="C57" s="60" t="str">
        <f>'Level 1'!Y57</f>
        <v xml:space="preserve">Task Client - Denied Claim Queue </v>
      </c>
      <c r="D57" s="44" t="str">
        <f>VLOOKUP(C57,Table2[#All],3,FALSE)</f>
        <v>What We Need From You: Pls confirm if we can close the claims Reason: To close claim</v>
      </c>
      <c r="E57" s="75" t="s">
        <v>193</v>
      </c>
      <c r="F57" s="116" t="s">
        <v>3698</v>
      </c>
      <c r="G57" s="97"/>
      <c r="H57"/>
    </row>
    <row r="58" spans="1:8" ht="105" x14ac:dyDescent="0.25">
      <c r="A58" s="43" t="str">
        <f>CONCATENATE("Pt Id:",'Level 1'!E58," ","Pt Name: ",'Level 1'!F58," ","DOS: ", TEXT('Level 1'!H58,"mm-dd-yyyy"),"  "," Amnt: ","$",'Level 1'!J58,"  ", 'Level 1'!N58)</f>
        <v>Pt Id:8250 Pt Name: Sesham Haribabu, Saigopal DOS: 10-26-2021   Amnt: $332.4  Claim not on file. Patient is active ;</v>
      </c>
      <c r="B58" s="43" t="str">
        <f>CONCATENATE("Detail: ",'Level 1'!N58,"  ",'Level 1'!O58,TEXT('Level 1'!P58,"  mm-dd-yyyy"),";"," ",'Level 1'!Q58,'Level 1'!R58,"  ",'Level 1'!T58," ","Payment "," ",'Level 1'!U58,"  ",'Level 1'!V58,"  ",'Level 1'!W58,"  ",'Level 1'!X58,"  ",'Level 1'!Z58, "  ",'Level 1'!AA58, " ","Insurance: ",'Level 1'!A58)</f>
        <v xml:space="preserve">Detail: Claim not on file. Patient is active ;  Payor ID &amp; Address:  12-18-2006; Fax # (If Fax Yes):  15 month from dos Payment  Call Ref#:  can 3/18/2022  Cust Rep:  Can  Additional Notes:  Claim Resubmitted electronically on 05/06/2022 - SN   //   Rep states that the clm is not on file for the Dos, pat is active from 8/1/2021, we can submitt claim trough electronically or by mailing add P.O box 828, Stevens Point, WI 54481. Insurance: Delta Dental Of Wisconsin </v>
      </c>
      <c r="C58" s="60" t="str">
        <f>'Level 1'!Y58</f>
        <v>Task Sub Pending Claims Queue</v>
      </c>
      <c r="D58" s="44" t="str">
        <f>VLOOKUP(C58,Table2[#All],3,FALSE)</f>
        <v>N/A</v>
      </c>
      <c r="E58" s="75" t="s">
        <v>195</v>
      </c>
      <c r="F58" s="116" t="s">
        <v>4177</v>
      </c>
      <c r="G58" s="97" t="s">
        <v>4178</v>
      </c>
      <c r="H58"/>
    </row>
    <row r="59" spans="1:8" ht="21" x14ac:dyDescent="0.25">
      <c r="A59" s="43" t="str">
        <f>CONCATENATE("Pt Id:",'Level 1'!E59," ","Pt Name: ",'Level 1'!F59," ","DOS: ", TEXT('Level 1'!H59,"mm-dd-yyyy"),"  "," Amnt: ","$",'Level 1'!J59,"  ", 'Level 1'!N59)</f>
        <v>Pt Id:6339 Pt Name: Malone , Kalahni DOS: 12-06-2021   Amnt: $712  Note</v>
      </c>
      <c r="B59" s="43" t="str">
        <f>CONCATENATE("Detail: ",'Level 1'!N59,"  ",'Level 1'!O59,TEXT('Level 1'!P59,"  mm-dd-yyyy"),";"," ",'Level 1'!Q59,'Level 1'!R59,"  ",'Level 1'!T59," ","Payment "," ",'Level 1'!U59,"  ",'Level 1'!V59,"  ",'Level 1'!W59,"  ",'Level 1'!X59,"  ",'Level 1'!Z59, "  ",'Level 1'!AA59, " ","Insurance: ",'Level 1'!A59)</f>
        <v xml:space="preserve">Detail: Note  Q1  01-00-1900; Q2   Payment  Q4    Q5    Additional Notes:   Insurance: Delta Dental Of Wisconsin </v>
      </c>
      <c r="C59" s="60" t="str">
        <f>'Level 1'!Y59</f>
        <v>Action</v>
      </c>
      <c r="D59" s="44" t="str">
        <f>VLOOKUP(C59,Table2[#All],3,FALSE)</f>
        <v>What we need from you/Reason</v>
      </c>
      <c r="E59" s="75" t="s">
        <v>199</v>
      </c>
      <c r="F59" s="116"/>
      <c r="G59" s="97"/>
      <c r="H59"/>
    </row>
    <row r="60" spans="1:8" ht="63" x14ac:dyDescent="0.25">
      <c r="A60" s="43" t="str">
        <f>CONCATENATE("Pt Id:",'Level 1'!E60," ","Pt Name: ",'Level 1'!F60," ","DOS: ", TEXT('Level 1'!H60,"mm-dd-yyyy"),"  "," Amnt: ","$",'Level 1'!J60,"  ", 'Level 1'!N60)</f>
        <v>Pt Id:8537 Pt Name: Gordon, Jamie  DOS: 11-24-2021   Amnt: $199.2  Claim Paid by EFT;</v>
      </c>
      <c r="B60" s="43" t="str">
        <f>CONCATENATE("Detail: ",'Level 1'!N60,"  ",'Level 1'!O60,TEXT('Level 1'!P60,"  mm-dd-yyyy"),";"," ",'Level 1'!Q60,'Level 1'!R60,"  ",'Level 1'!T60," ","Payment "," ",'Level 1'!U60,"  ",'Level 1'!V60,"  ",'Level 1'!W60,"  ",'Level 1'!X60,"  ",'Level 1'!Z60, "  ",'Level 1'!AA60, " ","Insurance: ",'Level 1'!A60)</f>
        <v xml:space="preserve">Detail: Claim Paid by EFT;  Issue Date:  12-08-2021; EFT#1050566  Bulk Payment  Call Ref#:  Lisa 3/8/2022  Cust Rep:  Lisa  Additional Notes:  Rep states that clm #2-1336-398-73, paid amt $145.20, It’s a direct deposit, 2codes on the claim has been paid, Bulk amt $1,883.50. Insurance: Delta Dental Of Wisconsin </v>
      </c>
      <c r="C60" s="60" t="str">
        <f>'Level 1'!Y60</f>
        <v xml:space="preserve">Task Post Pmt Queue </v>
      </c>
      <c r="D60" s="44" t="str">
        <f>VLOOKUP(C60,Table2[#All],3,FALSE)</f>
        <v>N/A</v>
      </c>
      <c r="E60" s="75" t="s">
        <v>193</v>
      </c>
      <c r="F60" s="116" t="s">
        <v>3698</v>
      </c>
      <c r="G60" s="97"/>
      <c r="H60"/>
    </row>
    <row r="61" spans="1:8" ht="63" x14ac:dyDescent="0.25">
      <c r="A61" s="43" t="str">
        <f>CONCATENATE("Pt Id:",'Level 1'!E61," ","Pt Name: ",'Level 1'!F61," ","DOS: ", TEXT('Level 1'!H61,"mm-dd-yyyy"),"  "," Amnt: ","$",'Level 1'!J61,"  ", 'Level 1'!N61)</f>
        <v>Pt Id:7397 Pt Name: Rubach , Gretchen  DOS: 11-19-2021   Amnt: $133.2  Claim Paid by EFT;</v>
      </c>
      <c r="B61" s="43" t="str">
        <f>CONCATENATE("Detail: ",'Level 1'!N61,"  ",'Level 1'!O61,TEXT('Level 1'!P61,"  mm-dd-yyyy"),";"," ",'Level 1'!Q61,'Level 1'!R61,"  ",'Level 1'!T61," ","Payment "," ",'Level 1'!U61,"  ",'Level 1'!V61,"  ",'Level 1'!W61,"  ",'Level 1'!X61,"  ",'Level 1'!Z61, "  ",'Level 1'!AA61, " ","Insurance: ",'Level 1'!A61)</f>
        <v xml:space="preserve">Detail: Claim Paid by EFT;  Issue Date:  12-08-2021; EFT#1050566  Bulk Payment  Call Ref#:  Lisa 3/8/2022  Cust Rep:  Lisa  Additional Notes:  Rep states that clm #2-1336-399-64, paid amt $86.40, It’s a direct deposit, Patient res $21.60, There is one code on the claim which is paid. Insurance: Delta Dental Of Wisconsin </v>
      </c>
      <c r="C61" s="60" t="str">
        <f>'Level 1'!Y61</f>
        <v xml:space="preserve">Task Post Pmt Queue </v>
      </c>
      <c r="D61" s="44" t="str">
        <f>VLOOKUP(C61,Table2[#All],3,FALSE)</f>
        <v>N/A</v>
      </c>
      <c r="E61" s="75" t="s">
        <v>193</v>
      </c>
      <c r="F61" s="116" t="s">
        <v>3698</v>
      </c>
      <c r="G61" s="97"/>
      <c r="H61"/>
    </row>
    <row r="62" spans="1:8" ht="42" x14ac:dyDescent="0.25">
      <c r="A62" s="43" t="str">
        <f>CONCATENATE("Pt Id:",'Level 1'!E62," ","Pt Name: ",'Level 1'!F62," ","DOS: ", TEXT('Level 1'!H62,"mm-dd-yyyy"),"  "," Amnt: ","$",'Level 1'!J62,"  ", 'Level 1'!N62)</f>
        <v>Pt Id:8419 Pt Name: Ramirez , Jazmin  DOS: 11-11-2021   Amnt: $61.2  Primary Ins paid Max allowable;</v>
      </c>
      <c r="B62" s="43" t="str">
        <f>CONCATENATE("Detail: ",'Level 1'!N62,"  ",'Level 1'!O62,TEXT('Level 1'!P62,"  mm-dd-yyyy"),";"," ",'Level 1'!Q62,'Level 1'!R62,"  ",'Level 1'!T62," ","Payment "," ",'Level 1'!U62,"  ",'Level 1'!V62,"  ",'Level 1'!W62,"  ",'Level 1'!X62,"  ",'Level 1'!Z62, "  ",'Level 1'!AA62, " ","Insurance: ",'Level 1'!A62)</f>
        <v xml:space="preserve">Detail: Primary Ins paid Max allowable;  Call Ref#:Cat 3/9/2022; Cust Rep:Cat   Payment  0    0    Additional Notes:  Coordination of Benefits Insurance: Delta Dental Of Wisconsin </v>
      </c>
      <c r="C62" s="60" t="str">
        <f>'Level 1'!Y62</f>
        <v xml:space="preserve">Task Post Pmt Queue </v>
      </c>
      <c r="D62" s="44" t="str">
        <f>VLOOKUP(C62,Table2[#All],3,FALSE)</f>
        <v>N/A</v>
      </c>
      <c r="E62" s="75" t="s">
        <v>192</v>
      </c>
      <c r="F62" s="116" t="s">
        <v>4177</v>
      </c>
      <c r="G62" s="97" t="s">
        <v>4181</v>
      </c>
      <c r="H62"/>
    </row>
    <row r="63" spans="1:8" ht="105" x14ac:dyDescent="0.25">
      <c r="A63" s="43" t="str">
        <f>CONCATENATE("Pt Id:",'Level 1'!E63," ","Pt Name: ",'Level 1'!F63," ","DOS: ", TEXT('Level 1'!H63,"mm-dd-yyyy"),"  "," Amnt: ","$",'Level 1'!J63,"  ", 'Level 1'!N63)</f>
        <v>Pt Id:7216 Pt Name: Pedersen, Arianna DOS: 09-16-2021   Amnt: $342  Claim Paid by Check;</v>
      </c>
      <c r="B63" s="43" t="str">
        <f>CONCATENATE("Detail: ",'Level 1'!N63,"  ",'Level 1'!O63,TEXT('Level 1'!P63,"  mm-dd-yyyy"),";"," ",'Level 1'!Q63,'Level 1'!R63,"  ",'Level 1'!T63," ","Payment "," ",'Level 1'!U63,"  ",'Level 1'!V63,"  ",'Level 1'!W63,"  ",'Level 1'!X63,"  ",'Level 1'!Z63, "  ",'Level 1'!AA63, " ","Insurance: ",'Level 1'!A63)</f>
        <v xml:space="preserve">Detail: Claim Paid by Check;  Issue Date:  03-16-2022; CHK#1656809  Sep Payment  Call Ref#:    Cust Rep:    Additional Notes:  Rep states confirm that the doctor is not an in-network so the payment made to subscriber, we need to call to the subscriber for the cashed date. Rep Crista, id #crista 4/5/2022.///CHECK WHY IT WAS SENT TO SUBSCRIBER AND CASHED DATE ?    //     CLM # 2206930006; Pd Amt $227; Paid to Subscriber. Insurance: Delta Dental Of Wisconsin </v>
      </c>
      <c r="C63" s="60" t="str">
        <f>'Level 1'!Y63</f>
        <v xml:space="preserve">Task Cashed Chk Queue </v>
      </c>
      <c r="D63" s="44" t="str">
        <f>VLOOKUP(C63,Table2[#All],3,FALSE)</f>
        <v>What We Need From You: Please confirm Check was received. Reason: To close claim.</v>
      </c>
      <c r="E63" s="75" t="s">
        <v>199</v>
      </c>
      <c r="F63" s="116"/>
      <c r="G63" s="97"/>
      <c r="H63"/>
    </row>
    <row r="64" spans="1:8" ht="63" x14ac:dyDescent="0.25">
      <c r="A64" s="43" t="str">
        <f>CONCATENATE("Pt Id:",'Level 1'!E64," ","Pt Name: ",'Level 1'!F64," ","DOS: ", TEXT('Level 1'!H64,"mm-dd-yyyy"),"  "," Amnt: ","$",'Level 1'!J64,"  ", 'Level 1'!N64)</f>
        <v>Pt Id:6340 Pt Name: Malone , Kaleyah DOS: 09-18-2021   Amnt: $138  Claim Paid by Check;</v>
      </c>
      <c r="B64" s="43" t="str">
        <f>CONCATENATE("Detail: ",'Level 1'!N64,"  ",'Level 1'!O64,TEXT('Level 1'!P64,"  mm-dd-yyyy"),";"," ",'Level 1'!Q64,'Level 1'!R64,"  ",'Level 1'!T64," ","Payment "," ",'Level 1'!U64,"  ",'Level 1'!V64,"  ",'Level 1'!W64,"  ",'Level 1'!X64,"  ",'Level 1'!Z64, "  ",'Level 1'!AA64, " ","Insurance: ",'Level 1'!A64)</f>
        <v xml:space="preserve">Detail: Claim Paid by Check;  Issue Date:  09-29-2021; CHK#1008274  Single Payment  Call Ref#:  Lisa 3/8/2022  Cust Rep:  Lisa  Additional Notes:  Rep states that clm #2126547242, paid amt $80, it’s a direct deposit, D1208 -  Denied due to Age Limitataion. Insurance: Delta Dental Of Wisconsin </v>
      </c>
      <c r="C64" s="60" t="str">
        <f>'Level 1'!Y64</f>
        <v xml:space="preserve">Task Cashed Chk Queue </v>
      </c>
      <c r="D64" s="44" t="str">
        <f>VLOOKUP(C64,Table2[#All],3,FALSE)</f>
        <v>What We Need From You: Please confirm Check was received. Reason: To close claim.</v>
      </c>
      <c r="E64" s="75" t="s">
        <v>193</v>
      </c>
      <c r="F64" s="116" t="s">
        <v>3698</v>
      </c>
      <c r="G64" s="97"/>
      <c r="H64"/>
    </row>
    <row r="65" spans="1:8" ht="63" x14ac:dyDescent="0.25">
      <c r="A65" s="43" t="str">
        <f>CONCATENATE("Pt Id:",'Level 1'!E65," ","Pt Name: ",'Level 1'!F65," ","DOS: ", TEXT('Level 1'!H65,"mm-dd-yyyy"),"  "," Amnt: ","$",'Level 1'!J65,"  ", 'Level 1'!N65)</f>
        <v>Pt Id:7729 Pt Name: Vanderwielen, Brenda DOS: 08-11-2021   Amnt: $61.2  Claim Paid by EFT;</v>
      </c>
      <c r="B65" s="43" t="str">
        <f>CONCATENATE("Detail: ",'Level 1'!N65,"  ",'Level 1'!O65,TEXT('Level 1'!P65,"  mm-dd-yyyy"),";"," ",'Level 1'!Q65,'Level 1'!R65,"  ",'Level 1'!T65," ","Payment "," ",'Level 1'!U65,"  ",'Level 1'!V65,"  ",'Level 1'!W65,"  ",'Level 1'!X65,"  ",'Level 1'!Z65, "  ",'Level 1'!AA65, " ","Insurance: ",'Level 1'!A65)</f>
        <v xml:space="preserve">Detail: Claim Paid by EFT;  Issue Date:  08-25-2021; EFT#988435  Bulk Payment  Call Ref#:  Ami01272022  Cust Rep:  Ami  Additional Notes:  Rep State that Claim Paid,Paid Amt:$23,  Claim No: 2-1229-385-28, Paid by Bulk(Bulk Amt:$2446.60),  Patient Resp:$25 Insurance: Delta Dental Of Wisconsin </v>
      </c>
      <c r="C65" s="60" t="str">
        <f>'Level 1'!Y65</f>
        <v xml:space="preserve">Task Post Pmt Queue </v>
      </c>
      <c r="D65" s="44" t="str">
        <f>VLOOKUP(C65,Table2[#All],3,FALSE)</f>
        <v>N/A</v>
      </c>
      <c r="E65" s="75" t="s">
        <v>193</v>
      </c>
      <c r="F65" s="116" t="s">
        <v>3698</v>
      </c>
      <c r="G65" s="97"/>
      <c r="H65"/>
    </row>
    <row r="66" spans="1:8" ht="63" x14ac:dyDescent="0.25">
      <c r="A66" s="43" t="str">
        <f>CONCATENATE("Pt Id:",'Level 1'!E66," ","Pt Name: ",'Level 1'!F66," ","DOS: ", TEXT('Level 1'!H66,"mm-dd-yyyy"),"  "," Amnt: ","$",'Level 1'!J66,"  ", 'Level 1'!N66)</f>
        <v>Pt Id:4691 Pt Name: Sanchez Esquive , Israel  DOS: 07-31-2021   Amnt: $2750.4  Patient not active/no active policy;</v>
      </c>
      <c r="B66" s="43" t="str">
        <f>CONCATENATE("Detail: ",'Level 1'!N66,"  ",'Level 1'!O66,TEXT('Level 1'!P66,"  mm-dd-yyyy"),";"," ",'Level 1'!Q66,'Level 1'!R66,"  ",'Level 1'!T66," ","Payment "," ",'Level 1'!U66,"  ",'Level 1'!V66,"  ",'Level 1'!W66,"  ",'Level 1'!X66,"  ",'Level 1'!Z66, "  ",'Level 1'!AA66, " ","Insurance: ",'Level 1'!A66)</f>
        <v xml:space="preserve">Detail: Patient not active/no active policy;  Policy Term Dt:  04-30-2021; Call Ref#:Amalia01272022  Amalia Payment  0    0    Additional Notes:  Rep State that CNOF Patient Inactive,  Effective Date:03/01/2018,  Last Active Date:04/30/2021 Insurance: Delta Dental Of Wisconsin </v>
      </c>
      <c r="C66" s="60" t="str">
        <f>'Level 1'!Y66</f>
        <v>Task Denied Claims Queue</v>
      </c>
      <c r="D66" s="44" t="str">
        <f>VLOOKUP(C66,Table2[#All],3,FALSE)</f>
        <v xml:space="preserve">What We Need From You: Reason: </v>
      </c>
      <c r="E66" s="75" t="s">
        <v>199</v>
      </c>
      <c r="F66" s="116"/>
      <c r="G66" s="97"/>
      <c r="H66"/>
    </row>
    <row r="67" spans="1:8" ht="84" x14ac:dyDescent="0.25">
      <c r="A67" s="43" t="str">
        <f>CONCATENATE("Pt Id:",'Level 1'!E67," ","Pt Name: ",'Level 1'!F67," ","DOS: ", TEXT('Level 1'!H67,"mm-dd-yyyy"),"  "," Amnt: ","$",'Level 1'!J67,"  ", 'Level 1'!N67)</f>
        <v>Pt Id:5011 Pt Name: Kyles , Amari DOS: 03-22-2021   Amnt: $869.2  Claim Paid by EFT;</v>
      </c>
      <c r="B67" s="43" t="str">
        <f>CONCATENATE("Detail: ",'Level 1'!N67,"  ",'Level 1'!O67,TEXT('Level 1'!P67,"  mm-dd-yyyy"),";"," ",'Level 1'!Q67,'Level 1'!R67,"  ",'Level 1'!T67," ","Payment "," ",'Level 1'!U67,"  ",'Level 1'!V67,"  ",'Level 1'!W67,"  ",'Level 1'!X67,"  ",'Level 1'!Z67, "  ",'Level 1'!AA67, " ","Insurance: ",'Level 1'!A67)</f>
        <v xml:space="preserve">Detail: Claim Paid by EFT;  Issue Date:  04-07-2021; EFT#907363  Bulk Payment  Call Ref#:  Lisa 3/8/2022  Cust Rep:  LISA  Additional Notes:  Rep states that clm #2-1090-396-68, paid amt $479.80, PR amt $232.20, cashed dt 4/7/2021, it’s a bulk amt $1,640.80, there are 13 codes on the claim in which 2 codes D1208 and the reason for the age limitation. D9230 is denied for not covered benefits for the dental plan. Insurance: Delta Dental Of Wisconsin </v>
      </c>
      <c r="C67" s="60" t="str">
        <f>'Level 1'!Y67</f>
        <v xml:space="preserve">Task Post Pmt Queue </v>
      </c>
      <c r="D67" s="44" t="str">
        <f>VLOOKUP(C67,Table2[#All],3,FALSE)</f>
        <v>N/A</v>
      </c>
      <c r="E67" s="75" t="s">
        <v>193</v>
      </c>
      <c r="F67" s="116" t="s">
        <v>3698</v>
      </c>
      <c r="G67" s="97"/>
      <c r="H67"/>
    </row>
    <row r="68" spans="1:8" ht="105" x14ac:dyDescent="0.25">
      <c r="A68" s="43" t="str">
        <f>CONCATENATE("Pt Id:",'Level 1'!E68," ","Pt Name: ",'Level 1'!F68," ","DOS: ", TEXT('Level 1'!H68,"mm-dd-yyyy"),"  "," Amnt: ","$",'Level 1'!J68,"  ", 'Level 1'!N68)</f>
        <v>Pt Id:5311 Pt Name: Franke , Ryan DOS: 10-23-2020   Amnt: $4439.6  Claim Paid by EFT;</v>
      </c>
      <c r="B68" s="43" t="str">
        <f>CONCATENATE("Detail: ",'Level 1'!N68,"  ",'Level 1'!O68,TEXT('Level 1'!P68,"  mm-dd-yyyy"),";"," ",'Level 1'!Q68,'Level 1'!R68,"  ",'Level 1'!T68," ","Payment "," ",'Level 1'!U68,"  ",'Level 1'!V68,"  ",'Level 1'!W68,"  ",'Level 1'!X68,"  ",'Level 1'!Z68, "  ",'Level 1'!AA68, " ","Insurance: ",'Level 1'!A68)</f>
        <v xml:space="preserve">Detail: Claim Paid by EFT;  Issue Date:  10-27-2020; EFT#825000  Sep Payment  Call Ref#:  Amalia01272022  Cust Rep:  Amalia  Additional Notes:  Rep State that Claim Paid,Paid Amt:$1147,  Claim No: 2030139640,   Patient Resp:$25($25 Deductable). DOS:12/14/2020 - D3310 &amp; D2954 are denied Maxed out. DOS: 12/19/2020 - D4341 - LR - Paid AMT $23 &amp; D4341 - UR - Maxed out. DOS: 12/22/2022 - D2750, D4341 (UL &amp; LL) - Denied Maxed out. Insurance: Delta Dental Of Wisconsin </v>
      </c>
      <c r="C68" s="60" t="str">
        <f>'Level 1'!Y68</f>
        <v xml:space="preserve">Task Post Pmt Queue </v>
      </c>
      <c r="D68" s="44" t="str">
        <f>VLOOKUP(C68,Table2[#All],3,FALSE)</f>
        <v>N/A</v>
      </c>
      <c r="E68" s="75" t="s">
        <v>193</v>
      </c>
      <c r="F68" s="116" t="s">
        <v>3698</v>
      </c>
      <c r="G68" s="97"/>
      <c r="H68"/>
    </row>
    <row r="69" spans="1:8" ht="63" x14ac:dyDescent="0.25">
      <c r="A69" s="43" t="str">
        <f>CONCATENATE("Pt Id:",'Level 1'!E69," ","Pt Name: ",'Level 1'!F69," ","DOS: ", TEXT('Level 1'!H69,"mm-dd-yyyy"),"  "," Amnt: ","$",'Level 1'!J69,"  ", 'Level 1'!N69)</f>
        <v>Pt Id:1695 Pt Name: BLANTON, LOUISE DOS: 03-19-2021   Amnt: $1495.2  Patient not active/no active policy;</v>
      </c>
      <c r="B69" s="43" t="str">
        <f>CONCATENATE("Detail: ",'Level 1'!N69,"  ",'Level 1'!O69,TEXT('Level 1'!P69,"  mm-dd-yyyy"),";"," ",'Level 1'!Q69,'Level 1'!R69,"  ",'Level 1'!T69," ","Payment "," ",'Level 1'!U69,"  ",'Level 1'!V69,"  ",'Level 1'!W69,"  ",'Level 1'!X69,"  ",'Level 1'!Z69, "  ",'Level 1'!AA69, " ","Insurance: ",'Level 1'!A69)</f>
        <v>Detail: Patient not active/no active policy;  Policy Term Dt:  02-28-2022; Call Ref#:Jerrone 3/8/2022  Jerrone Payment  0    0    Additional Notes:  Patient not active for DOS. Patient has Molina Ins as Sec Ins, need to submit claim to Molina for processing. Insurance: Delta Dental Wisconsin Individual plan</v>
      </c>
      <c r="C69" s="60" t="str">
        <f>'Level 1'!Y69</f>
        <v>Task Denied Claims Queue</v>
      </c>
      <c r="D69" s="44" t="str">
        <f>VLOOKUP(C69,Table2[#All],3,FALSE)</f>
        <v xml:space="preserve">What We Need From You: Reason: </v>
      </c>
      <c r="E69" s="75" t="s">
        <v>193</v>
      </c>
      <c r="F69" s="116" t="s">
        <v>3698</v>
      </c>
      <c r="G69" s="97"/>
      <c r="H69"/>
    </row>
    <row r="70" spans="1:8" ht="21" x14ac:dyDescent="0.25">
      <c r="A70" s="43" t="str">
        <f>CONCATENATE("Pt Id:",'Level 1'!E70," ","Pt Name: ",'Level 1'!F70," ","DOS: ", TEXT('Level 1'!H70,"mm-dd-yyyy"),"  "," Amnt: ","$",'Level 1'!J70,"  ", 'Level 1'!N70)</f>
        <v>Pt Id:6130 Pt Name: Liggett, Carrie DOS: 08-20-2021   Amnt: $339.6  Note</v>
      </c>
      <c r="B70" s="43" t="str">
        <f>CONCATENATE("Detail: ",'Level 1'!N70,"  ",'Level 1'!O70,TEXT('Level 1'!P70,"  mm-dd-yyyy"),";"," ",'Level 1'!Q70,'Level 1'!R70,"  ",'Level 1'!T70," ","Payment "," ",'Level 1'!U70,"  ",'Level 1'!V70,"  ",'Level 1'!W70,"  ",'Level 1'!X70,"  ",'Level 1'!Z70, "  ",'Level 1'!AA70, " ","Insurance: ",'Level 1'!A70)</f>
        <v>Detail: Note  Q1  01-00-1900; Q2   Payment  Q4    Q5    Additional Notes:   Insurance: Denta Trust</v>
      </c>
      <c r="C70" s="60" t="str">
        <f>'Level 1'!Y70</f>
        <v>Action</v>
      </c>
      <c r="D70" s="44" t="str">
        <f>VLOOKUP(C70,Table2[#All],3,FALSE)</f>
        <v>What we need from you/Reason</v>
      </c>
      <c r="E70" s="75" t="s">
        <v>199</v>
      </c>
      <c r="F70" s="116"/>
      <c r="G70" s="97"/>
      <c r="H70"/>
    </row>
    <row r="71" spans="1:8" ht="42" x14ac:dyDescent="0.25">
      <c r="A71" s="43" t="str">
        <f>CONCATENATE("Pt Id:",'Level 1'!E71," ","Pt Name: ",'Level 1'!F71," ","DOS: ", TEXT('Level 1'!H71,"mm-dd-yyyy"),"  "," Amnt: ","$",'Level 1'!J71,"  ", 'Level 1'!N71)</f>
        <v>Pt Id:8678 Pt Name: Rivera , Reyes  DOS: 12-16-2021   Amnt: $372.8  Write information in Addl Notes</v>
      </c>
      <c r="B71" s="43" t="e">
        <f>CONCATENATE("Detail: ",'Level 1'!N71,"  ",'Level 1'!O71,TEXT('Level 1'!P71,"  mm-dd-yyyy"),";"," ",'Level 1'!Q71,'Level 1'!R71,"  ",'Level 1'!T71," ","Payment "," ",'Level 1'!U71,"  ",'Level 1'!V71,"  ",'Level 1'!W71,"  ",'Level 1'!X71,"  ",'Level 1'!Z71, "  ",'Level 1'!AA71, " ","Insurance: ",'Level 1'!A71)</f>
        <v>#VALUE!</v>
      </c>
      <c r="C71" s="60" t="str">
        <f>'Level 1'!Y71</f>
        <v xml:space="preserve"> Team Lead to review &amp; Follow-Up</v>
      </c>
      <c r="D71" s="44" t="e">
        <f>VLOOKUP(C71,Table2[#All],3,FALSE)</f>
        <v>#N/A</v>
      </c>
      <c r="E71" s="75" t="s">
        <v>193</v>
      </c>
      <c r="F71" s="116" t="s">
        <v>3698</v>
      </c>
      <c r="G71" s="97"/>
      <c r="H71"/>
    </row>
    <row r="72" spans="1:8" ht="168" x14ac:dyDescent="0.25">
      <c r="A72" s="43" t="str">
        <f>CONCATENATE("Pt Id:",'Level 1'!E72," ","Pt Name: ",'Level 1'!F72," ","DOS: ", TEXT('Level 1'!H72,"mm-dd-yyyy"),"  "," Amnt: ","$",'Level 1'!J72,"  ", 'Level 1'!N72)</f>
        <v>Pt Id:8437 Pt Name: Washington , Valencia  DOS: 11-12-2021   Amnt: $525.6  Claim Paid by EFT;</v>
      </c>
      <c r="B72" s="43" t="str">
        <f>CONCATENATE("Detail: ",'Level 1'!N72,"  ",'Level 1'!O72,TEXT('Level 1'!P72,"  mm-dd-yyyy"),";"," ",'Level 1'!Q72,'Level 1'!R72,"  ",'Level 1'!T72," ","Payment "," ",'Level 1'!U72,"  ",'Level 1'!V72,"  ",'Level 1'!W72,"  ",'Level 1'!X72,"  ",'Level 1'!Z72, "  ",'Level 1'!AA72, " ","Insurance: ",'Level 1'!A72)</f>
        <v>Detail: Claim Paid by EFT;  Issue Date:  11-26-2021; EFT#5877982047  Sep Payment  Call Ref#:  20220101760  Cust Rep:  Casey  Additional Notes:  D7210 - Dnd for waiting period (1 yr) and waiting period was going to be end on 12/31/2021. Now patient is Inactive and $420 is patient's resp for this claim. Code D0220 was bundled with D0274. - 02/28/2022 - SN.      //     Need Waiting Period for D7210 and bundled Code for D0220 as this procedure is dnd stating bundled as FMX but there is no FMX code paid clm# 202132338791800, Paid $ 80.73. D0220 dnd as Service has been bundled with other procedure lines to a more cost effective full mouth series - Need to check for which is this code bundled with and D7210 is dnd due to waiting period for this benefit has not been met - Need to check what is the waiting period for this procedure.     Insurance: Denta Trust</v>
      </c>
      <c r="C72" s="60" t="str">
        <f>'Level 1'!Y72</f>
        <v xml:space="preserve">Task Post Pmt Queue </v>
      </c>
      <c r="D72" s="44" t="str">
        <f>VLOOKUP(C72,Table2[#All],3,FALSE)</f>
        <v>N/A</v>
      </c>
      <c r="E72" s="75" t="s">
        <v>193</v>
      </c>
      <c r="F72" s="116" t="s">
        <v>3698</v>
      </c>
      <c r="G72" s="97"/>
      <c r="H72"/>
    </row>
    <row r="73" spans="1:8" ht="63" x14ac:dyDescent="0.25">
      <c r="A73" s="43" t="str">
        <f>CONCATENATE("Pt Id:",'Level 1'!E73," ","Pt Name: ",'Level 1'!F73," ","DOS: ", TEXT('Level 1'!H73,"mm-dd-yyyy"),"  "," Amnt: ","$",'Level 1'!J73,"  ", 'Level 1'!N73)</f>
        <v>Pt Id:7808 Pt Name: Arries, Daniel DOS: 08-24-2021   Amnt: $216  Claim Paid by EFT;</v>
      </c>
      <c r="B73" s="43" t="str">
        <f>CONCATENATE("Detail: ",'Level 1'!N73,"  ",'Level 1'!O73,TEXT('Level 1'!P73,"  mm-dd-yyyy"),";"," ",'Level 1'!Q73,'Level 1'!R73,"  ",'Level 1'!T73," ","Payment "," ",'Level 1'!U73,"  ",'Level 1'!V73,"  ",'Level 1'!W73,"  ",'Level 1'!X73,"  ",'Level 1'!Z73, "  ",'Level 1'!AA73, " ","Insurance: ",'Level 1'!A73)</f>
        <v>Detail: Claim Paid by EFT;  Issue Date:  09-03-2021; EFT#5877908417  SEP Payment  Call Ref#:  202200318022  Cust Rep:  Ander  Additional Notes:  Rep States that Claim Paid,Claim NO: 202124238888600, Paid AMT:$80.73,Patient Resp: $135.27 Insurance: Denta Trust</v>
      </c>
      <c r="C73" s="60" t="str">
        <f>'Level 1'!Y73</f>
        <v xml:space="preserve">Task Post Pmt Queue </v>
      </c>
      <c r="D73" s="44" t="str">
        <f>VLOOKUP(C73,Table2[#All],3,FALSE)</f>
        <v>N/A</v>
      </c>
      <c r="E73" s="75" t="s">
        <v>193</v>
      </c>
      <c r="F73" s="116" t="s">
        <v>3698</v>
      </c>
      <c r="G73" s="97"/>
      <c r="H73"/>
    </row>
    <row r="74" spans="1:8" ht="63" x14ac:dyDescent="0.25">
      <c r="A74" s="43" t="str">
        <f>CONCATENATE("Pt Id:",'Level 1'!E74," ","Pt Name: ",'Level 1'!F74," ","DOS: ", TEXT('Level 1'!H74,"mm-dd-yyyy"),"  "," Amnt: ","$",'Level 1'!J74,"  ", 'Level 1'!N74)</f>
        <v>Pt Id:7899 Pt Name: Luttrell, Melanie  DOS: 09-10-2021   Amnt: $178.4  Claim Paid by EFT;</v>
      </c>
      <c r="B74" s="43" t="str">
        <f>CONCATENATE("Detail: ",'Level 1'!N74,"  ",'Level 1'!O74,TEXT('Level 1'!P74,"  mm-dd-yyyy"),";"," ",'Level 1'!Q74,'Level 1'!R74,"  ",'Level 1'!T74," ","Payment "," ",'Level 1'!U74,"  ",'Level 1'!V74,"  ",'Level 1'!W74,"  ",'Level 1'!X74,"  ",'Level 1'!Z74, "  ",'Level 1'!AA74, " ","Insurance: ",'Level 1'!A74)</f>
        <v>Detail: Claim Paid by EFT;  Issue Date:  09-24-2021; EFT#5877926593  SEP Payment  Call Ref#:  202200318169  Cust Rep:  Ander  Additional Notes:  Rep States that Claim Paid,Claim NO: 202125839780100, Paid AMT:$53.65. Insurance: Denta Trust</v>
      </c>
      <c r="C74" s="60" t="str">
        <f>'Level 1'!Y74</f>
        <v xml:space="preserve">Task Post Pmt Queue </v>
      </c>
      <c r="D74" s="44" t="str">
        <f>VLOOKUP(C74,Table2[#All],3,FALSE)</f>
        <v>N/A</v>
      </c>
      <c r="E74" s="75" t="s">
        <v>193</v>
      </c>
      <c r="F74" s="116" t="s">
        <v>3698</v>
      </c>
      <c r="G74" s="97"/>
      <c r="H74"/>
    </row>
    <row r="75" spans="1:8" ht="63" x14ac:dyDescent="0.25">
      <c r="A75" s="43" t="str">
        <f>CONCATENATE("Pt Id:",'Level 1'!E75," ","Pt Name: ",'Level 1'!F75," ","DOS: ", TEXT('Level 1'!H75,"mm-dd-yyyy"),"  "," Amnt: ","$",'Level 1'!J75,"  ", 'Level 1'!N75)</f>
        <v>Pt Id:7782 Pt Name: Goffe, Dennis DOS: 08-25-2021   Amnt: $505.2  Claim Paid by EFT;</v>
      </c>
      <c r="B75" s="43" t="str">
        <f>CONCATENATE("Detail: ",'Level 1'!N75,"  ",'Level 1'!O75,TEXT('Level 1'!P75,"  mm-dd-yyyy"),";"," ",'Level 1'!Q75,'Level 1'!R75,"  ",'Level 1'!T75," ","Payment "," ",'Level 1'!U75,"  ",'Level 1'!V75,"  ",'Level 1'!W75,"  ",'Level 1'!X75,"  ",'Level 1'!Z75, "  ",'Level 1'!AA75, " ","Insurance: ",'Level 1'!A75)</f>
        <v>Detail: Claim Paid by EFT;  Issue Date:  09-08-2021; EFT#5877908417  SEP Payment  Call Ref#:  202200318449  Cust Rep:  Emily  Additional Notes:  Rep States that Claim Paid,Claim NO: 202124238867800, Paid AMT:$105.04 Insurance: Denta Trust</v>
      </c>
      <c r="C75" s="60" t="str">
        <f>'Level 1'!Y75</f>
        <v xml:space="preserve">Task Post Pmt Queue </v>
      </c>
      <c r="D75" s="44" t="str">
        <f>VLOOKUP(C75,Table2[#All],3,FALSE)</f>
        <v>N/A</v>
      </c>
      <c r="E75" s="75" t="s">
        <v>193</v>
      </c>
      <c r="F75" s="116" t="s">
        <v>3698</v>
      </c>
      <c r="G75" s="97"/>
      <c r="H75"/>
    </row>
    <row r="76" spans="1:8" ht="63" x14ac:dyDescent="0.25">
      <c r="A76" s="43" t="str">
        <f>CONCATENATE("Pt Id:",'Level 1'!E76," ","Pt Name: ",'Level 1'!F76," ","DOS: ", TEXT('Level 1'!H76,"mm-dd-yyyy"),"  "," Amnt: ","$",'Level 1'!J76,"  ", 'Level 1'!N76)</f>
        <v>Pt Id:7024 Pt Name: Prasser , Stephanie  DOS: 05-06-2021   Amnt: $583.2  Procedure is not a covered benefit;</v>
      </c>
      <c r="B76" s="43" t="str">
        <f>CONCATENATE("Detail: ",'Level 1'!N76,"  ",'Level 1'!O76,TEXT('Level 1'!P76,"  mm-dd-yyyy"),";"," ",'Level 1'!Q76,'Level 1'!R76,"  ",'Level 1'!T76," ","Payment "," ",'Level 1'!U76,"  ",'Level 1'!V76,"  ",'Level 1'!W76,"  ",'Level 1'!X76,"  ",'Level 1'!Z76, "  ",'Level 1'!AA76, " ","Insurance: ",'Level 1'!A76)</f>
        <v>Detail: Procedure is not a covered benefit;  Why? Not covered under pt plan; Call Ref#:202200318509  Emily Payment  0    0    Additional Notes:  D2393 - Denied waiting period Issue &amp; D1208 - Denied benefit not covered under pt plan. Payment posting already done. Need to close the claim. Insurance: Denta Trust</v>
      </c>
      <c r="C76" s="60" t="str">
        <f>'Level 1'!Y76</f>
        <v xml:space="preserve">Task Client - Denied Claim Queue </v>
      </c>
      <c r="D76" s="44" t="str">
        <f>VLOOKUP(C76,Table2[#All],3,FALSE)</f>
        <v>What We Need From You: Pls confirm if we can close the claims Reason: To close claim</v>
      </c>
      <c r="E76" s="75" t="s">
        <v>193</v>
      </c>
      <c r="F76" s="116" t="s">
        <v>3698</v>
      </c>
      <c r="G76" s="97"/>
      <c r="H76"/>
    </row>
    <row r="77" spans="1:8" ht="21" x14ac:dyDescent="0.25">
      <c r="A77" s="43" t="str">
        <f>CONCATENATE("Pt Id:",'Level 1'!E77," ","Pt Name: ",'Level 1'!F77," ","DOS: ", TEXT('Level 1'!H77,"mm-dd-yyyy"),"  "," Amnt: ","$",'Level 1'!J77,"  ", 'Level 1'!N77)</f>
        <v>Pt Id:2431 Pt Name: Rice, Matthew DOS: 04-01-2022   Amnt: $501.6  Note</v>
      </c>
      <c r="B77" s="43" t="e">
        <f>CONCATENATE("Detail: ",'Level 1'!N77,"  ",'Level 1'!O77,TEXT('Level 1'!#REF!,"  mm-dd-yyyy"),";"," ",'Level 1'!Q77,'Level 1'!R77,"  ",'Level 1'!T77," ","Payment "," ",'Level 1'!U77,"  ",'Level 1'!V77,"  ",'Level 1'!W77,"  ",'Level 1'!X77,"  ",'Level 1'!Z77, "  ",'Level 1'!AA77, " ","Insurance: ",'Level 1'!A77)</f>
        <v>#REF!</v>
      </c>
      <c r="C77" s="60" t="str">
        <f>'Level 1'!Y77</f>
        <v>Action</v>
      </c>
      <c r="D77" s="44" t="str">
        <f>VLOOKUP(C77,Table2[#All],3,FALSE)</f>
        <v>What we need from you/Reason</v>
      </c>
      <c r="E77" s="75" t="s">
        <v>199</v>
      </c>
      <c r="F77" s="96"/>
      <c r="G77" s="97"/>
      <c r="H77"/>
    </row>
    <row r="78" spans="1:8" ht="42" x14ac:dyDescent="0.25">
      <c r="A78" s="43" t="str">
        <f>CONCATENATE("Pt Id:",'Level 1'!E78," ","Pt Name: ",'Level 1'!F78," ","DOS: ", TEXT('Level 1'!H78,"mm-dd-yyyy"),"  "," Amnt: ","$",'Level 1'!J78,"  ", 'Level 1'!N78)</f>
        <v>Pt Id:2432 Pt Name: Rice, Quiana DOS: 04-01-2022   Amnt: $669.6  Note</v>
      </c>
      <c r="B78" s="43" t="str">
        <f>CONCATENATE("Detail: ",'Level 1'!N78,"  ",'Level 1'!O78,TEXT('Level 1'!P77,"  mm-dd-yyyy"),";"," ",'Level 1'!Q78,'Level 1'!R78,"  ",'Level 1'!T78," ","Payment "," ",'Level 1'!U78,"  ",'Level 1'!V78,"  ",'Level 1'!W78,"  ",'Level 1'!X78,"  ",'Level 1'!Z78, "  ",'Level 1'!AA78, " ","Insurance: ",'Level 1'!A78)</f>
        <v>Detail: Note  Q1  01-00-1900; Q2   Payment  Q4    Q5    Additional Notes:   Insurance: Dental Health and Wellness WI</v>
      </c>
      <c r="C78" s="60" t="str">
        <f>'Level 1'!Y78</f>
        <v>Action</v>
      </c>
      <c r="D78" s="44" t="str">
        <f>VLOOKUP(C78,Table2[#All],3,FALSE)</f>
        <v>What we need from you/Reason</v>
      </c>
      <c r="E78" s="75" t="s">
        <v>199</v>
      </c>
      <c r="F78" s="96"/>
      <c r="G78" s="97"/>
      <c r="H78"/>
    </row>
    <row r="79" spans="1:8" ht="42" x14ac:dyDescent="0.25">
      <c r="A79" s="43" t="str">
        <f>CONCATENATE("Pt Id:",'Level 1'!E79," ","Pt Name: ",'Level 1'!F79," ","DOS: ", TEXT('Level 1'!H79,"mm-dd-yyyy"),"  "," Amnt: ","$",'Level 1'!J79,"  ", 'Level 1'!N79)</f>
        <v>Pt Id:3084 Pt Name: Mcneal, Gabrielle DOS: 04-01-2022   Amnt: $149.6  Note</v>
      </c>
      <c r="B79" s="43" t="str">
        <f>CONCATENATE("Detail: ",'Level 1'!N79,"  ",'Level 1'!O79,TEXT('Level 1'!P78,"  mm-dd-yyyy"),";"," ",'Level 1'!Q79,'Level 1'!R79,"  ",'Level 1'!T79," ","Payment "," ",'Level 1'!U79,"  ",'Level 1'!V79,"  ",'Level 1'!W79,"  ",'Level 1'!X79,"  ",'Level 1'!Z79, "  ",'Level 1'!AA79, " ","Insurance: ",'Level 1'!A79)</f>
        <v>Detail: Note  Q1  01-00-1900; Q2   Payment  Q4    Q5    Additional Notes:   Insurance: Dental Health and Wellness WI</v>
      </c>
      <c r="C79" s="60" t="str">
        <f>'Level 1'!Y79</f>
        <v>Action</v>
      </c>
      <c r="D79" s="44" t="str">
        <f>VLOOKUP(C79,Table2[#All],3,FALSE)</f>
        <v>What we need from you/Reason</v>
      </c>
      <c r="E79" s="75" t="s">
        <v>199</v>
      </c>
      <c r="F79" s="96"/>
      <c r="G79" s="97"/>
      <c r="H79"/>
    </row>
    <row r="80" spans="1:8" ht="42" x14ac:dyDescent="0.25">
      <c r="A80" s="43" t="str">
        <f>CONCATENATE("Pt Id:",'Level 1'!E80," ","Pt Name: ",'Level 1'!F80," ","DOS: ", TEXT('Level 1'!H80,"mm-dd-yyyy"),"  "," Amnt: ","$",'Level 1'!J80,"  ", 'Level 1'!N80)</f>
        <v>Pt Id:9219 Pt Name: Veasey, Zayden  DOS: 03-29-2022   Amnt: $470  Note</v>
      </c>
      <c r="B80" s="43" t="str">
        <f>CONCATENATE("Detail: ",'Level 1'!N80,"  ",'Level 1'!O80,TEXT('Level 1'!P79,"  mm-dd-yyyy"),";"," ",'Level 1'!Q80,'Level 1'!R80,"  ",'Level 1'!T80," ","Payment "," ",'Level 1'!U80,"  ",'Level 1'!V80,"  ",'Level 1'!W80,"  ",'Level 1'!X80,"  ",'Level 1'!Z80, "  ",'Level 1'!AA80, " ","Insurance: ",'Level 1'!A80)</f>
        <v>Detail: Note  Q1  01-00-1900; Q2   Payment  Q4    Q5    Additional Notes:   Insurance: Dental Health and Wellness WI</v>
      </c>
      <c r="C80" s="60" t="str">
        <f>'Level 1'!Y80</f>
        <v>Action</v>
      </c>
      <c r="D80" s="44" t="str">
        <f>VLOOKUP(C80,Table2[#All],3,FALSE)</f>
        <v>What we need from you/Reason</v>
      </c>
      <c r="E80" s="75" t="s">
        <v>199</v>
      </c>
      <c r="F80" s="96"/>
      <c r="G80" s="97"/>
      <c r="H80"/>
    </row>
    <row r="81" spans="1:8" ht="42" x14ac:dyDescent="0.25">
      <c r="A81" s="43" t="str">
        <f>CONCATENATE("Pt Id:",'Level 1'!E81," ","Pt Name: ",'Level 1'!F81," ","DOS: ", TEXT('Level 1'!H81,"mm-dd-yyyy"),"  "," Amnt: ","$",'Level 1'!J81,"  ", 'Level 1'!N81)</f>
        <v>Pt Id:2943 Pt Name: Bell , Muhammed  DOS: 03-25-2022   Amnt: $61.2  Note</v>
      </c>
      <c r="B81" s="43" t="str">
        <f>CONCATENATE("Detail: ",'Level 1'!N81,"  ",'Level 1'!O81,TEXT('Level 1'!P80,"  mm-dd-yyyy"),";"," ",'Level 1'!Q81,'Level 1'!R81,"  ",'Level 1'!T81," ","Payment "," ",'Level 1'!U81,"  ",'Level 1'!V81,"  ",'Level 1'!W81,"  ",'Level 1'!X81,"  ",'Level 1'!Z81, "  ",'Level 1'!AA81, " ","Insurance: ",'Level 1'!A81)</f>
        <v>Detail: Note  Q1  01-00-1900; Q2   Payment  Q4    Q5    Additional Notes:   Insurance: Dental Health and Wellness WI</v>
      </c>
      <c r="C81" s="60" t="str">
        <f>'Level 1'!Y81</f>
        <v>Action</v>
      </c>
      <c r="D81" s="44" t="str">
        <f>VLOOKUP(C81,Table2[#All],3,FALSE)</f>
        <v>What we need from you/Reason</v>
      </c>
      <c r="E81" s="75" t="s">
        <v>199</v>
      </c>
      <c r="F81" s="96"/>
      <c r="G81" s="97"/>
      <c r="H81"/>
    </row>
    <row r="82" spans="1:8" ht="42" x14ac:dyDescent="0.25">
      <c r="A82" s="43" t="str">
        <f>CONCATENATE("Pt Id:",'Level 1'!E82," ","Pt Name: ",'Level 1'!F82," ","DOS: ", TEXT('Level 1'!H82,"mm-dd-yyyy"),"  "," Amnt: ","$",'Level 1'!J82,"  ", 'Level 1'!N82)</f>
        <v>Pt Id:9077 Pt Name: Conner, Aaron DOS: 03-25-2022   Amnt: $506.4  Note</v>
      </c>
      <c r="B82" s="43" t="str">
        <f>CONCATENATE("Detail: ",'Level 1'!N82,"  ",'Level 1'!O82,TEXT('Level 1'!P81,"  mm-dd-yyyy"),";"," ",'Level 1'!Q82,'Level 1'!R82,"  ",'Level 1'!T82," ","Payment "," ",'Level 1'!U82,"  ",'Level 1'!V82,"  ",'Level 1'!W82,"  ",'Level 1'!X82,"  ",'Level 1'!Z82, "  ",'Level 1'!AA82, " ","Insurance: ",'Level 1'!A82)</f>
        <v>Detail: Note  Q1  01-00-1900; Q2   Payment  Q4    Q5    Additional Notes:   Insurance: Dental Health and Wellness WI</v>
      </c>
      <c r="C82" s="60" t="str">
        <f>'Level 1'!Y82</f>
        <v>Action</v>
      </c>
      <c r="D82" s="44" t="str">
        <f>VLOOKUP(C82,Table2[#All],3,FALSE)</f>
        <v>What we need from you/Reason</v>
      </c>
      <c r="E82" s="75" t="s">
        <v>199</v>
      </c>
      <c r="F82" s="96"/>
      <c r="G82" s="97"/>
      <c r="H82"/>
    </row>
    <row r="83" spans="1:8" ht="42" x14ac:dyDescent="0.25">
      <c r="A83" s="43" t="str">
        <f>CONCATENATE("Pt Id:",'Level 1'!E83," ","Pt Name: ",'Level 1'!F83," ","DOS: ", TEXT('Level 1'!H83,"mm-dd-yyyy"),"  "," Amnt: ","$",'Level 1'!J83,"  ", 'Level 1'!N83)</f>
        <v>Pt Id:9302 Pt Name: Brown, Jayce  DOS: 03-19-2022   Amnt: $432  Note</v>
      </c>
      <c r="B83" s="43" t="str">
        <f>CONCATENATE("Detail: ",'Level 1'!N83,"  ",'Level 1'!O83,TEXT('Level 1'!P82,"  mm-dd-yyyy"),";"," ",'Level 1'!Q83,'Level 1'!R83,"  ",'Level 1'!T83," ","Payment "," ",'Level 1'!U83,"  ",'Level 1'!V83,"  ",'Level 1'!W83,"  ",'Level 1'!X83,"  ",'Level 1'!Z83, "  ",'Level 1'!AA83, " ","Insurance: ",'Level 1'!A83)</f>
        <v>Detail: Note  Q1  01-00-1900; Q2   Payment  Q4    Q5    Additional Notes:   Insurance: Dental Health and Wellness WI</v>
      </c>
      <c r="C83" s="60" t="str">
        <f>'Level 1'!Y83</f>
        <v>Action</v>
      </c>
      <c r="D83" s="44" t="str">
        <f>VLOOKUP(C83,Table2[#All],3,FALSE)</f>
        <v>What we need from you/Reason</v>
      </c>
      <c r="E83" s="75" t="s">
        <v>199</v>
      </c>
      <c r="F83" s="96"/>
      <c r="G83" s="97"/>
      <c r="H83"/>
    </row>
    <row r="84" spans="1:8" ht="42" x14ac:dyDescent="0.25">
      <c r="A84" s="43" t="str">
        <f>CONCATENATE("Pt Id:",'Level 1'!E84," ","Pt Name: ",'Level 1'!F84," ","DOS: ", TEXT('Level 1'!H84,"mm-dd-yyyy"),"  "," Amnt: ","$",'Level 1'!J84,"  ", 'Level 1'!N84)</f>
        <v>Pt Id:7851 Pt Name: Beqiri, Malik  DOS: 03-23-2022   Amnt: $138  Note</v>
      </c>
      <c r="B84" s="43" t="str">
        <f>CONCATENATE("Detail: ",'Level 1'!N84,"  ",'Level 1'!O84,TEXT('Level 1'!P83,"  mm-dd-yyyy"),";"," ",'Level 1'!Q84,'Level 1'!R84,"  ",'Level 1'!T84," ","Payment "," ",'Level 1'!U84,"  ",'Level 1'!V84,"  ",'Level 1'!W84,"  ",'Level 1'!X84,"  ",'Level 1'!Z84, "  ",'Level 1'!AA84, " ","Insurance: ",'Level 1'!A84)</f>
        <v>Detail: Note  Q1  01-00-1900; Q2   Payment  Q4    Q5    Additional Notes:   Insurance: Dental Health and Wellness WI</v>
      </c>
      <c r="C84" s="60" t="str">
        <f>'Level 1'!Y84</f>
        <v>Action</v>
      </c>
      <c r="D84" s="44" t="str">
        <f>VLOOKUP(C84,Table2[#All],3,FALSE)</f>
        <v>What we need from you/Reason</v>
      </c>
      <c r="E84" s="75" t="s">
        <v>199</v>
      </c>
      <c r="F84" s="96"/>
      <c r="G84" s="97"/>
      <c r="H84"/>
    </row>
    <row r="85" spans="1:8" ht="42" x14ac:dyDescent="0.25">
      <c r="A85" s="43" t="str">
        <f>CONCATENATE("Pt Id:",'Level 1'!E85," ","Pt Name: ",'Level 1'!F85," ","DOS: ", TEXT('Level 1'!H85,"mm-dd-yyyy"),"  "," Amnt: ","$",'Level 1'!J85,"  ", 'Level 1'!N85)</f>
        <v>Pt Id:9278 Pt Name: Edmonds, Kelly DOS: 03-23-2022   Amnt: $178.4  Note</v>
      </c>
      <c r="B85" s="43" t="str">
        <f>CONCATENATE("Detail: ",'Level 1'!N85,"  ",'Level 1'!O85,TEXT('Level 1'!P84,"  mm-dd-yyyy"),";"," ",'Level 1'!Q85,'Level 1'!R85,"  ",'Level 1'!T85," ","Payment "," ",'Level 1'!U85,"  ",'Level 1'!V85,"  ",'Level 1'!W85,"  ",'Level 1'!X85,"  ",'Level 1'!Z85, "  ",'Level 1'!AA85, " ","Insurance: ",'Level 1'!A85)</f>
        <v>Detail: Note  Q1  01-00-1900; Q2   Payment  Q4    Q5    Additional Notes:   Insurance: Dental Health and Wellness WI</v>
      </c>
      <c r="C85" s="60" t="str">
        <f>'Level 1'!Y85</f>
        <v>Action</v>
      </c>
      <c r="D85" s="44" t="str">
        <f>VLOOKUP(C85,Table2[#All],3,FALSE)</f>
        <v>What we need from you/Reason</v>
      </c>
      <c r="E85" s="75" t="s">
        <v>199</v>
      </c>
      <c r="F85" s="96"/>
      <c r="G85" s="97"/>
      <c r="H85"/>
    </row>
    <row r="86" spans="1:8" ht="42" x14ac:dyDescent="0.25">
      <c r="A86" s="43" t="str">
        <f>CONCATENATE("Pt Id:",'Level 1'!E86," ","Pt Name: ",'Level 1'!F86," ","DOS: ", TEXT('Level 1'!H86,"mm-dd-yyyy"),"  "," Amnt: ","$",'Level 1'!J86,"  ", 'Level 1'!N86)</f>
        <v>Pt Id:9285 Pt Name: Howard , Jace  DOS: 03-23-2022   Amnt: $166.8  Note</v>
      </c>
      <c r="B86" s="43" t="str">
        <f>CONCATENATE("Detail: ",'Level 1'!N86,"  ",'Level 1'!O86,TEXT('Level 1'!P85,"  mm-dd-yyyy"),";"," ",'Level 1'!Q86,'Level 1'!R86,"  ",'Level 1'!T86," ","Payment "," ",'Level 1'!U86,"  ",'Level 1'!V86,"  ",'Level 1'!W86,"  ",'Level 1'!X86,"  ",'Level 1'!Z86, "  ",'Level 1'!AA86, " ","Insurance: ",'Level 1'!A86)</f>
        <v>Detail: Note  Q1  01-00-1900; Q2   Payment  Q4    Q5    Additional Notes:   Insurance: Dental Health and Wellness WI</v>
      </c>
      <c r="C86" s="60" t="str">
        <f>'Level 1'!Y86</f>
        <v>Action</v>
      </c>
      <c r="D86" s="44" t="str">
        <f>VLOOKUP(C86,Table2[#All],3,FALSE)</f>
        <v>What we need from you/Reason</v>
      </c>
      <c r="E86" s="75" t="s">
        <v>199</v>
      </c>
      <c r="F86" s="96"/>
      <c r="G86" s="97"/>
      <c r="H86"/>
    </row>
    <row r="87" spans="1:8" ht="42" x14ac:dyDescent="0.25">
      <c r="A87" s="43" t="str">
        <f>CONCATENATE("Pt Id:",'Level 1'!E87," ","Pt Name: ",'Level 1'!F87," ","DOS: ", TEXT('Level 1'!H87,"mm-dd-yyyy"),"  "," Amnt: ","$",'Level 1'!J87,"  ", 'Level 1'!N87)</f>
        <v>Pt Id:8696 Pt Name: Hayes , Shequita DOS: 03-22-2022   Amnt: $506.4  Note</v>
      </c>
      <c r="B87" s="43" t="str">
        <f>CONCATENATE("Detail: ",'Level 1'!N87,"  ",'Level 1'!O87,TEXT('Level 1'!P86,"  mm-dd-yyyy"),";"," ",'Level 1'!Q87,'Level 1'!R87,"  ",'Level 1'!T87," ","Payment "," ",'Level 1'!U87,"  ",'Level 1'!V87,"  ",'Level 1'!W87,"  ",'Level 1'!X87,"  ",'Level 1'!Z87, "  ",'Level 1'!AA87, " ","Insurance: ",'Level 1'!A87)</f>
        <v>Detail: Note  Q1  01-00-1900; Q2   Payment  Q4    Q5    Additional Notes:   Insurance: Dental Health and Wellness WI</v>
      </c>
      <c r="C87" s="60" t="str">
        <f>'Level 1'!Y87</f>
        <v>Action</v>
      </c>
      <c r="D87" s="44" t="str">
        <f>VLOOKUP(C87,Table2[#All],3,FALSE)</f>
        <v>What we need from you/Reason</v>
      </c>
      <c r="E87" s="75" t="s">
        <v>199</v>
      </c>
      <c r="F87" s="96"/>
      <c r="G87" s="97"/>
      <c r="H87"/>
    </row>
    <row r="88" spans="1:8" ht="42" x14ac:dyDescent="0.25">
      <c r="A88" s="43" t="str">
        <f>CONCATENATE("Pt Id:",'Level 1'!E88," ","Pt Name: ",'Level 1'!F88," ","DOS: ", TEXT('Level 1'!H88,"mm-dd-yyyy"),"  "," Amnt: ","$",'Level 1'!J88,"  ", 'Level 1'!N88)</f>
        <v>Pt Id:9053 Pt Name: Baker, Marquis  DOS: 03-22-2022   Amnt: $466.8  Note</v>
      </c>
      <c r="B88" s="43" t="str">
        <f>CONCATENATE("Detail: ",'Level 1'!N88,"  ",'Level 1'!O88,TEXT('Level 1'!P87,"  mm-dd-yyyy"),";"," ",'Level 1'!Q88,'Level 1'!R88,"  ",'Level 1'!T88," ","Payment "," ",'Level 1'!U88,"  ",'Level 1'!V88,"  ",'Level 1'!W88,"  ",'Level 1'!X88,"  ",'Level 1'!Z88, "  ",'Level 1'!AA88, " ","Insurance: ",'Level 1'!A88)</f>
        <v>Detail: Note  Q1  01-00-1900; Q2   Payment  Q4    Q5    Additional Notes:   Insurance: Dental Health and Wellness WI</v>
      </c>
      <c r="C88" s="60" t="str">
        <f>'Level 1'!Y88</f>
        <v>Action</v>
      </c>
      <c r="D88" s="44" t="str">
        <f>VLOOKUP(C88,Table2[#All],3,FALSE)</f>
        <v>What we need from you/Reason</v>
      </c>
      <c r="E88" s="75" t="s">
        <v>199</v>
      </c>
      <c r="F88" s="96"/>
      <c r="G88" s="97"/>
      <c r="H88"/>
    </row>
    <row r="89" spans="1:8" ht="42" x14ac:dyDescent="0.25">
      <c r="A89" s="43" t="str">
        <f>CONCATENATE("Pt Id:",'Level 1'!E89," ","Pt Name: ",'Level 1'!F89," ","DOS: ", TEXT('Level 1'!H89,"mm-dd-yyyy"),"  "," Amnt: ","$",'Level 1'!J89,"  ", 'Level 1'!N89)</f>
        <v>Pt Id:9302 Pt Name: Brown, Jayce  DOS: 03-19-2022   Amnt: $273.2  Note</v>
      </c>
      <c r="B89" s="43" t="str">
        <f>CONCATENATE("Detail: ",'Level 1'!N89,"  ",'Level 1'!O89,TEXT('Level 1'!P88,"  mm-dd-yyyy"),";"," ",'Level 1'!Q89,'Level 1'!R89,"  ",'Level 1'!T89," ","Payment "," ",'Level 1'!U89,"  ",'Level 1'!V89,"  ",'Level 1'!W89,"  ",'Level 1'!X89,"  ",'Level 1'!Z89, "  ",'Level 1'!AA89, " ","Insurance: ",'Level 1'!A89)</f>
        <v>Detail: Note  Q1  01-00-1900; Q2   Payment  Q4    Q5    Additional Notes:   Insurance: Dental Health and Wellness WI</v>
      </c>
      <c r="C89" s="60" t="str">
        <f>'Level 1'!Y89</f>
        <v>Action</v>
      </c>
      <c r="D89" s="44" t="str">
        <f>VLOOKUP(C89,Table2[#All],3,FALSE)</f>
        <v>What we need from you/Reason</v>
      </c>
      <c r="E89" s="75" t="s">
        <v>199</v>
      </c>
      <c r="F89" s="96"/>
      <c r="G89" s="97"/>
      <c r="H89"/>
    </row>
    <row r="90" spans="1:8" ht="42" x14ac:dyDescent="0.25">
      <c r="A90" s="43" t="str">
        <f>CONCATENATE("Pt Id:",'Level 1'!E90," ","Pt Name: ",'Level 1'!F90," ","DOS: ", TEXT('Level 1'!H90,"mm-dd-yyyy"),"  "," Amnt: ","$",'Level 1'!J90,"  ", 'Level 1'!N90)</f>
        <v>Pt Id:9303 Pt Name: Brown , Jeremiah  DOS: 03-18-2022   Amnt: $740  Note</v>
      </c>
      <c r="B90" s="43" t="str">
        <f>CONCATENATE("Detail: ",'Level 1'!N90,"  ",'Level 1'!O90,TEXT('Level 1'!P89,"  mm-dd-yyyy"),";"," ",'Level 1'!Q90,'Level 1'!R90,"  ",'Level 1'!T90," ","Payment "," ",'Level 1'!U90,"  ",'Level 1'!V90,"  ",'Level 1'!W90,"  ",'Level 1'!X90,"  ",'Level 1'!Z90, "  ",'Level 1'!AA90, " ","Insurance: ",'Level 1'!A90)</f>
        <v>Detail: Note  Q1  01-00-1900; Q2   Payment  Q4    Q5    Additional Notes:   Insurance: Dental Health and Wellness WI</v>
      </c>
      <c r="C90" s="60" t="str">
        <f>'Level 1'!Y90</f>
        <v>Action</v>
      </c>
      <c r="D90" s="44" t="str">
        <f>VLOOKUP(C90,Table2[#All],3,FALSE)</f>
        <v>What we need from you/Reason</v>
      </c>
      <c r="E90" s="75" t="s">
        <v>199</v>
      </c>
      <c r="F90" s="96"/>
      <c r="G90" s="97"/>
      <c r="H90"/>
    </row>
    <row r="91" spans="1:8" ht="42" x14ac:dyDescent="0.25">
      <c r="A91" s="43" t="str">
        <f>CONCATENATE("Pt Id:",'Level 1'!E91," ","Pt Name: ",'Level 1'!F91," ","DOS: ", TEXT('Level 1'!H91,"mm-dd-yyyy"),"  "," Amnt: ","$",'Level 1'!J91,"  ", 'Level 1'!N91)</f>
        <v>Pt Id:8696 Pt Name: Hayes , Shequita DOS: 03-18-2022   Amnt: $216  Note</v>
      </c>
      <c r="B91" s="43" t="str">
        <f>CONCATENATE("Detail: ",'Level 1'!N91,"  ",'Level 1'!O91,TEXT('Level 1'!P90,"  mm-dd-yyyy"),";"," ",'Level 1'!Q91,'Level 1'!R91,"  ",'Level 1'!T91," ","Payment "," ",'Level 1'!U91,"  ",'Level 1'!V91,"  ",'Level 1'!W91,"  ",'Level 1'!X91,"  ",'Level 1'!Z91, "  ",'Level 1'!AA91, " ","Insurance: ",'Level 1'!A91)</f>
        <v>Detail: Note  Q1  01-00-1900; Q2   Payment  Q4    Q5    Additional Notes:   Insurance: Dental Health and Wellness WI</v>
      </c>
      <c r="C91" s="60" t="str">
        <f>'Level 1'!Y91</f>
        <v>Action</v>
      </c>
      <c r="D91" s="44" t="str">
        <f>VLOOKUP(C91,Table2[#All],3,FALSE)</f>
        <v>What we need from you/Reason</v>
      </c>
      <c r="E91" s="75" t="s">
        <v>199</v>
      </c>
      <c r="F91" s="96"/>
      <c r="G91" s="97"/>
      <c r="H91"/>
    </row>
    <row r="92" spans="1:8" ht="42" x14ac:dyDescent="0.25">
      <c r="A92" s="43" t="str">
        <f>CONCATENATE("Pt Id:",'Level 1'!E92," ","Pt Name: ",'Level 1'!F92," ","DOS: ", TEXT('Level 1'!H92,"mm-dd-yyyy"),"  "," Amnt: ","$",'Level 1'!J92,"  ", 'Level 1'!N92)</f>
        <v>Pt Id:9056 Pt Name: Baker, Marquis  DOS: 03-18-2022   Amnt: $1072.8  Note</v>
      </c>
      <c r="B92" s="43" t="str">
        <f>CONCATENATE("Detail: ",'Level 1'!N92,"  ",'Level 1'!O92,TEXT('Level 1'!P91,"  mm-dd-yyyy"),";"," ",'Level 1'!Q92,'Level 1'!R92,"  ",'Level 1'!T92," ","Payment "," ",'Level 1'!U92,"  ",'Level 1'!V92,"  ",'Level 1'!W92,"  ",'Level 1'!X92,"  ",'Level 1'!Z92, "  ",'Level 1'!AA92, " ","Insurance: ",'Level 1'!A92)</f>
        <v>Detail: Note  Q1  01-00-1900; Q2   Payment  Q4    Q5    Additional Notes:   Insurance: Dental Health and Wellness WI</v>
      </c>
      <c r="C92" s="60" t="str">
        <f>'Level 1'!Y92</f>
        <v>Action</v>
      </c>
      <c r="D92" s="44" t="str">
        <f>VLOOKUP(C92,Table2[#All],3,FALSE)</f>
        <v>What we need from you/Reason</v>
      </c>
      <c r="E92" s="75" t="s">
        <v>199</v>
      </c>
      <c r="F92" s="96"/>
      <c r="G92" s="97"/>
      <c r="H92"/>
    </row>
    <row r="93" spans="1:8" ht="42" x14ac:dyDescent="0.25">
      <c r="A93" s="43" t="str">
        <f>CONCATENATE("Pt Id:",'Level 1'!E93," ","Pt Name: ",'Level 1'!F93," ","DOS: ", TEXT('Level 1'!H93,"mm-dd-yyyy"),"  "," Amnt: ","$",'Level 1'!J93,"  ", 'Level 1'!N93)</f>
        <v>Pt Id:9055 Pt Name: Baker, Mariah DOS: 03-18-2022   Amnt: $828  Note</v>
      </c>
      <c r="B93" s="43" t="str">
        <f>CONCATENATE("Detail: ",'Level 1'!N93,"  ",'Level 1'!O93,TEXT('Level 1'!P92,"  mm-dd-yyyy"),";"," ",'Level 1'!Q93,'Level 1'!R93,"  ",'Level 1'!T93," ","Payment "," ",'Level 1'!U93,"  ",'Level 1'!V93,"  ",'Level 1'!W93,"  ",'Level 1'!X93,"  ",'Level 1'!Z93, "  ",'Level 1'!AA93, " ","Insurance: ",'Level 1'!A93)</f>
        <v>Detail: Note  Q1  01-00-1900; Q2   Payment  Q4    Q5    Additional Notes:   Insurance: Dental Health and Wellness WI</v>
      </c>
      <c r="C93" s="60" t="str">
        <f>'Level 1'!Y93</f>
        <v>Action</v>
      </c>
      <c r="D93" s="44" t="str">
        <f>VLOOKUP(C93,Table2[#All],3,FALSE)</f>
        <v>What we need from you/Reason</v>
      </c>
      <c r="E93" s="75" t="s">
        <v>199</v>
      </c>
      <c r="F93" s="96"/>
      <c r="G93" s="97"/>
      <c r="H93"/>
    </row>
    <row r="94" spans="1:8" ht="42" x14ac:dyDescent="0.25">
      <c r="A94" s="43" t="str">
        <f>CONCATENATE("Pt Id:",'Level 1'!E94," ","Pt Name: ",'Level 1'!F94," ","DOS: ", TEXT('Level 1'!H94,"mm-dd-yyyy"),"  "," Amnt: ","$",'Level 1'!J94,"  ", 'Level 1'!N94)</f>
        <v>Pt Id:3351 Pt Name: Rogers, Charles DOS: 03-18-2022   Amnt: $266  Note</v>
      </c>
      <c r="B94" s="43" t="str">
        <f>CONCATENATE("Detail: ",'Level 1'!N94,"  ",'Level 1'!O94,TEXT('Level 1'!P93,"  mm-dd-yyyy"),";"," ",'Level 1'!Q94,'Level 1'!R94,"  ",'Level 1'!T94," ","Payment "," ",'Level 1'!U94,"  ",'Level 1'!V94,"  ",'Level 1'!W94,"  ",'Level 1'!X94,"  ",'Level 1'!Z94, "  ",'Level 1'!AA94, " ","Insurance: ",'Level 1'!A94)</f>
        <v>Detail: Note  Q1  01-00-1900; Q2   Payment  Q4    Q5    Additional Notes:   Insurance: Dental Health and Wellness WI</v>
      </c>
      <c r="C94" s="60" t="str">
        <f>'Level 1'!Y94</f>
        <v>Action</v>
      </c>
      <c r="D94" s="44" t="str">
        <f>VLOOKUP(C94,Table2[#All],3,FALSE)</f>
        <v>What we need from you/Reason</v>
      </c>
      <c r="E94" s="75" t="s">
        <v>199</v>
      </c>
      <c r="F94" s="96"/>
      <c r="G94" s="97"/>
      <c r="H94"/>
    </row>
    <row r="95" spans="1:8" ht="42" x14ac:dyDescent="0.25">
      <c r="A95" s="43" t="str">
        <f>CONCATENATE("Pt Id:",'Level 1'!E95," ","Pt Name: ",'Level 1'!F95," ","DOS: ", TEXT('Level 1'!H95,"mm-dd-yyyy"),"  "," Amnt: ","$",'Level 1'!J95,"  ", 'Level 1'!N95)</f>
        <v>Pt Id:903 Pt Name: Simmons, Arionna DOS: 03-09-2022   Amnt: $276  Note</v>
      </c>
      <c r="B95" s="43" t="str">
        <f>CONCATENATE("Detail: ",'Level 1'!N95,"  ",'Level 1'!O95,TEXT('Level 1'!P94,"  mm-dd-yyyy"),";"," ",'Level 1'!Q95,'Level 1'!R95,"  ",'Level 1'!T95," ","Payment "," ",'Level 1'!U95,"  ",'Level 1'!V95,"  ",'Level 1'!W95,"  ",'Level 1'!X95,"  ",'Level 1'!Z95, "  ",'Level 1'!AA95, " ","Insurance: ",'Level 1'!A95)</f>
        <v>Detail: Note  Q1  01-00-1900; Q2   Payment  Q4    Q5    Additional Notes:   Insurance: Dental Health and Wellness WI</v>
      </c>
      <c r="C95" s="60" t="str">
        <f>'Level 1'!Y95</f>
        <v>Action</v>
      </c>
      <c r="D95" s="44" t="str">
        <f>VLOOKUP(C95,Table2[#All],3,FALSE)</f>
        <v>What we need from you/Reason</v>
      </c>
      <c r="E95" s="75" t="s">
        <v>199</v>
      </c>
      <c r="F95" s="96"/>
      <c r="G95" s="97"/>
      <c r="H95"/>
    </row>
    <row r="96" spans="1:8" ht="42" x14ac:dyDescent="0.25">
      <c r="A96" s="43" t="str">
        <f>CONCATENATE("Pt Id:",'Level 1'!E96," ","Pt Name: ",'Level 1'!F96," ","DOS: ", TEXT('Level 1'!H96,"mm-dd-yyyy"),"  "," Amnt: ","$",'Level 1'!J96,"  ", 'Level 1'!N96)</f>
        <v>Pt Id:8091 Pt Name: Nelson , Annette DOS: 10-04-2021   Amnt: $178.4  Note</v>
      </c>
      <c r="B96" s="43" t="str">
        <f>CONCATENATE("Detail: ",'Level 1'!N96,"  ",'Level 1'!O96,TEXT('Level 1'!P95,"  mm-dd-yyyy"),";"," ",'Level 1'!Q96,'Level 1'!R96,"  ",'Level 1'!T96," ","Payment "," ",'Level 1'!U96,"  ",'Level 1'!V96,"  ",'Level 1'!W96,"  ",'Level 1'!X96,"  ",'Level 1'!Z96, "  ",'Level 1'!AA96, " ","Insurance: ",'Level 1'!A96)</f>
        <v>Detail: Note  Q1  01-00-1900; Q2   Payment  Q4    Q5    Additional Notes:   Insurance: Dental Health and Wellness WI</v>
      </c>
      <c r="C96" s="60" t="str">
        <f>'Level 1'!Y96</f>
        <v>Action</v>
      </c>
      <c r="D96" s="44" t="str">
        <f>VLOOKUP(C96,Table2[#All],3,FALSE)</f>
        <v>What we need from you/Reason</v>
      </c>
      <c r="E96" s="75" t="s">
        <v>199</v>
      </c>
      <c r="F96" s="96"/>
      <c r="G96" s="97"/>
      <c r="H96"/>
    </row>
    <row r="97" spans="1:8" ht="42" x14ac:dyDescent="0.25">
      <c r="A97" s="43" t="str">
        <f>CONCATENATE("Pt Id:",'Level 1'!E97," ","Pt Name: ",'Level 1'!F97," ","DOS: ", TEXT('Level 1'!H97,"mm-dd-yyyy"),"  "," Amnt: ","$",'Level 1'!J97,"  ", 'Level 1'!N97)</f>
        <v>Pt Id:7691 Pt Name: Paw, Mya DOS: 10-23-2021   Amnt: $1062  Note</v>
      </c>
      <c r="B97" s="43" t="str">
        <f>CONCATENATE("Detail: ",'Level 1'!N97,"  ",'Level 1'!O97,TEXT('Level 1'!P96,"  mm-dd-yyyy"),";"," ",'Level 1'!Q97,'Level 1'!R97,"  ",'Level 1'!T97," ","Payment "," ",'Level 1'!U97,"  ",'Level 1'!V97,"  ",'Level 1'!W97,"  ",'Level 1'!X97,"  ",'Level 1'!Z97, "  ",'Level 1'!AA97, " ","Insurance: ",'Level 1'!A97)</f>
        <v>Detail: Note  Q1  01-00-1900; Q2   Payment  Q4    Q5    Additional Notes:   Insurance: Dental Health and Wellness WI</v>
      </c>
      <c r="C97" s="60" t="str">
        <f>'Level 1'!Y97</f>
        <v>Action</v>
      </c>
      <c r="D97" s="44" t="str">
        <f>VLOOKUP(C97,Table2[#All],3,FALSE)</f>
        <v>What we need from you/Reason</v>
      </c>
      <c r="E97" s="75" t="s">
        <v>199</v>
      </c>
      <c r="F97" s="96"/>
      <c r="G97" s="97"/>
      <c r="H97"/>
    </row>
    <row r="98" spans="1:8" ht="42" x14ac:dyDescent="0.25">
      <c r="A98" s="43" t="str">
        <f>CONCATENATE("Pt Id:",'Level 1'!E98," ","Pt Name: ",'Level 1'!F98," ","DOS: ", TEXT('Level 1'!H98,"mm-dd-yyyy"),"  "," Amnt: ","$",'Level 1'!J98,"  ", 'Level 1'!N98)</f>
        <v>Pt Id:8087 Pt Name: Lenegar, Erin  DOS: 11-11-2021   Amnt: $506.4  Note</v>
      </c>
      <c r="B98" s="43" t="str">
        <f>CONCATENATE("Detail: ",'Level 1'!N98,"  ",'Level 1'!O98,TEXT('Level 1'!P97,"  mm-dd-yyyy"),";"," ",'Level 1'!Q98,'Level 1'!R98,"  ",'Level 1'!T98," ","Payment "," ",'Level 1'!U98,"  ",'Level 1'!V98,"  ",'Level 1'!W98,"  ",'Level 1'!X98,"  ",'Level 1'!Z98, "  ",'Level 1'!AA98, " ","Insurance: ",'Level 1'!A98)</f>
        <v>Detail: Note  Q1  01-00-1900; Q2   Payment  Q4    Q5    Additional Notes:   Insurance: Dental Health and Wellness WI</v>
      </c>
      <c r="C98" s="60" t="str">
        <f>'Level 1'!Y98</f>
        <v>Action</v>
      </c>
      <c r="D98" s="44" t="str">
        <f>VLOOKUP(C98,Table2[#All],3,FALSE)</f>
        <v>What we need from you/Reason</v>
      </c>
      <c r="E98" s="75" t="s">
        <v>199</v>
      </c>
      <c r="F98" s="96"/>
      <c r="G98" s="97"/>
      <c r="H98"/>
    </row>
    <row r="99" spans="1:8" ht="42" x14ac:dyDescent="0.25">
      <c r="A99" s="43" t="str">
        <f>CONCATENATE("Pt Id:",'Level 1'!E99," ","Pt Name: ",'Level 1'!F99," ","DOS: ", TEXT('Level 1'!H99,"mm-dd-yyyy"),"  "," Amnt: ","$",'Level 1'!J99,"  ", 'Level 1'!N99)</f>
        <v>Pt Id:8667 Pt Name: Rodriguez Rivera, Juan  DOS: 03-01-2022   Amnt: $6028  Note</v>
      </c>
      <c r="B99" s="43" t="str">
        <f>CONCATENATE("Detail: ",'Level 1'!N99,"  ",'Level 1'!O99,TEXT('Level 1'!P98,"  mm-dd-yyyy"),";"," ",'Level 1'!Q99,'Level 1'!R99,"  ",'Level 1'!T99," ","Payment "," ",'Level 1'!U99,"  ",'Level 1'!V99,"  ",'Level 1'!W99,"  ",'Level 1'!X99,"  ",'Level 1'!Z99, "  ",'Level 1'!AA99, " ","Insurance: ",'Level 1'!A99)</f>
        <v>Detail: Note  Q1  01-00-1900; Q2   Payment  Q4    Q5    Additional Notes:   Insurance: Dental Health and Wellness WI</v>
      </c>
      <c r="C99" s="60" t="str">
        <f>'Level 1'!Y99</f>
        <v>Action</v>
      </c>
      <c r="D99" s="44" t="str">
        <f>VLOOKUP(C99,Table2[#All],3,FALSE)</f>
        <v>What we need from you/Reason</v>
      </c>
      <c r="E99" s="75" t="s">
        <v>199</v>
      </c>
      <c r="F99" s="96"/>
      <c r="G99" s="97"/>
      <c r="H99"/>
    </row>
    <row r="100" spans="1:8" ht="42" x14ac:dyDescent="0.25">
      <c r="A100" s="43" t="str">
        <f>CONCATENATE("Pt Id:",'Level 1'!E100," ","Pt Name: ",'Level 1'!F100," ","DOS: ", TEXT('Level 1'!H100,"mm-dd-yyyy"),"  "," Amnt: ","$",'Level 1'!J100,"  ", 'Level 1'!N100)</f>
        <v>Pt Id:8087 Pt Name: Lenegar, Erin  DOS: 12-21-2021   Amnt: $2124  Note</v>
      </c>
      <c r="B100" s="43" t="str">
        <f>CONCATENATE("Detail: ",'Level 1'!N100,"  ",'Level 1'!O100,TEXT('Level 1'!P99,"  mm-dd-yyyy"),";"," ",'Level 1'!Q100,'Level 1'!R100,"  ",'Level 1'!T100," ","Payment "," ",'Level 1'!U100,"  ",'Level 1'!V100,"  ",'Level 1'!W100,"  ",'Level 1'!X100,"  ",'Level 1'!Z100, "  ",'Level 1'!AA100, " ","Insurance: ",'Level 1'!A100)</f>
        <v>Detail: Note  Q1  01-00-1900; Q2   Payment  Q4    Q5    Additional Notes:   Insurance: Dental Health and Wellness WI</v>
      </c>
      <c r="C100" s="60" t="str">
        <f>'Level 1'!Y100</f>
        <v>Action</v>
      </c>
      <c r="D100" s="44" t="str">
        <f>VLOOKUP(C100,Table2[#All],3,FALSE)</f>
        <v>What we need from you/Reason</v>
      </c>
      <c r="E100" s="75" t="s">
        <v>199</v>
      </c>
      <c r="F100" s="96"/>
      <c r="G100" s="97"/>
      <c r="H100"/>
    </row>
    <row r="101" spans="1:8" ht="42" x14ac:dyDescent="0.25">
      <c r="A101" s="43" t="str">
        <f>CONCATENATE("Pt Id:",'Level 1'!E101," ","Pt Name: ",'Level 1'!F101," ","DOS: ", TEXT('Level 1'!H101,"mm-dd-yyyy"),"  "," Amnt: ","$",'Level 1'!J101,"  ", 'Level 1'!N101)</f>
        <v>Pt Id:6261 Pt Name: Cervantes, Giselle  DOS: 02-26-2022   Amnt: $532  Note</v>
      </c>
      <c r="B101" s="43" t="str">
        <f>CONCATENATE("Detail: ",'Level 1'!N101,"  ",'Level 1'!O101,TEXT('Level 1'!P100,"  mm-dd-yyyy"),";"," ",'Level 1'!Q101,'Level 1'!R101,"  ",'Level 1'!T101," ","Payment "," ",'Level 1'!U101,"  ",'Level 1'!V101,"  ",'Level 1'!W101,"  ",'Level 1'!X101,"  ",'Level 1'!Z101, "  ",'Level 1'!AA101, " ","Insurance: ",'Level 1'!A101)</f>
        <v>Detail: Note  Q1  01-00-1900; Q2   Payment  Q4    Q5    Additional Notes:   Insurance: Dental Health and Wellness WI</v>
      </c>
      <c r="C101" s="60" t="str">
        <f>'Level 1'!Y101</f>
        <v>Action</v>
      </c>
      <c r="D101" s="44" t="str">
        <f>VLOOKUP(C101,Table2[#All],3,FALSE)</f>
        <v>What we need from you/Reason</v>
      </c>
      <c r="E101" s="75" t="s">
        <v>199</v>
      </c>
      <c r="F101" s="96"/>
      <c r="G101" s="97"/>
      <c r="H101"/>
    </row>
    <row r="102" spans="1:8" ht="42" x14ac:dyDescent="0.25">
      <c r="A102" s="43" t="str">
        <f>CONCATENATE("Pt Id:",'Level 1'!E102," ","Pt Name: ",'Level 1'!F102," ","DOS: ", TEXT('Level 1'!H102,"mm-dd-yyyy"),"  "," Amnt: ","$",'Level 1'!J102,"  ", 'Level 1'!N102)</f>
        <v>Pt Id:4228 Pt Name: Miller, Christopher DOS: 02-21-2022   Amnt: $480  Note</v>
      </c>
      <c r="B102" s="43" t="str">
        <f>CONCATENATE("Detail: ",'Level 1'!N102,"  ",'Level 1'!O102,TEXT('Level 1'!P101,"  mm-dd-yyyy"),";"," ",'Level 1'!Q102,'Level 1'!R102,"  ",'Level 1'!T102," ","Payment "," ",'Level 1'!U102,"  ",'Level 1'!V102,"  ",'Level 1'!W102,"  ",'Level 1'!X102,"  ",'Level 1'!Z102, "  ",'Level 1'!AA102, " ","Insurance: ",'Level 1'!A102)</f>
        <v>Detail: Note  Q1  01-00-1900; Q2   Payment  Q4    Q5    Additional Notes:   Insurance: Dental Health and Wellness WI</v>
      </c>
      <c r="C102" s="60" t="str">
        <f>'Level 1'!Y102</f>
        <v>Action</v>
      </c>
      <c r="D102" s="44" t="str">
        <f>VLOOKUP(C102,Table2[#All],3,FALSE)</f>
        <v>What we need from you/Reason</v>
      </c>
      <c r="E102" s="75" t="s">
        <v>199</v>
      </c>
      <c r="F102" s="96"/>
      <c r="G102" s="97"/>
      <c r="H102"/>
    </row>
    <row r="103" spans="1:8" ht="42" x14ac:dyDescent="0.25">
      <c r="A103" s="43" t="str">
        <f>CONCATENATE("Pt Id:",'Level 1'!E103," ","Pt Name: ",'Level 1'!F103," ","DOS: ", TEXT('Level 1'!H103,"mm-dd-yyyy"),"  "," Amnt: ","$",'Level 1'!J103,"  ", 'Level 1'!N103)</f>
        <v>Pt Id:2389 Pt Name: Stropes, Skylar DOS: 02-23-2022   Amnt: $227.6  Note</v>
      </c>
      <c r="B103" s="43" t="str">
        <f>CONCATENATE("Detail: ",'Level 1'!N103,"  ",'Level 1'!O103,TEXT('Level 1'!P102,"  mm-dd-yyyy"),";"," ",'Level 1'!Q103,'Level 1'!R103,"  ",'Level 1'!T103," ","Payment "," ",'Level 1'!U103,"  ",'Level 1'!V103,"  ",'Level 1'!W103,"  ",'Level 1'!X103,"  ",'Level 1'!Z103, "  ",'Level 1'!AA103, " ","Insurance: ",'Level 1'!A103)</f>
        <v>Detail: Note  Q1  01-00-1900; Q2   Payment  Q4    Q5    Additional Notes:   Insurance: Dental Health and Wellness WI</v>
      </c>
      <c r="C103" s="60" t="str">
        <f>'Level 1'!Y103</f>
        <v>Action</v>
      </c>
      <c r="D103" s="44" t="str">
        <f>VLOOKUP(C103,Table2[#All],3,FALSE)</f>
        <v>What we need from you/Reason</v>
      </c>
      <c r="E103" s="75" t="s">
        <v>199</v>
      </c>
      <c r="F103" s="96"/>
      <c r="G103" s="97"/>
      <c r="H103"/>
    </row>
    <row r="104" spans="1:8" ht="42" x14ac:dyDescent="0.25">
      <c r="A104" s="43" t="str">
        <f>CONCATENATE("Pt Id:",'Level 1'!E104," ","Pt Name: ",'Level 1'!F104," ","DOS: ", TEXT('Level 1'!H104,"mm-dd-yyyy"),"  "," Amnt: ","$",'Level 1'!J104,"  ", 'Level 1'!N104)</f>
        <v>Pt Id:9035 Pt Name: Vallin, Lola  DOS: 02-23-2022   Amnt: $470  Note</v>
      </c>
      <c r="B104" s="43" t="str">
        <f>CONCATENATE("Detail: ",'Level 1'!N104,"  ",'Level 1'!O104,TEXT('Level 1'!P103,"  mm-dd-yyyy"),";"," ",'Level 1'!Q104,'Level 1'!R104,"  ",'Level 1'!T104," ","Payment "," ",'Level 1'!U104,"  ",'Level 1'!V104,"  ",'Level 1'!W104,"  ",'Level 1'!X104,"  ",'Level 1'!Z104, "  ",'Level 1'!AA104, " ","Insurance: ",'Level 1'!A104)</f>
        <v>Detail: Note  Q1  01-00-1900; Q2   Payment  Q4    Q5    Additional Notes:   Insurance: Dental Health and Wellness WI</v>
      </c>
      <c r="C104" s="60" t="str">
        <f>'Level 1'!Y104</f>
        <v>Action</v>
      </c>
      <c r="D104" s="44" t="str">
        <f>VLOOKUP(C104,Table2[#All],3,FALSE)</f>
        <v>What we need from you/Reason</v>
      </c>
      <c r="E104" s="75" t="s">
        <v>199</v>
      </c>
      <c r="F104" s="96"/>
      <c r="G104" s="97"/>
      <c r="H104"/>
    </row>
    <row r="105" spans="1:8" ht="42" x14ac:dyDescent="0.25">
      <c r="A105" s="43" t="str">
        <f>CONCATENATE("Pt Id:",'Level 1'!E105," ","Pt Name: ",'Level 1'!F105," ","DOS: ", TEXT('Level 1'!H105,"mm-dd-yyyy"),"  "," Amnt: ","$",'Level 1'!J105,"  ", 'Level 1'!N105)</f>
        <v>Pt Id:8773 Pt Name: Vallin, Aria  DOS: 02-23-2022   Amnt: $256.4  Note</v>
      </c>
      <c r="B105" s="43" t="str">
        <f>CONCATENATE("Detail: ",'Level 1'!N105,"  ",'Level 1'!O105,TEXT('Level 1'!P104,"  mm-dd-yyyy"),";"," ",'Level 1'!Q105,'Level 1'!R105,"  ",'Level 1'!T105," ","Payment "," ",'Level 1'!U105,"  ",'Level 1'!V105,"  ",'Level 1'!W105,"  ",'Level 1'!X105,"  ",'Level 1'!Z105, "  ",'Level 1'!AA105, " ","Insurance: ",'Level 1'!A105)</f>
        <v>Detail: Note  Q1  01-00-1900; Q2   Payment  Q4    Q5    Additional Notes:   Insurance: Dental Health and Wellness WI</v>
      </c>
      <c r="C105" s="60" t="str">
        <f>'Level 1'!Y105</f>
        <v>Action</v>
      </c>
      <c r="D105" s="44" t="str">
        <f>VLOOKUP(C105,Table2[#All],3,FALSE)</f>
        <v>What we need from you/Reason</v>
      </c>
      <c r="E105" s="75" t="s">
        <v>199</v>
      </c>
      <c r="F105" s="96"/>
      <c r="G105" s="97"/>
      <c r="H105"/>
    </row>
    <row r="106" spans="1:8" ht="42" x14ac:dyDescent="0.25">
      <c r="A106" s="43" t="str">
        <f>CONCATENATE("Pt Id:",'Level 1'!E106," ","Pt Name: ",'Level 1'!F106," ","DOS: ", TEXT('Level 1'!H106,"mm-dd-yyyy"),"  "," Amnt: ","$",'Level 1'!J106,"  ", 'Level 1'!N106)</f>
        <v>Pt Id:9126 Pt Name: Doxtater , Jenna DOS: 02-23-2022   Amnt: $1118.4  Note</v>
      </c>
      <c r="B106" s="43" t="str">
        <f>CONCATENATE("Detail: ",'Level 1'!N106,"  ",'Level 1'!O106,TEXT('Level 1'!P105,"  mm-dd-yyyy"),";"," ",'Level 1'!Q106,'Level 1'!R106,"  ",'Level 1'!T106," ","Payment "," ",'Level 1'!U106,"  ",'Level 1'!V106,"  ",'Level 1'!W106,"  ",'Level 1'!X106,"  ",'Level 1'!Z106, "  ",'Level 1'!AA106, " ","Insurance: ",'Level 1'!A106)</f>
        <v>Detail: Note  Q1  01-00-1900; Q2   Payment  Q4    Q5    Additional Notes:   Insurance: Dental Health and Wellness WI</v>
      </c>
      <c r="C106" s="60" t="str">
        <f>'Level 1'!Y106</f>
        <v>Action</v>
      </c>
      <c r="D106" s="44" t="str">
        <f>VLOOKUP(C106,Table2[#All],3,FALSE)</f>
        <v>What we need from you/Reason</v>
      </c>
      <c r="E106" s="75" t="s">
        <v>199</v>
      </c>
      <c r="F106" s="114"/>
      <c r="G106" s="97"/>
      <c r="H106"/>
    </row>
    <row r="107" spans="1:8" ht="42" x14ac:dyDescent="0.25">
      <c r="A107" s="43" t="str">
        <f>CONCATENATE("Pt Id:",'Level 1'!E107," ","Pt Name: ",'Level 1'!F107," ","DOS: ", TEXT('Level 1'!H107,"mm-dd-yyyy"),"  "," Amnt: ","$",'Level 1'!J107,"  ", 'Level 1'!N107)</f>
        <v>Pt Id:8849 Pt Name: Williams, James  DOS: 02-22-2022   Amnt: $61.2  Note</v>
      </c>
      <c r="B107" s="43" t="str">
        <f>CONCATENATE("Detail: ",'Level 1'!N107,"  ",'Level 1'!O107,TEXT('Level 1'!P106,"  mm-dd-yyyy"),";"," ",'Level 1'!Q107,'Level 1'!R107,"  ",'Level 1'!T107," ","Payment "," ",'Level 1'!U107,"  ",'Level 1'!V107,"  ",'Level 1'!W107,"  ",'Level 1'!X107,"  ",'Level 1'!Z107, "  ",'Level 1'!AA107, " ","Insurance: ",'Level 1'!A107)</f>
        <v>Detail: Note  Q1  01-00-1900; Q2   Payment  Q4    Q5    Additional Notes:   Insurance: Dental Health and Wellness WI</v>
      </c>
      <c r="C107" s="60" t="str">
        <f>'Level 1'!Y107</f>
        <v>Action</v>
      </c>
      <c r="D107" s="44" t="str">
        <f>VLOOKUP(C107,Table2[#All],3,FALSE)</f>
        <v>What we need from you/Reason</v>
      </c>
      <c r="E107" s="75" t="s">
        <v>199</v>
      </c>
      <c r="F107" s="96"/>
      <c r="G107" s="97"/>
      <c r="H107"/>
    </row>
    <row r="108" spans="1:8" ht="42" x14ac:dyDescent="0.25">
      <c r="A108" s="43" t="str">
        <f>CONCATENATE("Pt Id:",'Level 1'!E108," ","Pt Name: ",'Level 1'!F108," ","DOS: ", TEXT('Level 1'!H108,"mm-dd-yyyy"),"  "," Amnt: ","$",'Level 1'!J108,"  ", 'Level 1'!N108)</f>
        <v>Pt Id:2363 Pt Name: SAUER, Joseph DOS: 02-19-2022   Amnt: $552  Note</v>
      </c>
      <c r="B108" s="43" t="str">
        <f>CONCATENATE("Detail: ",'Level 1'!N108,"  ",'Level 1'!O108,TEXT('Level 1'!P107,"  mm-dd-yyyy"),";"," ",'Level 1'!Q108,'Level 1'!R108,"  ",'Level 1'!T108," ","Payment "," ",'Level 1'!U108,"  ",'Level 1'!V108,"  ",'Level 1'!W108,"  ",'Level 1'!X108,"  ",'Level 1'!Z108, "  ",'Level 1'!AA108, " ","Insurance: ",'Level 1'!A108)</f>
        <v>Detail: Note  Q1  01-00-1900; Q2   Payment  Q4    Q5    Additional Notes:   Insurance: Dental Health and Wellness WI</v>
      </c>
      <c r="C108" s="60" t="str">
        <f>'Level 1'!Y108</f>
        <v>Action</v>
      </c>
      <c r="D108" s="44" t="str">
        <f>VLOOKUP(C108,Table2[#All],3,FALSE)</f>
        <v>What we need from you/Reason</v>
      </c>
      <c r="E108" s="75" t="s">
        <v>199</v>
      </c>
      <c r="F108" s="96"/>
      <c r="G108" s="97"/>
      <c r="H108"/>
    </row>
    <row r="109" spans="1:8" ht="42" x14ac:dyDescent="0.25">
      <c r="A109" s="43" t="str">
        <f>CONCATENATE("Pt Id:",'Level 1'!E109," ","Pt Name: ",'Level 1'!F109," ","DOS: ", TEXT('Level 1'!H109,"mm-dd-yyyy"),"  "," Amnt: ","$",'Level 1'!J109,"  ", 'Level 1'!N109)</f>
        <v>Pt Id:8814 Pt Name: Mayes, Shanitra DOS: 02-18-2022   Amnt: $80.4  Note</v>
      </c>
      <c r="B109" s="43" t="str">
        <f>CONCATENATE("Detail: ",'Level 1'!N109,"  ",'Level 1'!O109,TEXT('Level 1'!P108,"  mm-dd-yyyy"),";"," ",'Level 1'!Q109,'Level 1'!R109,"  ",'Level 1'!T109," ","Payment "," ",'Level 1'!U109,"  ",'Level 1'!V109,"  ",'Level 1'!W109,"  ",'Level 1'!X109,"  ",'Level 1'!Z109, "  ",'Level 1'!AA109, " ","Insurance: ",'Level 1'!A109)</f>
        <v>Detail: Note  Q1  01-00-1900; Q2   Payment  Q4    Q5    Additional Notes:   Insurance: Dental Health and Wellness WI</v>
      </c>
      <c r="C109" s="60" t="str">
        <f>'Level 1'!Y109</f>
        <v>Action</v>
      </c>
      <c r="D109" s="44" t="str">
        <f>VLOOKUP(C109,Table2[#All],3,FALSE)</f>
        <v>What we need from you/Reason</v>
      </c>
      <c r="E109" s="75" t="s">
        <v>199</v>
      </c>
      <c r="F109" s="96"/>
      <c r="G109" s="97"/>
      <c r="H109"/>
    </row>
    <row r="110" spans="1:8" ht="42" x14ac:dyDescent="0.25">
      <c r="A110" s="43" t="str">
        <f>CONCATENATE("Pt Id:",'Level 1'!E110," ","Pt Name: ",'Level 1'!F110," ","DOS: ", TEXT('Level 1'!H110,"mm-dd-yyyy"),"  "," Amnt: ","$",'Level 1'!J110,"  ", 'Level 1'!N110)</f>
        <v>Pt Id:903 Pt Name: Simmons, Arionna DOS: 02-02-2022   Amnt: $36  Note</v>
      </c>
      <c r="B110" s="43" t="str">
        <f>CONCATENATE("Detail: ",'Level 1'!N110,"  ",'Level 1'!O110,TEXT('Level 1'!P109,"  mm-dd-yyyy"),";"," ",'Level 1'!Q110,'Level 1'!R110,"  ",'Level 1'!T110," ","Payment "," ",'Level 1'!U110,"  ",'Level 1'!V110,"  ",'Level 1'!W110,"  ",'Level 1'!X110,"  ",'Level 1'!Z110, "  ",'Level 1'!AA110, " ","Insurance: ",'Level 1'!A110)</f>
        <v>Detail: Note  Q1  01-00-1900; Q2   Payment  Q4    Q5    Additional Notes:   Insurance: Dental Health and Wellness WI</v>
      </c>
      <c r="C110" s="60" t="str">
        <f>'Level 1'!Y110</f>
        <v>Action</v>
      </c>
      <c r="D110" s="44" t="str">
        <f>VLOOKUP(C110,Table2[#All],3,FALSE)</f>
        <v>What we need from you/Reason</v>
      </c>
      <c r="E110" s="75" t="s">
        <v>199</v>
      </c>
      <c r="F110" s="96"/>
      <c r="G110" s="97"/>
      <c r="H110"/>
    </row>
    <row r="111" spans="1:8" ht="42" x14ac:dyDescent="0.25">
      <c r="A111" s="43" t="str">
        <f>CONCATENATE("Pt Id:",'Level 1'!E111," ","Pt Name: ",'Level 1'!F111," ","DOS: ", TEXT('Level 1'!H111,"mm-dd-yyyy"),"  "," Amnt: ","$",'Level 1'!J111,"  ", 'Level 1'!N111)</f>
        <v>Pt Id:9013 Pt Name: Reed, Christine  DOS: 02-11-2022   Amnt: $1012.8  Note</v>
      </c>
      <c r="B111" s="43" t="str">
        <f>CONCATENATE("Detail: ",'Level 1'!N111,"  ",'Level 1'!O111,TEXT('Level 1'!P110,"  mm-dd-yyyy"),";"," ",'Level 1'!Q111,'Level 1'!R111,"  ",'Level 1'!T111," ","Payment "," ",'Level 1'!U111,"  ",'Level 1'!V111,"  ",'Level 1'!W111,"  ",'Level 1'!X111,"  ",'Level 1'!Z111, "  ",'Level 1'!AA111, " ","Insurance: ",'Level 1'!A111)</f>
        <v>Detail: Note  Q1  01-00-1900; Q2   Payment  Q4    Q5    Additional Notes:   Insurance: Dental Health and Wellness WI</v>
      </c>
      <c r="C111" s="60" t="str">
        <f>'Level 1'!Y111</f>
        <v>Action</v>
      </c>
      <c r="D111" s="44" t="str">
        <f>VLOOKUP(C111,Table2[#All],3,FALSE)</f>
        <v>What we need from you/Reason</v>
      </c>
      <c r="E111" s="75" t="s">
        <v>199</v>
      </c>
      <c r="F111" s="96"/>
      <c r="G111" s="97"/>
      <c r="H111"/>
    </row>
    <row r="112" spans="1:8" ht="42" x14ac:dyDescent="0.25">
      <c r="A112" s="43" t="str">
        <f>CONCATENATE("Pt Id:",'Level 1'!E112," ","Pt Name: ",'Level 1'!F112," ","DOS: ", TEXT('Level 1'!H112,"mm-dd-yyyy"),"  "," Amnt: ","$",'Level 1'!J112,"  ", 'Level 1'!N112)</f>
        <v>Pt Id:9053 Pt Name: Baker, Marquis  DOS: 02-11-2022   Amnt: $332.4  Note</v>
      </c>
      <c r="B112" s="43" t="str">
        <f>CONCATENATE("Detail: ",'Level 1'!N112,"  ",'Level 1'!O112,TEXT('Level 1'!P111,"  mm-dd-yyyy"),";"," ",'Level 1'!Q112,'Level 1'!R112,"  ",'Level 1'!T112," ","Payment "," ",'Level 1'!U112,"  ",'Level 1'!V112,"  ",'Level 1'!W112,"  ",'Level 1'!X112,"  ",'Level 1'!Z112, "  ",'Level 1'!AA112, " ","Insurance: ",'Level 1'!A112)</f>
        <v>Detail: Note  Q1  01-00-1900; Q2   Payment  Q4    Q5    Additional Notes:   Insurance: Dental Health and Wellness WI</v>
      </c>
      <c r="C112" s="60" t="str">
        <f>'Level 1'!Y112</f>
        <v>Action</v>
      </c>
      <c r="D112" s="44" t="str">
        <f>VLOOKUP(C112,Table2[#All],3,FALSE)</f>
        <v>What we need from you/Reason</v>
      </c>
      <c r="E112" s="75" t="s">
        <v>199</v>
      </c>
      <c r="F112" s="96"/>
      <c r="G112" s="97"/>
      <c r="H112"/>
    </row>
    <row r="113" spans="1:8" ht="42" x14ac:dyDescent="0.25">
      <c r="A113" s="43" t="str">
        <f>CONCATENATE("Pt Id:",'Level 1'!E113," ","Pt Name: ",'Level 1'!F113," ","DOS: ", TEXT('Level 1'!H113,"mm-dd-yyyy"),"  "," Amnt: ","$",'Level 1'!J113,"  ", 'Level 1'!N113)</f>
        <v>Pt Id:9055 Pt Name: Baker, Mariah DOS: 02-11-2022   Amnt: $273.2  Note</v>
      </c>
      <c r="B113" s="43" t="str">
        <f>CONCATENATE("Detail: ",'Level 1'!N113,"  ",'Level 1'!O113,TEXT('Level 1'!P112,"  mm-dd-yyyy"),";"," ",'Level 1'!Q113,'Level 1'!R113,"  ",'Level 1'!T113," ","Payment "," ",'Level 1'!U113,"  ",'Level 1'!V113,"  ",'Level 1'!W113,"  ",'Level 1'!X113,"  ",'Level 1'!Z113, "  ",'Level 1'!AA113, " ","Insurance: ",'Level 1'!A113)</f>
        <v>Detail: Note  Q1  01-00-1900; Q2   Payment  Q4    Q5    Additional Notes:   Insurance: Dental Health and Wellness WI</v>
      </c>
      <c r="C113" s="60" t="str">
        <f>'Level 1'!Y113</f>
        <v>Action</v>
      </c>
      <c r="D113" s="44" t="str">
        <f>VLOOKUP(C113,Table2[#All],3,FALSE)</f>
        <v>What we need from you/Reason</v>
      </c>
      <c r="E113" s="75" t="s">
        <v>199</v>
      </c>
      <c r="F113" s="96"/>
      <c r="G113" s="97"/>
      <c r="H113"/>
    </row>
    <row r="114" spans="1:8" ht="42" x14ac:dyDescent="0.25">
      <c r="A114" s="43" t="str">
        <f>CONCATENATE("Pt Id:",'Level 1'!E114," ","Pt Name: ",'Level 1'!F114," ","DOS: ", TEXT('Level 1'!H114,"mm-dd-yyyy"),"  "," Amnt: ","$",'Level 1'!J114,"  ", 'Level 1'!N114)</f>
        <v>Pt Id:6261 Pt Name: Cervantes, Giselle  DOS: 02-08-2022   Amnt: $227.6  Ins needs more info, need to submit;</v>
      </c>
      <c r="B114" s="43" t="e">
        <f>CONCATENATE("Detail: ",'Level 1'!N114,"  ",'Level 1'!O114,TEXT('Level 1'!P113,"  mm-dd-yyyy"),";"," ",'Level 1'!Q114,'Level 1'!V114,"  ",'Level 1'!T114," ","Payment "," ",'Level 1'!U114,"  ",'Level 1'!#REF!,"  ",'Level 1'!W114,"  ",'Level 1'!X114,"  ",'Level 1'!Z114, "  ",'Level 1'!AA114, " ","Insurance: ",'Level 1'!A114)</f>
        <v>#REF!</v>
      </c>
      <c r="C114" s="60" t="str">
        <f>'Level 1'!Y114</f>
        <v xml:space="preserve">Task Sub Pending Claims Queue </v>
      </c>
      <c r="D114" s="44" t="str">
        <f>VLOOKUP(C114,Table2[#All],3,FALSE)</f>
        <v>N/A</v>
      </c>
      <c r="E114" s="75" t="s">
        <v>193</v>
      </c>
      <c r="F114" s="96" t="s">
        <v>3698</v>
      </c>
      <c r="G114" s="97"/>
      <c r="H114"/>
    </row>
    <row r="115" spans="1:8" ht="42" x14ac:dyDescent="0.25">
      <c r="A115" s="43" t="str">
        <f>CONCATENATE("Pt Id:",'Level 1'!E115," ","Pt Name: ",'Level 1'!F115," ","DOS: ", TEXT('Level 1'!H115,"mm-dd-yyyy"),"  "," Amnt: ","$",'Level 1'!J115,"  ", 'Level 1'!N115)</f>
        <v>Pt Id:9013 Pt Name: Reed, Christine  DOS: 02-08-2022   Amnt: $408.8  Note</v>
      </c>
      <c r="B115" s="43" t="str">
        <f>CONCATENATE("Detail: ",'Level 1'!N115,"  ",'Level 1'!O115,TEXT('Level 1'!P114,"  mm-dd-yyyy"),";"," ",'Level 1'!Q115,'Level 1'!R115,"  ",'Level 1'!T115," ","Payment "," ",'Level 1'!U115,"  ",'Level 1'!V115,"  ",'Level 1'!W115,"  ",'Level 1'!X115,"  ",'Level 1'!Z115, "  ",'Level 1'!AA115, " ","Insurance: ",'Level 1'!A115)</f>
        <v>Detail: Note  Q1Primary EOB Required; Q2   Payment  Q4    Q5    Additional Notes:   Insurance: Dental Health and Wellness WI</v>
      </c>
      <c r="C115" s="60" t="str">
        <f>'Level 1'!Y115</f>
        <v>Action</v>
      </c>
      <c r="D115" s="44" t="str">
        <f>VLOOKUP(C115,Table2[#All],3,FALSE)</f>
        <v>What we need from you/Reason</v>
      </c>
      <c r="E115" s="75" t="s">
        <v>199</v>
      </c>
      <c r="F115" s="96"/>
      <c r="G115" s="97"/>
      <c r="H115"/>
    </row>
    <row r="116" spans="1:8" ht="84" x14ac:dyDescent="0.25">
      <c r="A116" s="43" t="str">
        <f>CONCATENATE("Pt Id:",'Level 1'!E116," ","Pt Name: ",'Level 1'!F116," ","DOS: ", TEXT('Level 1'!H116,"mm-dd-yyyy"),"  "," Amnt: ","$",'Level 1'!J116,"  ", 'Level 1'!N116)</f>
        <v>Pt Id:8958 Pt Name: Sloat , Breanna  DOS: 02-08-2022   Amnt: $607.2  Ins needs more info, need to submit;</v>
      </c>
      <c r="B116" s="43" t="str">
        <f>CONCATENATE("Detail: ",'Level 1'!N116,"  ",'Level 1'!O116,TEXT('Level 1'!P115,"  mm-dd-yyyy"),";"," ",'Level 1'!Q116,'Level 1'!R116,"  ",'Level 1'!T116," ","Payment "," ",'Level 1'!U116,"  ",'Level 1'!V116,"  ",'Level 1'!W116,"  ",'Level 1'!X116,"  ",'Level 1'!Z116, "  ",'Level 1'!AA116, " ","Insurance: ",'Level 1'!A116)</f>
        <v>Detail: Ins needs more info, need to submit;  Attachments/Info needed?  01-00-1900; Fax # (If Fax Yes):  607713 Payment  Cust Rep:  GLADYS  0    Additional Notes:  Claim was denied due to No primary Insure EOB. Patient has primary Insurance . The Provider need to include EOB with the claim or term letter indicating the primary Insurance was terminated.  Insurance: Dental Health and Wellness WI</v>
      </c>
      <c r="C116" s="60" t="str">
        <f>'Level 1'!Y116</f>
        <v xml:space="preserve">Task Sub Pending Claims Queue </v>
      </c>
      <c r="D116" s="44" t="str">
        <f>VLOOKUP(C116,Table2[#All],3,FALSE)</f>
        <v>N/A</v>
      </c>
      <c r="E116" s="75" t="s">
        <v>193</v>
      </c>
      <c r="F116" s="96" t="s">
        <v>3698</v>
      </c>
      <c r="G116" s="97"/>
      <c r="H116"/>
    </row>
    <row r="117" spans="1:8" ht="63" x14ac:dyDescent="0.25">
      <c r="A117" s="43" t="str">
        <f>CONCATENATE("Pt Id:",'Level 1'!E117," ","Pt Name: ",'Level 1'!F117," ","DOS: ", TEXT('Level 1'!H117,"mm-dd-yyyy"),"  "," Amnt: ","$",'Level 1'!J117,"  ", 'Level 1'!N117)</f>
        <v>Pt Id:2956 Pt Name: Groves, Nolan DOS: 01-27-2022   Amnt: $20  Duplicate Submission;</v>
      </c>
      <c r="B117" s="43" t="str">
        <f>CONCATENATE("Detail: ",'Level 1'!N117,"  ",'Level 1'!O117,TEXT('Level 1'!P116,"  mm-dd-yyyy"),";"," ",'Level 1'!Q117,'Level 1'!R117,"  ",'Level 1'!T117," ","Payment "," ",'Level 1'!U117,"  ",'Level 1'!V117,"  ",'Level 1'!W117,"  ",'Level 1'!X117,"  ",'Level 1'!Z117, "  ",'Level 1'!AA117, " ","Insurance: ",'Level 1'!A117)</f>
        <v>Detail: Duplicate Submission;  Dt orig. claim submitted:Primary EOB Required; Status of original Claim:   575324 Payment  Cust Rep:  JAZZ  0    Additional Notes:  Incorrectly denied as duplicate, Check with Stanley for clarification - SN. Insurance: Dental Health and Wellness WI</v>
      </c>
      <c r="C117" s="60" t="str">
        <f>'Level 1'!Y117</f>
        <v>No Action</v>
      </c>
      <c r="D117" s="44" t="str">
        <f>VLOOKUP(C117,Table2[#All],3,FALSE)</f>
        <v>N/A</v>
      </c>
      <c r="E117" s="75" t="s">
        <v>199</v>
      </c>
      <c r="F117" s="96"/>
      <c r="G117" s="97"/>
      <c r="H117"/>
    </row>
    <row r="118" spans="1:8" ht="42" x14ac:dyDescent="0.25">
      <c r="A118" s="43" t="str">
        <f>CONCATENATE("Pt Id:",'Level 1'!E118," ","Pt Name: ",'Level 1'!F118," ","DOS: ", TEXT('Level 1'!H118,"mm-dd-yyyy"),"  "," Amnt: ","$",'Level 1'!J118,"  ", 'Level 1'!N118)</f>
        <v>Pt Id:8714 Pt Name: Lees, Vannessa  DOS: 12-23-2021   Amnt: $813.6  Note</v>
      </c>
      <c r="B118" s="43" t="str">
        <f>CONCATENATE("Detail: ",'Level 1'!N118,"  ",'Level 1'!O118,TEXT('Level 1'!P117,"  mm-dd-yyyy"),";"," ",'Level 1'!Q118,'Level 1'!R118,"  ",'Level 1'!T118," ","Payment "," ",'Level 1'!U118,"  ",'Level 1'!V118,"  ",'Level 1'!W118,"  ",'Level 1'!X118,"  ",'Level 1'!Z118, "  ",'Level 1'!AA118, " ","Insurance: ",'Level 1'!A118)</f>
        <v>Detail: Note  Q1  01-00-1900; Q2   Payment  Q4    Q5    Additional Notes:   Insurance: Dental Health and Wellness WI</v>
      </c>
      <c r="C118" s="60" t="str">
        <f>'Level 1'!Y118</f>
        <v>Action</v>
      </c>
      <c r="D118" s="44" t="str">
        <f>VLOOKUP(C118,Table2[#All],3,FALSE)</f>
        <v>What we need from you/Reason</v>
      </c>
      <c r="E118" s="75" t="s">
        <v>199</v>
      </c>
      <c r="F118" s="96"/>
      <c r="G118" s="97"/>
      <c r="H118"/>
    </row>
    <row r="119" spans="1:8" ht="42" x14ac:dyDescent="0.25">
      <c r="A119" s="43" t="str">
        <f>CONCATENATE("Pt Id:",'Level 1'!E119," ","Pt Name: ",'Level 1'!F119," ","DOS: ", TEXT('Level 1'!H119,"mm-dd-yyyy"),"  "," Amnt: ","$",'Level 1'!J119,"  ", 'Level 1'!N119)</f>
        <v>Pt Id:8863 Pt Name: Johnson , Elliott  DOS: 01-14-2022   Amnt: $408.8  Note</v>
      </c>
      <c r="B119" s="43" t="str">
        <f>CONCATENATE("Detail: ",'Level 1'!N119,"  ",'Level 1'!O119,TEXT('Level 1'!P118,"  mm-dd-yyyy"),";"," ",'Level 1'!Q119,'Level 1'!R119,"  ",'Level 1'!T119," ","Payment "," ",'Level 1'!U119,"  ",'Level 1'!V119,"  ",'Level 1'!W119,"  ",'Level 1'!X119,"  ",'Level 1'!Z119, "  ",'Level 1'!AA119, " ","Insurance: ",'Level 1'!A119)</f>
        <v>Detail: Note  Q1  01-00-1900; Q2   Payment  Q4    Q5    Additional Notes:   Insurance: Dental Health and Wellness WI</v>
      </c>
      <c r="C119" s="60" t="str">
        <f>'Level 1'!Y119</f>
        <v>Action</v>
      </c>
      <c r="D119" s="44" t="str">
        <f>VLOOKUP(C119,Table2[#All],3,FALSE)</f>
        <v>What we need from you/Reason</v>
      </c>
      <c r="E119" s="75" t="s">
        <v>199</v>
      </c>
      <c r="F119" s="96"/>
      <c r="G119" s="97"/>
      <c r="H119"/>
    </row>
    <row r="120" spans="1:8" ht="84" x14ac:dyDescent="0.25">
      <c r="A120" s="43" t="str">
        <f>CONCATENATE("Pt Id:",'Level 1'!E120," ","Pt Name: ",'Level 1'!F120," ","DOS: ", TEXT('Level 1'!H120,"mm-dd-yyyy"),"  "," Amnt: ","$",'Level 1'!J120,"  ", 'Level 1'!N120)</f>
        <v>Pt Id:629 Pt Name: Jaimes, Gener DOS: 01-14-2022   Amnt: $132.8  Claim Paid by Check;</v>
      </c>
      <c r="B120" s="43" t="str">
        <f>CONCATENATE("Detail: ",'Level 1'!N120,"  ",'Level 1'!O120,TEXT('Level 1'!P119,"  mm-dd-yyyy"),";"," ",'Level 1'!Q120,'Level 1'!R120,"  ",'Level 1'!T120," ","Payment "," ",'Level 1'!U120,"  ",'Level 1'!V120,"  ",'Level 1'!W120,"  ",'Level 1'!X120,"  ",'Level 1'!Z120, "  ",'Level 1'!AA120, " ","Insurance: ",'Level 1'!A120)</f>
        <v>Detail: Claim Paid by Check;  Issue Date:  01-00-1900; CHK#904375  Bulk Payment  Call Ref#:    Cust Rep:    Additional Notes:  Cashed date 01/31/2022 CLM # 20220117144845; Pd Amt : $56.57; Pt Resp: 0; Bulk Amt : $1566.24; Check is outstanding. D0220, D0230 &amp; D0274 are bundled to D0210 and paid Insurance: Dental Health and Wellness WI</v>
      </c>
      <c r="C120" s="60" t="str">
        <f>'Level 1'!Y120</f>
        <v xml:space="preserve">Task Cashed Chk Queue </v>
      </c>
      <c r="D120" s="44" t="str">
        <f>VLOOKUP(C120,Table2[#All],3,FALSE)</f>
        <v>What We Need From You: Please confirm Check was received. Reason: To close claim.</v>
      </c>
      <c r="E120" s="75" t="s">
        <v>199</v>
      </c>
      <c r="F120" s="96"/>
      <c r="G120" s="97"/>
      <c r="H120"/>
    </row>
    <row r="121" spans="1:8" ht="63" x14ac:dyDescent="0.25">
      <c r="A121" s="43" t="str">
        <f>CONCATENATE("Pt Id:",'Level 1'!E121," ","Pt Name: ",'Level 1'!F121," ","DOS: ", TEXT('Level 1'!H121,"mm-dd-yyyy"),"  "," Amnt: ","$",'Level 1'!J121,"  ", 'Level 1'!N121)</f>
        <v>Pt Id:8765 Pt Name: Guzman, Daniel DOS: 01-14-2022   Amnt: $332.4  Claim Paid by Check;</v>
      </c>
      <c r="B121" s="43" t="str">
        <f>CONCATENATE("Detail: ",'Level 1'!N121,"  ",'Level 1'!O121,TEXT('Level 1'!P120,"  mm-dd-yyyy"),";"," ",'Level 1'!Q121,'Level 1'!R121,"  ",'Level 1'!T121," ","Payment "," ",'Level 1'!U121,"  ",'Level 1'!V121,"  ",'Level 1'!W121,"  ",'Level 1'!X121,"  ",'Level 1'!Z121, "  ",'Level 1'!AA121, " ","Insurance: ",'Level 1'!A121)</f>
        <v>Detail: Claim Paid by Check;  Issue Date:  01-20-2022; CHK#904375  Bulk Payment  Call Ref#:    Cust Rep:    Additional Notes:  Cashed date 01/31/2022; CLM # 20220117144846; Pd Amt : $103.19; Pt Resp : $0; Bulk Amt $1566.24. Check is outstanding Insurance: Dental Health and Wellness WI</v>
      </c>
      <c r="C121" s="60" t="str">
        <f>'Level 1'!Y121</f>
        <v xml:space="preserve">Task Cashed Chk Queue </v>
      </c>
      <c r="D121" s="44" t="str">
        <f>VLOOKUP(C121,Table2[#All],3,FALSE)</f>
        <v>What We Need From You: Please confirm Check was received. Reason: To close claim.</v>
      </c>
      <c r="E121" s="75" t="s">
        <v>113</v>
      </c>
      <c r="F121" s="96" t="s">
        <v>3698</v>
      </c>
      <c r="G121" s="97"/>
      <c r="H121"/>
    </row>
    <row r="122" spans="1:8" ht="84" x14ac:dyDescent="0.25">
      <c r="A122" s="43" t="str">
        <f>CONCATENATE("Pt Id:",'Level 1'!E122," ","Pt Name: ",'Level 1'!F122," ","DOS: ", TEXT('Level 1'!H122,"mm-dd-yyyy"),"  "," Amnt: ","$",'Level 1'!J122,"  ", 'Level 1'!N122)</f>
        <v>Pt Id:8807 Pt Name: Allen, Andre DOS: 01-14-2022   Amnt: $294.8  Claim Paid by Check;</v>
      </c>
      <c r="B122" s="43" t="str">
        <f>CONCATENATE("Detail: ",'Level 1'!N122,"  ",'Level 1'!O122,TEXT('Level 1'!P121,"  mm-dd-yyyy"),";"," ",'Level 1'!Q122,'Level 1'!R122,"  ",'Level 1'!T122," ","Payment "," ",'Level 1'!U122,"  ",'Level 1'!V122,"  ",'Level 1'!W122,"  ",'Level 1'!X122,"  ",'Level 1'!Z122, "  ",'Level 1'!AA122, " ","Insurance: ",'Level 1'!A122)</f>
        <v>Detail: Claim Paid by Check;  Issue Date:  01-20-2022; CHK#904375  Bulk Payment  Call Ref#:    Cust Rep:    Additional Notes:  Cashed date 01/31/2022 //GET CASED DATE -MU     ( Instead of 1/14/2022 for the DOS 1/06/2022 get the cashed date. )            ////CLM # 20220117142317; Pd Amt : $103.19; Pt Resp $0; Bulk Amt : $1566.24 Insurance: Dental Health and Wellness WI</v>
      </c>
      <c r="C122" s="60" t="str">
        <f>'Level 1'!Y122</f>
        <v xml:space="preserve">Task Cashed Chk Queue </v>
      </c>
      <c r="D122" s="44" t="str">
        <f>VLOOKUP(C122,Table2[#All],3,FALSE)</f>
        <v>What We Need From You: Please confirm Check was received. Reason: To close claim.</v>
      </c>
      <c r="E122" s="75" t="s">
        <v>113</v>
      </c>
      <c r="F122" s="96" t="s">
        <v>3698</v>
      </c>
      <c r="G122" s="97"/>
      <c r="H122"/>
    </row>
    <row r="123" spans="1:8" ht="63" x14ac:dyDescent="0.25">
      <c r="A123" s="43" t="str">
        <f>CONCATENATE("Pt Id:",'Level 1'!E123," ","Pt Name: ",'Level 1'!F123," ","DOS: ", TEXT('Level 1'!H123,"mm-dd-yyyy"),"  "," Amnt: ","$",'Level 1'!J123,"  ", 'Level 1'!N123)</f>
        <v>Pt Id:8849 Pt Name: Williams, James  DOS: 01-12-2022   Amnt: $612  Claim Paid by Check;</v>
      </c>
      <c r="B123" s="43" t="str">
        <f>CONCATENATE("Detail: ",'Level 1'!N123,"  ",'Level 1'!O123,TEXT('Level 1'!P122,"  mm-dd-yyyy"),";"," ",'Level 1'!Q123,'Level 1'!R123,"  ",'Level 1'!T123," ","Payment "," ",'Level 1'!U123,"  ",'Level 1'!V123,"  ",'Level 1'!W123,"  ",'Level 1'!X123,"  ",'Level 1'!Z123, "  ",'Level 1'!AA123, " ","Insurance: ",'Level 1'!A123)</f>
        <v>Detail: Claim Paid by Check;  Issue Date:  01-20-2022; CHK#932617  Bulk Payment  Call Ref#:    Cust Rep:    Additional Notes:  Rep State that Cashed on 03/23/2022 Rep Name: Jahni, Call Ref: 541267,CLM # 20220114130481; Pd Amt $157.86; Pt Resp $0; Bulk Amt $1566.24 Insurance: Dental Health and Wellness WI</v>
      </c>
      <c r="C123" s="60" t="str">
        <f>'Level 1'!Y123</f>
        <v xml:space="preserve">Task Cashed Chk Queue </v>
      </c>
      <c r="D123" s="44" t="str">
        <f>VLOOKUP(C123,Table2[#All],3,FALSE)</f>
        <v>What We Need From You: Please confirm Check was received. Reason: To close claim.</v>
      </c>
      <c r="E123" s="75" t="s">
        <v>113</v>
      </c>
      <c r="F123" s="96" t="s">
        <v>3776</v>
      </c>
      <c r="G123" s="97"/>
      <c r="H123"/>
    </row>
    <row r="124" spans="1:8" ht="63" x14ac:dyDescent="0.25">
      <c r="A124" s="43" t="str">
        <f>CONCATENATE("Pt Id:",'Level 1'!E124," ","Pt Name: ",'Level 1'!F124," ","DOS: ", TEXT('Level 1'!H124,"mm-dd-yyyy"),"  "," Amnt: ","$",'Level 1'!J124,"  ", 'Level 1'!N124)</f>
        <v>Pt Id:8755 Pt Name: Guzman, Nydia  DOS: 01-11-2022   Amnt: $332.4  Claim Paid by Check;</v>
      </c>
      <c r="B124" s="43" t="str">
        <f>CONCATENATE("Detail: ",'Level 1'!N124,"  ",'Level 1'!O124,TEXT('Level 1'!P123,"  mm-dd-yyyy"),";"," ",'Level 1'!Q124,'Level 1'!R124,"  ",'Level 1'!T124," ","Payment "," ",'Level 1'!U124,"  ",'Level 1'!V124,"  ",'Level 1'!W124,"  ",'Level 1'!X124,"  ",'Level 1'!Z124, "  ",'Level 1'!AA124, " ","Insurance: ",'Level 1'!A124)</f>
        <v>Detail: Claim Paid by Check;  Issue Date:  02-24-2022; CHK#932617  Bulk Payment  Call Ref#:    Cust Rep:    Additional Notes:  Rep State that Cashed on 03/23/2022 Rep Name: Jahni, Call Ref: 541267,CLM # 20220114130481; Pd Amt $157.86; Pt Resp $0; Bulk Amt $1566.24 Insurance: Dental Health and Wellness WI</v>
      </c>
      <c r="C124" s="60" t="str">
        <f>'Level 1'!Y124</f>
        <v xml:space="preserve">Task Cashed Chk Queue </v>
      </c>
      <c r="D124" s="44" t="str">
        <f>VLOOKUP(C124,Table2[#All],3,FALSE)</f>
        <v>What We Need From You: Please confirm Check was received. Reason: To close claim.</v>
      </c>
      <c r="E124" s="75" t="s">
        <v>113</v>
      </c>
      <c r="F124" s="96" t="s">
        <v>3776</v>
      </c>
      <c r="G124" s="97"/>
      <c r="H124"/>
    </row>
    <row r="125" spans="1:8" ht="63" x14ac:dyDescent="0.25">
      <c r="A125" s="43" t="str">
        <f>CONCATENATE("Pt Id:",'Level 1'!E125," ","Pt Name: ",'Level 1'!F125," ","DOS: ", TEXT('Level 1'!H125,"mm-dd-yyyy"),"  "," Amnt: ","$",'Level 1'!J125,"  ", 'Level 1'!N125)</f>
        <v>Pt Id:8814 Pt Name: Mayes, Shanitra DOS: 01-12-2022   Amnt: $364.8  Claim Paid by Check;</v>
      </c>
      <c r="B125" s="43" t="str">
        <f>CONCATENATE("Detail: ",'Level 1'!N125,"  ",'Level 1'!O125,TEXT('Level 1'!P124,"  mm-dd-yyyy"),";"," ",'Level 1'!Q125,'Level 1'!R125,"  ",'Level 1'!T125," ","Payment "," ",'Level 1'!U125,"  ",'Level 1'!V125,"  ",'Level 1'!W125,"  ",'Level 1'!X125,"  ",'Level 1'!Z125, "  ",'Level 1'!AA125, " ","Insurance: ",'Level 1'!A125)</f>
        <v>Detail: Claim Paid by Check;  Issue Date:  02-24-2022; CHK#932617  Bulk Payment  Call Ref#:    Cust Rep:    Additional Notes:  Rep State that Cashed on 03/23/2022 Rep Name: Jahni, Call Ref: 541267//CLM # 20220114128537; Pd Amt $ 286.28; Bulk Amt $1566.24. Insurance: Dental Health and Wellness WI</v>
      </c>
      <c r="C125" s="60" t="str">
        <f>'Level 1'!Y125</f>
        <v xml:space="preserve">Task Cashed Chk Queue </v>
      </c>
      <c r="D125" s="44" t="str">
        <f>VLOOKUP(C125,Table2[#All],3,FALSE)</f>
        <v>What We Need From You: Please confirm Check was received. Reason: To close claim.</v>
      </c>
      <c r="E125" s="75" t="s">
        <v>113</v>
      </c>
      <c r="F125" s="96" t="s">
        <v>3776</v>
      </c>
      <c r="G125" s="97"/>
      <c r="H125"/>
    </row>
    <row r="126" spans="1:8" ht="63" x14ac:dyDescent="0.25">
      <c r="A126" s="43" t="str">
        <f>CONCATENATE("Pt Id:",'Level 1'!E126," ","Pt Name: ",'Level 1'!F126," ","DOS: ", TEXT('Level 1'!H126,"mm-dd-yyyy"),"  "," Amnt: ","$",'Level 1'!J126,"  ", 'Level 1'!N126)</f>
        <v>Pt Id:2692 Pt Name: Groves, Vincent  DOS: 01-12-2022   Amnt: $350.4  Claim Paid by Check;</v>
      </c>
      <c r="B126" s="43" t="str">
        <f>CONCATENATE("Detail: ",'Level 1'!N126,"  ",'Level 1'!O126,TEXT('Level 1'!P125,"  mm-dd-yyyy"),";"," ",'Level 1'!Q126,'Level 1'!R126,"  ",'Level 1'!T126," ","Payment "," ",'Level 1'!U126,"  ",'Level 1'!V126,"  ",'Level 1'!W126,"  ",'Level 1'!X126,"  ",'Level 1'!Z126, "  ",'Level 1'!AA126, " ","Insurance: ",'Level 1'!A126)</f>
        <v>Detail: Claim Paid by Check;  Issue Date:  02-24-2022; CHK#932617   Payment  Call Ref#:    Cust Rep:    Additional Notes:  Rep State that Cashed on 03/23/2022 Rep Name: Jahni, Call Ref: 541267//CLM # 20220113115966; Pd Amt $269.60; Bulk Amt $1566.24; D0220 is bundled with same code Insurance: Dental Health and Wellness WI</v>
      </c>
      <c r="C126" s="60" t="str">
        <f>'Level 1'!Y126</f>
        <v xml:space="preserve">Task Cashed Chk Queue </v>
      </c>
      <c r="D126" s="44" t="str">
        <f>VLOOKUP(C126,Table2[#All],3,FALSE)</f>
        <v>What We Need From You: Please confirm Check was received. Reason: To close claim.</v>
      </c>
      <c r="E126" s="75" t="s">
        <v>113</v>
      </c>
      <c r="F126" s="96" t="s">
        <v>3776</v>
      </c>
      <c r="G126" s="97"/>
      <c r="H126"/>
    </row>
    <row r="127" spans="1:8" ht="63" x14ac:dyDescent="0.25">
      <c r="A127" s="43" t="str">
        <f>CONCATENATE("Pt Id:",'Level 1'!E127," ","Pt Name: ",'Level 1'!F127," ","DOS: ", TEXT('Level 1'!H127,"mm-dd-yyyy"),"  "," Amnt: ","$",'Level 1'!J127,"  ", 'Level 1'!N127)</f>
        <v>Pt Id:3566 Pt Name: BROOK , STELLA  DOS: 01-05-2022   Amnt: $700  Claim Paid by Check;</v>
      </c>
      <c r="B127" s="43" t="str">
        <f>CONCATENATE("Detail: ",'Level 1'!N127,"  ",'Level 1'!O127,TEXT('Level 1'!P126,"  mm-dd-yyyy"),";"," ",'Level 1'!Q127,'Level 1'!R127,"  ",'Level 1'!T127," ","Payment "," ",'Level 1'!U127,"  ",'Level 1'!V127,"  ",'Level 1'!W127,"  ",'Level 1'!X127,"  ",'Level 1'!Z127, "  ",'Level 1'!AA127, " ","Insurance: ",'Level 1'!A127)</f>
        <v>Detail: Claim Paid by Check;  Issue Date:  02-24-2022; CHK#932617  Bulk Payment  Call Ref#:    Cust Rep:    Additional Notes:  Rep State that Cashed on 03/23/2022 Rep Name: Jahni, Call Ref: 541267//CLM # 20220114130798; Pd Amt: $510.40; Bulk Amt $1566.24 Insurance: Dental Health and Wellness WI</v>
      </c>
      <c r="C127" s="60" t="str">
        <f>'Level 1'!Y127</f>
        <v xml:space="preserve">Task Cashed Chk Queue </v>
      </c>
      <c r="D127" s="44" t="str">
        <f>VLOOKUP(C127,Table2[#All],3,FALSE)</f>
        <v>What We Need From You: Please confirm Check was received. Reason: To close claim.</v>
      </c>
      <c r="E127" s="75" t="s">
        <v>113</v>
      </c>
      <c r="F127" s="96" t="s">
        <v>3776</v>
      </c>
      <c r="G127" s="97"/>
      <c r="H127"/>
    </row>
    <row r="128" spans="1:8" ht="63" x14ac:dyDescent="0.25">
      <c r="A128" s="43" t="str">
        <f>CONCATENATE("Pt Id:",'Level 1'!E128," ","Pt Name: ",'Level 1'!F128," ","DOS: ", TEXT('Level 1'!H128,"mm-dd-yyyy"),"  "," Amnt: ","$",'Level 1'!J128,"  ", 'Level 1'!N128)</f>
        <v>Pt Id:8816 Pt Name: Mohammadur Rahm, Umil Janab DOS: 01-07-2022   Amnt: $256.4  Claim Paid by Check;</v>
      </c>
      <c r="B128" s="43" t="str">
        <f>CONCATENATE("Detail: ",'Level 1'!N128,"  ",'Level 1'!O128,TEXT('Level 1'!P127,"  mm-dd-yyyy"),";"," ",'Level 1'!Q128,'Level 1'!R128,"  ",'Level 1'!T128," ","Payment "," ",'Level 1'!U128,"  ",'Level 1'!V128,"  ",'Level 1'!W128,"  ",'Level 1'!X128,"  ",'Level 1'!Z128, "  ",'Level 1'!AA128, " ","Insurance: ",'Level 1'!A128)</f>
        <v>Detail: Claim Paid by Check;  Issue Date:  02-24-2022; CHK#932617  Bulk Payment  Call Ref#:    Cust Rep:    Additional Notes:  Rep State that Cashed on 03/23/2022 Rep Name: Jahni, Call Ref: 541267//CLM #20220114130980; Pd Amt : $204; Bulk Amt $1566.24 Insurance: Dental Health and Wellness WI</v>
      </c>
      <c r="C128" s="60" t="str">
        <f>'Level 1'!Y128</f>
        <v xml:space="preserve">Task Cashed Chk Queue </v>
      </c>
      <c r="D128" s="44" t="str">
        <f>VLOOKUP(C128,Table2[#All],3,FALSE)</f>
        <v>What We Need From You: Please confirm Check was received. Reason: To close claim.</v>
      </c>
      <c r="E128" s="75" t="s">
        <v>113</v>
      </c>
      <c r="F128" s="96" t="s">
        <v>3776</v>
      </c>
      <c r="G128" s="97"/>
      <c r="H128"/>
    </row>
    <row r="129" spans="1:8" ht="63" x14ac:dyDescent="0.25">
      <c r="A129" s="43" t="str">
        <f>CONCATENATE("Pt Id:",'Level 1'!E129," ","Pt Name: ",'Level 1'!F129," ","DOS: ", TEXT('Level 1'!H129,"mm-dd-yyyy"),"  "," Amnt: ","$",'Level 1'!J129,"  ", 'Level 1'!N129)</f>
        <v>Pt Id:8820 Pt Name: Black, Yolanda  DOS: 01-08-2022   Amnt: $819.6  Claim Paid by Check;</v>
      </c>
      <c r="B129" s="43" t="str">
        <f>CONCATENATE("Detail: ",'Level 1'!N129,"  ",'Level 1'!O129,TEXT('Level 1'!P128,"  mm-dd-yyyy"),";"," ",'Level 1'!Q129,'Level 1'!R129,"  ",'Level 1'!T129," ","Payment "," ",'Level 1'!U129,"  ",'Level 1'!V129,"  ",'Level 1'!W129,"  ",'Level 1'!X129,"  ",'Level 1'!Z129, "  ",'Level 1'!AA129, " ","Insurance: ",'Level 1'!A129)</f>
        <v>Detail: Claim Paid by Check;  Issue Date:  02-24-2022; CHK#904375  Bulk Payment  Call Ref#:    Cust Rep:    Additional Notes:  Rep State that Cashed on 01/31/2022 Rep Name: Jahni, Call Ref: 541267//CLM # 20220114131005; Pd Amt $665.60; Bulk Amt $1566.24 Insurance: Dental Health and Wellness WI</v>
      </c>
      <c r="C129" s="60" t="str">
        <f>'Level 1'!Y129</f>
        <v xml:space="preserve">Task Cashed Chk Queue </v>
      </c>
      <c r="D129" s="44" t="str">
        <f>VLOOKUP(C129,Table2[#All],3,FALSE)</f>
        <v>What We Need From You: Please confirm Check was received. Reason: To close claim.</v>
      </c>
      <c r="E129" s="75" t="s">
        <v>113</v>
      </c>
      <c r="F129" s="96" t="s">
        <v>3698</v>
      </c>
      <c r="G129" s="97"/>
      <c r="H129"/>
    </row>
    <row r="130" spans="1:8" ht="63" x14ac:dyDescent="0.25">
      <c r="A130" s="43" t="str">
        <f>CONCATENATE("Pt Id:",'Level 1'!E130," ","Pt Name: ",'Level 1'!F130," ","DOS: ", TEXT('Level 1'!H130,"mm-dd-yyyy"),"  "," Amnt: ","$",'Level 1'!J130,"  ", 'Level 1'!N130)</f>
        <v>Pt Id:8818 Pt Name: Butler Jr , Richard DOS: 01-08-2022   Amnt: $216  Ins needs more info, need to submit;</v>
      </c>
      <c r="B130" s="43" t="str">
        <f>CONCATENATE("Detail: ",'Level 1'!N130,"  ",'Level 1'!O130,TEXT('Level 1'!P129,"  mm-dd-yyyy"),";"," ",'Level 1'!Q130,'Level 1'!R130,"  ",'Level 1'!T130," ","Payment "," ",'Level 1'!U130,"  ",'Level 1'!V130,"  ",'Level 1'!W130,"  ",'Level 1'!X130,"  ",'Level 1'!Z130, "  ",'Level 1'!AA130, " ","Insurance: ",'Level 1'!A130)</f>
        <v>Detail: Ins needs more info, need to submit;  Attachments/Info needed?  01-20-2022; Fax # (If Fax Yes):   Payment  Cust Rep:    0    Additional Notes:  CLM # 20220113115389 - Need to submit Primary EOB for processing this claim. Insurance: Dental Health and Wellness WI</v>
      </c>
      <c r="C130" s="60" t="str">
        <f>'Level 1'!Y130</f>
        <v xml:space="preserve">Task Sub Pending Claims Queue </v>
      </c>
      <c r="D130" s="44" t="str">
        <f>VLOOKUP(C130,Table2[#All],3,FALSE)</f>
        <v>N/A</v>
      </c>
      <c r="E130" s="75" t="s">
        <v>199</v>
      </c>
      <c r="F130" s="96"/>
      <c r="G130" s="97"/>
      <c r="H130"/>
    </row>
    <row r="131" spans="1:8" ht="63" x14ac:dyDescent="0.25">
      <c r="A131" s="43" t="str">
        <f>CONCATENATE("Pt Id:",'Level 1'!E131," ","Pt Name: ",'Level 1'!F131," ","DOS: ", TEXT('Level 1'!H131,"mm-dd-yyyy"),"  "," Amnt: ","$",'Level 1'!J131,"  ", 'Level 1'!N131)</f>
        <v>Pt Id:8824 Pt Name: Medrow , Thomas DOS: 01-08-2022   Amnt: $324  Claim Paid by Check;</v>
      </c>
      <c r="B131" s="43" t="str">
        <f>CONCATENATE("Detail: ",'Level 1'!N131,"  ",'Level 1'!O131,TEXT('Level 1'!P130,"  mm-dd-yyyy"),";"," ",'Level 1'!Q131,'Level 1'!R131,"  ",'Level 1'!T131," ","Payment "," ",'Level 1'!U131,"  ",'Level 1'!V131,"  ",'Level 1'!W131,"  ",'Level 1'!X131,"  ",'Level 1'!Z131, "  ",'Level 1'!AA131, " ","Insurance: ",'Level 1'!A131)</f>
        <v>Detail: Claim Paid by Check;  Issue Date:Primary EOB Required; CHK#904375  Bulk Payment  Call Ref#:    Cust Rep:    Additional Notes:  Cashed on 01/31/2022 Rep Name: Jahni, Call Ref: 541267//CLM # 20220113115582; Pd Amt $223.95; Bulk Amt $1566.24 Insurance: Dental Health and Wellness WI</v>
      </c>
      <c r="C131" s="60" t="str">
        <f>'Level 1'!Y131</f>
        <v xml:space="preserve">Task Cashed Chk Queue </v>
      </c>
      <c r="D131" s="44" t="str">
        <f>VLOOKUP(C131,Table2[#All],3,FALSE)</f>
        <v>What We Need From You: Please confirm Check was received. Reason: To close claim.</v>
      </c>
      <c r="E131" s="75" t="s">
        <v>199</v>
      </c>
      <c r="F131" s="96"/>
      <c r="G131" s="97"/>
      <c r="H131"/>
    </row>
    <row r="132" spans="1:8" ht="84" x14ac:dyDescent="0.25">
      <c r="A132" s="43" t="str">
        <f>CONCATENATE("Pt Id:",'Level 1'!E132," ","Pt Name: ",'Level 1'!F132," ","DOS: ", TEXT('Level 1'!H132,"mm-dd-yyyy"),"  "," Amnt: ","$",'Level 1'!J132,"  ", 'Level 1'!N132)</f>
        <v>Pt Id:3354 Pt Name: Groves, Christopher DOS: 01-07-2022   Amnt: $149.6  Claim Partially Paid by Check; Add notes</v>
      </c>
      <c r="B132" s="43" t="str">
        <f>CONCATENATE("Detail: ",'Level 1'!N132,"  ",'Level 1'!O132,TEXT('Level 1'!P131,"  mm-dd-yyyy"),";"," ",'Level 1'!Q132,'Level 1'!R132,"  ",'Level 1'!T132," ","Payment "," ",'Level 1'!U132,"  ",'Level 1'!V132,"  ",'Level 1'!W132,"  ",'Level 1'!X132,"  ",'Level 1'!Z132, "  ",'Level 1'!AA132, " ","Insurance: ",'Level 1'!A132)</f>
        <v>Detail: Claim Partially Paid by Check; Add notes  Issue Date:  01-20-2022; CHK#904375  Bulk Payment  Call Ref#:    Cust Rep:    Additional Notes:  Code D0120 Is Paid and Code D0230,D0220,D0274 are bundled into D0210 &amp; is denied due to freq; CLM # 20220113115828; Pd Amt : $13.14; Bulk Amt $1566.24 Insurance: Dental Health and Wellness WI</v>
      </c>
      <c r="C132" s="60" t="str">
        <f>'Level 1'!Y132</f>
        <v xml:space="preserve">Task Cashed Chk Queue </v>
      </c>
      <c r="D132" s="44" t="str">
        <f>VLOOKUP(C132,Table2[#All],3,FALSE)</f>
        <v>What We Need From You: Please confirm Check was received. Reason: To close claim.</v>
      </c>
      <c r="E132" s="75" t="s">
        <v>113</v>
      </c>
      <c r="F132" s="96" t="s">
        <v>3698</v>
      </c>
      <c r="G132" s="97"/>
      <c r="H132"/>
    </row>
    <row r="133" spans="1:8" ht="63" x14ac:dyDescent="0.25">
      <c r="A133" s="43" t="str">
        <f>CONCATENATE("Pt Id:",'Level 1'!E133," ","Pt Name: ",'Level 1'!F133," ","DOS: ", TEXT('Level 1'!H133,"mm-dd-yyyy"),"  "," Amnt: ","$",'Level 1'!J133,"  ", 'Level 1'!N133)</f>
        <v>Pt Id:4161 Pt Name: Hicks, Cardella DOS: 01-07-2022   Amnt: $61.2  Claim Paid by Check;</v>
      </c>
      <c r="B133" s="43" t="str">
        <f>CONCATENATE("Detail: ",'Level 1'!N133,"  ",'Level 1'!O133,TEXT('Level 1'!P132,"  mm-dd-yyyy"),";"," ",'Level 1'!Q133,'Level 1'!R133,"  ",'Level 1'!T133," ","Payment "," ",'Level 1'!U133,"  ",'Level 1'!V133,"  ",'Level 1'!W133,"  ",'Level 1'!X133,"  ",'Level 1'!Z133, "  ",'Level 1'!AA133, " ","Insurance: ",'Level 1'!A133)</f>
        <v>Detail: Claim Paid by Check;  Issue Date:  01-20-2022; CHK#904375  Bulk Payment  Call Ref#:    Cust Rep:    Additional Notes:  CLM # 20220113115575; Pd Amt $55.20; Bulk Amt : $7366.66; Cashed Date : 01/31/2022 Insurance: Dental Health and Wellness WI</v>
      </c>
      <c r="C133" s="60" t="str">
        <f>'Level 1'!Y133</f>
        <v xml:space="preserve">Task Cashed Chk Queue </v>
      </c>
      <c r="D133" s="44" t="str">
        <f>VLOOKUP(C133,Table2[#All],3,FALSE)</f>
        <v>What We Need From You: Please confirm Check was received. Reason: To close claim.</v>
      </c>
      <c r="E133" s="75" t="s">
        <v>199</v>
      </c>
      <c r="F133" s="96"/>
      <c r="G133" s="97"/>
      <c r="H133"/>
    </row>
    <row r="134" spans="1:8" ht="63" x14ac:dyDescent="0.25">
      <c r="A134" s="43" t="str">
        <f>CONCATENATE("Pt Id:",'Level 1'!E134," ","Pt Name: ",'Level 1'!F134," ","DOS: ", TEXT('Level 1'!H134,"mm-dd-yyyy"),"  "," Amnt: ","$",'Level 1'!J134,"  ", 'Level 1'!N134)</f>
        <v>Pt Id:2411 Pt Name: SAUER, Adalyn DOS: 01-07-2022   Amnt: $520  Claim Paid by Check;</v>
      </c>
      <c r="B134" s="43" t="str">
        <f>CONCATENATE("Detail: ",'Level 1'!N134,"  ",'Level 1'!O134,TEXT('Level 1'!P133,"  mm-dd-yyyy"),";"," ",'Level 1'!Q134,'Level 1'!R134,"  ",'Level 1'!T134," ","Payment "," ",'Level 1'!U134,"  ",'Level 1'!V134,"  ",'Level 1'!W134,"  ",'Level 1'!X134,"  ",'Level 1'!Z134, "  ",'Level 1'!AA134, " ","Insurance: ",'Level 1'!A134)</f>
        <v>Detail: Claim Paid by Check;  Issue Date:  01-20-2022; CHK#904375  Bulk Payment  Call Ref#:    Cust Rep:    Additional Notes:  CLM # 20220114130250; Pd Amt : 386.40; Bulk Payment : $7366.66; Cashed Date : 01/31/2022 Insurance: Dental Health and Wellness WI</v>
      </c>
      <c r="C134" s="60" t="str">
        <f>'Level 1'!Y134</f>
        <v xml:space="preserve">Task Cashed Chk Queue </v>
      </c>
      <c r="D134" s="44" t="str">
        <f>VLOOKUP(C134,Table2[#All],3,FALSE)</f>
        <v>What We Need From You: Please confirm Check was received. Reason: To close claim.</v>
      </c>
      <c r="E134" s="75" t="s">
        <v>199</v>
      </c>
      <c r="F134" s="96"/>
      <c r="G134" s="97"/>
      <c r="H134"/>
    </row>
    <row r="135" spans="1:8" ht="63" x14ac:dyDescent="0.25">
      <c r="A135" s="43" t="str">
        <f>CONCATENATE("Pt Id:",'Level 1'!E135," ","Pt Name: ",'Level 1'!F135," ","DOS: ", TEXT('Level 1'!H135,"mm-dd-yyyy"),"  "," Amnt: ","$",'Level 1'!J135,"  ", 'Level 1'!N135)</f>
        <v>Pt Id:7575 Pt Name: Hunter, Antonio DOS: 01-07-2022   Amnt: $480  Claim Paid by Check;</v>
      </c>
      <c r="B135" s="43" t="str">
        <f>CONCATENATE("Detail: ",'Level 1'!N135,"  ",'Level 1'!O135,TEXT('Level 1'!P135,"  mm-dd-yyyy"),";"," ",'Level 1'!Q135,'Level 1'!R135,"  ",'Level 1'!T135," ","Payment "," ",'Level 1'!U135,"  ",'Level 1'!V135,"  ",'Level 1'!W135,"  ",'Level 1'!X135,"  ",'Level 1'!Z135, "  ",'Level 1'!AA135, " ","Insurance: ",'Level 1'!A135)</f>
        <v>Detail: Claim Paid by Check;  Issue Date:  01-20-2022; CHK#904375  Bulk Payment  Call Ref#:    Cust Rep:    Additional Notes:  CLM # 20220114130868; Pd Amt : $153.84; Bulk Amt : $7366.66; Cashed Date : 01/31/2022 Insurance: Dental Health and Wellness WI</v>
      </c>
      <c r="C135" s="60" t="str">
        <f>'Level 1'!Y135</f>
        <v xml:space="preserve">Task Cashed Chk Queue </v>
      </c>
      <c r="D135" s="44" t="str">
        <f>VLOOKUP(C135,Table2[#All],3,FALSE)</f>
        <v>What We Need From You: Please confirm Check was received. Reason: To close claim.</v>
      </c>
      <c r="E135" s="75" t="s">
        <v>199</v>
      </c>
      <c r="F135" s="96"/>
      <c r="G135" s="97"/>
      <c r="H135"/>
    </row>
    <row r="136" spans="1:8" ht="63" x14ac:dyDescent="0.25">
      <c r="A136" s="43" t="str">
        <f>CONCATENATE("Pt Id:",'Level 1'!E136," ","Pt Name: ",'Level 1'!F136," ","DOS: ", TEXT('Level 1'!H136,"mm-dd-yyyy"),"  "," Amnt: ","$",'Level 1'!J136,"  ", 'Level 1'!N136)</f>
        <v>Pt Id:7903 Pt Name: Guzman Chavez, Aiden  DOS: 01-06-2022   Amnt: $532  Claim Paid by Check;</v>
      </c>
      <c r="B136" s="43" t="str">
        <f>CONCATENATE("Detail: ",'Level 1'!N136,"  ",'Level 1'!O136,TEXT('Level 1'!P136,"  mm-dd-yyyy"),";"," ",'Level 1'!Q136,'Level 1'!R136,"  ",'Level 1'!T136," ","Payment "," ",'Level 1'!U136,"  ",'Level 1'!V136,"  ",'Level 1'!W136,"  ",'Level 1'!X136,"  ",'Level 1'!Z136, "  ",'Level 1'!AA136, " ","Insurance: ",'Level 1'!A136)</f>
        <v>Detail: Claim Paid by Check;  Issue Date:  01-20-2022; CHK#904375  Bulk Payment  Call Ref#:    Cust Rep:    Additional Notes:  Rep State that Cashed on 01/31/2022 Rep Name: Alexis, Call Ref: 538266//CLM # 20220114130796; Pd Amt $360.80 Insurance: Dental Health and Wellness WI</v>
      </c>
      <c r="C136" s="60" t="str">
        <f>'Level 1'!Y136</f>
        <v xml:space="preserve">Task Cashed Chk Queue </v>
      </c>
      <c r="D136" s="44" t="str">
        <f>VLOOKUP(C136,Table2[#All],3,FALSE)</f>
        <v>What We Need From You: Please confirm Check was received. Reason: To close claim.</v>
      </c>
      <c r="E136" s="75" t="s">
        <v>113</v>
      </c>
      <c r="F136" s="96" t="s">
        <v>3698</v>
      </c>
      <c r="G136" s="97"/>
      <c r="H136"/>
    </row>
    <row r="137" spans="1:8" ht="63" x14ac:dyDescent="0.25">
      <c r="A137" s="43" t="str">
        <f>CONCATENATE("Pt Id:",'Level 1'!E137," ","Pt Name: ",'Level 1'!F137," ","DOS: ", TEXT('Level 1'!H137,"mm-dd-yyyy"),"  "," Amnt: ","$",'Level 1'!J137,"  ", 'Level 1'!N137)</f>
        <v>Pt Id:4228 Pt Name: Miller, Christopher DOS: 01-05-2022   Amnt: $84  Claim Paid by Check;</v>
      </c>
      <c r="B137" s="43" t="str">
        <f>CONCATENATE("Detail: ",'Level 1'!N137,"  ",'Level 1'!O137,TEXT('Level 1'!P137,"  mm-dd-yyyy"),";"," ",'Level 1'!Q137,'Level 1'!R137,"  ",'Level 1'!T137," ","Payment "," ",'Level 1'!U137,"  ",'Level 1'!V137,"  ",'Level 1'!W137,"  ",'Level 1'!X137,"  ",'Level 1'!Z137, "  ",'Level 1'!AA137, " ","Insurance: ",'Level 1'!A137)</f>
        <v>Detail: Claim Paid by Check;  Issue Date:  01-20-2022; CHK#904375  Bulk Payment  Call Ref#:    Cust Rep:    Additional Notes:  Rep State that Cashed on 01/31/2022 Rep Name: Alexis, Call Ref: 538266//CLM # 20220113115894; Pd Amt $7.08; D0140 - Denied for Freq Insurance: Dental Health and Wellness WI</v>
      </c>
      <c r="C137" s="60" t="str">
        <f>'Level 1'!Y137</f>
        <v xml:space="preserve">Task Cashed Chk Queue </v>
      </c>
      <c r="D137" s="44" t="str">
        <f>VLOOKUP(C137,Table2[#All],3,FALSE)</f>
        <v>What We Need From You: Please confirm Check was received. Reason: To close claim.</v>
      </c>
      <c r="E137" s="75" t="s">
        <v>113</v>
      </c>
      <c r="F137" s="96" t="s">
        <v>3698</v>
      </c>
      <c r="G137" s="97"/>
      <c r="H137"/>
    </row>
    <row r="138" spans="1:8" ht="63" x14ac:dyDescent="0.25">
      <c r="A138" s="43" t="str">
        <f>CONCATENATE("Pt Id:",'Level 1'!E138," ","Pt Name: ",'Level 1'!F138," ","DOS: ", TEXT('Level 1'!H138,"mm-dd-yyyy"),"  "," Amnt: ","$",'Level 1'!J138,"  ", 'Level 1'!N138)</f>
        <v>Pt Id:8736 Pt Name: Zold , Joseph  DOS: 01-05-2022   Amnt: $360  Claim Paid by Check;</v>
      </c>
      <c r="B138" s="43" t="str">
        <f>CONCATENATE("Detail: ",'Level 1'!N138,"  ",'Level 1'!O138,TEXT('Level 1'!P138,"  mm-dd-yyyy"),";"," ",'Level 1'!Q138,'Level 1'!R138,"  ",'Level 1'!T138," ","Payment "," ",'Level 1'!U138,"  ",'Level 1'!V138,"  ",'Level 1'!W138,"  ",'Level 1'!X138,"  ",'Level 1'!Z138, "  ",'Level 1'!AA138, " ","Insurance: ",'Level 1'!A138)</f>
        <v>Detail: Claim Paid by Check;  Issue Date:  01-20-2022; CHK#904375  Bulk Payment  Call Ref#:    Cust Rep:    Additional Notes:  Rep State that Cashed on 01/31/2022 Rep Name: Alexis, Call Ref: 538266//CLM # 20220113112789; Pd Amt $82.62 Insurance: Dental Health and Wellness WI</v>
      </c>
      <c r="C138" s="60" t="str">
        <f>'Level 1'!Y138</f>
        <v xml:space="preserve">Task Cashed Chk Queue </v>
      </c>
      <c r="D138" s="44" t="str">
        <f>VLOOKUP(C138,Table2[#All],3,FALSE)</f>
        <v>What We Need From You: Please confirm Check was received. Reason: To close claim.</v>
      </c>
      <c r="E138" s="75" t="s">
        <v>113</v>
      </c>
      <c r="F138" s="96" t="s">
        <v>3698</v>
      </c>
      <c r="G138" s="97"/>
      <c r="H138"/>
    </row>
    <row r="139" spans="1:8" ht="63" x14ac:dyDescent="0.25">
      <c r="A139" s="43" t="str">
        <f>CONCATENATE("Pt Id:",'Level 1'!E139," ","Pt Name: ",'Level 1'!F139," ","DOS: ", TEXT('Level 1'!H139,"mm-dd-yyyy"),"  "," Amnt: ","$",'Level 1'!J139,"  ", 'Level 1'!N139)</f>
        <v>Pt Id:8505 Pt Name: Allen, Joseph DOS: 01-04-2022   Amnt: $532  Claim Paid by Check;</v>
      </c>
      <c r="B139" s="43" t="str">
        <f>CONCATENATE("Detail: ",'Level 1'!N139,"  ",'Level 1'!O139,TEXT('Level 1'!P139,"  mm-dd-yyyy"),";"," ",'Level 1'!Q139,'Level 1'!R139,"  ",'Level 1'!T139," ","Payment "," ",'Level 1'!U139,"  ",'Level 1'!V139,"  ",'Level 1'!W139,"  ",'Level 1'!X139,"  ",'Level 1'!Z139, "  ",'Level 1'!AA139, " ","Insurance: ",'Level 1'!A139)</f>
        <v>Detail: Claim Paid by Check;  Issue Date:  01-20-2022; CHK#904375  Bulk Payment  Call Ref#:    Cust Rep:    Additional Notes:  Rep State that Cashed on 01/31/2022 Rep Name: Venecia, Call Ref: 538308//CLM # 20220114127465; Pd Amt $360.80 Insurance: Dental Health and Wellness WI</v>
      </c>
      <c r="C139" s="60" t="str">
        <f>'Level 1'!Y139</f>
        <v xml:space="preserve">Task Cashed Chk Queue </v>
      </c>
      <c r="D139" s="44" t="str">
        <f>VLOOKUP(C139,Table2[#All],3,FALSE)</f>
        <v>What We Need From You: Please confirm Check was received. Reason: To close claim.</v>
      </c>
      <c r="E139" s="75" t="s">
        <v>113</v>
      </c>
      <c r="F139" s="96" t="s">
        <v>3698</v>
      </c>
      <c r="G139" s="97"/>
      <c r="H139"/>
    </row>
    <row r="140" spans="1:8" ht="63" x14ac:dyDescent="0.25">
      <c r="A140" s="43" t="str">
        <f>CONCATENATE("Pt Id:",'Level 1'!E140," ","Pt Name: ",'Level 1'!F140," ","DOS: ", TEXT('Level 1'!H140,"mm-dd-yyyy"),"  "," Amnt: ","$",'Level 1'!J140,"  ", 'Level 1'!N140)</f>
        <v>Pt Id:8772 Pt Name: Kaur, Davinder  DOS: 01-04-2022   Amnt: $88.8  Claim Paid by Check;</v>
      </c>
      <c r="B140" s="43" t="str">
        <f>CONCATENATE("Detail: ",'Level 1'!N140,"  ",'Level 1'!O140,TEXT('Level 1'!P140,"  mm-dd-yyyy"),";"," ",'Level 1'!Q140,'Level 1'!R140,"  ",'Level 1'!T140," ","Payment "," ",'Level 1'!U140,"  ",'Level 1'!V140,"  ",'Level 1'!W140,"  ",'Level 1'!X140,"  ",'Level 1'!Z140, "  ",'Level 1'!AA140, " ","Insurance: ",'Level 1'!A140)</f>
        <v>Detail: Claim Paid by Check;  Issue Date:  01-20-2022; CHK#904375  Bulk Payment  Call Ref#:    Cust Rep:    Additional Notes:  Rep State that Cashed on 01/31/2022 Rep Name: Alexis, Call Ref: 538266//CLM # 20220113115829; Pd Amt $76 Insurance: Dental Health and Wellness WI</v>
      </c>
      <c r="C140" s="60" t="str">
        <f>'Level 1'!Y140</f>
        <v xml:space="preserve">Task Cashed Chk Queue </v>
      </c>
      <c r="D140" s="44" t="str">
        <f>VLOOKUP(C140,Table2[#All],3,FALSE)</f>
        <v>What We Need From You: Please confirm Check was received. Reason: To close claim.</v>
      </c>
      <c r="E140" s="75" t="s">
        <v>113</v>
      </c>
      <c r="F140" s="96" t="s">
        <v>3698</v>
      </c>
      <c r="G140" s="97"/>
      <c r="H140"/>
    </row>
    <row r="141" spans="1:8" ht="63" x14ac:dyDescent="0.25">
      <c r="A141" s="43" t="str">
        <f>CONCATENATE("Pt Id:",'Level 1'!E141," ","Pt Name: ",'Level 1'!F141," ","DOS: ", TEXT('Level 1'!H141,"mm-dd-yyyy"),"  "," Amnt: ","$",'Level 1'!J141,"  ", 'Level 1'!N141)</f>
        <v>Pt Id:8749 Pt Name: Meza, Jose DOS: 12-31-2021   Amnt: $394.4  Claim Paid by Check;</v>
      </c>
      <c r="B141" s="43" t="str">
        <f>CONCATENATE("Detail: ",'Level 1'!N141,"  ",'Level 1'!O141,TEXT('Level 1'!P141,"  mm-dd-yyyy"),";"," ",'Level 1'!Q141,'Level 1'!R141,"  ",'Level 1'!T141," ","Payment "," ",'Level 1'!U141,"  ",'Level 1'!V141,"  ",'Level 1'!W141,"  ",'Level 1'!X141,"  ",'Level 1'!Z141, "  ",'Level 1'!AA141, " ","Insurance: ",'Level 1'!A141)</f>
        <v>Detail: Claim Paid by Check;  Issue Date:  01-20-2022; CHK#904375  Bulk Payment  Call Ref#:    Cust Rep:    Additional Notes:  CLM # 20220110174832; Pd Amt $116.55; Bulk Amt $7366.66; Cashed Date : 01/31/2022; D0220, D0230 &amp; D0274 are bundled into D0210 and got paid. Insurance: Dental Health and Wellness WI</v>
      </c>
      <c r="C141" s="60" t="str">
        <f>'Level 1'!Y141</f>
        <v xml:space="preserve">Task Cashed Chk Queue </v>
      </c>
      <c r="D141" s="44" t="str">
        <f>VLOOKUP(C141,Table2[#All],3,FALSE)</f>
        <v>What We Need From You: Please confirm Check was received. Reason: To close claim.</v>
      </c>
      <c r="E141" s="75" t="s">
        <v>199</v>
      </c>
      <c r="F141" s="96"/>
      <c r="G141" s="97"/>
      <c r="H141"/>
    </row>
    <row r="142" spans="1:8" ht="63" x14ac:dyDescent="0.25">
      <c r="A142" s="43" t="str">
        <f>CONCATENATE("Pt Id:",'Level 1'!E142," ","Pt Name: ",'Level 1'!F142," ","DOS: ", TEXT('Level 1'!H142,"mm-dd-yyyy"),"  "," Amnt: ","$",'Level 1'!J142,"  ", 'Level 1'!N142)</f>
        <v>Pt Id:4780 Pt Name: Walker, Malia DOS: 12-30-2021   Amnt: $165.6  Claim Paid by Check;</v>
      </c>
      <c r="B142" s="43" t="str">
        <f>CONCATENATE("Detail: ",'Level 1'!N142,"  ",'Level 1'!O142,TEXT('Level 1'!P142,"  mm-dd-yyyy"),";"," ",'Level 1'!Q142,'Level 1'!R142,"  ",'Level 1'!T142," ","Payment "," ",'Level 1'!U142,"  ",'Level 1'!V142,"  ",'Level 1'!W142,"  ",'Level 1'!X142,"  ",'Level 1'!Z142, "  ",'Level 1'!AA142, " ","Insurance: ",'Level 1'!A142)</f>
        <v>Detail: Claim Paid by Check;  Issue Date:  01-13-2022; CHK#899788  Bulk Payment  Call Ref#:    Cust Rep:    Additional Notes:  CLM # 20220104126903; Pd Amt $131.20; Bulk Amt $508.34; Cashed Date : 01/19/2022 Insurance: Dental Health and Wellness WI</v>
      </c>
      <c r="C142" s="60" t="str">
        <f>'Level 1'!Y142</f>
        <v xml:space="preserve">Task Cashed Chk Queue </v>
      </c>
      <c r="D142" s="44" t="str">
        <f>VLOOKUP(C142,Table2[#All],3,FALSE)</f>
        <v>What We Need From You: Please confirm Check was received. Reason: To close claim.</v>
      </c>
      <c r="E142" s="75" t="s">
        <v>199</v>
      </c>
      <c r="F142" s="96"/>
      <c r="G142" s="97"/>
      <c r="H142"/>
    </row>
    <row r="143" spans="1:8" ht="63" x14ac:dyDescent="0.25">
      <c r="A143" s="43" t="str">
        <f>CONCATENATE("Pt Id:",'Level 1'!E143," ","Pt Name: ",'Level 1'!F143," ","DOS: ", TEXT('Level 1'!H143,"mm-dd-yyyy"),"  "," Amnt: ","$",'Level 1'!J143,"  ", 'Level 1'!N143)</f>
        <v>Pt Id:5639 Pt Name: Gross, Shanon  DOS: 12-30-2021   Amnt: $180  Claim Paid by Check;</v>
      </c>
      <c r="B143" s="43" t="str">
        <f>CONCATENATE("Detail: ",'Level 1'!N143,"  ",'Level 1'!O143,TEXT('Level 1'!P143,"  mm-dd-yyyy"),";"," ",'Level 1'!Q143,'Level 1'!R143,"  ",'Level 1'!T143," ","Payment "," ",'Level 1'!U143,"  ",'Level 1'!V143,"  ",'Level 1'!W143,"  ",'Level 1'!X143,"  ",'Level 1'!Z143, "  ",'Level 1'!AA143, " ","Insurance: ",'Level 1'!A143)</f>
        <v>Detail: Claim Paid by Check;  Issue Date:  01-13-2022; CHK#899788  Bulk Payment  Call Ref#:    Cust Rep:    Additional Notes:  CLM # 20220104126622; Pd Amt $41.31; Bulk Amt $ 508.34; Cashed Date : 01/19/2022 Insurance: Dental Health and Wellness WI</v>
      </c>
      <c r="C143" s="60" t="str">
        <f>'Level 1'!Y143</f>
        <v xml:space="preserve">Task Cashed Chk Queue </v>
      </c>
      <c r="D143" s="44" t="str">
        <f>VLOOKUP(C143,Table2[#All],3,FALSE)</f>
        <v>What We Need From You: Please confirm Check was received. Reason: To close claim.</v>
      </c>
      <c r="E143" s="75" t="s">
        <v>199</v>
      </c>
      <c r="F143" s="96"/>
      <c r="G143" s="97"/>
      <c r="H143"/>
    </row>
    <row r="144" spans="1:8" ht="63" x14ac:dyDescent="0.25">
      <c r="A144" s="43" t="str">
        <f>CONCATENATE("Pt Id:",'Level 1'!E144," ","Pt Name: ",'Level 1'!F144," ","DOS: ", TEXT('Level 1'!H144,"mm-dd-yyyy"),"  "," Amnt: ","$",'Level 1'!J144,"  ", 'Level 1'!N144)</f>
        <v>Pt Id:8742 Pt Name: Cortez, Anjel DOS: 12-29-2021   Amnt: $957.6  Claim Paid by Check;</v>
      </c>
      <c r="B144" s="43" t="str">
        <f>CONCATENATE("Detail: ",'Level 1'!N144,"  ",'Level 1'!O144,TEXT('Level 1'!P144,"  mm-dd-yyyy"),";"," ",'Level 1'!Q144,'Level 1'!R144,"  ",'Level 1'!T144," ","Payment "," ",'Level 1'!U144,"  ",'Level 1'!V144,"  ",'Level 1'!W144,"  ",'Level 1'!X144,"  ",'Level 1'!Z144, "  ",'Level 1'!AA144, " ","Insurance: ",'Level 1'!A144)</f>
        <v>Detail: Claim Paid by Check;  Issue Date:  01-20-2022; CHK#904375  Bulk Payment  Call Ref#:    Cust Rep:    Additional Notes:  CLM # 20220111188748; Pd Amt $783.20; Bulk Amt $7366.66; Cashed Date: 01/30/2022 Insurance: Dental Health and Wellness WI</v>
      </c>
      <c r="C144" s="60" t="str">
        <f>'Level 1'!Y144</f>
        <v xml:space="preserve">Task Cashed Chk Queue </v>
      </c>
      <c r="D144" s="44" t="str">
        <f>VLOOKUP(C144,Table2[#All],3,FALSE)</f>
        <v>What We Need From You: Please confirm Check was received. Reason: To close claim.</v>
      </c>
      <c r="E144" s="75" t="s">
        <v>199</v>
      </c>
      <c r="F144" s="96"/>
      <c r="G144" s="97"/>
      <c r="H144"/>
    </row>
    <row r="145" spans="1:8" ht="63" x14ac:dyDescent="0.25">
      <c r="A145" s="43" t="str">
        <f>CONCATENATE("Pt Id:",'Level 1'!E145," ","Pt Name: ",'Level 1'!F145," ","DOS: ", TEXT('Level 1'!H145,"mm-dd-yyyy"),"  "," Amnt: ","$",'Level 1'!J145,"  ", 'Level 1'!N145)</f>
        <v>Pt Id:8619 Pt Name: Poikonen, Zachary  DOS: 12-28-2021   Amnt: $644.4  Claim Paid by Check;</v>
      </c>
      <c r="B145" s="43" t="str">
        <f>CONCATENATE("Detail: ",'Level 1'!N145,"  ",'Level 1'!O145,TEXT('Level 1'!P145,"  mm-dd-yyyy"),";"," ",'Level 1'!Q145,'Level 1'!R145,"  ",'Level 1'!T145," ","Payment "," ",'Level 1'!U145,"  ",'Level 1'!V145,"  ",'Level 1'!W145,"  ",'Level 1'!X145,"  ",'Level 1'!Z145, "  ",'Level 1'!AA145, " ","Insurance: ",'Level 1'!A145)</f>
        <v>Detail: Claim Paid by Check;  Issue Date:  01-20-2022; CHK#904375  Bulk Payment  Call Ref#:    Cust Rep:    Additional Notes:  CLM # 20220111189395; Pd Amt : $524; Bulk Amt : $7366.66; Cashed Date : 01/31/2022 Insurance: Dental Health and Wellness WI</v>
      </c>
      <c r="C145" s="60" t="str">
        <f>'Level 1'!Y145</f>
        <v xml:space="preserve">Task Cashed Chk Queue </v>
      </c>
      <c r="D145" s="44" t="str">
        <f>VLOOKUP(C145,Table2[#All],3,FALSE)</f>
        <v>What We Need From You: Please confirm Check was received. Reason: To close claim.</v>
      </c>
      <c r="E145" s="75" t="s">
        <v>199</v>
      </c>
      <c r="F145" s="96"/>
      <c r="G145" s="97"/>
      <c r="H145"/>
    </row>
    <row r="146" spans="1:8" ht="63" x14ac:dyDescent="0.25">
      <c r="A146" s="43" t="str">
        <f>CONCATENATE("Pt Id:",'Level 1'!E146," ","Pt Name: ",'Level 1'!F146," ","DOS: ", TEXT('Level 1'!H146,"mm-dd-yyyy"),"  "," Amnt: ","$",'Level 1'!J146,"  ", 'Level 1'!N146)</f>
        <v>Pt Id:8736 Pt Name: Zold , Joseph  DOS: 12-28-2021   Amnt: $781.2  Claim Paid by Check;</v>
      </c>
      <c r="B146" s="43" t="str">
        <f>CONCATENATE("Detail: ",'Level 1'!N146,"  ",'Level 1'!O146,TEXT('Level 1'!P146,"  mm-dd-yyyy"),";"," ",'Level 1'!Q146,'Level 1'!R146,"  ",'Level 1'!T146," ","Payment "," ",'Level 1'!U146,"  ",'Level 1'!V146,"  ",'Level 1'!W146,"  ",'Level 1'!X146,"  ",'Level 1'!Z146, "  ",'Level 1'!AA146, " ","Insurance: ",'Level 1'!A146)</f>
        <v>Detail: Claim Paid by Check;  Issue Date:  01-13-2022; CHK#899788  Bulk Payment  Call Ref#:    Cust Rep:    Additional Notes:  CLM # 20220104125228; Pd Amt : $232.64; Bulk Amt : $508.34; Cashed Date : 01/19/2022 Insurance: Dental Health and Wellness WI</v>
      </c>
      <c r="C146" s="60" t="str">
        <f>'Level 1'!Y146</f>
        <v xml:space="preserve">Task Cashed Chk Queue </v>
      </c>
      <c r="D146" s="44" t="str">
        <f>VLOOKUP(C146,Table2[#All],3,FALSE)</f>
        <v>What We Need From You: Please confirm Check was received. Reason: To close claim.</v>
      </c>
      <c r="E146" s="75" t="s">
        <v>199</v>
      </c>
      <c r="F146" s="96"/>
      <c r="G146" s="97"/>
      <c r="H146"/>
    </row>
    <row r="147" spans="1:8" ht="63" x14ac:dyDescent="0.25">
      <c r="A147" s="43" t="str">
        <f>CONCATENATE("Pt Id:",'Level 1'!E147," ","Pt Name: ",'Level 1'!F147," ","DOS: ", TEXT('Level 1'!H147,"mm-dd-yyyy"),"  "," Amnt: ","$",'Level 1'!J147,"  ", 'Level 1'!N147)</f>
        <v>Pt Id:8725 Pt Name: Singstocktrevin , Jacob DOS: 12-28-2021   Amnt: $332.4  Claim Paid by Check;</v>
      </c>
      <c r="B147" s="43" t="str">
        <f>CONCATENATE("Detail: ",'Level 1'!N147,"  ",'Level 1'!O147,TEXT('Level 1'!P147,"  mm-dd-yyyy"),";"," ",'Level 1'!Q147,'Level 1'!R147,"  ",'Level 1'!T147," ","Payment "," ",'Level 1'!U147,"  ",'Level 1'!V147,"  ",'Level 1'!W147,"  ",'Level 1'!X147,"  ",'Level 1'!Z147, "  ",'Level 1'!AA147, " ","Insurance: ",'Level 1'!A147)</f>
        <v>Detail: Claim Paid by Check;  Issue Date:  01-13-2022; CHK#899788  Bulk Payment  Call Ref#:    Cust Rep:    Additional Notes:  CLM # 20220104126808; Pd Amt : $103.19; Bulk Amt $508.34; Cashed Date : 01/19/2022 Insurance: Dental Health and Wellness WI</v>
      </c>
      <c r="C147" s="60" t="str">
        <f>'Level 1'!Y147</f>
        <v xml:space="preserve">Task Cashed Chk Queue </v>
      </c>
      <c r="D147" s="44" t="str">
        <f>VLOOKUP(C147,Table2[#All],3,FALSE)</f>
        <v>What We Need From You: Please confirm Check was received. Reason: To close claim.</v>
      </c>
      <c r="E147" s="75" t="s">
        <v>199</v>
      </c>
      <c r="F147" s="96"/>
      <c r="G147" s="97"/>
      <c r="H147"/>
    </row>
    <row r="148" spans="1:8" ht="84" x14ac:dyDescent="0.25">
      <c r="A148" s="43" t="str">
        <f>CONCATENATE("Pt Id:",'Level 1'!E148," ","Pt Name: ",'Level 1'!F148," ","DOS: ", TEXT('Level 1'!H148,"mm-dd-yyyy"),"  "," Amnt: ","$",'Level 1'!J148,"  ", 'Level 1'!N148)</f>
        <v>Pt Id:8307 Pt Name: Rodriguez, Marcelino DOS: 12-24-2021   Amnt: $667.6  Claim Paid by Check;</v>
      </c>
      <c r="B148" s="43" t="str">
        <f>CONCATENATE("Detail: ",'Level 1'!N148,"  ",'Level 1'!O148,TEXT('Level 1'!P148,"  mm-dd-yyyy"),";"," ",'Level 1'!Q148,'Level 1'!R148,"  ",'Level 1'!T148," ","Payment "," ",'Level 1'!U148,"  ",'Level 1'!V148,"  ",'Level 1'!W148,"  ",'Level 1'!X148,"  ",'Level 1'!Z148, "  ",'Level 1'!AA148, " ","Insurance: ",'Level 1'!A148)</f>
        <v>Detail: Claim Paid by Check;  Issue Date:  01-20-2022; CHK#904375  Bulk Payment  Call Ref#:  439589  Cust Rep:  Erica  Additional Notes:  CLM # 20220111186915; Pd Amt $455.20; Bulk Amt $7366.66; Cashed Date : 01/31/2022; D9230 - Service Authorization Denied, Didn't meet the clinical criteria. Need to submit a clinical Narrative to process this claim. Insurance: Dental Health and Wellness WI</v>
      </c>
      <c r="C148" s="60" t="str">
        <f>'Level 1'!Y148</f>
        <v xml:space="preserve">Task Cashed Chk Queue </v>
      </c>
      <c r="D148" s="44" t="str">
        <f>VLOOKUP(C148,Table2[#All],3,FALSE)</f>
        <v>What We Need From You: Please confirm Check was received. Reason: To close claim.</v>
      </c>
      <c r="E148" s="75" t="s">
        <v>193</v>
      </c>
      <c r="F148" s="116" t="s">
        <v>3698</v>
      </c>
      <c r="G148" s="97"/>
      <c r="H148"/>
    </row>
    <row r="149" spans="1:8" ht="63" x14ac:dyDescent="0.25">
      <c r="A149" s="43" t="str">
        <f>CONCATENATE("Pt Id:",'Level 1'!E149," ","Pt Name: ",'Level 1'!F149," ","DOS: ", TEXT('Level 1'!H149,"mm-dd-yyyy"),"  "," Amnt: ","$",'Level 1'!J149,"  ", 'Level 1'!N149)</f>
        <v>Pt Id:4346 Pt Name: Ortiz Espada, Lia DOS: 12-23-2021   Amnt: $566.8  Claim Paid by Check;</v>
      </c>
      <c r="B149" s="43" t="str">
        <f>CONCATENATE("Detail: ",'Level 1'!N149,"  ",'Level 1'!O149,TEXT('Level 1'!P149,"  mm-dd-yyyy"),";"," ",'Level 1'!Q149,'Level 1'!R149,"  ",'Level 1'!T149," ","Payment "," ",'Level 1'!U149,"  ",'Level 1'!V149,"  ",'Level 1'!W149,"  ",'Level 1'!X149,"  ",'Level 1'!Z149, "  ",'Level 1'!AA149, " ","Insurance: ",'Level 1'!A149)</f>
        <v>Detail: Claim Paid by Check;  Issue Date:  01-20-2022; CHK#904375  Bulk Payment  Call Ref#:    Cust Rep:    Additional Notes:  CLM # 20220111188870; Pd Amt $399.20; Bulk Amt $7366.66; Cashed Date : 01/31/2022 Insurance: Dental Health and Wellness WI</v>
      </c>
      <c r="C149" s="60" t="str">
        <f>'Level 1'!Y149</f>
        <v xml:space="preserve">Task Cashed Chk Queue </v>
      </c>
      <c r="D149" s="44" t="str">
        <f>VLOOKUP(C149,Table2[#All],3,FALSE)</f>
        <v>What We Need From You: Please confirm Check was received. Reason: To close claim.</v>
      </c>
      <c r="E149" s="75" t="s">
        <v>199</v>
      </c>
      <c r="F149" s="96"/>
      <c r="G149" s="97"/>
      <c r="H149"/>
    </row>
    <row r="150" spans="1:8" ht="63" x14ac:dyDescent="0.25">
      <c r="A150" s="43" t="str">
        <f>CONCATENATE("Pt Id:",'Level 1'!E150," ","Pt Name: ",'Level 1'!F150," ","DOS: ", TEXT('Level 1'!H150,"mm-dd-yyyy"),"  "," Amnt: ","$",'Level 1'!J150,"  ", 'Level 1'!N150)</f>
        <v>Pt Id:8523 Pt Name: Burgess, Hayley DOS: 12-17-2021   Amnt: $138  Claim denied due to Frequency;</v>
      </c>
      <c r="B150" s="43" t="str">
        <f>CONCATENATE("Detail: ",'Level 1'!N150,"  ",'Level 1'!O150,TEXT('Level 1'!P150,"  mm-dd-yyyy"),";"," ",'Level 1'!Q150,'Level 1'!R150,"  ",'Level 1'!T150," ","Payment "," ",'Level 1'!U150,"  ",'Level 1'!V150,"  ",'Level 1'!W150,"  ",'Level 1'!X150,"  ",'Level 1'!Z150, "  ",'Level 1'!AA150, " ","Insurance: ",'Level 1'!A150)</f>
        <v>Detail: Claim denied due to Frequency;  Freq for Proc:  01-00-1900; Hist dts:  439589 Payment  Cust Rep:  Erica  0    Additional Notes:  CLM # 20211221137766; Claim denied due to Freq - One per life time, History Date: 12/08/2021 Insurance: Dental Health and Wellness WI</v>
      </c>
      <c r="C150" s="60" t="str">
        <f>'Level 1'!Y150</f>
        <v xml:space="preserve">Task Post Pmt Queue </v>
      </c>
      <c r="D150" s="44" t="str">
        <f>VLOOKUP(C150,Table2[#All],3,FALSE)</f>
        <v>N/A</v>
      </c>
      <c r="E150" s="75" t="s">
        <v>193</v>
      </c>
      <c r="F150" s="116" t="s">
        <v>3698</v>
      </c>
      <c r="G150" s="97"/>
      <c r="H150"/>
    </row>
    <row r="151" spans="1:8" ht="63" x14ac:dyDescent="0.25">
      <c r="A151" s="43" t="str">
        <f>CONCATENATE("Pt Id:",'Level 1'!E151," ","Pt Name: ",'Level 1'!F151," ","DOS: ", TEXT('Level 1'!H151,"mm-dd-yyyy"),"  "," Amnt: ","$",'Level 1'!J151,"  ", 'Level 1'!N151)</f>
        <v>Pt Id:8619 Pt Name: Poikonen, Zachary  DOS: 12-06-2021   Amnt: $428.4  Claim Paid by Check;</v>
      </c>
      <c r="B151" s="43" t="str">
        <f>CONCATENATE("Detail: ",'Level 1'!N151,"  ",'Level 1'!O151,TEXT('Level 1'!P151,"  mm-dd-yyyy"),";"," ",'Level 1'!Q151,'Level 1'!R151,"  ",'Level 1'!T151," ","Payment "," ",'Level 1'!U151,"  ",'Level 1'!V151,"  ",'Level 1'!W151,"  ",'Level 1'!X151,"  ",'Level 1'!Z151, "  ",'Level 1'!AA151, " ","Insurance: ",'Level 1'!A151)</f>
        <v>Detail: Claim Paid by Check;  Issue Date:  01-06-2022; CHK#896376  Single Payment  Call Ref#:    Cust Rep:    Additional Notes:  CLM # 20211230104876; Pd Amt $344.80; Cashed Date : 01/19/2022 Insurance: Dental Health and Wellness WI</v>
      </c>
      <c r="C151" s="60" t="str">
        <f>'Level 1'!Y151</f>
        <v xml:space="preserve">Task Cashed Chk Queue </v>
      </c>
      <c r="D151" s="44" t="str">
        <f>VLOOKUP(C151,Table2[#All],3,FALSE)</f>
        <v>What We Need From You: Please confirm Check was received. Reason: To close claim.</v>
      </c>
      <c r="E151" s="75" t="s">
        <v>199</v>
      </c>
      <c r="F151" s="96"/>
      <c r="G151" s="97"/>
      <c r="H151"/>
    </row>
    <row r="152" spans="1:8" ht="84" x14ac:dyDescent="0.25">
      <c r="A152" s="43" t="str">
        <f>CONCATENATE("Pt Id:",'Level 1'!E152," ","Pt Name: ",'Level 1'!F152," ","DOS: ", TEXT('Level 1'!H152,"mm-dd-yyyy"),"  "," Amnt: ","$",'Level 1'!J152,"  ", 'Level 1'!N152)</f>
        <v>Pt Id:8307 Pt Name: Rodriguez, Marcelino DOS: 12-07-2021   Amnt: $798.4  Claim Paid by Check;</v>
      </c>
      <c r="B152" s="43" t="str">
        <f>CONCATENATE("Detail: ",'Level 1'!N152,"  ",'Level 1'!O152,TEXT('Level 1'!P152,"  mm-dd-yyyy"),";"," ",'Level 1'!Q152,'Level 1'!R152,"  ",'Level 1'!T152," ","Payment "," ",'Level 1'!U152,"  ",'Level 1'!V152,"  ",'Level 1'!W152,"  ",'Level 1'!X152,"  ",'Level 1'!Z152, "  ",'Level 1'!AA152, " ","Insurance: ",'Level 1'!A152)</f>
        <v>Detail: Claim Paid by Check;  Issue Date:  01-06-2022; CHK#896382  Single Payment  Call Ref#:  439589  Cust Rep:  Erica  Additional Notes:  CLM # 20211230102492; Pd Amt $541.60; D9230 - Service Authorization Denied. Didn't meet the clinical criteria. Need to submit a clinical Narrative to process this claim. Insurance: Dental Health and Wellness WI</v>
      </c>
      <c r="C152" s="60" t="str">
        <f>'Level 1'!Y152</f>
        <v xml:space="preserve">Task Cashed Chk Queue </v>
      </c>
      <c r="D152" s="44" t="str">
        <f>VLOOKUP(C152,Table2[#All],3,FALSE)</f>
        <v>What We Need From You: Please confirm Check was received. Reason: To close claim.</v>
      </c>
      <c r="E152" s="75" t="s">
        <v>193</v>
      </c>
      <c r="F152" s="116" t="s">
        <v>3698</v>
      </c>
      <c r="G152" s="97"/>
      <c r="H152"/>
    </row>
    <row r="153" spans="1:8" ht="63" x14ac:dyDescent="0.25">
      <c r="A153" s="43" t="str">
        <f>CONCATENATE("Pt Id:",'Level 1'!E153," ","Pt Name: ",'Level 1'!F153," ","DOS: ", TEXT('Level 1'!H153,"mm-dd-yyyy"),"  "," Amnt: ","$",'Level 1'!J153,"  ", 'Level 1'!N153)</f>
        <v>Pt Id:4513 Pt Name: CHAMBERS , Colten  DOS: 11-29-2021   Amnt: $138  Ins needs more info, need to submit;</v>
      </c>
      <c r="B153" s="43" t="str">
        <f>CONCATENATE("Detail: ",'Level 1'!N153,"  ",'Level 1'!O153,TEXT('Level 1'!P153,"  mm-dd-yyyy"),";"," ",'Level 1'!Q153,'Level 1'!R153,"  ",'Level 1'!T153," ","Payment "," ",'Level 1'!U153,"  ",'Level 1'!V153,"  ",'Level 1'!W153,"  ",'Level 1'!X153,"  ",'Level 1'!Z153, "  ",'Level 1'!AA153, " ","Insurance: ",'Level 1'!A153)</f>
        <v>Detail: Ins needs more info, need to submit;  Attachments/Info needed?Primary EOB Required; Fax # (If Fax Yes):   Payment  Cust Rep:    0    Additional Notes:  CLM # 20211202143880; Need to submit Primary EOB for processing. Insurance: Dental Health and Wellness WI</v>
      </c>
      <c r="C153" s="60" t="str">
        <f>'Level 1'!Y153</f>
        <v xml:space="preserve">Task Sub Pending Claims Queue </v>
      </c>
      <c r="D153" s="44" t="str">
        <f>VLOOKUP(C153,Table2[#All],3,FALSE)</f>
        <v>N/A</v>
      </c>
      <c r="E153" s="75" t="s">
        <v>193</v>
      </c>
      <c r="F153" s="116" t="s">
        <v>3698</v>
      </c>
      <c r="G153" s="97"/>
      <c r="H153"/>
    </row>
    <row r="154" spans="1:8" ht="63" x14ac:dyDescent="0.25">
      <c r="A154" s="43" t="str">
        <f>CONCATENATE("Pt Id:",'Level 1'!E154," ","Pt Name: ",'Level 1'!F154," ","DOS: ", TEXT('Level 1'!H154,"mm-dd-yyyy"),"  "," Amnt: ","$",'Level 1'!J154,"  ", 'Level 1'!N154)</f>
        <v>Pt Id:8364 Pt Name: Ramirez, Jayden  DOS: 11-10-2021   Amnt: $61.2  Claim Paid by Check;</v>
      </c>
      <c r="B154" s="43" t="str">
        <f>CONCATENATE("Detail: ",'Level 1'!N154,"  ",'Level 1'!O154,TEXT('Level 1'!P154,"  mm-dd-yyyy"),";"," ",'Level 1'!Q154,'Level 1'!R154,"  ",'Level 1'!T154," ","Payment "," ",'Level 1'!U154,"  ",'Level 1'!V154,"  ",'Level 1'!W154,"  ",'Level 1'!X154,"  ",'Level 1'!Z154, "  ",'Level 1'!AA154, " ","Insurance: ",'Level 1'!A154)</f>
        <v>Detail: Claim Paid by Check;  Issue Date:  11-25-2021; CHK#875061  Bulk Payment  Call Ref#:  422342  Cust Rep:  Cassia  Additional Notes:  Pd Amt : $55.20, Clm # : 20211115176018, cashed Date : 12/29/2021 Insurance: Dental Health and Wellness WI</v>
      </c>
      <c r="C154" s="60" t="str">
        <f>'Level 1'!Y154</f>
        <v xml:space="preserve">Task Cashed Chk Queue </v>
      </c>
      <c r="D154" s="44" t="str">
        <f>VLOOKUP(C154,Table2[#All],3,FALSE)</f>
        <v>What We Need From You: Please confirm Check was received. Reason: To close claim.</v>
      </c>
      <c r="E154" s="75" t="s">
        <v>199</v>
      </c>
      <c r="F154" s="96"/>
      <c r="G154" s="97"/>
      <c r="H154"/>
    </row>
    <row r="155" spans="1:8" ht="63" x14ac:dyDescent="0.25">
      <c r="A155" s="43" t="str">
        <f>CONCATENATE("Pt Id:",'Level 1'!E155," ","Pt Name: ",'Level 1'!F155," ","DOS: ", TEXT('Level 1'!H155,"mm-dd-yyyy"),"  "," Amnt: ","$",'Level 1'!J155,"  ", 'Level 1'!N155)</f>
        <v>Pt Id:7804 Pt Name: Santiago, Jenny  DOS: 11-02-2021   Amnt: $519.2  Claim Paid by Check;</v>
      </c>
      <c r="B155" s="43" t="str">
        <f>CONCATENATE("Detail: ",'Level 1'!N155,"  ",'Level 1'!O155,TEXT('Level 1'!P155,"  mm-dd-yyyy"),";"," ",'Level 1'!Q155,'Level 1'!R155,"  ",'Level 1'!T155," ","Payment "," ",'Level 1'!U155,"  ",'Level 1'!V155,"  ",'Level 1'!W155,"  ",'Level 1'!X155,"  ",'Level 1'!Z155, "  ",'Level 1'!AA155, " ","Insurance: ",'Level 1'!A155)</f>
        <v>Detail: Claim Paid by Check;  Issue Date:  11-18-2021; CHK#870913  Bulk Payment  Call Ref#:  439589  Cust Rep:  Erica  Additional Notes:  Payment already posted but claim still open. Pd Amt : 229.20; CLM # 20211108106037; D1351 - Denied for freq - Once in 36 Months - History Date: 12/06/2019 Insurance: Dental Health and Wellness WI</v>
      </c>
      <c r="C155" s="60" t="str">
        <f>'Level 1'!Y155</f>
        <v xml:space="preserve">Task Cashed Chk Queue </v>
      </c>
      <c r="D155" s="44" t="str">
        <f>VLOOKUP(C155,Table2[#All],3,FALSE)</f>
        <v>What We Need From You: Please confirm Check was received. Reason: To close claim.</v>
      </c>
      <c r="E155" s="75" t="s">
        <v>193</v>
      </c>
      <c r="F155" s="116" t="s">
        <v>3698</v>
      </c>
      <c r="G155" s="97"/>
      <c r="H155"/>
    </row>
    <row r="156" spans="1:8" ht="105" x14ac:dyDescent="0.25">
      <c r="A156" s="43" t="str">
        <f>CONCATENATE("Pt Id:",'Level 1'!E156," ","Pt Name: ",'Level 1'!F156," ","DOS: ", TEXT('Level 1'!H156,"mm-dd-yyyy"),"  "," Amnt: ","$",'Level 1'!J156,"  ", 'Level 1'!N156)</f>
        <v>Pt Id:4513 Pt Name: CHAMBERS , Colten  DOS: 05-20-2021   Amnt: $138  Ins needs more info, need to submit;</v>
      </c>
      <c r="B156" s="43" t="str">
        <f>CONCATENATE("Detail: ",'Level 1'!N156,"  ",'Level 1'!O156,TEXT('Level 1'!P156,"  mm-dd-yyyy"),";"," ",'Level 1'!Q156,'Level 1'!R156,"  ",'Level 1'!T156," ","Payment "," ",'Level 1'!U156,"  ",'Level 1'!V156,"  ",'Level 1'!W156,"  ",'Level 1'!X156,"  ",'Level 1'!Z156, "  ",'Level 1'!AA156, " ","Insurance: ",'Level 1'!A156)</f>
        <v>Detail: Ins needs more info, need to submit;  Attachments/Info needed?Need Primary Insurer EOB present; Fax # (If Fax Yes):Only Mailing Adress:P.O.BOX 22122 Tampa,FL 36622-2122  386959 Payment  Cust Rep:  Danielle  0    Additional Notes:  Claim Denied requesting Prim EOB. Need to submit Narrative (as we have exceeded TFL), Prim EOB along with the Supportive Docs.  Claim No: 20210525108370,   Processed &amp; Denied Date:06/03/2021,  Patient Resp: Nil,  TFL ; 90 Calender Day's,  Insurance: Dental Health and Wellness WI</v>
      </c>
      <c r="C156" s="60" t="str">
        <f>'Level 1'!Y156</f>
        <v xml:space="preserve">Task Sub Pending Claims Queue </v>
      </c>
      <c r="D156" s="44" t="str">
        <f>VLOOKUP(C156,Table2[#All],3,FALSE)</f>
        <v>N/A</v>
      </c>
      <c r="E156" s="75" t="s">
        <v>193</v>
      </c>
      <c r="F156" s="116" t="s">
        <v>3698</v>
      </c>
      <c r="G156" s="97"/>
      <c r="H156"/>
    </row>
    <row r="157" spans="1:8" ht="105" x14ac:dyDescent="0.25">
      <c r="A157" s="43" t="str">
        <f>CONCATENATE("Pt Id:",'Level 1'!E157," ","Pt Name: ",'Level 1'!F157," ","DOS: ", TEXT('Level 1'!H157,"mm-dd-yyyy"),"  "," Amnt: ","$",'Level 1'!J157,"  ", 'Level 1'!N157)</f>
        <v>Pt Id:5893 Pt Name: House , Deja  DOS: 12-15-2020   Amnt: $294.8  Ins needs more info, need to submit;</v>
      </c>
      <c r="B157" s="43" t="str">
        <f>CONCATENATE("Detail: ",'Level 1'!N157,"  ",'Level 1'!O157,TEXT('Level 1'!P157,"  mm-dd-yyyy"),";"," ",'Level 1'!Q157,'Level 1'!R157,"  ",'Level 1'!T157," ","Payment "," ",'Level 1'!U157,"  ",'Level 1'!V157,"  ",'Level 1'!W157,"  ",'Level 1'!X157,"  ",'Level 1'!Z157, "  ",'Level 1'!AA157, " ","Insurance: ",'Level 1'!A157)</f>
        <v>Detail: Ins needs more info, need to submit;  Attachments/Info needed?Need Primary Insurer EOB present; Fax # (If Fax Yes):Only Mailing Adress:P.O.BOX 22122 Tampa,FL 36622-2122  386959 Payment  Cust Rep:  Danielle  0    Additional Notes:  Claim Denied requesting Prim EOB. Need to submit Narrative (as we have exceeded TFL), Prim EOB along with the Supportive Docs.  Claim No: 20210223106608,   Processed &amp; Denied Date:06/03/2021,  Patient Resp: Nil,  TFL ; 90 Calender Day's,  Insurance: Dental Health and Wellness WI</v>
      </c>
      <c r="C157" s="60" t="str">
        <f>'Level 1'!Y157</f>
        <v xml:space="preserve">Task Sub Pending Claims Queue </v>
      </c>
      <c r="D157" s="44" t="str">
        <f>VLOOKUP(C157,Table2[#All],3,FALSE)</f>
        <v>N/A</v>
      </c>
      <c r="E157" s="75" t="s">
        <v>193</v>
      </c>
      <c r="F157" s="116" t="s">
        <v>3698</v>
      </c>
      <c r="G157" s="97"/>
      <c r="H157"/>
    </row>
    <row r="158" spans="1:8" ht="84" x14ac:dyDescent="0.25">
      <c r="A158" s="43" t="str">
        <f>CONCATENATE("Pt Id:",'Level 1'!E158," ","Pt Name: ",'Level 1'!F158," ","DOS: ", TEXT('Level 1'!H158,"mm-dd-yyyy"),"  "," Amnt: ","$",'Level 1'!J158,"  ", 'Level 1'!N158)</f>
        <v>Pt Id:5894 Pt Name: House , Alesia  DOS: 12-19-2020   Amnt: $648  Claim not on file. Patient is active ;</v>
      </c>
      <c r="B158" s="43" t="str">
        <f>CONCATENATE("Detail: ",'Level 1'!N158,"  ",'Level 1'!O158,TEXT('Level 1'!P158,"  mm-dd-yyyy"),";"," ",'Level 1'!Q158,'Level 1'!R158,"  ",'Level 1'!T158," ","Payment "," ",'Level 1'!U158,"  ",'Level 1'!V158,"  ",'Level 1'!W158,"  ",'Level 1'!X158,"  ",'Level 1'!Z158, "  ",'Level 1'!AA158, " ","Insurance: ",'Level 1'!A158)</f>
        <v>Detail: Claim not on file. Patient is active ;  Payor ID &amp; Address:  09-13-2026; Fax # (If Fax Yes):Only Mailing Adress:P.O.BOX 22122 Tampa,FL 36622-2122  90 Calender Day's Payment  Call Ref#:  386959  Cust Rep:  Danielle  Additional Notes:  Need to resubmit the claim along with Narrative (Mentioning the reason for delay in submission) as we have exceeded TFL. Insurance: Dental Health and Wellness WI</v>
      </c>
      <c r="C158" s="60" t="str">
        <f>'Level 1'!Y158</f>
        <v>Task Sub Pending Claims Queue</v>
      </c>
      <c r="D158" s="44" t="str">
        <f>VLOOKUP(C158,Table2[#All],3,FALSE)</f>
        <v>N/A</v>
      </c>
      <c r="E158" s="75" t="s">
        <v>193</v>
      </c>
      <c r="F158" s="116" t="s">
        <v>3698</v>
      </c>
      <c r="G158" s="97"/>
      <c r="H158"/>
    </row>
    <row r="159" spans="1:8" ht="84" x14ac:dyDescent="0.25">
      <c r="A159" s="43" t="str">
        <f>CONCATENATE("Pt Id:",'Level 1'!E159," ","Pt Name: ",'Level 1'!F159," ","DOS: ", TEXT('Level 1'!H159,"mm-dd-yyyy"),"  "," Amnt: ","$",'Level 1'!J159,"  ", 'Level 1'!N159)</f>
        <v>Pt Id:5894 Pt Name: House , Alesia  DOS: 12-15-2020   Amnt: $491.6  Claim not on file. Patient is active ;</v>
      </c>
      <c r="B159" s="43" t="str">
        <f>CONCATENATE("Detail: ",'Level 1'!N159,"  ",'Level 1'!O159,TEXT('Level 1'!P159,"  mm-dd-yyyy"),";"," ",'Level 1'!Q159,'Level 1'!R159,"  ",'Level 1'!T159," ","Payment "," ",'Level 1'!U159,"  ",'Level 1'!V159,"  ",'Level 1'!W159,"  ",'Level 1'!X159,"  ",'Level 1'!Z159, "  ",'Level 1'!AA159, " ","Insurance: ",'Level 1'!A159)</f>
        <v>Detail: Claim not on file. Patient is active ;  Payor ID &amp; Address:  09-13-2026; Fax # (If Fax Yes):Only Mailing Adress:P.O.BOX 22122 Tampa,FL 36622-2122  90 Calender Day's Payment  Call Ref#:  386959  Cust Rep:  Danielle  Additional Notes:  Need to resubmit the claim along with Narrative (Mentioning the reason for delay in submission) as we have exceeded TFL. Insurance: Dental Health and Wellness WI</v>
      </c>
      <c r="C159" s="60" t="str">
        <f>'Level 1'!Y159</f>
        <v>Task Sub Pending Claims Queue</v>
      </c>
      <c r="D159" s="44" t="str">
        <f>VLOOKUP(C159,Table2[#All],3,FALSE)</f>
        <v>N/A</v>
      </c>
      <c r="E159" s="75" t="s">
        <v>193</v>
      </c>
      <c r="F159" s="116" t="s">
        <v>3698</v>
      </c>
      <c r="G159" s="97"/>
      <c r="H159"/>
    </row>
    <row r="160" spans="1:8" ht="21" x14ac:dyDescent="0.25">
      <c r="A160" s="43" t="str">
        <f>CONCATENATE("Pt Id:",'Level 1'!E160," ","Pt Name: ",'Level 1'!F160," ","DOS: ", TEXT('Level 1'!H160,"mm-dd-yyyy"),"  "," Amnt: ","$",'Level 1'!J160,"  ", 'Level 1'!N160)</f>
        <v>Pt Id:9415 Pt Name: Seay, Dashawn DOS: 04-01-2022   Amnt: $216  Note</v>
      </c>
      <c r="B160" s="43" t="str">
        <f>CONCATENATE("Detail: ",'Level 1'!N160,"  ",'Level 1'!O160,TEXT('Level 1'!P160,"  mm-dd-yyyy"),";"," ",'Level 1'!Q160,'Level 1'!R160,"  ",'Level 1'!T160," ","Payment "," ",'Level 1'!U160,"  ",'Level 1'!V160,"  ",'Level 1'!W160,"  ",'Level 1'!X160,"  ",'Level 1'!Z160, "  ",'Level 1'!AA160, " ","Insurance: ",'Level 1'!A160)</f>
        <v>Detail: Note  Q1  01-00-1900; Q2   Payment  Q4    Q5    Additional Notes:   Insurance: Dentaquest</v>
      </c>
      <c r="C160" s="60" t="str">
        <f>'Level 1'!Y160</f>
        <v>Action</v>
      </c>
      <c r="D160" s="44" t="str">
        <f>VLOOKUP(C160,Table2[#All],3,FALSE)</f>
        <v>What we need from you/Reason</v>
      </c>
      <c r="E160" s="75" t="s">
        <v>199</v>
      </c>
      <c r="F160" s="96"/>
      <c r="G160" s="97"/>
      <c r="H160"/>
    </row>
    <row r="161" spans="1:8" ht="21" x14ac:dyDescent="0.25">
      <c r="A161" s="43" t="str">
        <f>CONCATENATE("Pt Id:",'Level 1'!E161," ","Pt Name: ",'Level 1'!F161," ","DOS: ", TEXT('Level 1'!H161,"mm-dd-yyyy"),"  "," Amnt: ","$",'Level 1'!J161,"  ", 'Level 1'!N161)</f>
        <v>Pt Id:6232 Pt Name: Lennon, Jackson DOS: 04-01-2022   Amnt: $432  Note</v>
      </c>
      <c r="B161" s="43" t="str">
        <f>CONCATENATE("Detail: ",'Level 1'!N161,"  ",'Level 1'!O161,TEXT('Level 1'!P161,"  mm-dd-yyyy"),";"," ",'Level 1'!Q161,'Level 1'!R161,"  ",'Level 1'!T161," ","Payment "," ",'Level 1'!U161,"  ",'Level 1'!V161,"  ",'Level 1'!W161,"  ",'Level 1'!X161,"  ",'Level 1'!Z161, "  ",'Level 1'!AA161, " ","Insurance: ",'Level 1'!A161)</f>
        <v>Detail: Note  Q1  01-00-1900; Q2   Payment  Q4    Q5    Additional Notes:   Insurance: Dentaquest</v>
      </c>
      <c r="C161" s="60" t="str">
        <f>'Level 1'!Y161</f>
        <v>Action</v>
      </c>
      <c r="D161" s="44" t="str">
        <f>VLOOKUP(C161,Table2[#All],3,FALSE)</f>
        <v>What we need from you/Reason</v>
      </c>
      <c r="E161" s="75" t="s">
        <v>199</v>
      </c>
      <c r="F161" s="96"/>
      <c r="G161" s="97"/>
      <c r="H161"/>
    </row>
    <row r="162" spans="1:8" ht="21" x14ac:dyDescent="0.25">
      <c r="A162" s="43" t="str">
        <f>CONCATENATE("Pt Id:",'Level 1'!E162," ","Pt Name: ",'Level 1'!F162," ","DOS: ", TEXT('Level 1'!H162,"mm-dd-yyyy"),"  "," Amnt: ","$",'Level 1'!J162,"  ", 'Level 1'!N162)</f>
        <v>Pt Id:9418 Pt Name: Roman, Henry  DOS: 04-01-2022   Amnt: $1969.2  Note</v>
      </c>
      <c r="B162" s="43" t="str">
        <f>CONCATENATE("Detail: ",'Level 1'!N162,"  ",'Level 1'!O162,TEXT('Level 1'!P162,"  mm-dd-yyyy"),";"," ",'Level 1'!Q162,'Level 1'!R162,"  ",'Level 1'!T162," ","Payment "," ",'Level 1'!U162,"  ",'Level 1'!V162,"  ",'Level 1'!W162,"  ",'Level 1'!X162,"  ",'Level 1'!Z162, "  ",'Level 1'!AA162, " ","Insurance: ",'Level 1'!A162)</f>
        <v>Detail: Note  Q1  01-00-1900; Q2   Payment  Q4    Q5    Additional Notes:   Insurance: Dentaquest</v>
      </c>
      <c r="C162" s="60" t="str">
        <f>'Level 1'!Y162</f>
        <v>Action</v>
      </c>
      <c r="D162" s="44" t="str">
        <f>VLOOKUP(C162,Table2[#All],3,FALSE)</f>
        <v>What we need from you/Reason</v>
      </c>
      <c r="E162" s="75" t="s">
        <v>199</v>
      </c>
      <c r="F162" s="96"/>
      <c r="G162" s="97"/>
      <c r="H162"/>
    </row>
    <row r="163" spans="1:8" ht="21" x14ac:dyDescent="0.25">
      <c r="A163" s="43" t="str">
        <f>CONCATENATE("Pt Id:",'Level 1'!E163," ","Pt Name: ",'Level 1'!F163," ","DOS: ", TEXT('Level 1'!H163,"mm-dd-yyyy"),"  "," Amnt: ","$",'Level 1'!J163,"  ", 'Level 1'!N163)</f>
        <v>Pt Id:9369 Pt Name: Nebel, Holly  DOS: 04-01-2022   Amnt: $302.4  Note</v>
      </c>
      <c r="B163" s="43" t="str">
        <f>CONCATENATE("Detail: ",'Level 1'!N163,"  ",'Level 1'!O163,TEXT('Level 1'!P163,"  mm-dd-yyyy"),";"," ",'Level 1'!Q163,'Level 1'!R163,"  ",'Level 1'!T163," ","Payment "," ",'Level 1'!U163,"  ",'Level 1'!V163,"  ",'Level 1'!W163,"  ",'Level 1'!X163,"  ",'Level 1'!Z163, "  ",'Level 1'!AA163, " ","Insurance: ",'Level 1'!A163)</f>
        <v>Detail: Note  Q1  01-00-1900; Q2   Payment  Q4    Q5    Additional Notes:   Insurance: Dentaquest</v>
      </c>
      <c r="C163" s="60" t="str">
        <f>'Level 1'!Y163</f>
        <v>Action</v>
      </c>
      <c r="D163" s="44" t="str">
        <f>VLOOKUP(C163,Table2[#All],3,FALSE)</f>
        <v>What we need from you/Reason</v>
      </c>
      <c r="E163" s="75" t="s">
        <v>199</v>
      </c>
      <c r="F163" s="96"/>
      <c r="G163" s="97"/>
      <c r="H163"/>
    </row>
    <row r="164" spans="1:8" ht="21" x14ac:dyDescent="0.25">
      <c r="A164" s="43" t="str">
        <f>CONCATENATE("Pt Id:",'Level 1'!E164," ","Pt Name: ",'Level 1'!F164," ","DOS: ", TEXT('Level 1'!H164,"mm-dd-yyyy"),"  "," Amnt: ","$",'Level 1'!J164,"  ", 'Level 1'!N164)</f>
        <v>Pt Id:7791 Pt Name: Bruinsma, Lillyan DOS: 03-31-2022   Amnt: $286.4  Note</v>
      </c>
      <c r="B164" s="43" t="str">
        <f>CONCATENATE("Detail: ",'Level 1'!N164,"  ",'Level 1'!O164,TEXT('Level 1'!P164,"  mm-dd-yyyy"),";"," ",'Level 1'!Q164,'Level 1'!R164,"  ",'Level 1'!T164," ","Payment "," ",'Level 1'!U164,"  ",'Level 1'!V164,"  ",'Level 1'!W164,"  ",'Level 1'!X164,"  ",'Level 1'!Z164, "  ",'Level 1'!AA164, " ","Insurance: ",'Level 1'!A164)</f>
        <v>Detail: Note  Q1  01-00-1900; Q2   Payment  Q4    Q5    Additional Notes:   Insurance: Dentaquest</v>
      </c>
      <c r="C164" s="60" t="str">
        <f>'Level 1'!Y164</f>
        <v>Action</v>
      </c>
      <c r="D164" s="44" t="str">
        <f>VLOOKUP(C164,Table2[#All],3,FALSE)</f>
        <v>What we need from you/Reason</v>
      </c>
      <c r="E164" s="75" t="s">
        <v>199</v>
      </c>
      <c r="F164" s="96"/>
      <c r="G164" s="97"/>
      <c r="H164"/>
    </row>
    <row r="165" spans="1:8" ht="21" x14ac:dyDescent="0.25">
      <c r="A165" s="43" t="str">
        <f>CONCATENATE("Pt Id:",'Level 1'!E165," ","Pt Name: ",'Level 1'!F165," ","DOS: ", TEXT('Level 1'!H165,"mm-dd-yyyy"),"  "," Amnt: ","$",'Level 1'!J165,"  ", 'Level 1'!N165)</f>
        <v>Pt Id:3132 Pt Name: Epps , Shatoya  DOS: 03-31-2022   Amnt: $138  Note</v>
      </c>
      <c r="B165" s="43" t="str">
        <f>CONCATENATE("Detail: ",'Level 1'!N165,"  ",'Level 1'!O165,TEXT('Level 1'!P165,"  mm-dd-yyyy"),";"," ",'Level 1'!Q165,'Level 1'!R165,"  ",'Level 1'!T165," ","Payment "," ",'Level 1'!U165,"  ",'Level 1'!V165,"  ",'Level 1'!W165,"  ",'Level 1'!X165,"  ",'Level 1'!Z165, "  ",'Level 1'!AA165, " ","Insurance: ",'Level 1'!A165)</f>
        <v>Detail: Note  Q1  01-00-1900; Q2   Payment  Q4    Q5    Additional Notes:   Insurance: Dentaquest</v>
      </c>
      <c r="C165" s="60" t="str">
        <f>'Level 1'!Y165</f>
        <v>Action</v>
      </c>
      <c r="D165" s="44" t="str">
        <f>VLOOKUP(C165,Table2[#All],3,FALSE)</f>
        <v>What we need from you/Reason</v>
      </c>
      <c r="E165" s="75" t="s">
        <v>199</v>
      </c>
      <c r="F165" s="96"/>
      <c r="G165" s="97"/>
      <c r="H165"/>
    </row>
    <row r="166" spans="1:8" ht="21" x14ac:dyDescent="0.25">
      <c r="A166" s="43" t="str">
        <f>CONCATENATE("Pt Id:",'Level 1'!E166," ","Pt Name: ",'Level 1'!F166," ","DOS: ", TEXT('Level 1'!H166,"mm-dd-yyyy"),"  "," Amnt: ","$",'Level 1'!J166,"  ", 'Level 1'!N166)</f>
        <v>Pt Id:6446 Pt Name: Rayls, Kim  DOS: 03-31-2022   Amnt: $266  Note</v>
      </c>
      <c r="B166" s="43" t="str">
        <f>CONCATENATE("Detail: ",'Level 1'!N166,"  ",'Level 1'!O166,TEXT('Level 1'!P166,"  mm-dd-yyyy"),";"," ",'Level 1'!Q166,'Level 1'!R166,"  ",'Level 1'!T166," ","Payment "," ",'Level 1'!U166,"  ",'Level 1'!V166,"  ",'Level 1'!W166,"  ",'Level 1'!X166,"  ",'Level 1'!Z166, "  ",'Level 1'!AA166, " ","Insurance: ",'Level 1'!A166)</f>
        <v>Detail: Note  Q1  01-00-1900; Q2   Payment  Q4    Q5    Additional Notes:   Insurance: Dentaquest</v>
      </c>
      <c r="C166" s="60" t="str">
        <f>'Level 1'!Y166</f>
        <v>Action</v>
      </c>
      <c r="D166" s="44" t="str">
        <f>VLOOKUP(C166,Table2[#All],3,FALSE)</f>
        <v>What we need from you/Reason</v>
      </c>
      <c r="E166" s="75" t="s">
        <v>199</v>
      </c>
      <c r="F166" s="96"/>
      <c r="G166" s="97"/>
      <c r="H166"/>
    </row>
    <row r="167" spans="1:8" ht="21" x14ac:dyDescent="0.25">
      <c r="A167" s="43" t="str">
        <f>CONCATENATE("Pt Id:",'Level 1'!E167," ","Pt Name: ",'Level 1'!F167," ","DOS: ", TEXT('Level 1'!H167,"mm-dd-yyyy"),"  "," Amnt: ","$",'Level 1'!J167,"  ", 'Level 1'!N167)</f>
        <v>Pt Id:8576 Pt Name: Nailing , Julius DOS: 03-31-2022   Amnt: $294.8  Note</v>
      </c>
      <c r="B167" s="43" t="str">
        <f>CONCATENATE("Detail: ",'Level 1'!N167,"  ",'Level 1'!O167,TEXT('Level 1'!P167,"  mm-dd-yyyy"),";"," ",'Level 1'!Q167,'Level 1'!R167,"  ",'Level 1'!T167," ","Payment "," ",'Level 1'!U167,"  ",'Level 1'!V167,"  ",'Level 1'!W167,"  ",'Level 1'!X167,"  ",'Level 1'!Z167, "  ",'Level 1'!AA167, " ","Insurance: ",'Level 1'!A167)</f>
        <v>Detail: Note  Q1  01-00-1900; Q2   Payment  Q4    Q5    Additional Notes:   Insurance: Dentaquest</v>
      </c>
      <c r="C167" s="60" t="str">
        <f>'Level 1'!Y167</f>
        <v>Action</v>
      </c>
      <c r="D167" s="44" t="str">
        <f>VLOOKUP(C167,Table2[#All],3,FALSE)</f>
        <v>What we need from you/Reason</v>
      </c>
      <c r="E167" s="75" t="s">
        <v>199</v>
      </c>
      <c r="F167" s="96"/>
      <c r="G167" s="97"/>
      <c r="H167"/>
    </row>
    <row r="168" spans="1:8" ht="21" x14ac:dyDescent="0.25">
      <c r="A168" s="43" t="str">
        <f>CONCATENATE("Pt Id:",'Level 1'!E168," ","Pt Name: ",'Level 1'!F168," ","DOS: ", TEXT('Level 1'!H168,"mm-dd-yyyy"),"  "," Amnt: ","$",'Level 1'!J168,"  ", 'Level 1'!N168)</f>
        <v>Pt Id:9177 Pt Name: Begaj, Floriana DOS: 03-31-2022   Amnt: $27.6  Note</v>
      </c>
      <c r="B168" s="43" t="str">
        <f>CONCATENATE("Detail: ",'Level 1'!N168,"  ",'Level 1'!O168,TEXT('Level 1'!P168,"  mm-dd-yyyy"),";"," ",'Level 1'!Q168,'Level 1'!R168,"  ",'Level 1'!T168," ","Payment "," ",'Level 1'!U168,"  ",'Level 1'!V168,"  ",'Level 1'!W168,"  ",'Level 1'!X168,"  ",'Level 1'!Z168, "  ",'Level 1'!AA168, " ","Insurance: ",'Level 1'!A168)</f>
        <v>Detail: Note  Q1  01-00-1900; Q2   Payment  Q4    Q5    Additional Notes:   Insurance: Dentaquest</v>
      </c>
      <c r="C168" s="60" t="str">
        <f>'Level 1'!Y168</f>
        <v>Action</v>
      </c>
      <c r="D168" s="44" t="str">
        <f>VLOOKUP(C168,Table2[#All],3,FALSE)</f>
        <v>What we need from you/Reason</v>
      </c>
      <c r="E168" s="75" t="s">
        <v>199</v>
      </c>
      <c r="F168" s="96"/>
      <c r="G168" s="97"/>
      <c r="H168"/>
    </row>
    <row r="169" spans="1:8" ht="42" x14ac:dyDescent="0.25">
      <c r="A169" s="43" t="str">
        <f>CONCATENATE("Pt Id:",'Level 1'!E169," ","Pt Name: ",'Level 1'!F169," ","DOS: ", TEXT('Level 1'!H169,"mm-dd-yyyy"),"  "," Amnt: ","$",'Level 1'!J169,"  ", 'Level 1'!N169)</f>
        <v>Pt Id:9382 Pt Name: Graham , Tiffany  DOS: 03-31-2022   Amnt: $589.2  Note</v>
      </c>
      <c r="B169" s="43" t="str">
        <f>CONCATENATE("Detail: ",'Level 1'!N169,"  ",'Level 1'!O169,TEXT('Level 1'!P169,"  mm-dd-yyyy"),";"," ",'Level 1'!Q169,'Level 1'!R169,"  ",'Level 1'!T169," ","Payment "," ",'Level 1'!U169,"  ",'Level 1'!V169,"  ",'Level 1'!W169,"  ",'Level 1'!X169,"  ",'Level 1'!Z169, "  ",'Level 1'!AA169, " ","Insurance: ",'Level 1'!A169)</f>
        <v>Detail: Note  Q1  01-00-1900; Q2   Payment  Q4    Q5    Additional Notes:   Insurance: Dentaquest</v>
      </c>
      <c r="C169" s="60" t="str">
        <f>'Level 1'!Y169</f>
        <v>Action</v>
      </c>
      <c r="D169" s="44" t="str">
        <f>VLOOKUP(C169,Table2[#All],3,FALSE)</f>
        <v>What we need from you/Reason</v>
      </c>
      <c r="E169" s="75" t="s">
        <v>199</v>
      </c>
      <c r="F169" s="96"/>
      <c r="G169" s="97"/>
      <c r="H169"/>
    </row>
    <row r="170" spans="1:8" ht="21" x14ac:dyDescent="0.25">
      <c r="A170" s="43" t="str">
        <f>CONCATENATE("Pt Id:",'Level 1'!E170," ","Pt Name: ",'Level 1'!F170," ","DOS: ", TEXT('Level 1'!H170,"mm-dd-yyyy"),"  "," Amnt: ","$",'Level 1'!J170,"  ", 'Level 1'!N170)</f>
        <v>Pt Id:7792 Pt Name: Hell, Kyler  DOS: 03-31-2022   Amnt: $266  Note</v>
      </c>
      <c r="B170" s="43" t="str">
        <f>CONCATENATE("Detail: ",'Level 1'!N170,"  ",'Level 1'!O170,TEXT('Level 1'!P170,"  mm-dd-yyyy"),";"," ",'Level 1'!Q170,'Level 1'!R170,"  ",'Level 1'!T170," ","Payment "," ",'Level 1'!U170,"  ",'Level 1'!V170,"  ",'Level 1'!W170,"  ",'Level 1'!X170,"  ",'Level 1'!Z170, "  ",'Level 1'!AA170, " ","Insurance: ",'Level 1'!A170)</f>
        <v>Detail: Note  Q1  01-00-1900; Q2   Payment  Q4    Q5    Additional Notes:   Insurance: Dentaquest</v>
      </c>
      <c r="C170" s="60" t="str">
        <f>'Level 1'!Y170</f>
        <v>Action</v>
      </c>
      <c r="D170" s="44" t="str">
        <f>VLOOKUP(C170,Table2[#All],3,FALSE)</f>
        <v>What we need from you/Reason</v>
      </c>
      <c r="E170" s="75" t="s">
        <v>199</v>
      </c>
      <c r="F170" s="96"/>
      <c r="G170" s="97"/>
      <c r="H170"/>
    </row>
    <row r="171" spans="1:8" ht="21" x14ac:dyDescent="0.25">
      <c r="A171" s="43" t="str">
        <f>CONCATENATE("Pt Id:",'Level 1'!E171," ","Pt Name: ",'Level 1'!F171," ","DOS: ", TEXT('Level 1'!H171,"mm-dd-yyyy"),"  "," Amnt: ","$",'Level 1'!J171,"  ", 'Level 1'!N171)</f>
        <v>Pt Id:8103 Pt Name: Bruinsma , Henley  DOS: 03-31-2022   Amnt: $138  Note</v>
      </c>
      <c r="B171" s="43" t="str">
        <f>CONCATENATE("Detail: ",'Level 1'!N171,"  ",'Level 1'!O171,TEXT('Level 1'!P171,"  mm-dd-yyyy"),";"," ",'Level 1'!Q171,'Level 1'!R171,"  ",'Level 1'!T171," ","Payment "," ",'Level 1'!U171,"  ",'Level 1'!V171,"  ",'Level 1'!W171,"  ",'Level 1'!X171,"  ",'Level 1'!Z171, "  ",'Level 1'!AA171, " ","Insurance: ",'Level 1'!A171)</f>
        <v>Detail: Note  Q1  01-00-1900; Q2   Payment  Q4    Q5    Additional Notes:   Insurance: Dentaquest</v>
      </c>
      <c r="C171" s="60" t="str">
        <f>'Level 1'!Y171</f>
        <v>Action</v>
      </c>
      <c r="D171" s="44" t="str">
        <f>VLOOKUP(C171,Table2[#All],3,FALSE)</f>
        <v>What we need from you/Reason</v>
      </c>
      <c r="E171" s="75" t="s">
        <v>199</v>
      </c>
      <c r="F171" s="96"/>
      <c r="G171" s="97"/>
      <c r="H171"/>
    </row>
    <row r="172" spans="1:8" ht="42" x14ac:dyDescent="0.25">
      <c r="A172" s="43" t="str">
        <f>CONCATENATE("Pt Id:",'Level 1'!E172," ","Pt Name: ",'Level 1'!F172," ","DOS: ", TEXT('Level 1'!H172,"mm-dd-yyyy"),"  "," Amnt: ","$",'Level 1'!J172,"  ", 'Level 1'!N172)</f>
        <v>Pt Id:9374 Pt Name: Cavero Zavala, Walter DOS: 03-31-2022   Amnt: $216  Note</v>
      </c>
      <c r="B172" s="43" t="str">
        <f>CONCATENATE("Detail: ",'Level 1'!N172,"  ",'Level 1'!O172,TEXT('Level 1'!P172,"  mm-dd-yyyy"),";"," ",'Level 1'!Q172,'Level 1'!R172,"  ",'Level 1'!T172," ","Payment "," ",'Level 1'!U172,"  ",'Level 1'!V172,"  ",'Level 1'!W172,"  ",'Level 1'!X172,"  ",'Level 1'!Z172, "  ",'Level 1'!AA172, " ","Insurance: ",'Level 1'!A172)</f>
        <v>Detail: Note  Q1  01-00-1900; Q2   Payment  Q4    Q5    Additional Notes:   Insurance: Dentaquest</v>
      </c>
      <c r="C172" s="60" t="str">
        <f>'Level 1'!Y172</f>
        <v>Action</v>
      </c>
      <c r="D172" s="44" t="str">
        <f>VLOOKUP(C172,Table2[#All],3,FALSE)</f>
        <v>What we need from you/Reason</v>
      </c>
      <c r="E172" s="75" t="s">
        <v>199</v>
      </c>
      <c r="F172" s="96"/>
      <c r="G172" s="97"/>
      <c r="H172"/>
    </row>
    <row r="173" spans="1:8" ht="21" x14ac:dyDescent="0.25">
      <c r="A173" s="43" t="str">
        <f>CONCATENATE("Pt Id:",'Level 1'!E173," ","Pt Name: ",'Level 1'!F173," ","DOS: ", TEXT('Level 1'!H173,"mm-dd-yyyy"),"  "," Amnt: ","$",'Level 1'!J173,"  ", 'Level 1'!N173)</f>
        <v>Pt Id:5008 Pt Name: Diem , Kelly  DOS: 03-30-2022   Amnt: $84  Note</v>
      </c>
      <c r="B173" s="43" t="str">
        <f>CONCATENATE("Detail: ",'Level 1'!N173,"  ",'Level 1'!O173,TEXT('Level 1'!P173,"  mm-dd-yyyy"),";"," ",'Level 1'!Q173,'Level 1'!R173,"  ",'Level 1'!T173," ","Payment "," ",'Level 1'!U173,"  ",'Level 1'!V173,"  ",'Level 1'!W173,"  ",'Level 1'!X173,"  ",'Level 1'!Z173, "  ",'Level 1'!AA173, " ","Insurance: ",'Level 1'!A173)</f>
        <v>Detail: Note  Q1  01-00-1900; Q2   Payment  Q4    Q5    Additional Notes:   Insurance: Dentaquest</v>
      </c>
      <c r="C173" s="60" t="str">
        <f>'Level 1'!Y173</f>
        <v>Action</v>
      </c>
      <c r="D173" s="44" t="str">
        <f>VLOOKUP(C173,Table2[#All],3,FALSE)</f>
        <v>What we need from you/Reason</v>
      </c>
      <c r="E173" s="75" t="s">
        <v>199</v>
      </c>
      <c r="F173" s="96"/>
      <c r="G173" s="97"/>
      <c r="H173"/>
    </row>
    <row r="174" spans="1:8" ht="21" x14ac:dyDescent="0.25">
      <c r="A174" s="43" t="str">
        <f>CONCATENATE("Pt Id:",'Level 1'!E174," ","Pt Name: ",'Level 1'!F174," ","DOS: ", TEXT('Level 1'!H174,"mm-dd-yyyy"),"  "," Amnt: ","$",'Level 1'!J174,"  ", 'Level 1'!N174)</f>
        <v>Pt Id:8999 Pt Name: Musaitf , Jalal  DOS: 03-30-2022   Amnt: $648  Note</v>
      </c>
      <c r="B174" s="43" t="str">
        <f>CONCATENATE("Detail: ",'Level 1'!N174,"  ",'Level 1'!O174,TEXT('Level 1'!P174,"  mm-dd-yyyy"),";"," ",'Level 1'!Q174,'Level 1'!R174,"  ",'Level 1'!T174," ","Payment "," ",'Level 1'!U174,"  ",'Level 1'!V174,"  ",'Level 1'!W174,"  ",'Level 1'!X174,"  ",'Level 1'!Z174, "  ",'Level 1'!AA174, " ","Insurance: ",'Level 1'!A174)</f>
        <v>Detail: Note  Q1  01-00-1900; Q2   Payment  Q4    Q5    Additional Notes:   Insurance: Dentaquest</v>
      </c>
      <c r="C174" s="60" t="str">
        <f>'Level 1'!Y174</f>
        <v>Action</v>
      </c>
      <c r="D174" s="44" t="str">
        <f>VLOOKUP(C174,Table2[#All],3,FALSE)</f>
        <v>What we need from you/Reason</v>
      </c>
      <c r="E174" s="75" t="s">
        <v>199</v>
      </c>
      <c r="F174" s="96"/>
      <c r="G174" s="97"/>
      <c r="H174"/>
    </row>
    <row r="175" spans="1:8" ht="21" x14ac:dyDescent="0.25">
      <c r="A175" s="43" t="str">
        <f>CONCATENATE("Pt Id:",'Level 1'!E175," ","Pt Name: ",'Level 1'!F175," ","DOS: ", TEXT('Level 1'!H175,"mm-dd-yyyy"),"  "," Amnt: ","$",'Level 1'!J175,"  ", 'Level 1'!N175)</f>
        <v>Pt Id:7552 Pt Name: Tobar, Deanna DOS: 03-30-2022   Amnt: $480  Note</v>
      </c>
      <c r="B175" s="43" t="str">
        <f>CONCATENATE("Detail: ",'Level 1'!N175,"  ",'Level 1'!O175,TEXT('Level 1'!P175,"  mm-dd-yyyy"),";"," ",'Level 1'!Q175,'Level 1'!R175,"  ",'Level 1'!T175," ","Payment "," ",'Level 1'!U175,"  ",'Level 1'!V175,"  ",'Level 1'!W175,"  ",'Level 1'!X175,"  ",'Level 1'!Z175, "  ",'Level 1'!AA175, " ","Insurance: ",'Level 1'!A175)</f>
        <v>Detail: Note  Q1  01-00-1900; Q2   Payment  Q4    Q5    Additional Notes:   Insurance: Dentaquest</v>
      </c>
      <c r="C175" s="60" t="str">
        <f>'Level 1'!Y175</f>
        <v>Action</v>
      </c>
      <c r="D175" s="44" t="str">
        <f>VLOOKUP(C175,Table2[#All],3,FALSE)</f>
        <v>What we need from you/Reason</v>
      </c>
      <c r="E175" s="75" t="s">
        <v>199</v>
      </c>
      <c r="F175" s="96"/>
      <c r="G175" s="97"/>
      <c r="H175"/>
    </row>
    <row r="176" spans="1:8" ht="21" x14ac:dyDescent="0.25">
      <c r="A176" s="43" t="str">
        <f>CONCATENATE("Pt Id:",'Level 1'!E176," ","Pt Name: ",'Level 1'!F176," ","DOS: ", TEXT('Level 1'!H176,"mm-dd-yyyy"),"  "," Amnt: ","$",'Level 1'!J176,"  ", 'Level 1'!N176)</f>
        <v>Pt Id:7507 Pt Name: Alvarez, Jace  DOS: 03-30-2022   Amnt: $227.6  Note</v>
      </c>
      <c r="B176" s="43" t="str">
        <f>CONCATENATE("Detail: ",'Level 1'!N176,"  ",'Level 1'!O176,TEXT('Level 1'!P176,"  mm-dd-yyyy"),";"," ",'Level 1'!Q176,'Level 1'!R176,"  ",'Level 1'!T176," ","Payment "," ",'Level 1'!U176,"  ",'Level 1'!V176,"  ",'Level 1'!W176,"  ",'Level 1'!X176,"  ",'Level 1'!Z176, "  ",'Level 1'!AA176, " ","Insurance: ",'Level 1'!A176)</f>
        <v>Detail: Note  Q1  01-00-1900; Q2   Payment  Q4    Q5    Additional Notes:   Insurance: Dentaquest</v>
      </c>
      <c r="C176" s="60" t="str">
        <f>'Level 1'!Y176</f>
        <v>Action</v>
      </c>
      <c r="D176" s="44" t="str">
        <f>VLOOKUP(C176,Table2[#All],3,FALSE)</f>
        <v>What we need from you/Reason</v>
      </c>
      <c r="E176" s="75" t="s">
        <v>199</v>
      </c>
      <c r="F176" s="96"/>
      <c r="G176" s="97"/>
      <c r="H176"/>
    </row>
    <row r="177" spans="1:8" ht="21" x14ac:dyDescent="0.25">
      <c r="A177" s="43" t="str">
        <f>CONCATENATE("Pt Id:",'Level 1'!E177," ","Pt Name: ",'Level 1'!F177," ","DOS: ", TEXT('Level 1'!H177,"mm-dd-yyyy"),"  "," Amnt: ","$",'Level 1'!J177,"  ", 'Level 1'!N177)</f>
        <v>Pt Id:9228 Pt Name: Tobar , Noah  DOS: 03-30-2022   Amnt: $453.2  Note</v>
      </c>
      <c r="B177" s="43" t="str">
        <f>CONCATENATE("Detail: ",'Level 1'!N177,"  ",'Level 1'!O177,TEXT('Level 1'!P177,"  mm-dd-yyyy"),";"," ",'Level 1'!Q177,'Level 1'!R177,"  ",'Level 1'!T177," ","Payment "," ",'Level 1'!U177,"  ",'Level 1'!V177,"  ",'Level 1'!W177,"  ",'Level 1'!X177,"  ",'Level 1'!Z177, "  ",'Level 1'!AA177, " ","Insurance: ",'Level 1'!A177)</f>
        <v>Detail: Note  Q1  01-00-1900; Q2   Payment  Q4    Q5    Additional Notes:   Insurance: Dentaquest</v>
      </c>
      <c r="C177" s="60" t="str">
        <f>'Level 1'!Y177</f>
        <v>Action</v>
      </c>
      <c r="D177" s="44" t="str">
        <f>VLOOKUP(C177,Table2[#All],3,FALSE)</f>
        <v>What we need from you/Reason</v>
      </c>
      <c r="E177" s="75" t="s">
        <v>199</v>
      </c>
      <c r="F177" s="96"/>
      <c r="G177" s="97"/>
      <c r="H177"/>
    </row>
    <row r="178" spans="1:8" ht="21" x14ac:dyDescent="0.25">
      <c r="A178" s="43" t="str">
        <f>CONCATENATE("Pt Id:",'Level 1'!E178," ","Pt Name: ",'Level 1'!F178," ","DOS: ", TEXT('Level 1'!H178,"mm-dd-yyyy"),"  "," Amnt: ","$",'Level 1'!J178,"  ", 'Level 1'!N178)</f>
        <v>Pt Id:8289 Pt Name: Young , Melissa  DOS: 03-30-2022   Amnt: $451.2  Note</v>
      </c>
      <c r="B178" s="43" t="str">
        <f>CONCATENATE("Detail: ",'Level 1'!N178,"  ",'Level 1'!O178,TEXT('Level 1'!P178,"  mm-dd-yyyy"),";"," ",'Level 1'!Q178,'Level 1'!R178,"  ",'Level 1'!T178," ","Payment "," ",'Level 1'!U178,"  ",'Level 1'!V178,"  ",'Level 1'!W178,"  ",'Level 1'!X178,"  ",'Level 1'!Z178, "  ",'Level 1'!AA178, " ","Insurance: ",'Level 1'!A178)</f>
        <v>Detail: Note  Q1  01-00-1900; Q2   Payment  Q4    Q5    Additional Notes:   Insurance: Dentaquest</v>
      </c>
      <c r="C178" s="60" t="str">
        <f>'Level 1'!Y178</f>
        <v>Action</v>
      </c>
      <c r="D178" s="44" t="str">
        <f>VLOOKUP(C178,Table2[#All],3,FALSE)</f>
        <v>What we need from you/Reason</v>
      </c>
      <c r="E178" s="75" t="s">
        <v>199</v>
      </c>
      <c r="F178" s="96"/>
      <c r="G178" s="97"/>
      <c r="H178"/>
    </row>
    <row r="179" spans="1:8" ht="42" x14ac:dyDescent="0.25">
      <c r="A179" s="43" t="str">
        <f>CONCATENATE("Pt Id:",'Level 1'!E179," ","Pt Name: ",'Level 1'!F179," ","DOS: ", TEXT('Level 1'!H179,"mm-dd-yyyy"),"  "," Amnt: ","$",'Level 1'!J179,"  ", 'Level 1'!N179)</f>
        <v>Pt Id:8912 Pt Name: Simpson, Shavonta DOS: 03-14-2022   Amnt: $1062  Note</v>
      </c>
      <c r="B179" s="43" t="str">
        <f>CONCATENATE("Detail: ",'Level 1'!N179,"  ",'Level 1'!O179,TEXT('Level 1'!P179,"  mm-dd-yyyy"),";"," ",'Level 1'!Q179,'Level 1'!R179,"  ",'Level 1'!T179," ","Payment "," ",'Level 1'!U179,"  ",'Level 1'!V179,"  ",'Level 1'!W179,"  ",'Level 1'!X179,"  ",'Level 1'!Z179, "  ",'Level 1'!AA179, " ","Insurance: ",'Level 1'!A179)</f>
        <v>Detail: Note  Q1  01-00-1900; Q2   Payment  Q4    Q5    Additional Notes:   Insurance: Dentaquest</v>
      </c>
      <c r="C179" s="60" t="str">
        <f>'Level 1'!Y179</f>
        <v>Action</v>
      </c>
      <c r="D179" s="44" t="str">
        <f>VLOOKUP(C179,Table2[#All],3,FALSE)</f>
        <v>What we need from you/Reason</v>
      </c>
      <c r="E179" s="75" t="s">
        <v>199</v>
      </c>
      <c r="F179" s="96"/>
      <c r="G179" s="97"/>
      <c r="H179"/>
    </row>
    <row r="180" spans="1:8" ht="21" x14ac:dyDescent="0.25">
      <c r="A180" s="43" t="str">
        <f>CONCATENATE("Pt Id:",'Level 1'!E180," ","Pt Name: ",'Level 1'!F180," ","DOS: ", TEXT('Level 1'!H180,"mm-dd-yyyy"),"  "," Amnt: ","$",'Level 1'!J180,"  ", 'Level 1'!N180)</f>
        <v>Pt Id:8223 Pt Name: Garcia , Evelina  DOS: 03-15-2022   Amnt: $406.8  Note</v>
      </c>
      <c r="B180" s="43" t="str">
        <f>CONCATENATE("Detail: ",'Level 1'!N180,"  ",'Level 1'!O180,TEXT('Level 1'!P180,"  mm-dd-yyyy"),";"," ",'Level 1'!Q180,'Level 1'!R180,"  ",'Level 1'!T180," ","Payment "," ",'Level 1'!U180,"  ",'Level 1'!V180,"  ",'Level 1'!W180,"  ",'Level 1'!X180,"  ",'Level 1'!Z180, "  ",'Level 1'!AA180, " ","Insurance: ",'Level 1'!A180)</f>
        <v>Detail: Note  Q1  01-00-1900; Q2   Payment  Q4    Q5    Additional Notes:   Insurance: Dentaquest</v>
      </c>
      <c r="C180" s="60" t="str">
        <f>'Level 1'!Y180</f>
        <v>Action</v>
      </c>
      <c r="D180" s="44" t="str">
        <f>VLOOKUP(C180,Table2[#All],3,FALSE)</f>
        <v>What we need from you/Reason</v>
      </c>
      <c r="E180" s="75" t="s">
        <v>199</v>
      </c>
      <c r="F180" s="96"/>
      <c r="G180" s="97"/>
      <c r="H180"/>
    </row>
    <row r="181" spans="1:8" ht="42" x14ac:dyDescent="0.25">
      <c r="A181" s="43" t="str">
        <f>CONCATENATE("Pt Id:",'Level 1'!E181," ","Pt Name: ",'Level 1'!F181," ","DOS: ", TEXT('Level 1'!H181,"mm-dd-yyyy"),"  "," Amnt: ","$",'Level 1'!J181,"  ", 'Level 1'!N181)</f>
        <v>Pt Id:963 Pt Name: Taborn- Bryant, Le`Nijah DOS: 02-25-2022   Amnt: $80.4  Note</v>
      </c>
      <c r="B181" s="43" t="str">
        <f>CONCATENATE("Detail: ",'Level 1'!N181,"  ",'Level 1'!O181,TEXT('Level 1'!P181,"  mm-dd-yyyy"),";"," ",'Level 1'!Q181,'Level 1'!R181,"  ",'Level 1'!T181," ","Payment "," ",'Level 1'!U181,"  ",'Level 1'!V181,"  ",'Level 1'!W181,"  ",'Level 1'!X181,"  ",'Level 1'!Z181, "  ",'Level 1'!AA181, " ","Insurance: ",'Level 1'!A181)</f>
        <v>Detail: Note  Q1  01-00-1900; Q2   Payment  Q4    Q5    Additional Notes:   Insurance: Dentaquest</v>
      </c>
      <c r="C181" s="60" t="str">
        <f>'Level 1'!Y181</f>
        <v>Action</v>
      </c>
      <c r="D181" s="44" t="str">
        <f>VLOOKUP(C181,Table2[#All],3,FALSE)</f>
        <v>What we need from you/Reason</v>
      </c>
      <c r="E181" s="75" t="s">
        <v>199</v>
      </c>
      <c r="F181" s="96"/>
      <c r="G181" s="97"/>
      <c r="H181"/>
    </row>
    <row r="182" spans="1:8" ht="21" x14ac:dyDescent="0.25">
      <c r="A182" s="43" t="str">
        <f>CONCATENATE("Pt Id:",'Level 1'!E182," ","Pt Name: ",'Level 1'!F182," ","DOS: ", TEXT('Level 1'!H182,"mm-dd-yyyy"),"  "," Amnt: ","$",'Level 1'!J182,"  ", 'Level 1'!N182)</f>
        <v>Pt Id:8875 Pt Name: Moore, Keyon DOS: 02-14-2022   Amnt: $100  Note</v>
      </c>
      <c r="B182" s="43" t="str">
        <f>CONCATENATE("Detail: ",'Level 1'!N182,"  ",'Level 1'!O182,TEXT('Level 1'!P182,"  mm-dd-yyyy"),";"," ",'Level 1'!Q182,'Level 1'!R182,"  ",'Level 1'!T182," ","Payment "," ",'Level 1'!U182,"  ",'Level 1'!V182,"  ",'Level 1'!W182,"  ",'Level 1'!X182,"  ",'Level 1'!Z182, "  ",'Level 1'!AA182, " ","Insurance: ",'Level 1'!A182)</f>
        <v>Detail: Note  Q1  01-00-1900; Q2   Payment  Q4    Q5    Additional Notes:   Insurance: Dentaquest</v>
      </c>
      <c r="C182" s="60" t="str">
        <f>'Level 1'!Y182</f>
        <v>Action</v>
      </c>
      <c r="D182" s="44" t="str">
        <f>VLOOKUP(C182,Table2[#All],3,FALSE)</f>
        <v>What we need from you/Reason</v>
      </c>
      <c r="E182" s="75" t="s">
        <v>199</v>
      </c>
      <c r="F182" s="96"/>
      <c r="G182" s="97"/>
      <c r="H182"/>
    </row>
    <row r="183" spans="1:8" ht="21" x14ac:dyDescent="0.25">
      <c r="A183" s="43" t="str">
        <f>CONCATENATE("Pt Id:",'Level 1'!E183," ","Pt Name: ",'Level 1'!F183," ","DOS: ", TEXT('Level 1'!H183,"mm-dd-yyyy"),"  "," Amnt: ","$",'Level 1'!J183,"  ", 'Level 1'!N183)</f>
        <v>Pt Id:3381 Pt Name: MENDEZ, LANA  DOS: 03-10-2022   Amnt: $1062  Note</v>
      </c>
      <c r="B183" s="43" t="str">
        <f>CONCATENATE("Detail: ",'Level 1'!N183,"  ",'Level 1'!O183,TEXT('Level 1'!P183,"  mm-dd-yyyy"),";"," ",'Level 1'!Q183,'Level 1'!R183,"  ",'Level 1'!T183," ","Payment "," ",'Level 1'!U183,"  ",'Level 1'!V183,"  ",'Level 1'!W183,"  ",'Level 1'!X183,"  ",'Level 1'!Z183, "  ",'Level 1'!AA183, " ","Insurance: ",'Level 1'!A183)</f>
        <v>Detail: Note  Q1  01-00-1900; Q2   Payment  Q4    Q5    Additional Notes:   Insurance: Dentaquest</v>
      </c>
      <c r="C183" s="60" t="str">
        <f>'Level 1'!Y183</f>
        <v>Action</v>
      </c>
      <c r="D183" s="44" t="str">
        <f>VLOOKUP(C183,Table2[#All],3,FALSE)</f>
        <v>What we need from you/Reason</v>
      </c>
      <c r="E183" s="75" t="s">
        <v>199</v>
      </c>
      <c r="F183" s="96"/>
      <c r="G183" s="97"/>
      <c r="H183"/>
    </row>
    <row r="184" spans="1:8" ht="21" x14ac:dyDescent="0.25">
      <c r="A184" s="43" t="str">
        <f>CONCATENATE("Pt Id:",'Level 1'!E184," ","Pt Name: ",'Level 1'!F184," ","DOS: ", TEXT('Level 1'!H184,"mm-dd-yyyy"),"  "," Amnt: ","$",'Level 1'!J184,"  ", 'Level 1'!N184)</f>
        <v>Pt Id:7002 Pt Name: Dawson, Tacara  DOS: 02-21-2022   Amnt: $61.2  Note</v>
      </c>
      <c r="B184" s="43" t="str">
        <f>CONCATENATE("Detail: ",'Level 1'!N184,"  ",'Level 1'!O184,TEXT('Level 1'!P184,"  mm-dd-yyyy"),";"," ",'Level 1'!Q184,'Level 1'!R184,"  ",'Level 1'!T184," ","Payment "," ",'Level 1'!U184,"  ",'Level 1'!V184,"  ",'Level 1'!W184,"  ",'Level 1'!X184,"  ",'Level 1'!Z184, "  ",'Level 1'!AA184, " ","Insurance: ",'Level 1'!A184)</f>
        <v>Detail: Note  Q1  01-00-1900; Q2   Payment  Q4    Q5    Additional Notes:   Insurance: Dentaquest</v>
      </c>
      <c r="C184" s="60" t="str">
        <f>'Level 1'!Y184</f>
        <v>Action</v>
      </c>
      <c r="D184" s="44" t="str">
        <f>VLOOKUP(C184,Table2[#All],3,FALSE)</f>
        <v>What we need from you/Reason</v>
      </c>
      <c r="E184" s="75" t="s">
        <v>199</v>
      </c>
      <c r="F184" s="96"/>
      <c r="G184" s="97"/>
      <c r="H184"/>
    </row>
    <row r="185" spans="1:8" ht="21" x14ac:dyDescent="0.25">
      <c r="A185" s="43" t="str">
        <f>CONCATENATE("Pt Id:",'Level 1'!E185," ","Pt Name: ",'Level 1'!F185," ","DOS: ", TEXT('Level 1'!H185,"mm-dd-yyyy"),"  "," Amnt: ","$",'Level 1'!J185,"  ", 'Level 1'!N185)</f>
        <v>Pt Id:9057 Pt Name: Brown, Catalina DOS: 02-10-2022   Amnt: $100  Note</v>
      </c>
      <c r="B185" s="43" t="str">
        <f>CONCATENATE("Detail: ",'Level 1'!N185,"  ",'Level 1'!O185,TEXT('Level 1'!P185,"  mm-dd-yyyy"),";"," ",'Level 1'!Q185,'Level 1'!R185,"  ",'Level 1'!T185," ","Payment "," ",'Level 1'!U185,"  ",'Level 1'!V185,"  ",'Level 1'!W185,"  ",'Level 1'!X185,"  ",'Level 1'!Z185, "  ",'Level 1'!AA185, " ","Insurance: ",'Level 1'!A185)</f>
        <v>Detail: Note  Q1  01-00-1900; Q2   Payment  Q4    Q5    Additional Notes:   Insurance: Dentaquest</v>
      </c>
      <c r="C185" s="60" t="str">
        <f>'Level 1'!Y185</f>
        <v>Action</v>
      </c>
      <c r="D185" s="44" t="str">
        <f>VLOOKUP(C185,Table2[#All],3,FALSE)</f>
        <v>What we need from you/Reason</v>
      </c>
      <c r="E185" s="75" t="s">
        <v>199</v>
      </c>
      <c r="F185" s="96"/>
      <c r="G185" s="97"/>
      <c r="H185"/>
    </row>
    <row r="186" spans="1:8" ht="21" x14ac:dyDescent="0.25">
      <c r="A186" s="43" t="str">
        <f>CONCATENATE("Pt Id:",'Level 1'!E186," ","Pt Name: ",'Level 1'!F186," ","DOS: ", TEXT('Level 1'!H186,"mm-dd-yyyy"),"  "," Amnt: ","$",'Level 1'!J186,"  ", 'Level 1'!N186)</f>
        <v>Pt Id:3381 Pt Name: MENDEZ, LANA  DOS: 02-16-2022   Amnt: $61.2  Note</v>
      </c>
      <c r="B186" s="43" t="str">
        <f>CONCATENATE("Detail: ",'Level 1'!N186,"  ",'Level 1'!O186,TEXT('Level 1'!P186,"  mm-dd-yyyy"),";"," ",'Level 1'!Q186,'Level 1'!R186,"  ",'Level 1'!T186," ","Payment "," ",'Level 1'!U186,"  ",'Level 1'!V186,"  ",'Level 1'!W186,"  ",'Level 1'!X186,"  ",'Level 1'!Z186, "  ",'Level 1'!AA186, " ","Insurance: ",'Level 1'!A186)</f>
        <v>Detail: Note  Q1  01-00-1900; Q2   Payment  Q4    Q5    Additional Notes:   Insurance: Dentaquest</v>
      </c>
      <c r="C186" s="60" t="str">
        <f>'Level 1'!Y186</f>
        <v>Action</v>
      </c>
      <c r="D186" s="44" t="str">
        <f>VLOOKUP(C186,Table2[#All],3,FALSE)</f>
        <v>What we need from you/Reason</v>
      </c>
      <c r="E186" s="75" t="s">
        <v>199</v>
      </c>
      <c r="F186" s="96"/>
      <c r="G186" s="97"/>
      <c r="H186"/>
    </row>
    <row r="187" spans="1:8" ht="21" x14ac:dyDescent="0.25">
      <c r="A187" s="43" t="str">
        <f>CONCATENATE("Pt Id:",'Level 1'!E187," ","Pt Name: ",'Level 1'!F187," ","DOS: ", TEXT('Level 1'!H187,"mm-dd-yyyy"),"  "," Amnt: ","$",'Level 1'!J187,"  ", 'Level 1'!N187)</f>
        <v>Pt Id:2435 Pt Name: Chisem, Javon DOS: 02-18-2022   Amnt: $61.2  Note</v>
      </c>
      <c r="B187" s="43" t="str">
        <f>CONCATENATE("Detail: ",'Level 1'!N187,"  ",'Level 1'!O187,TEXT('Level 1'!P187,"  mm-dd-yyyy"),";"," ",'Level 1'!Q187,'Level 1'!R187,"  ",'Level 1'!T187," ","Payment "," ",'Level 1'!U187,"  ",'Level 1'!V187,"  ",'Level 1'!W187,"  ",'Level 1'!X187,"  ",'Level 1'!Z187, "  ",'Level 1'!AA187, " ","Insurance: ",'Level 1'!A187)</f>
        <v>Detail: Note  Q1  01-00-1900; Q2   Payment  Q4    Q5    Additional Notes:   Insurance: Dentaquest</v>
      </c>
      <c r="C187" s="60" t="str">
        <f>'Level 1'!Y187</f>
        <v>Action</v>
      </c>
      <c r="D187" s="44" t="str">
        <f>VLOOKUP(C187,Table2[#All],3,FALSE)</f>
        <v>What we need from you/Reason</v>
      </c>
      <c r="E187" s="75" t="s">
        <v>199</v>
      </c>
      <c r="F187" s="96"/>
      <c r="G187" s="97"/>
      <c r="H187"/>
    </row>
    <row r="188" spans="1:8" ht="21" x14ac:dyDescent="0.25">
      <c r="A188" s="43" t="str">
        <f>CONCATENATE("Pt Id:",'Level 1'!E188," ","Pt Name: ",'Level 1'!F188," ","DOS: ", TEXT('Level 1'!H188,"mm-dd-yyyy"),"  "," Amnt: ","$",'Level 1'!J188,"  ", 'Level 1'!N188)</f>
        <v>Pt Id:5743 Pt Name: Carnegie , Mae  DOS: 03-01-2022   Amnt: $1482  Note</v>
      </c>
      <c r="B188" s="43" t="str">
        <f>CONCATENATE("Detail: ",'Level 1'!N188,"  ",'Level 1'!O188,TEXT('Level 1'!P188,"  mm-dd-yyyy"),";"," ",'Level 1'!Q188,'Level 1'!R188,"  ",'Level 1'!T188," ","Payment "," ",'Level 1'!U188,"  ",'Level 1'!V188,"  ",'Level 1'!W188,"  ",'Level 1'!X188,"  ",'Level 1'!Z188, "  ",'Level 1'!AA188, " ","Insurance: ",'Level 1'!A188)</f>
        <v>Detail: Note  Q1  01-00-1900; Q2   Payment  Q4    Q5    Additional Notes:   Insurance: Dentaquest</v>
      </c>
      <c r="C188" s="60" t="str">
        <f>'Level 1'!Y188</f>
        <v>Action</v>
      </c>
      <c r="D188" s="44" t="str">
        <f>VLOOKUP(C188,Table2[#All],3,FALSE)</f>
        <v>What we need from you/Reason</v>
      </c>
      <c r="E188" s="75" t="s">
        <v>199</v>
      </c>
      <c r="F188" s="96"/>
      <c r="G188" s="97"/>
      <c r="H188"/>
    </row>
    <row r="189" spans="1:8" ht="21" x14ac:dyDescent="0.25">
      <c r="A189" s="43" t="str">
        <f>CONCATENATE("Pt Id:",'Level 1'!E189," ","Pt Name: ",'Level 1'!F189," ","DOS: ", TEXT('Level 1'!H189,"mm-dd-yyyy"),"  "," Amnt: ","$",'Level 1'!J189,"  ", 'Level 1'!N189)</f>
        <v>Pt Id:9050 Pt Name: Williams, Shakyra  DOS: 03-01-2022   Amnt: $162  Note</v>
      </c>
      <c r="B189" s="43" t="str">
        <f>CONCATENATE("Detail: ",'Level 1'!N189,"  ",'Level 1'!O189,TEXT('Level 1'!P189,"  mm-dd-yyyy"),";"," ",'Level 1'!Q189,'Level 1'!R189,"  ",'Level 1'!T189," ","Payment "," ",'Level 1'!U189,"  ",'Level 1'!V189,"  ",'Level 1'!W189,"  ",'Level 1'!X189,"  ",'Level 1'!Z189, "  ",'Level 1'!AA189, " ","Insurance: ",'Level 1'!A189)</f>
        <v>Detail: Note  Q1  01-00-1900; Q2   Payment  Q4    Q5    Additional Notes:   Insurance: Dentaquest</v>
      </c>
      <c r="C189" s="60" t="str">
        <f>'Level 1'!Y189</f>
        <v>Action</v>
      </c>
      <c r="D189" s="44" t="str">
        <f>VLOOKUP(C189,Table2[#All],3,FALSE)</f>
        <v>What we need from you/Reason</v>
      </c>
      <c r="E189" s="75" t="s">
        <v>199</v>
      </c>
      <c r="F189" s="96"/>
      <c r="G189" s="97"/>
      <c r="H189"/>
    </row>
    <row r="190" spans="1:8" ht="21" x14ac:dyDescent="0.25">
      <c r="A190" s="43" t="str">
        <f>CONCATENATE("Pt Id:",'Level 1'!E190," ","Pt Name: ",'Level 1'!F190," ","DOS: ", TEXT('Level 1'!H190,"mm-dd-yyyy"),"  "," Amnt: ","$",'Level 1'!J190,"  ", 'Level 1'!N190)</f>
        <v>Pt Id:3498 Pt Name: DIAZ, ZAIDA DOS: 02-11-2022   Amnt: $100  Note</v>
      </c>
      <c r="B190" s="43" t="str">
        <f>CONCATENATE("Detail: ",'Level 1'!N190,"  ",'Level 1'!O190,TEXT('Level 1'!P190,"  mm-dd-yyyy"),";"," ",'Level 1'!Q190,'Level 1'!R190,"  ",'Level 1'!T190," ","Payment "," ",'Level 1'!U190,"  ",'Level 1'!V190,"  ",'Level 1'!W190,"  ",'Level 1'!X190,"  ",'Level 1'!Z190, "  ",'Level 1'!AA190, " ","Insurance: ",'Level 1'!A190)</f>
        <v>Detail: Note  Q1  01-00-1900; Q2   Payment  Q4    Q5    Additional Notes:   Insurance: Dentaquest</v>
      </c>
      <c r="C190" s="60" t="str">
        <f>'Level 1'!Y190</f>
        <v>Action</v>
      </c>
      <c r="D190" s="44" t="str">
        <f>VLOOKUP(C190,Table2[#All],3,FALSE)</f>
        <v>What we need from you/Reason</v>
      </c>
      <c r="E190" s="75" t="s">
        <v>199</v>
      </c>
      <c r="F190" s="96"/>
      <c r="G190" s="97"/>
      <c r="H190"/>
    </row>
    <row r="191" spans="1:8" ht="21" x14ac:dyDescent="0.25">
      <c r="A191" s="43" t="str">
        <f>CONCATENATE("Pt Id:",'Level 1'!E191," ","Pt Name: ",'Level 1'!F191," ","DOS: ", TEXT('Level 1'!H191,"mm-dd-yyyy"),"  "," Amnt: ","$",'Level 1'!J191,"  ", 'Level 1'!N191)</f>
        <v>Pt Id:148 Pt Name: Mclaughlin, Bradley DOS: 02-15-2022   Amnt: $480  Note</v>
      </c>
      <c r="B191" s="43" t="str">
        <f>CONCATENATE("Detail: ",'Level 1'!N191,"  ",'Level 1'!O191,TEXT('Level 1'!P191,"  mm-dd-yyyy"),";"," ",'Level 1'!Q191,'Level 1'!R191,"  ",'Level 1'!T191," ","Payment "," ",'Level 1'!U191,"  ",'Level 1'!V191,"  ",'Level 1'!W191,"  ",'Level 1'!X191,"  ",'Level 1'!Z191, "  ",'Level 1'!AA191, " ","Insurance: ",'Level 1'!A191)</f>
        <v>Detail: Note  Q1  01-00-1900; Q2   Payment  Q4    Q5    Additional Notes:   Insurance: Dentaquest</v>
      </c>
      <c r="C191" s="60" t="str">
        <f>'Level 1'!Y191</f>
        <v>Action</v>
      </c>
      <c r="D191" s="44" t="str">
        <f>VLOOKUP(C191,Table2[#All],3,FALSE)</f>
        <v>What we need from you/Reason</v>
      </c>
      <c r="E191" s="75" t="s">
        <v>199</v>
      </c>
      <c r="F191" s="96"/>
      <c r="G191" s="97"/>
      <c r="H191"/>
    </row>
    <row r="192" spans="1:8" ht="42" x14ac:dyDescent="0.25">
      <c r="A192" s="43" t="str">
        <f>CONCATENATE("Pt Id:",'Level 1'!E192," ","Pt Name: ",'Level 1'!F192," ","DOS: ", TEXT('Level 1'!H192,"mm-dd-yyyy"),"  "," Amnt: ","$",'Level 1'!J192,"  ", 'Level 1'!N192)</f>
        <v>Pt Id:8979 Pt Name: Dagostino , Sophia  DOS: 02-11-2022   Amnt: $332.4  Note</v>
      </c>
      <c r="B192" s="43" t="str">
        <f>CONCATENATE("Detail: ",'Level 1'!N192,"  ",'Level 1'!O192,TEXT('Level 1'!P192,"  mm-dd-yyyy"),";"," ",'Level 1'!Q192,'Level 1'!R192,"  ",'Level 1'!T192," ","Payment "," ",'Level 1'!U192,"  ",'Level 1'!V192,"  ",'Level 1'!W192,"  ",'Level 1'!X192,"  ",'Level 1'!Z192, "  ",'Level 1'!AA192, " ","Insurance: ",'Level 1'!A192)</f>
        <v>Detail: Note  Q1  01-00-1900; Q2   Payment  Q4    Q5    Additional Notes:   Insurance: Dentaquest</v>
      </c>
      <c r="C192" s="60" t="str">
        <f>'Level 1'!Y192</f>
        <v>Action</v>
      </c>
      <c r="D192" s="44" t="str">
        <f>VLOOKUP(C192,Table2[#All],3,FALSE)</f>
        <v>What we need from you/Reason</v>
      </c>
      <c r="E192" s="75" t="s">
        <v>199</v>
      </c>
      <c r="F192" s="96"/>
      <c r="G192" s="97"/>
      <c r="H192"/>
    </row>
    <row r="193" spans="1:9" ht="63" x14ac:dyDescent="0.25">
      <c r="A193" s="43" t="str">
        <f>CONCATENATE("Pt Id:",'Level 1'!E193," ","Pt Name: ",'Level 1'!F193," ","DOS: ", TEXT('Level 1'!H193,"mm-dd-yyyy"),"  "," Amnt: ","$",'Level 1'!J193,"  ", 'Level 1'!N193)</f>
        <v>Pt Id:8054 Pt Name: Donson , Jaivion  DOS: 01-05-2022   Amnt: $100  Ins needs more info, need to submit;</v>
      </c>
      <c r="B193" s="43" t="str">
        <f>CONCATENATE("Detail: ",'Level 1'!N193,"  ",'Level 1'!O193,TEXT('Level 1'!P193,"  mm-dd-yyyy"),";"," ",'Level 1'!Q193,'Level 1'!R193,"  ",'Level 1'!T193," ","Payment "," ",'Level 1'!U193,"  ",'Level 1'!V193,"  ",'Level 1'!W193,"  ",'Level 1'!X193,"  ",'Level 1'!Z193, "  ",'Level 1'!AA193, " ","Insurance: ",'Level 1'!A193)</f>
        <v>Detail: Ins needs more info, need to submit;  Attachments/Info needed?Narrative; Fax # (If Fax Yes):2628343589  202202318913 Payment  Cust Rep:  Tranay  0    Additional Notes:  Clm No: 202201735883600, Need to submit narrative for processing the claim. Insurance: Dentaquest</v>
      </c>
      <c r="C193" s="60" t="str">
        <f>'Level 1'!Y193</f>
        <v xml:space="preserve">Task Sub Pending Claims Queue </v>
      </c>
      <c r="D193" s="44" t="str">
        <f>VLOOKUP(C193,Table2[#All],3,FALSE)</f>
        <v>N/A</v>
      </c>
      <c r="E193" s="75" t="s">
        <v>193</v>
      </c>
      <c r="F193" s="96" t="s">
        <v>3698</v>
      </c>
      <c r="G193" s="97"/>
      <c r="H193"/>
    </row>
    <row r="194" spans="1:9" ht="63" x14ac:dyDescent="0.25">
      <c r="A194" s="43" t="str">
        <f>CONCATENATE("Pt Id:",'Level 1'!E194," ","Pt Name: ",'Level 1'!F194," ","DOS: ", TEXT('Level 1'!H194,"mm-dd-yyyy"),"  "," Amnt: ","$",'Level 1'!J194,"  ", 'Level 1'!N194)</f>
        <v>Pt Id:7671 Pt Name: Canday, Skylah DOS: 01-25-2022   Amnt: $100  Ins needs more info, need to submit;</v>
      </c>
      <c r="B194" s="43" t="str">
        <f>CONCATENATE("Detail: ",'Level 1'!N194,"  ",'Level 1'!O194,TEXT('Level 1'!P194,"  mm-dd-yyyy"),";"," ",'Level 1'!Q194,'Level 1'!R194,"  ",'Level 1'!T194," ","Payment "," ",'Level 1'!U194,"  ",'Level 1'!V194,"  ",'Level 1'!W194,"  ",'Level 1'!X194,"  ",'Level 1'!Z194, "  ",'Level 1'!AA194, " ","Insurance: ",'Level 1'!A194)</f>
        <v>Detail: Ins needs more info, need to submit;  Attachments/Info needed?Narrative; Fax # (If Fax Yes):2628343589  202202318913 Payment  Cust Rep:  Tranay  0    Additional Notes:  Clm No: 202202539835300, The information received does not indicate that nitrous oxide is medically necessary. Need to submit Narrative Insurance: Dentaquest</v>
      </c>
      <c r="C194" s="60" t="str">
        <f>'Level 1'!Y194</f>
        <v xml:space="preserve">Task Sub Pending Claims Queue </v>
      </c>
      <c r="D194" s="44" t="str">
        <f>VLOOKUP(C194,Table2[#All],3,FALSE)</f>
        <v>N/A</v>
      </c>
      <c r="E194" s="75" t="s">
        <v>193</v>
      </c>
      <c r="F194" s="96" t="s">
        <v>3698</v>
      </c>
      <c r="G194" s="97"/>
      <c r="H194"/>
    </row>
    <row r="195" spans="1:9" ht="84" x14ac:dyDescent="0.25">
      <c r="A195" s="43" t="str">
        <f>CONCATENATE("Pt Id:",'Level 1'!E195," ","Pt Name: ",'Level 1'!F195," ","DOS: ", TEXT('Level 1'!H195,"mm-dd-yyyy"),"  "," Amnt: ","$",'Level 1'!J195,"  ", 'Level 1'!N195)</f>
        <v>Pt Id:1665 Pt Name: Reyes - Gomez, Leonardo DOS: 01-07-2022   Amnt: $100  Ins needs more info, need to submit;</v>
      </c>
      <c r="B195" s="43" t="str">
        <f>CONCATENATE("Detail: ",'Level 1'!N195,"  ",'Level 1'!O195,TEXT('Level 1'!P195,"  mm-dd-yyyy"),";"," ",'Level 1'!Q195,'Level 1'!R195,"  ",'Level 1'!T195," ","Payment "," ",'Level 1'!U195,"  ",'Level 1'!V195,"  ",'Level 1'!W195,"  ",'Level 1'!X195,"  ",'Level 1'!Z195, "  ",'Level 1'!AA195, " ","Insurance: ",'Level 1'!A195)</f>
        <v>Detail: Ins needs more info, need to submit;  Attachments/Info needed?Narrative; Fax # (If Fax Yes):2628343589  202202318913 Payment  Cust Rep:  Tranay  0    Additional Notes:  Clm#: 202201735615200; Per Dental Director review, the information received does not indicate that nitrous oxide is medically necessary. Need to resubmit the claim along with the Narrative. Insurance: Dentaquest</v>
      </c>
      <c r="C195" s="60" t="str">
        <f>'Level 1'!Y195</f>
        <v xml:space="preserve">Task Sub Pending Claims Queue </v>
      </c>
      <c r="D195" s="44" t="str">
        <f>VLOOKUP(C195,Table2[#All],3,FALSE)</f>
        <v>N/A</v>
      </c>
      <c r="E195" s="75" t="s">
        <v>193</v>
      </c>
      <c r="F195" s="96" t="s">
        <v>3698</v>
      </c>
      <c r="G195" s="97"/>
      <c r="H195"/>
    </row>
    <row r="196" spans="1:9" ht="63" x14ac:dyDescent="0.25">
      <c r="A196" s="43" t="str">
        <f>CONCATENATE("Pt Id:",'Level 1'!E196," ","Pt Name: ",'Level 1'!F196," ","DOS: ", TEXT('Level 1'!H196,"mm-dd-yyyy"),"  "," Amnt: ","$",'Level 1'!J196,"  ", 'Level 1'!N196)</f>
        <v>Pt Id:193 Pt Name: Ruiz- Perez, Juan DOS: 02-01-2022   Amnt: $227.6  Claim not on file. Patient is active ;</v>
      </c>
      <c r="B196" s="43" t="str">
        <f>CONCATENATE("Detail: ",'Level 1'!N196,"  ",'Level 1'!O196,TEXT('Level 1'!P196,"  mm-dd-yyyy"),";"," ",'Level 1'!Q196,'Level 1'!R196,"  ",'Level 1'!T196," ","Payment "," ",'Level 1'!U196,"  ",'Level 1'!V196,"  ",'Level 1'!W196,"  ",'Level 1'!X196,"  ",'Level 1'!Z196, "  ",'Level 1'!AA196, " ","Insurance: ",'Level 1'!A196)</f>
        <v>Detail: Claim not on file. Patient is active ;  Payor ID &amp; Address:CX014; Fax # (If Fax Yes):2628343589  120 Days from DOS Payment  Call Ref#:  202202318913  Cust Rep:  Tranay  Additional Notes:  Need to resubmit the claim with DOS 02/28/2022 - SN Insurance: Dentaquest</v>
      </c>
      <c r="C196" s="60" t="str">
        <f>'Level 1'!Y196</f>
        <v>Task Sub Pending Claims Queue</v>
      </c>
      <c r="D196" s="44" t="str">
        <f>VLOOKUP(C196,Table2[#All],3,FALSE)</f>
        <v>N/A</v>
      </c>
      <c r="E196" s="75" t="s">
        <v>193</v>
      </c>
      <c r="F196" s="96" t="s">
        <v>3698</v>
      </c>
      <c r="G196" s="97"/>
      <c r="H196"/>
    </row>
    <row r="197" spans="1:9" ht="63" x14ac:dyDescent="0.25">
      <c r="A197" s="43" t="str">
        <f>CONCATENATE("Pt Id:",'Level 1'!E197," ","Pt Name: ",'Level 1'!F197," ","DOS: ", TEXT('Level 1'!H197,"mm-dd-yyyy"),"  "," Amnt: ","$",'Level 1'!J197,"  ", 'Level 1'!N197)</f>
        <v>Pt Id:3544 Pt Name: Craig, Kenley DOS: 01-25-2022   Amnt: $556.8  Procedure is not a covered benefit;</v>
      </c>
      <c r="B197" s="43" t="str">
        <f>CONCATENATE("Detail: ",'Level 1'!N197,"  ",'Level 1'!O197,TEXT('Level 1'!P197,"  mm-dd-yyyy"),";"," ",'Level 1'!Q197,'Level 1'!R197,"  ",'Level 1'!T197," ","Payment "," ",'Level 1'!U197,"  ",'Level 1'!V197,"  ",'Level 1'!W197,"  ",'Level 1'!X197,"  ",'Level 1'!Z197, "  ",'Level 1'!AA197, " ","Insurance: ",'Level 1'!A197)</f>
        <v>Detail: Procedure is not a covered benefit;  Why?   01-00-1900; Call Ref#:  202202185942 Payment  0  Latandra  0    Additional Notes:  Clm No: 202202639669600, The tooth/quad/arch submitted for this ADA code is not a covered benefit.  Insurance: Dentaquest</v>
      </c>
      <c r="C197" s="60" t="str">
        <f>'Level 1'!Y197</f>
        <v xml:space="preserve">Task Client - Denied Claim Queue </v>
      </c>
      <c r="D197" s="44" t="str">
        <f>VLOOKUP(C197,Table2[#All],3,FALSE)</f>
        <v>What We Need From You: Pls confirm if we can close the claims Reason: To close claim</v>
      </c>
      <c r="E197" s="75" t="s">
        <v>193</v>
      </c>
      <c r="F197" s="96" t="s">
        <v>3698</v>
      </c>
      <c r="G197" s="97"/>
      <c r="H197"/>
    </row>
    <row r="198" spans="1:9" ht="42" x14ac:dyDescent="0.55000000000000004">
      <c r="A198" s="43" t="str">
        <f>CONCATENATE("Pt Id:",'Level 1'!E198," ","Pt Name: ",'Level 1'!F198," ","DOS: ", TEXT('Level 1'!H198,"mm-dd-yyyy"),"  "," Amnt: ","$",'Level 1'!J198,"  ", 'Level 1'!N198)</f>
        <v>Pt Id:7001 Pt Name: Baldwin, Shannon  DOS: 01-25-2022   Amnt: $1188  Note</v>
      </c>
      <c r="B198" s="43" t="str">
        <f>CONCATENATE("Detail: ",'Level 1'!N198,"  ",'Level 1'!O198,TEXT('Level 1'!P198,"  mm-dd-yyyy"),";"," ",'Level 1'!Q198,'Level 1'!R198,"  ",'Level 1'!T198," ","Payment "," ",'Level 1'!U198,"  ",'Level 1'!V198,"  ",'Level 1'!W198,"  ",'Level 1'!X198,"  ",'Level 1'!Z198, "  ",'Level 1'!AA198, " ","Insurance: ",'Level 1'!A198)</f>
        <v>Detail: Note  Q1  01-00-1900; Q2   Payment  Q4    Q5    Additional Notes:   Insurance: Dentaquest</v>
      </c>
      <c r="C198" s="60" t="str">
        <f>'Level 1'!Y198</f>
        <v>Action</v>
      </c>
      <c r="D198" s="44" t="str">
        <f>VLOOKUP(C198,Table2[#All],3,FALSE)</f>
        <v>What we need from you/Reason</v>
      </c>
      <c r="E198" s="75" t="s">
        <v>199</v>
      </c>
      <c r="F198" s="96"/>
      <c r="G198" s="97"/>
      <c r="H198" s="7"/>
      <c r="I198" s="6"/>
    </row>
    <row r="199" spans="1:9" ht="63" x14ac:dyDescent="0.55000000000000004">
      <c r="A199" s="43" t="str">
        <f>CONCATENATE("Pt Id:",'Level 1'!E199," ","Pt Name: ",'Level 1'!F199," ","DOS: ", TEXT('Level 1'!H199,"mm-dd-yyyy"),"  "," Amnt: ","$",'Level 1'!J199,"  ", 'Level 1'!N199)</f>
        <v>Pt Id:8579 Pt Name: Campos , Eddie  DOS: 12-14-2021   Amnt: $100  Procedure is not a covered benefit;</v>
      </c>
      <c r="B199" s="43" t="str">
        <f>CONCATENATE("Detail: ",'Level 1'!N199,"  ",'Level 1'!O199,TEXT('Level 1'!P199,"  mm-dd-yyyy"),";"," ",'Level 1'!Q199,'Level 1'!R199,"  ",'Level 1'!T199," ","Payment "," ",'Level 1'!U199,"  ",'Level 1'!V199,"  ",'Level 1'!W199,"  ",'Level 1'!X199,"  ",'Level 1'!Z199, "  ",'Level 1'!AA199, " ","Insurance: ",'Level 1'!A199)</f>
        <v>Detail: Procedure is not a covered benefit;  Why? Narrative; Call Ref#:  Portal Payment  0    0    Additional Notes:  CLM# 202135437362400. The information received does not indicate that nitrous oxide is medically necessary.  Insurance: Dentaquest</v>
      </c>
      <c r="C199" s="60" t="str">
        <f>'Level 1'!Y199</f>
        <v xml:space="preserve">Task Client - Denied Claim Queue </v>
      </c>
      <c r="D199" s="44" t="str">
        <f>VLOOKUP(C199,Table2[#All],3,FALSE)</f>
        <v>What We Need From You: Pls confirm if we can close the claims Reason: To close claim</v>
      </c>
      <c r="E199" s="75" t="s">
        <v>193</v>
      </c>
      <c r="F199" s="96" t="s">
        <v>3698</v>
      </c>
      <c r="G199" s="97"/>
      <c r="H199" s="7"/>
      <c r="I199" s="6"/>
    </row>
    <row r="200" spans="1:9" ht="84" x14ac:dyDescent="0.25">
      <c r="A200" s="43" t="str">
        <f>CONCATENATE("Pt Id:",'Level 1'!E200," ","Pt Name: ",'Level 1'!F200," ","DOS: ", TEXT('Level 1'!H200,"mm-dd-yyyy"),"  "," Amnt: ","$",'Level 1'!J200,"  ", 'Level 1'!N200)</f>
        <v>Pt Id:1427 Pt Name: Gardner, Courtney DOS: 01-13-2022   Amnt: $512.4  Claim not on file. Patient is active ;</v>
      </c>
      <c r="B200" s="43" t="str">
        <f>CONCATENATE("Detail: ",'Level 1'!N200,"  ",'Level 1'!O200,TEXT('Level 1'!P200,"  mm-dd-yyyy"),";"," ",'Level 1'!Q200,'Level 1'!R200,"  ",'Level 1'!T200," ","Payment "," ",'Level 1'!U200,"  ",'Level 1'!V200,"  ",'Level 1'!W200,"  ",'Level 1'!X200,"  ",'Level 1'!Z200, "  ",'Level 1'!AA200, " ","Insurance: ",'Level 1'!A200)</f>
        <v>Detail: Claim not on file. Patient is active ;  Payor ID &amp; Address:CX014; Fax # (If Fax Yes):2628343589  120 Days from DOS Payment  Call Ref#:  CX014  Cust Rep:  Cayler  Additional Notes:  Rep states that, Claim Status - Claim not on File. Patient is Active.  Payor ID CX014, Fax#2628343589. Timely File Limit: 120 days. Rep Name: Cayler, Ref#202202057910. Insurance: Dentaquest</v>
      </c>
      <c r="C200" s="60" t="str">
        <f>'Level 1'!Y200</f>
        <v>Task Sub Pending Claims Queue</v>
      </c>
      <c r="D200" s="44" t="str">
        <f>VLOOKUP(C200,Table2[#All],3,FALSE)</f>
        <v>N/A</v>
      </c>
      <c r="E200" s="75" t="s">
        <v>193</v>
      </c>
      <c r="F200" s="96" t="s">
        <v>3698</v>
      </c>
      <c r="G200" s="97"/>
    </row>
    <row r="201" spans="1:9" ht="42" x14ac:dyDescent="0.25">
      <c r="A201" s="43" t="str">
        <f>CONCATENATE("Pt Id:",'Level 1'!E201," ","Pt Name: ",'Level 1'!F201," ","DOS: ", TEXT('Level 1'!H201,"mm-dd-yyyy"),"  "," Amnt: ","$",'Level 1'!J201,"  ", 'Level 1'!N201)</f>
        <v>Pt Id:8587 Pt Name: Leahy, Chelsea  DOS: 12-21-2021   Amnt: $432  Primary Ins paid Max allowable;</v>
      </c>
      <c r="B201" s="43" t="str">
        <f>CONCATENATE("Detail: ",'Level 1'!N201,"  ",'Level 1'!O201,TEXT('Level 1'!P201,"  mm-dd-yyyy"),";"," ",'Level 1'!Q201,'Level 1'!R201,"  ",'Level 1'!T201," ","Payment "," ",'Level 1'!U201,"  ",'Level 1'!V201,"  ",'Level 1'!W201,"  ",'Level 1'!X201,"  ",'Level 1'!Z201, "  ",'Level 1'!AA201, " ","Insurance: ",'Level 1'!A201)</f>
        <v>Detail: Primary Ins paid Max allowable;  Call Ref#:CX014; Cust Rep:Cayler   Payment  0    0    Additional Notes:  Claim denied due to COB. Recheck with the ins - SN Insurance: Dentaquest</v>
      </c>
      <c r="C201" s="60" t="str">
        <f>'Level 1'!Y201</f>
        <v xml:space="preserve">Task Post Pmt Queue </v>
      </c>
      <c r="D201" s="44" t="str">
        <f>VLOOKUP(C201,Table2[#All],3,FALSE)</f>
        <v>N/A</v>
      </c>
      <c r="E201" s="75" t="s">
        <v>199</v>
      </c>
      <c r="F201" s="96"/>
      <c r="G201" s="97"/>
    </row>
    <row r="202" spans="1:9" ht="63" x14ac:dyDescent="0.25">
      <c r="A202" s="43" t="str">
        <f>CONCATENATE("Pt Id:",'Level 1'!E202," ","Pt Name: ",'Level 1'!F202," ","DOS: ", TEXT('Level 1'!H202,"mm-dd-yyyy"),"  "," Amnt: ","$",'Level 1'!J202,"  ", 'Level 1'!N202)</f>
        <v>Pt Id:8333 Pt Name: Villarreal , Irma  DOS: 12-18-2021   Amnt: $2124  Claim not on file. Patient is active ;</v>
      </c>
      <c r="B202" s="43" t="str">
        <f>CONCATENATE("Detail: ",'Level 1'!N202,"  ",'Level 1'!O202,TEXT('Level 1'!P202,"  mm-dd-yyyy"),";"," ",'Level 1'!Q202,'Level 1'!R202,"  ",'Level 1'!T202," ","Payment "," ",'Level 1'!U202,"  ",'Level 1'!V202,"  ",'Level 1'!W202,"  ",'Level 1'!X202,"  ",'Level 1'!Z202, "  ",'Level 1'!AA202, " ","Insurance: ",'Level 1'!A202)</f>
        <v>Detail: Claim not on file. Patient is active ;  Payor ID &amp; Address:CX014; Fax # (If Fax Yes):2628343452  120 Days from DOS Payment  Call Ref#:  202201389539  Cust Rep:  Stephne  Additional Notes:  Rep states that CNOF Patient Active,Effective Date:12/18/2021, payor id #CX014, we can submitt trough fax #2628343452. Insurance: Dentaquest</v>
      </c>
      <c r="C202" s="60" t="str">
        <f>'Level 1'!Y202</f>
        <v>Task Sub Pending Claims Queue</v>
      </c>
      <c r="D202" s="44" t="str">
        <f>VLOOKUP(C202,Table2[#All],3,FALSE)</f>
        <v>N/A</v>
      </c>
      <c r="E202" s="75" t="s">
        <v>193</v>
      </c>
      <c r="F202" s="116" t="s">
        <v>3698</v>
      </c>
      <c r="G202" s="97"/>
    </row>
    <row r="203" spans="1:9" ht="63" x14ac:dyDescent="0.25">
      <c r="A203" s="43" t="str">
        <f>CONCATENATE("Pt Id:",'Level 1'!E203," ","Pt Name: ",'Level 1'!F203," ","DOS: ", TEXT('Level 1'!H203,"mm-dd-yyyy"),"  "," Amnt: ","$",'Level 1'!J203,"  ", 'Level 1'!N203)</f>
        <v>Pt Id:3994 Pt Name: Abu Naaj, Aiman DOS: 12-07-2021   Amnt: $178.4  Claim Paid by EFT;</v>
      </c>
      <c r="B203" s="43" t="str">
        <f>CONCATENATE("Detail: ",'Level 1'!N203,"  ",'Level 1'!O203,TEXT('Level 1'!P203,"  mm-dd-yyyy"),";"," ",'Level 1'!Q203,'Level 1'!R203,"  ",'Level 1'!T203," ","Payment "," ",'Level 1'!U203,"  ",'Level 1'!V203,"  ",'Level 1'!W203,"  ",'Level 1'!X203,"  ",'Level 1'!Z203, "  ",'Level 1'!AA203, " ","Insurance: ",'Level 1'!A203)</f>
        <v>Detail: Claim Paid by EFT;  Issue Date:  12-17-2021; EFT#5407999295  Single Payment  Call Ref#:  portal  Cust Rep:    Additional Notes:  Clm #202134339974100, amt paid $55.36, Code D0150 is denied due to FREQ, once per 36 months. Insurance: Dentaquest</v>
      </c>
      <c r="C203" s="60" t="str">
        <f>'Level 1'!Y203</f>
        <v xml:space="preserve">Task Post Pmt Queue </v>
      </c>
      <c r="D203" s="44" t="str">
        <f>VLOOKUP(C203,Table2[#All],3,FALSE)</f>
        <v>N/A</v>
      </c>
      <c r="E203" s="75" t="s">
        <v>193</v>
      </c>
      <c r="F203" s="116" t="s">
        <v>3698</v>
      </c>
      <c r="G203" s="97"/>
    </row>
    <row r="204" spans="1:9" ht="84" x14ac:dyDescent="0.25">
      <c r="A204" s="43" t="str">
        <f>CONCATENATE("Pt Id:",'Level 1'!E204," ","Pt Name: ",'Level 1'!F204," ","DOS: ", TEXT('Level 1'!H204,"mm-dd-yyyy"),"  "," Amnt: ","$",'Level 1'!J204,"  ", 'Level 1'!N204)</f>
        <v>Pt Id:7777 Pt Name: Garcia, Michelle DOS: 12-03-2021   Amnt: $0  Claim not on file. Patient is active ;</v>
      </c>
      <c r="B204" s="43" t="str">
        <f>CONCATENATE("Detail: ",'Level 1'!N204,"  ",'Level 1'!O204,TEXT('Level 1'!P204,"  mm-dd-yyyy"),";"," ",'Level 1'!Q204,'Level 1'!R204,"  ",'Level 1'!T204," ","Payment "," ",'Level 1'!U204,"  ",'Level 1'!V204,"  ",'Level 1'!W204,"  ",'Level 1'!X204,"  ",'Level 1'!Z204, "  ",'Level 1'!AA204, " ","Insurance: ",'Level 1'!A204)</f>
        <v>Detail: Claim not on file. Patient is active ;  Payor ID &amp; Address:CX014; Fax # (If Fax Yes):202201166506  120 Days from DOS Payment  Call Ref#:  202201166506  Cust Rep:  Sabrina  Additional Notes:  Rep states that the clm is not on file, the patient is active for the dos, Active from 08/1/2020, we can fax the claim on fax#2628343589. Insurance: Dentaquest</v>
      </c>
      <c r="C204" s="60" t="str">
        <f>'Level 1'!Y204</f>
        <v>Task Sub Pending Claims Queue</v>
      </c>
      <c r="D204" s="44" t="str">
        <f>VLOOKUP(C204,Table2[#All],3,FALSE)</f>
        <v>N/A</v>
      </c>
      <c r="E204" s="75" t="s">
        <v>193</v>
      </c>
      <c r="F204" s="116" t="s">
        <v>3698</v>
      </c>
      <c r="G204" s="97"/>
    </row>
    <row r="205" spans="1:9" ht="63" x14ac:dyDescent="0.25">
      <c r="A205" s="43" t="str">
        <f>CONCATENATE("Pt Id:",'Level 1'!E205," ","Pt Name: ",'Level 1'!F205," ","DOS: ", TEXT('Level 1'!H205,"mm-dd-yyyy"),"  "," Amnt: ","$",'Level 1'!J205,"  ", 'Level 1'!N205)</f>
        <v>Pt Id:8333 Pt Name: Villarreal , Irma  DOS: 11-30-2021   Amnt: $1062  Claim Paid by EFT;</v>
      </c>
      <c r="B205" s="43" t="str">
        <f>CONCATENATE("Detail: ",'Level 1'!N205,"  ",'Level 1'!O205,TEXT('Level 1'!P205,"  mm-dd-yyyy"),";"," ",'Level 1'!Q205,'Level 1'!R205,"  ",'Level 1'!T205," ","Payment "," ",'Level 1'!U205,"  ",'Level 1'!V205,"  ",'Level 1'!W205,"  ",'Level 1'!X205,"  ",'Level 1'!Z205, "  ",'Level 1'!AA205, " ","Insurance: ",'Level 1'!A205)</f>
        <v>Detail: Claim Paid by EFT;  Issue Date:  11-03-2021; EFT#5407963735  single Payment  Call Ref#:  portal  Cust Rep:    Additional Notes:  Rep states that clm #202130640783200, paid amt $105.26, Rcd dt 11/02/2021, there are two codes on the claim one is paid and D0140 is denied. Insurance: Dentaquest</v>
      </c>
      <c r="C205" s="60" t="str">
        <f>'Level 1'!Y205</f>
        <v xml:space="preserve">Task Post Pmt Queue </v>
      </c>
      <c r="D205" s="44" t="str">
        <f>VLOOKUP(C205,Table2[#All],3,FALSE)</f>
        <v>N/A</v>
      </c>
      <c r="E205" s="75" t="s">
        <v>193</v>
      </c>
      <c r="F205" s="116" t="s">
        <v>3698</v>
      </c>
      <c r="G205" s="97"/>
    </row>
    <row r="206" spans="1:9" ht="84" x14ac:dyDescent="0.25">
      <c r="A206" s="43" t="str">
        <f>CONCATENATE("Pt Id:",'Level 1'!E206," ","Pt Name: ",'Level 1'!F206," ","DOS: ", TEXT('Level 1'!H206,"mm-dd-yyyy"),"  "," Amnt: ","$",'Level 1'!J206,"  ", 'Level 1'!N206)</f>
        <v>Pt Id:4685 Pt Name: Walley , Mikayla  DOS: 11-18-2021   Amnt: $138  Procedure is not a covered benefit;</v>
      </c>
      <c r="B206" s="43" t="str">
        <f>CONCATENATE("Detail: ",'Level 1'!N206,"  ",'Level 1'!O206,TEXT('Level 1'!P206,"  mm-dd-yyyy"),";"," ",'Level 1'!Q206,'Level 1'!R206,"  ",'Level 1'!T206," ","Payment "," ",'Level 1'!U206,"  ",'Level 1'!V206,"  ",'Level 1'!W206,"  ",'Level 1'!X206,"  ",'Level 1'!Z206, "  ",'Level 1'!AA206, " ","Insurance: ",'Level 1'!A206)</f>
        <v>Detail: Procedure is not a covered benefit;  Why? Patient is not eligible for services; coverage is not active. ; Call Ref#:Portal   Payment  0    0    Additional Notes:  Rep states that clm #202133438649500, , Rcd dt 11/30/2021
there are three codes billed on the claim is denied for patinet is not eligible for services, coverage is not active. Insurance: Dentaquest</v>
      </c>
      <c r="C206" s="60" t="str">
        <f>'Level 1'!Y206</f>
        <v xml:space="preserve">Task Client - Denied Claim Queue </v>
      </c>
      <c r="D206" s="44" t="str">
        <f>VLOOKUP(C206,Table2[#All],3,FALSE)</f>
        <v>What We Need From You: Pls confirm if we can close the claims Reason: To close claim</v>
      </c>
      <c r="E206" s="75" t="s">
        <v>193</v>
      </c>
      <c r="F206" s="116" t="s">
        <v>3698</v>
      </c>
      <c r="G206" s="97"/>
    </row>
    <row r="207" spans="1:9" ht="84" x14ac:dyDescent="0.25">
      <c r="A207" s="43" t="str">
        <f>CONCATENATE("Pt Id:",'Level 1'!E207," ","Pt Name: ",'Level 1'!F207," ","DOS: ", TEXT('Level 1'!H207,"mm-dd-yyyy"),"  "," Amnt: ","$",'Level 1'!J207,"  ", 'Level 1'!N207)</f>
        <v>Pt Id:4039 Pt Name: Rivera, Pedro DOS: 11-18-2021   Amnt: $216  Claim not on file. Patient is active ;</v>
      </c>
      <c r="B207" s="43" t="str">
        <f>CONCATENATE("Detail: ",'Level 1'!N207,"  ",'Level 1'!O207,TEXT('Level 1'!P207,"  mm-dd-yyyy"),";"," ",'Level 1'!Q207,'Level 1'!R207,"  ",'Level 1'!T207," ","Payment "," ",'Level 1'!U207,"  ",'Level 1'!V207,"  ",'Level 1'!W207,"  ",'Level 1'!X207,"  ",'Level 1'!Z207, "  ",'Level 1'!AA207, " ","Insurance: ",'Level 1'!A207)</f>
        <v>Detail: Claim not on file. Patient is active ;  Payor ID &amp; Address:  01-00-1900; Fax # (If Fax Yes):   Payment  Call Ref#:    Cust Rep:    Additional Notes:  Claim is not on file with member ID 7448066978, Need to resubmit the claim. Patient has another policy with DentaQuest member ID : C2220011741 under which claim was processed with Clm #202133438415300, Rcd dt 11/30/2021. Denied to COB.  Insurance: Dentaquest</v>
      </c>
      <c r="C207" s="60" t="str">
        <f>'Level 1'!Y207</f>
        <v>Task Sub Pending Claims Queue</v>
      </c>
      <c r="D207" s="44" t="str">
        <f>VLOOKUP(C207,Table2[#All],3,FALSE)</f>
        <v>N/A</v>
      </c>
      <c r="E207" s="75" t="s">
        <v>193</v>
      </c>
      <c r="F207" s="116" t="s">
        <v>3698</v>
      </c>
      <c r="G207" s="97"/>
    </row>
    <row r="208" spans="1:9" ht="63" x14ac:dyDescent="0.25">
      <c r="A208" s="43" t="str">
        <f>CONCATENATE("Pt Id:",'Level 1'!E208," ","Pt Name: ",'Level 1'!F208," ","DOS: ", TEXT('Level 1'!H208,"mm-dd-yyyy"),"  "," Amnt: ","$",'Level 1'!J208,"  ", 'Level 1'!N208)</f>
        <v>Pt Id:4837 Pt Name: Halbur, Valerie  DOS: 11-10-2021   Amnt: $266  Claim Paid by EFT;</v>
      </c>
      <c r="B208" s="43" t="str">
        <f>CONCATENATE("Detail: ",'Level 1'!N208,"  ",'Level 1'!O208,TEXT('Level 1'!P208,"  mm-dd-yyyy"),";"," ",'Level 1'!Q208,'Level 1'!R208,"  ",'Level 1'!T208," ","Payment "," ",'Level 1'!U208,"  ",'Level 1'!V208,"  ",'Level 1'!W208,"  ",'Level 1'!X208,"  ",'Level 1'!Z208, "  ",'Level 1'!AA208, " ","Insurance: ",'Level 1'!A208)</f>
        <v>Detail: Claim Paid by EFT;  Issue Date:  11-19-2021; EFT#5407975866  Single Payment  Call Ref#:  portal  Cust Rep:    Additional Notes:  Rep states that clm #202131638270200, , Rcd dt 11/12/2021, paid amt $108.31, there are 6codes are on the claim which is paid. Insurance: Dentaquest</v>
      </c>
      <c r="C208" s="60" t="str">
        <f>'Level 1'!Y208</f>
        <v xml:space="preserve">Task Post Pmt Queue </v>
      </c>
      <c r="D208" s="44" t="str">
        <f>VLOOKUP(C208,Table2[#All],3,FALSE)</f>
        <v>N/A</v>
      </c>
      <c r="E208" s="75" t="s">
        <v>193</v>
      </c>
      <c r="F208" s="116" t="s">
        <v>3698</v>
      </c>
      <c r="G208" s="97"/>
    </row>
    <row r="209" spans="1:7" ht="63" x14ac:dyDescent="0.25">
      <c r="A209" s="43" t="str">
        <f>CONCATENATE("Pt Id:",'Level 1'!E209," ","Pt Name: ",'Level 1'!F209," ","DOS: ", TEXT('Level 1'!H209,"mm-dd-yyyy"),"  "," Amnt: ","$",'Level 1'!J209,"  ", 'Level 1'!N209)</f>
        <v>Pt Id:8263 Pt Name: Burazin , Laura  DOS: 11-09-2021   Amnt: $285.6  Claim Paid by EFT;</v>
      </c>
      <c r="B209" s="43" t="str">
        <f>CONCATENATE("Detail: ",'Level 1'!N209,"  ",'Level 1'!O209,TEXT('Level 1'!P209,"  mm-dd-yyyy"),";"," ",'Level 1'!Q209,'Level 1'!R209,"  ",'Level 1'!T209," ","Payment "," ",'Level 1'!U209,"  ",'Level 1'!V209,"  ",'Level 1'!W209,"  ",'Level 1'!X209,"  ",'Level 1'!Z209, "  ",'Level 1'!AA209, " ","Insurance: ",'Level 1'!A209)</f>
        <v>Detail: Claim Paid by EFT;  Issue Date:  11-19-2021; EFT#5407975866  Single Payment  Call Ref#:  portal  Cust Rep:    Additional Notes:  Rep states that clm #202131638257100, , Rcd dt 11/12/2021,  paid amt $285.60,  there are 1codes are on the claim D2394which is paid. Insurance: Dentaquest</v>
      </c>
      <c r="C209" s="60" t="str">
        <f>'Level 1'!Y209</f>
        <v xml:space="preserve">Task Post Pmt Queue </v>
      </c>
      <c r="D209" s="44" t="str">
        <f>VLOOKUP(C209,Table2[#All],3,FALSE)</f>
        <v>N/A</v>
      </c>
      <c r="E209" s="75" t="s">
        <v>193</v>
      </c>
      <c r="F209" s="116" t="s">
        <v>3698</v>
      </c>
      <c r="G209" s="97"/>
    </row>
    <row r="210" spans="1:7" ht="63" x14ac:dyDescent="0.25">
      <c r="A210" s="43" t="str">
        <f>CONCATENATE("Pt Id:",'Level 1'!E210," ","Pt Name: ",'Level 1'!F210," ","DOS: ", TEXT('Level 1'!H210,"mm-dd-yyyy"),"  "," Amnt: ","$",'Level 1'!J210,"  ", 'Level 1'!N210)</f>
        <v>Pt Id:8425 Pt Name: Frederick Guzma , Sofia  DOS: 11-09-2021   Amnt: $422.8  Claim Paid by EFT;</v>
      </c>
      <c r="B210" s="43" t="str">
        <f>CONCATENATE("Detail: ",'Level 1'!N210,"  ",'Level 1'!O210,TEXT('Level 1'!P210,"  mm-dd-yyyy"),";"," ",'Level 1'!Q210,'Level 1'!R210,"  ",'Level 1'!T210," ","Payment "," ",'Level 1'!U210,"  ",'Level 1'!V210,"  ",'Level 1'!W210,"  ",'Level 1'!X210,"  ",'Level 1'!Z210, "  ",'Level 1'!AA210, " ","Insurance: ",'Level 1'!A210)</f>
        <v>Detail: Claim Paid by EFT;  Issue Date:  11-19-2021; EFT#5407975866  Single Payment  Call Ref#:  portal  Cust Rep:    Additional Notes:  Rep states that clm #202131638440800, paid amt$206.40, Rcd dt11/12/2021, there are three code on the claim one is paid and the D0140,D9230 is denied for fee not allowable. Insurance: Dentaquest</v>
      </c>
      <c r="C210" s="60" t="str">
        <f>'Level 1'!Y210</f>
        <v xml:space="preserve">Task Post Pmt Queue </v>
      </c>
      <c r="D210" s="44" t="str">
        <f>VLOOKUP(C210,Table2[#All],3,FALSE)</f>
        <v>N/A</v>
      </c>
      <c r="E210" s="75" t="s">
        <v>193</v>
      </c>
      <c r="F210" s="116" t="s">
        <v>3698</v>
      </c>
      <c r="G210" s="97"/>
    </row>
    <row r="211" spans="1:7" ht="63" x14ac:dyDescent="0.25">
      <c r="A211" s="43" t="str">
        <f>CONCATENATE("Pt Id:",'Level 1'!E211," ","Pt Name: ",'Level 1'!F211," ","DOS: ", TEXT('Level 1'!H211,"mm-dd-yyyy"),"  "," Amnt: ","$",'Level 1'!J211,"  ", 'Level 1'!N211)</f>
        <v>Pt Id:3075 Pt Name: Turner, Neylon DOS: 07-30-2021   Amnt: $278.4  Claim Paid by EFT;</v>
      </c>
      <c r="B211" s="43" t="str">
        <f>CONCATENATE("Detail: ",'Level 1'!N211,"  ",'Level 1'!O211,TEXT('Level 1'!P211,"  mm-dd-yyyy"),";"," ",'Level 1'!Q211,'Level 1'!R211,"  ",'Level 1'!T211," ","Payment "," ",'Level 1'!U211,"  ",'Level 1'!V211,"  ",'Level 1'!W211,"  ",'Level 1'!X211,"  ",'Level 1'!Z211, "  ",'Level 1'!AA211, " ","Insurance: ",'Level 1'!A211)</f>
        <v>Detail: Claim Paid by EFT;  Issue Date:  11-19-2021; EFT#6495157217  Single Payment  Call Ref#:  portal  Cust Rep:    Additional Notes:  Rep states that clm #202131540484400, paid amt $234.40, Clm rcd dt 11/11/2021, There is one code on the claim which is paid. Insurance: Dentaquest</v>
      </c>
      <c r="C211" s="60" t="str">
        <f>'Level 1'!Y211</f>
        <v xml:space="preserve">Task Post Pmt Queue </v>
      </c>
      <c r="D211" s="44" t="str">
        <f>VLOOKUP(C211,Table2[#All],3,FALSE)</f>
        <v>N/A</v>
      </c>
      <c r="E211" s="75" t="s">
        <v>193</v>
      </c>
      <c r="F211" s="116" t="s">
        <v>3698</v>
      </c>
      <c r="G211" s="97"/>
    </row>
    <row r="212" spans="1:7" ht="63" x14ac:dyDescent="0.25">
      <c r="A212" s="43" t="str">
        <f>CONCATENATE("Pt Id:",'Level 1'!E212," ","Pt Name: ",'Level 1'!F212," ","DOS: ", TEXT('Level 1'!H212,"mm-dd-yyyy"),"  "," Amnt: ","$",'Level 1'!J212,"  ", 'Level 1'!N212)</f>
        <v>Pt Id:7477 Pt Name: Fleifel, Noor DOS: 11-08-2021   Amnt: $243.6  Claim Paid by EFT;</v>
      </c>
      <c r="B212" s="43" t="str">
        <f>CONCATENATE("Detail: ",'Level 1'!N212,"  ",'Level 1'!O212,TEXT('Level 1'!P212,"  mm-dd-yyyy"),";"," ",'Level 1'!Q212,'Level 1'!R212,"  ",'Level 1'!T212," ","Payment "," ",'Level 1'!U212,"  ",'Level 1'!V212,"  ",'Level 1'!W212,"  ",'Level 1'!X212,"  ",'Level 1'!Z212, "  ",'Level 1'!AA212, " ","Insurance: ",'Level 1'!A212)</f>
        <v>Detail: Claim Paid by EFT;  Issue Date:  01-00-1900; EFT#4085155714  Single Payment  Call Ref#:  portal  Cust Rep:    Additional Notes:  Rep states that clm #202131340745700, paid amt $73.97, clm rcd dt 11/09/2021, There are two codes on the claim which is paid. Insurance: Dentaquest</v>
      </c>
      <c r="C212" s="60" t="str">
        <f>'Level 1'!Y212</f>
        <v xml:space="preserve">Task Post Pmt Queue </v>
      </c>
      <c r="D212" s="44" t="str">
        <f>VLOOKUP(C212,Table2[#All],3,FALSE)</f>
        <v>N/A</v>
      </c>
      <c r="E212" s="75" t="s">
        <v>193</v>
      </c>
      <c r="F212" s="116" t="s">
        <v>3698</v>
      </c>
      <c r="G212" s="97"/>
    </row>
    <row r="213" spans="1:7" ht="84" x14ac:dyDescent="0.25">
      <c r="A213" s="43" t="str">
        <f>CONCATENATE("Pt Id:",'Level 1'!E213," ","Pt Name: ",'Level 1'!F213," ","DOS: ", TEXT('Level 1'!H213,"mm-dd-yyyy"),"  "," Amnt: ","$",'Level 1'!J213,"  ", 'Level 1'!N213)</f>
        <v>Pt Id:8054 Pt Name: Donson , Jaivion  DOS: 11-04-2021   Amnt: $100  Ins needs more info, need to submit;</v>
      </c>
      <c r="B213" s="43" t="str">
        <f>CONCATENATE("Detail: ",'Level 1'!N213,"  ",'Level 1'!O213,TEXT('Level 1'!P213,"  mm-dd-yyyy"),";"," ",'Level 1'!Q213,'Level 1'!R213,"  ",'Level 1'!T213," ","Payment "," ",'Level 1'!U213,"  ",'Level 1'!V213,"  ",'Level 1'!W213,"  ",'Level 1'!X213,"  ",'Level 1'!Z213, "  ",'Level 1'!AA213, " ","Insurance: ",'Level 1'!A213)</f>
        <v>Detail: Ins needs more info, need to submit;  Attachments/Info needed?Narrative; Fax # (If Fax Yes):   Payment  Cust Rep:    0    Additional Notes:  Clm #202131340802500, claim denied as the information received by Ins does not indicate that nitrous oxide is medically necessary. Need to send Narrative mentioning the medical necessity. Insurance: Dentaquest</v>
      </c>
      <c r="C213" s="60" t="str">
        <f>'Level 1'!Y213</f>
        <v xml:space="preserve">Task Sub Pending Claims Queue </v>
      </c>
      <c r="D213" s="44" t="str">
        <f>VLOOKUP(C213,Table2[#All],3,FALSE)</f>
        <v>N/A</v>
      </c>
      <c r="E213" s="75" t="s">
        <v>193</v>
      </c>
      <c r="F213" s="116" t="s">
        <v>3698</v>
      </c>
      <c r="G213" s="97"/>
    </row>
    <row r="214" spans="1:7" ht="63" x14ac:dyDescent="0.25">
      <c r="A214" s="43" t="str">
        <f>CONCATENATE("Pt Id:",'Level 1'!E214," ","Pt Name: ",'Level 1'!F214," ","DOS: ", TEXT('Level 1'!H214,"mm-dd-yyyy"),"  "," Amnt: ","$",'Level 1'!J214,"  ", 'Level 1'!N214)</f>
        <v>Pt Id:7772 Pt Name: Rivera, Angel  DOS: 11-02-2021   Amnt: $701.2  Claim Paid by EFT;</v>
      </c>
      <c r="B214" s="43" t="str">
        <f>CONCATENATE("Detail: ",'Level 1'!N214,"  ",'Level 1'!O214,TEXT('Level 1'!P214,"  mm-dd-yyyy"),";"," ",'Level 1'!Q214,'Level 1'!R214,"  ",'Level 1'!T214," ","Payment "," ",'Level 1'!U214,"  ",'Level 1'!V214,"  ",'Level 1'!W214,"  ",'Level 1'!X214,"  ",'Level 1'!Z214, "  ",'Level 1'!AA214, " ","Insurance: ",'Level 1'!A214)</f>
        <v>Detail: Claim Paid by EFT;  Issue Date:  11-26-2021; EFT#6495159573  Single Payment  Call Ref#:  portal  Cust Rep:    Additional Notes:  Rep states that clm #202131238989100, paid amt $372.00, Rcd dt 11/08/2021,  There are five codes on the claim on which 2 codes D0140, D9230 is denied due to Fee not allowed. Insurance: Dentaquest</v>
      </c>
      <c r="C214" s="60" t="str">
        <f>'Level 1'!Y214</f>
        <v xml:space="preserve">Task Post Pmt Queue </v>
      </c>
      <c r="D214" s="44" t="str">
        <f>VLOOKUP(C214,Table2[#All],3,FALSE)</f>
        <v>N/A</v>
      </c>
      <c r="E214" s="75" t="s">
        <v>193</v>
      </c>
      <c r="F214" s="116" t="s">
        <v>3698</v>
      </c>
      <c r="G214" s="97"/>
    </row>
    <row r="215" spans="1:7" ht="63" x14ac:dyDescent="0.25">
      <c r="A215" s="43" t="str">
        <f>CONCATENATE("Pt Id:",'Level 1'!E215," ","Pt Name: ",'Level 1'!F215," ","DOS: ", TEXT('Level 1'!H215,"mm-dd-yyyy"),"  "," Amnt: ","$",'Level 1'!J215,"  ", 'Level 1'!N215)</f>
        <v>Pt Id:7056 Pt Name: Sanford , Kiyus  DOS: 11-03-2021   Amnt: $326.8  Claim Paid by EFT;</v>
      </c>
      <c r="B215" s="43" t="str">
        <f>CONCATENATE("Detail: ",'Level 1'!N215,"  ",'Level 1'!O215,TEXT('Level 1'!P215,"  mm-dd-yyyy"),";"," ",'Level 1'!Q215,'Level 1'!R215,"  ",'Level 1'!T215," ","Payment "," ",'Level 1'!U215,"  ",'Level 1'!V215,"  ",'Level 1'!W215,"  ",'Level 1'!X215,"  ",'Level 1'!Z215, "  ",'Level 1'!AA215, " ","Insurance: ",'Level 1'!A215)</f>
        <v>Detail: Claim Paid by EFT;  Issue Date:  11-12-2021; EFT#5407969938  Single Payment  Call Ref#:  portal  Cust Rep:    Additional Notes:  Rep states that clm #202130938806200, paid amt$120.00, Clm rcd dt 11/05/2021, there four codes on the claim which is paid. Insurance: Dentaquest</v>
      </c>
      <c r="C215" s="60" t="str">
        <f>'Level 1'!Y215</f>
        <v xml:space="preserve">Task Post Pmt Queue </v>
      </c>
      <c r="D215" s="44" t="str">
        <f>VLOOKUP(C215,Table2[#All],3,FALSE)</f>
        <v>N/A</v>
      </c>
      <c r="E215" s="75" t="s">
        <v>193</v>
      </c>
      <c r="F215" s="116" t="s">
        <v>3698</v>
      </c>
      <c r="G215" s="97"/>
    </row>
    <row r="216" spans="1:7" ht="84" x14ac:dyDescent="0.25">
      <c r="A216" s="43" t="str">
        <f>CONCATENATE("Pt Id:",'Level 1'!E216," ","Pt Name: ",'Level 1'!F216," ","DOS: ", TEXT('Level 1'!H216,"mm-dd-yyyy"),"  "," Amnt: ","$",'Level 1'!J216,"  ", 'Level 1'!N216)</f>
        <v>Pt Id:8333 Pt Name: Villarreal , Irma  DOS: 10-28-2021   Amnt: $351.2  Claim Paid by EFT;</v>
      </c>
      <c r="B216" s="43" t="str">
        <f>CONCATENATE("Detail: ",'Level 1'!N216,"  ",'Level 1'!O216,TEXT('Level 1'!P216,"  mm-dd-yyyy"),";"," ",'Level 1'!Q216,'Level 1'!R216,"  ",'Level 1'!T216," ","Payment "," ",'Level 1'!U216,"  ",'Level 1'!V216,"  ",'Level 1'!W216,"  ",'Level 1'!X216,"  ",'Level 1'!Z216, "  ",'Level 1'!AA216, " ","Insurance: ",'Level 1'!A216)</f>
        <v>Detail: Claim Paid by EFT;  Issue Date:  01-00-1900; EFT#5407963735  Bulk Payment  Call Ref#:  202200503217  Cust Rep:  Tam  Additional Notes:  Rep State that claim Paid,Claim No:202130640783200,Paid Amt:$105.26,  Payment:Bulk(Bulk Amt:$3808.46),  Patient Resp: Nil. Code:D0140 is denied  as it can be submitted with X-ray,EOB to be taken from Portal Insurance: Dentaquest</v>
      </c>
      <c r="C216" s="60" t="str">
        <f>'Level 1'!Y216</f>
        <v xml:space="preserve">Task Post Pmt Queue </v>
      </c>
      <c r="D216" s="44" t="str">
        <f>VLOOKUP(C216,Table2[#All],3,FALSE)</f>
        <v>N/A</v>
      </c>
      <c r="E216" s="75" t="s">
        <v>193</v>
      </c>
      <c r="F216" s="116" t="s">
        <v>3698</v>
      </c>
      <c r="G216" s="97"/>
    </row>
    <row r="217" spans="1:7" ht="84" x14ac:dyDescent="0.25">
      <c r="A217" s="43" t="str">
        <f>CONCATENATE("Pt Id:",'Level 1'!E217," ","Pt Name: ",'Level 1'!F217," ","DOS: ", TEXT('Level 1'!H217,"mm-dd-yyyy"),"  "," Amnt: ","$",'Level 1'!J217,"  ", 'Level 1'!N217)</f>
        <v>Pt Id:7387 Pt Name: De Jesus , Ariel DOS: 10-29-2021   Amnt: $818.4  Claim Paid by EFT;</v>
      </c>
      <c r="B217" s="43" t="str">
        <f>CONCATENATE("Detail: ",'Level 1'!N217,"  ",'Level 1'!O217,TEXT('Level 1'!P217,"  mm-dd-yyyy"),";"," ",'Level 1'!Q217,'Level 1'!R217,"  ",'Level 1'!T217," ","Payment "," ",'Level 1'!U217,"  ",'Level 1'!V217,"  ",'Level 1'!W217,"  ",'Level 1'!X217,"  ",'Level 1'!Z217, "  ",'Level 1'!AA217, " ","Insurance: ",'Level 1'!A217)</f>
        <v>Detail: Claim Paid by EFT;  Issue Date:  11-19-2021; EFT#5407975866  Bulk Payment  Call Ref#:  202200503217  Cust Rep:  Tam  Additional Notes:  Rep State that claim Paid,Claim No:202130938664300,Paid Amt:$98.62,  Payment:Bulk(Bulk Amt:$350.84),  Patient Resp: Nil. Code:D4341 is denied  as  member did not have Enough Bone Loss. Insurance: Dentaquest</v>
      </c>
      <c r="C217" s="60" t="str">
        <f>'Level 1'!Y217</f>
        <v xml:space="preserve">Task Post Pmt Queue </v>
      </c>
      <c r="D217" s="44" t="str">
        <f>VLOOKUP(C217,Table2[#All],3,FALSE)</f>
        <v>N/A</v>
      </c>
      <c r="E217" s="75" t="s">
        <v>193</v>
      </c>
      <c r="F217" s="116" t="s">
        <v>3698</v>
      </c>
      <c r="G217" s="97"/>
    </row>
    <row r="218" spans="1:7" ht="63" x14ac:dyDescent="0.25">
      <c r="A218" s="43" t="str">
        <f>CONCATENATE("Pt Id:",'Level 1'!E218," ","Pt Name: ",'Level 1'!F218," ","DOS: ", TEXT('Level 1'!H218,"mm-dd-yyyy"),"  "," Amnt: ","$",'Level 1'!J218,"  ", 'Level 1'!N218)</f>
        <v>Pt Id:4567 Pt Name: Chavez Vasquez, Camila  DOS: 10-26-2021   Amnt: $1164.4  Claim Paid by EFT;</v>
      </c>
      <c r="B218" s="43" t="str">
        <f>CONCATENATE("Detail: ",'Level 1'!N218,"  ",'Level 1'!O218,TEXT('Level 1'!P218,"  mm-dd-yyyy"),";"," ",'Level 1'!Q218,'Level 1'!R218,"  ",'Level 1'!T218," ","Payment "," ",'Level 1'!U218,"  ",'Level 1'!V218,"  ",'Level 1'!W218,"  ",'Level 1'!X218,"  ",'Level 1'!Z218, "  ",'Level 1'!AA218, " ","Insurance: ",'Level 1'!A218)</f>
        <v>Detail: Claim Paid by EFT;  Issue Date:  11-05-2021; EFT#5407963735  Bulk Payment  Call Ref#:  202200427109  Cust Rep:  Tam  Additional Notes:  Rep State that Claim Paid, Paid Amt:$636.80,Bulk Amt:$3808.46,Patient Resp: Nil Insurance: Dentaquest</v>
      </c>
      <c r="C218" s="60" t="str">
        <f>'Level 1'!Y218</f>
        <v xml:space="preserve">Task Post Pmt Queue </v>
      </c>
      <c r="D218" s="44" t="str">
        <f>VLOOKUP(C218,Table2[#All],3,FALSE)</f>
        <v>N/A</v>
      </c>
      <c r="E218" s="75" t="s">
        <v>193</v>
      </c>
      <c r="F218" s="116" t="s">
        <v>3698</v>
      </c>
      <c r="G218" s="97"/>
    </row>
    <row r="219" spans="1:7" ht="147" x14ac:dyDescent="0.25">
      <c r="A219" s="43" t="str">
        <f>CONCATENATE("Pt Id:",'Level 1'!E219," ","Pt Name: ",'Level 1'!F219," ","DOS: ", TEXT('Level 1'!H219,"mm-dd-yyyy"),"  "," Amnt: ","$",'Level 1'!J219,"  ", 'Level 1'!N219)</f>
        <v>Pt Id:5270 Pt Name: Zamora , Adrian  DOS: 10-01-2020   Amnt: $273.2  Claim not on file. Patient is active ;</v>
      </c>
      <c r="B219" s="43" t="str">
        <f>CONCATENATE("Detail: ",'Level 1'!N219,"  ",'Level 1'!O219,TEXT('Level 1'!P219,"  mm-dd-yyyy"),";"," ",'Level 1'!Q219,'Level 1'!R219,"  ",'Level 1'!T219," ","Payment "," ",'Level 1'!U219,"  ",'Level 1'!V219,"  ",'Level 1'!W219,"  ",'Level 1'!X219,"  ",'Level 1'!Z219, "  ",'Level 1'!AA219, " ","Insurance: ",'Level 1'!A219)</f>
        <v>Detail: Claim not on file. Patient is active ;  Payor ID &amp; Address:CX014; Fax # (If Fax Yes):2628343589  120 Days from DOS Payment  Call Ref#:  202201315472  Cust Rep:    Additional Notes:  Rep confrimed that they haven't recieved any claim for the dos10/1/2020, need to submitt the claim.////Payment already posted by client, CHECK THE CORRECT STATUS WITH INS   //  Rep states that Patient is Effective From 09/01/2021 &amp; Before to that member was with different Vendor we have to re-submitt the claim to get paid because the for the dos 10/1/2020 the CNOF, payor id #CX014, fax #2628343589, TFL 120days Rep Andre id #202201315472. //Rep State that Patient is Effective From 09/01/2021 &amp; Before to that member was with different Vendor Insurance: Dentaquest</v>
      </c>
      <c r="C219" s="60" t="str">
        <f>'Level 1'!Y219</f>
        <v>Task Sub Pending Claims Queue</v>
      </c>
      <c r="D219" s="44" t="str">
        <f>VLOOKUP(C219,Table2[#All],3,FALSE)</f>
        <v>N/A</v>
      </c>
      <c r="E219" s="75" t="s">
        <v>193</v>
      </c>
      <c r="F219" s="116" t="s">
        <v>3698</v>
      </c>
      <c r="G219" s="97"/>
    </row>
    <row r="220" spans="1:7" ht="42" x14ac:dyDescent="0.25">
      <c r="A220" s="43" t="str">
        <f>CONCATENATE("Pt Id:",'Level 1'!E220," ","Pt Name: ",'Level 1'!F220," ","DOS: ", TEXT('Level 1'!H220,"mm-dd-yyyy"),"  "," Amnt: ","$",'Level 1'!J220,"  ", 'Level 1'!N220)</f>
        <v>Pt Id:4720 Pt Name: Agosto, Jessica  DOS: 10-21-2021   Amnt: $61.2  Procedure is not a covered benefit;</v>
      </c>
      <c r="B220" s="43" t="str">
        <f>CONCATENATE("Detail: ",'Level 1'!N220,"  ",'Level 1'!O220,TEXT('Level 1'!P220,"  mm-dd-yyyy"),";"," ",'Level 1'!Q220,'Level 1'!R220,"  ",'Level 1'!T220," ","Payment "," ",'Level 1'!U220,"  ",'Level 1'!V220,"  ",'Level 1'!W220,"  ",'Level 1'!X220,"  ",'Level 1'!Z220, "  ",'Level 1'!AA220, " ","Insurance: ",'Level 1'!A220)</f>
        <v>Detail: Procedure is not a covered benefit;  Why? Primary EOB Required; Call Ref#:   Payment  0    0    Additional Notes:  Clm #202201038196800 Need to submit the Prim EOB which is placed in the path. Insurance: Dentaquest</v>
      </c>
      <c r="C220" s="60" t="str">
        <f>'Level 1'!Y220</f>
        <v xml:space="preserve">Task Client - Denied Claim Queue </v>
      </c>
      <c r="D220" s="44" t="str">
        <f>VLOOKUP(C220,Table2[#All],3,FALSE)</f>
        <v>What We Need From You: Pls confirm if we can close the claims Reason: To close claim</v>
      </c>
      <c r="E220" s="75" t="s">
        <v>193</v>
      </c>
      <c r="F220" s="116" t="s">
        <v>3698</v>
      </c>
      <c r="G220" s="97"/>
    </row>
    <row r="221" spans="1:7" ht="84" x14ac:dyDescent="0.25">
      <c r="A221" s="43" t="str">
        <f>CONCATENATE("Pt Id:",'Level 1'!E221," ","Pt Name: ",'Level 1'!F221," ","DOS: ", TEXT('Level 1'!H221,"mm-dd-yyyy"),"  "," Amnt: ","$",'Level 1'!J221,"  ", 'Level 1'!N221)</f>
        <v>Pt Id:7387 Pt Name: De Jesus , Ariel DOS: 10-21-2021   Amnt: $480  Ins needs more info, need to submit;</v>
      </c>
      <c r="B221" s="43" t="str">
        <f>CONCATENATE("Detail: ",'Level 1'!N221,"  ",'Level 1'!O221,TEXT('Level 1'!P221,"  mm-dd-yyyy"),";"," ",'Level 1'!Q221,'Level 1'!R221,"  ",'Level 1'!T221," ","Payment "," ",'Level 1'!U221,"  ",'Level 1'!V221,"  ",'Level 1'!W221,"  ",'Level 1'!X221,"  ",'Level 1'!Z221, "  ",'Level 1'!AA221, " ","Insurance: ",'Level 1'!A221)</f>
        <v>Detail: Ins needs more info, need to submit;  Attachments/Info needed?Not Enough Bown loss to Qualify; Fax # (If Fax Yes):  202200427109 Payment  Cust Rep:  TAM  0    Additional Notes:  Rep State that Claim Denied due to not Covered.  Claim No:30330938888700,  Processed &amp; Denied Date:11/19/2021,  Patient Resp: Nil. Insurance: Dentaquest</v>
      </c>
      <c r="C221" s="60" t="str">
        <f>'Level 1'!Y221</f>
        <v xml:space="preserve">Task Sub Pending Claims Queue </v>
      </c>
      <c r="D221" s="44" t="str">
        <f>VLOOKUP(C221,Table2[#All],3,FALSE)</f>
        <v>N/A</v>
      </c>
      <c r="E221" s="75" t="s">
        <v>193</v>
      </c>
      <c r="F221" s="116" t="s">
        <v>3698</v>
      </c>
      <c r="G221" s="97"/>
    </row>
    <row r="222" spans="1:7" ht="63" x14ac:dyDescent="0.25">
      <c r="A222" s="43" t="str">
        <f>CONCATENATE("Pt Id:",'Level 1'!E222," ","Pt Name: ",'Level 1'!F222," ","DOS: ", TEXT('Level 1'!H222,"mm-dd-yyyy"),"  "," Amnt: ","$",'Level 1'!J222,"  ", 'Level 1'!N222)</f>
        <v>Pt Id:8131 Pt Name: Steward, Tyauna  DOS: 10-02-2021   Amnt: $332.4  Claim Paid by EFT;</v>
      </c>
      <c r="B222" s="43" t="str">
        <f>CONCATENATE("Detail: ",'Level 1'!N222,"  ",'Level 1'!O222,TEXT('Level 1'!P222,"  mm-dd-yyyy"),";"," ",'Level 1'!Q222,'Level 1'!R222,"  ",'Level 1'!T222," ","Payment "," ",'Level 1'!U222,"  ",'Level 1'!V222,"  ",'Level 1'!W222,"  ",'Level 1'!X222,"  ",'Level 1'!Z222, "  ",'Level 1'!AA222, " ","Insurance: ",'Level 1'!A222)</f>
        <v>Detail: Claim Paid by EFT;  Issue Date:  10-08-2021; EFT#4087945408  Bulk Payment  Call Ref#:  20220472574  Cust Rep:  Shanta  Additional Notes:  Rep State that Claim Paid,Claim No:202128138444400,Paid Amt: $755.76,  paid by bulk(Bulk Amt:$1603.60),  Patient Resp: Nil Insurance: Dentaquest</v>
      </c>
      <c r="C222" s="60" t="str">
        <f>'Level 1'!Y222</f>
        <v xml:space="preserve">Task Post Pmt Queue </v>
      </c>
      <c r="D222" s="44" t="str">
        <f>VLOOKUP(C222,Table2[#All],3,FALSE)</f>
        <v>N/A</v>
      </c>
      <c r="E222" s="75" t="s">
        <v>193</v>
      </c>
      <c r="F222" s="116" t="s">
        <v>3698</v>
      </c>
      <c r="G222" s="97"/>
    </row>
    <row r="223" spans="1:7" ht="63" x14ac:dyDescent="0.25">
      <c r="A223" s="43" t="str">
        <f>CONCATENATE("Pt Id:",'Level 1'!E223," ","Pt Name: ",'Level 1'!F223," ","DOS: ", TEXT('Level 1'!H223,"mm-dd-yyyy"),"  "," Amnt: ","$",'Level 1'!J223,"  ", 'Level 1'!N223)</f>
        <v>Pt Id:5783 Pt Name: Walker , Terry  DOS: 10-11-2021   Amnt: $332.4  Claim Paid by EFT;</v>
      </c>
      <c r="B223" s="43" t="str">
        <f>CONCATENATE("Detail: ",'Level 1'!N223,"  ",'Level 1'!O223,TEXT('Level 1'!P223,"  mm-dd-yyyy"),";"," ",'Level 1'!Q223,'Level 1'!R223,"  ",'Level 1'!T223," ","Payment "," ",'Level 1'!U223,"  ",'Level 1'!V223,"  ",'Level 1'!W223,"  ",'Level 1'!X223,"  ",'Level 1'!Z223, "  ",'Level 1'!AA223, " ","Insurance: ",'Level 1'!A223)</f>
        <v>Detail: Claim Paid by EFT;  Issue Date:  10-14-2021; EFT#5407951412  Bulk Payment  Call Ref#:  202200472574  Cust Rep:  Shanta  Additional Notes:  Rep State that Claim Paid,Claim No:202128739852600,Paid Amt: $39.81,  paid by bulk(Bulk Amt:$4501.62),  Patient Resp: Nil Insurance: Dentaquest</v>
      </c>
      <c r="C223" s="60" t="str">
        <f>'Level 1'!Y223</f>
        <v xml:space="preserve">Task Post Pmt Queue </v>
      </c>
      <c r="D223" s="44" t="str">
        <f>VLOOKUP(C223,Table2[#All],3,FALSE)</f>
        <v>N/A</v>
      </c>
      <c r="E223" s="75" t="s">
        <v>193</v>
      </c>
      <c r="F223" s="116" t="s">
        <v>3698</v>
      </c>
      <c r="G223" s="97"/>
    </row>
    <row r="224" spans="1:7" ht="63" x14ac:dyDescent="0.25">
      <c r="A224" s="43" t="str">
        <f>CONCATENATE("Pt Id:",'Level 1'!E224," ","Pt Name: ",'Level 1'!F224," ","DOS: ", TEXT('Level 1'!H224,"mm-dd-yyyy"),"  "," Amnt: ","$",'Level 1'!J224,"  ", 'Level 1'!N224)</f>
        <v>Pt Id:5783 Pt Name: Walker , Terry  DOS: 10-11-2021   Amnt: $88.8  Claim Paid by EFT;</v>
      </c>
      <c r="B224" s="43" t="str">
        <f>CONCATENATE("Detail: ",'Level 1'!N224,"  ",'Level 1'!O224,TEXT('Level 1'!P224,"  mm-dd-yyyy"),";"," ",'Level 1'!Q224,'Level 1'!R224,"  ",'Level 1'!T224," ","Payment "," ",'Level 1'!U224,"  ",'Level 1'!V224,"  ",'Level 1'!W224,"  ",'Level 1'!X224,"  ",'Level 1'!Z224, "  ",'Level 1'!AA224, " ","Insurance: ",'Level 1'!A224)</f>
        <v>Detail: Claim Paid by EFT;  Issue Date:  10-14-2021; EFT#5407951412  Bulk Payment  Call Ref#:  202200472574  Cust Rep:  Shanta  Additional Notes:  Rep State that Claim Paid,Claim No:202128739625400,Paid Amt: $20.80,  paid by bulk(Bulk Amt:$4501.62),  Patient Resp: Nil Insurance: Dentaquest</v>
      </c>
      <c r="C224" s="60" t="str">
        <f>'Level 1'!Y224</f>
        <v xml:space="preserve">Task Post Pmt Queue </v>
      </c>
      <c r="D224" s="44" t="str">
        <f>VLOOKUP(C224,Table2[#All],3,FALSE)</f>
        <v>N/A</v>
      </c>
      <c r="E224" s="75" t="s">
        <v>193</v>
      </c>
      <c r="F224" s="116" t="s">
        <v>3698</v>
      </c>
      <c r="G224" s="97"/>
    </row>
    <row r="225" spans="1:7" ht="63" x14ac:dyDescent="0.25">
      <c r="A225" s="43" t="str">
        <f>CONCATENATE("Pt Id:",'Level 1'!E225," ","Pt Name: ",'Level 1'!F225," ","DOS: ", TEXT('Level 1'!H225,"mm-dd-yyyy"),"  "," Amnt: ","$",'Level 1'!J225,"  ", 'Level 1'!N225)</f>
        <v>Pt Id:7416 Pt Name: Campos, Nalah DOS: 10-08-2021   Amnt: $100  Procedure is not a covered benefit;</v>
      </c>
      <c r="B225" s="43" t="str">
        <f>CONCATENATE("Detail: ",'Level 1'!N225,"  ",'Level 1'!O225,TEXT('Level 1'!P225,"  mm-dd-yyyy"),";"," ",'Level 1'!Q225,'Level 1'!R225,"  ",'Level 1'!T225," ","Payment "," ",'Level 1'!U225,"  ",'Level 1'!V225,"  ",'Level 1'!W225,"  ",'Level 1'!X225,"  ",'Level 1'!Z225, "  ",'Level 1'!AA225, " ","Insurance: ",'Level 1'!A225)</f>
        <v>Detail: Procedure is not a covered benefit;  Why? Information Received do not indicat that Nitrooxside is medically nessersity; Call Ref#:202200473834  Shannon Payment  0    0    Additional Notes:  Rep State that Claim Denied,Claim No:202128438466300,  Processed and Denied Date: 10/26/2021,  Patient Resp: Nil Insurance: Dentaquest</v>
      </c>
      <c r="C225" s="60" t="str">
        <f>'Level 1'!Y225</f>
        <v xml:space="preserve">Task Client - Denied Claim Queue </v>
      </c>
      <c r="D225" s="44" t="str">
        <f>VLOOKUP(C225,Table2[#All],3,FALSE)</f>
        <v>What We Need From You: Pls confirm if we can close the claims Reason: To close claim</v>
      </c>
      <c r="E225" s="75" t="s">
        <v>193</v>
      </c>
      <c r="F225" s="116" t="s">
        <v>3698</v>
      </c>
      <c r="G225" s="97"/>
    </row>
    <row r="226" spans="1:7" ht="84" x14ac:dyDescent="0.25">
      <c r="A226" s="43" t="str">
        <f>CONCATENATE("Pt Id:",'Level 1'!E226," ","Pt Name: ",'Level 1'!F226," ","DOS: ", TEXT('Level 1'!H226,"mm-dd-yyyy"),"  "," Amnt: ","$",'Level 1'!J226,"  ", 'Level 1'!N226)</f>
        <v>Pt Id:8126 Pt Name: Muslija, Sadzide DOS: 10-07-2021   Amnt: $674.4  Claim Paid by EFT;</v>
      </c>
      <c r="B226" s="43" t="str">
        <f>CONCATENATE("Detail: ",'Level 1'!N226,"  ",'Level 1'!O226,TEXT('Level 1'!P226,"  mm-dd-yyyy"),";"," ",'Level 1'!Q226,'Level 1'!R226,"  ",'Level 1'!T226," ","Payment "," ",'Level 1'!U226,"  ",'Level 1'!V226,"  ",'Level 1'!W226,"  ",'Level 1'!X226,"  ",'Level 1'!Z226, "  ",'Level 1'!AA226, " ","Insurance: ",'Level 1'!A226)</f>
        <v>Detail: Claim Paid by EFT;  Issue Date:  10-18-2021; EFT#5407945470  Bulk Payment  Call Ref#:  202200474538  Cust Rep:  Shannon  Additional Notes:  Rep State that Claim Paid,Claim No:202128438523000,Paid Amt: $525.60,  paid by bulk(Bulk Amt:$8277.45),  Patient Resp: Nil and Code D0140 Service exceed benefit Allowance is not allowed Insurance: Dentaquest</v>
      </c>
      <c r="C226" s="60" t="str">
        <f>'Level 1'!Y226</f>
        <v xml:space="preserve">Task Post Pmt Queue </v>
      </c>
      <c r="D226" s="44" t="str">
        <f>VLOOKUP(C226,Table2[#All],3,FALSE)</f>
        <v>N/A</v>
      </c>
      <c r="E226" s="75" t="s">
        <v>193</v>
      </c>
      <c r="F226" s="116" t="s">
        <v>3698</v>
      </c>
      <c r="G226" s="97"/>
    </row>
    <row r="227" spans="1:7" ht="63" x14ac:dyDescent="0.25">
      <c r="A227" s="43" t="str">
        <f>CONCATENATE("Pt Id:",'Level 1'!E227," ","Pt Name: ",'Level 1'!F227," ","DOS: ", TEXT('Level 1'!H227,"mm-dd-yyyy"),"  "," Amnt: ","$",'Level 1'!J227,"  ", 'Level 1'!N227)</f>
        <v>Pt Id:1899 Pt Name: Price, Terry DOS: 09-09-2021   Amnt: $968.4  Claim Paid by EFT;</v>
      </c>
      <c r="B227" s="43" t="str">
        <f>CONCATENATE("Detail: ",'Level 1'!N227,"  ",'Level 1'!O227,TEXT('Level 1'!P227,"  mm-dd-yyyy"),";"," ",'Level 1'!Q227,'Level 1'!R227,"  ",'Level 1'!T227," ","Payment "," ",'Level 1'!U227,"  ",'Level 1'!V227,"  ",'Level 1'!W227,"  ",'Level 1'!X227,"  ",'Level 1'!Z227, "  ",'Level 1'!AA227, " ","Insurance: ",'Level 1'!A227)</f>
        <v>Detail: Claim Paid by EFT;  Issue Date:  11-15-2021; EFT#4085155714  Bulk Payment  Call Ref#:  202200474726  Cust Rep:  Shannon  Additional Notes:  Rep State that Claim Paid,Claim No:202131451939400,Paid Amt: $170.78,  paid by bulk(Bulk Amt:$2051.62),  Patient Resp: Nil and Code D2394 Not Covered Insurance: Dentaquest</v>
      </c>
      <c r="C227" s="60" t="str">
        <f>'Level 1'!Y227</f>
        <v xml:space="preserve">Task Post Pmt Queue </v>
      </c>
      <c r="D227" s="44" t="str">
        <f>VLOOKUP(C227,Table2[#All],3,FALSE)</f>
        <v>N/A</v>
      </c>
      <c r="E227" s="75" t="s">
        <v>193</v>
      </c>
      <c r="F227" s="116" t="s">
        <v>3698</v>
      </c>
      <c r="G227" s="97"/>
    </row>
    <row r="228" spans="1:7" ht="63" x14ac:dyDescent="0.25">
      <c r="A228" s="43" t="str">
        <f>CONCATENATE("Pt Id:",'Level 1'!E228," ","Pt Name: ",'Level 1'!F228," ","DOS: ", TEXT('Level 1'!H228,"mm-dd-yyyy"),"  "," Amnt: ","$",'Level 1'!J228,"  ", 'Level 1'!N228)</f>
        <v>Pt Id:7477 Pt Name: Fleifel, Noor DOS: 09-02-2021   Amnt: $432  Claim Paid by EFT;</v>
      </c>
      <c r="B228" s="43" t="str">
        <f>CONCATENATE("Detail: ",'Level 1'!N228,"  ",'Level 1'!O228,TEXT('Level 1'!P228,"  mm-dd-yyyy"),";"," ",'Level 1'!Q228,'Level 1'!R228,"  ",'Level 1'!T228," ","Payment "," ",'Level 1'!U228,"  ",'Level 1'!V228,"  ",'Level 1'!W228,"  ",'Level 1'!X228,"  ",'Level 1'!Z228, "  ",'Level 1'!AA228, " ","Insurance: ",'Level 1'!A228)</f>
        <v>Detail: Claim Paid by EFT;  Issue Date:  09-10-2021; EFT#4087914400  Bulk Payment  Call Ref#:  2022007475004  Cust Rep:  Kez  Additional Notes:  Rep State that Claim Paid,Claim No:202125037849000,Paid Amt: $106.34,  paid by bulk(Bulk Amt:$629.24),  Patient Resp: Nil  Insurance: Dentaquest</v>
      </c>
      <c r="C228" s="60" t="str">
        <f>'Level 1'!Y228</f>
        <v xml:space="preserve">Task Post Pmt Queue </v>
      </c>
      <c r="D228" s="44" t="str">
        <f>VLOOKUP(C228,Table2[#All],3,FALSE)</f>
        <v>N/A</v>
      </c>
      <c r="E228" s="75" t="s">
        <v>193</v>
      </c>
      <c r="F228" s="116" t="s">
        <v>3698</v>
      </c>
      <c r="G228" s="97"/>
    </row>
    <row r="229" spans="1:7" ht="63" x14ac:dyDescent="0.25">
      <c r="A229" s="43" t="str">
        <f>CONCATENATE("Pt Id:",'Level 1'!E229," ","Pt Name: ",'Level 1'!F229," ","DOS: ", TEXT('Level 1'!H229,"mm-dd-yyyy"),"  "," Amnt: ","$",'Level 1'!J229,"  ", 'Level 1'!N229)</f>
        <v>Pt Id:5432 Pt Name: Al Dabbeh , Mohammed  DOS: 08-19-2021   Amnt: $278.4  Procedure is not a covered benefit;</v>
      </c>
      <c r="B229" s="43" t="str">
        <f>CONCATENATE("Detail: ",'Level 1'!N229,"  ",'Level 1'!O229,TEXT('Level 1'!P229,"  mm-dd-yyyy"),";"," ",'Level 1'!Q229,'Level 1'!R229,"  ",'Level 1'!T229," ","Payment "," ",'Level 1'!U229,"  ",'Level 1'!V229,"  ",'Level 1'!W229,"  ",'Level 1'!X229,"  ",'Level 1'!Z229, "  ",'Level 1'!AA229, " ","Insurance: ",'Level 1'!A229)</f>
        <v>Detail: Procedure is not a covered benefit;  Why? Not a Covered Benefit; Call Ref#:2022007475004  Kez Payment  0    0    Additional Notes:  Rep State that Claim Denied,Claim No:202123639279800,  Processed and Denied Date: 08/27/2021,  Patient Resp: Nil Insurance: Dentaquest</v>
      </c>
      <c r="C229" s="60" t="str">
        <f>'Level 1'!Y229</f>
        <v xml:space="preserve">Task Client - Denied Claim Queue </v>
      </c>
      <c r="D229" s="44" t="str">
        <f>VLOOKUP(C229,Table2[#All],3,FALSE)</f>
        <v>What We Need From You: Pls confirm if we can close the claims Reason: To close claim</v>
      </c>
      <c r="E229" s="75" t="s">
        <v>193</v>
      </c>
      <c r="F229" s="116" t="s">
        <v>3698</v>
      </c>
      <c r="G229" s="97"/>
    </row>
    <row r="230" spans="1:7" ht="63" x14ac:dyDescent="0.25">
      <c r="A230" s="43" t="str">
        <f>CONCATENATE("Pt Id:",'Level 1'!E230," ","Pt Name: ",'Level 1'!F230," ","DOS: ", TEXT('Level 1'!H230,"mm-dd-yyyy"),"  "," Amnt: ","$",'Level 1'!J230,"  ", 'Level 1'!N230)</f>
        <v>Pt Id:7482 Pt Name: Zwickey , Carly DOS: 07-30-2021   Amnt: $332.4  Claim Paid by EFT;</v>
      </c>
      <c r="B230" s="43" t="str">
        <f>CONCATENATE("Detail: ",'Level 1'!N230,"  ",'Level 1'!O230,TEXT('Level 1'!P230,"  mm-dd-yyyy"),";"," ",'Level 1'!Q230,'Level 1'!R230,"  ",'Level 1'!T230," ","Payment "," ",'Level 1'!U230,"  ",'Level 1'!V230,"  ",'Level 1'!W230,"  ",'Level 1'!X230,"  ",'Level 1'!Z230, "  ",'Level 1'!AA230, " ","Insurance: ",'Level 1'!A230)</f>
        <v>Detail: Claim Paid by EFT;  Issue Date:  08-13-2021; EFT#5407889760  Bulk Payment  Call Ref#:  2022007475004  Cust Rep:  Kez  Additional Notes:  Rep State that Claim Paid,Claim No:202121838328800,Paid Amt: $146.16,  paid by bulk(Bulk Amt: $9716.98),  Patient Resp: Nil  Insurance: Dentaquest</v>
      </c>
      <c r="C230" s="60" t="str">
        <f>'Level 1'!Y230</f>
        <v xml:space="preserve">Task Post Pmt Queue </v>
      </c>
      <c r="D230" s="44" t="str">
        <f>VLOOKUP(C230,Table2[#All],3,FALSE)</f>
        <v>N/A</v>
      </c>
      <c r="E230" s="75" t="s">
        <v>193</v>
      </c>
      <c r="F230" s="116" t="s">
        <v>3698</v>
      </c>
      <c r="G230" s="97"/>
    </row>
    <row r="231" spans="1:7" ht="63" x14ac:dyDescent="0.25">
      <c r="A231" s="43" t="str">
        <f>CONCATENATE("Pt Id:",'Level 1'!E231," ","Pt Name: ",'Level 1'!F231," ","DOS: ", TEXT('Level 1'!H231,"mm-dd-yyyy"),"  "," Amnt: ","$",'Level 1'!J231,"  ", 'Level 1'!N231)</f>
        <v>Pt Id:7477 Pt Name: Fleifel, Noor DOS: 07-26-2021   Amnt: $466.8  Claim Paid by EFT;</v>
      </c>
      <c r="B231" s="43" t="str">
        <f>CONCATENATE("Detail: ",'Level 1'!N231,"  ",'Level 1'!O231,TEXT('Level 1'!P231,"  mm-dd-yyyy"),";"," ",'Level 1'!Q231,'Level 1'!R231,"  ",'Level 1'!T231," ","Payment "," ",'Level 1'!U231,"  ",'Level 1'!V231,"  ",'Level 1'!W231,"  ",'Level 1'!X231,"  ",'Level 1'!Z231, "  ",'Level 1'!AA231, " ","Insurance: ",'Level 1'!A231)</f>
        <v>Detail: Claim Paid by EFT;  Issue Date:  08-06-2021; EFT#4087883319  SEP Payment  Call Ref#:  2022007475004  Cust Rep:  Kez  Additional Notes:  Rep State that Claim Paid,Claim No:202121039755800,Paid Amt: $117.61,  paid by Single,  Patient Resp: Nil  Insurance: Dentaquest</v>
      </c>
      <c r="C231" s="60" t="str">
        <f>'Level 1'!Y231</f>
        <v xml:space="preserve">Task Post Pmt Queue </v>
      </c>
      <c r="D231" s="44" t="str">
        <f>VLOOKUP(C231,Table2[#All],3,FALSE)</f>
        <v>N/A</v>
      </c>
      <c r="E231" s="75" t="s">
        <v>193</v>
      </c>
      <c r="F231" s="116" t="s">
        <v>3698</v>
      </c>
      <c r="G231" s="97"/>
    </row>
    <row r="232" spans="1:7" ht="84" x14ac:dyDescent="0.25">
      <c r="A232" s="43" t="str">
        <f>CONCATENATE("Pt Id:",'Level 1'!E232," ","Pt Name: ",'Level 1'!F232," ","DOS: ", TEXT('Level 1'!H232,"mm-dd-yyyy"),"  "," Amnt: ","$",'Level 1'!J232,"  ", 'Level 1'!N232)</f>
        <v>Pt Id:7489 Pt Name: Wynne, John DOS: 07-23-2021   Amnt: $2014.8  Ins needs more info, need to submit;</v>
      </c>
      <c r="B232" s="43" t="str">
        <f>CONCATENATE("Detail: ",'Level 1'!N232,"  ",'Level 1'!O232,TEXT('Level 1'!P232,"  mm-dd-yyyy"),";"," ",'Level 1'!Q232,'Level 1'!R232,"  ",'Level 1'!T232," ","Payment "," ",'Level 1'!U232,"  ",'Level 1'!V232,"  ",'Level 1'!W232,"  ",'Level 1'!X232,"  ",'Level 1'!Z232, "  ",'Level 1'!AA232, " ","Insurance: ",'Level 1'!A232)</f>
        <v>Detail: Ins needs more info, need to submit;  Attachments/Info needed?Primary EOB Required; Fax # (If Fax Yes):  202200476218 Payment  Cust Rep:  Jesse  0    Additional Notes:  Rep State that Claim Denied,Claim No: 202122239266800,  Processed and Denied Date: 08/13/2021,  TFL: 120 Day's from Deniel of Primary carrer Insurance: Dentaquest</v>
      </c>
      <c r="C232" s="60" t="str">
        <f>'Level 1'!Y232</f>
        <v xml:space="preserve">Task Sub Pending Claims Queue </v>
      </c>
      <c r="D232" s="44" t="str">
        <f>VLOOKUP(C232,Table2[#All],3,FALSE)</f>
        <v>N/A</v>
      </c>
      <c r="E232" s="75" t="s">
        <v>193</v>
      </c>
      <c r="F232" s="116" t="s">
        <v>3698</v>
      </c>
      <c r="G232" s="97"/>
    </row>
    <row r="233" spans="1:7" ht="63" x14ac:dyDescent="0.25">
      <c r="A233" s="43" t="str">
        <f>CONCATENATE("Pt Id:",'Level 1'!E233," ","Pt Name: ",'Level 1'!F233," ","DOS: ", TEXT('Level 1'!H233,"mm-dd-yyyy"),"  "," Amnt: ","$",'Level 1'!J233,"  ", 'Level 1'!N233)</f>
        <v>Pt Id:7477 Pt Name: Fleifel, Noor DOS: 07-07-2021   Amnt: $838.8  Claim Paid by EFT;</v>
      </c>
      <c r="B233" s="43" t="str">
        <f>CONCATENATE("Detail: ",'Level 1'!N233,"  ",'Level 1'!O233,TEXT('Level 1'!P233,"  mm-dd-yyyy"),";"," ",'Level 1'!Q233,'Level 1'!R233,"  ",'Level 1'!T233," ","Payment "," ",'Level 1'!U233,"  ",'Level 1'!V233,"  ",'Level 1'!W233,"  ",'Level 1'!X233,"  ",'Level 1'!Z233, "  ",'Level 1'!AA233, " ","Insurance: ",'Level 1'!A233)</f>
        <v>Detail: Claim Paid by EFT;  Issue Date:  07-23-2021; EFT#4087871027  Bulk Payment  Call Ref#:  2022007475004  Cust Rep:  Kez  Additional Notes:  Rep State that Claim Paid,Claim No:202120038700000,Paid Amt: $552.56,  paid by Bulk(Bulk Amt:$1097.31),  Patient Resp: Nil  Insurance: Dentaquest</v>
      </c>
      <c r="C233" s="60" t="str">
        <f>'Level 1'!Y233</f>
        <v xml:space="preserve">Task Post Pmt Queue </v>
      </c>
      <c r="D233" s="44" t="str">
        <f>VLOOKUP(C233,Table2[#All],3,FALSE)</f>
        <v>N/A</v>
      </c>
      <c r="E233" s="75" t="s">
        <v>193</v>
      </c>
      <c r="F233" s="116" t="s">
        <v>3698</v>
      </c>
      <c r="G233" s="97"/>
    </row>
    <row r="234" spans="1:7" ht="21" x14ac:dyDescent="0.25">
      <c r="A234" s="43" t="str">
        <f>CONCATENATE("Pt Id:",'Level 1'!E234," ","Pt Name: ",'Level 1'!F234," ","DOS: ", TEXT('Level 1'!H234,"mm-dd-yyyy"),"  "," Amnt: ","$",'Level 1'!J234,"  ", 'Level 1'!N234)</f>
        <v>Pt Id:8747 Pt Name: Henges , Robert DOS: 04-01-2022   Amnt: $480  Note</v>
      </c>
      <c r="B234" s="43" t="str">
        <f>CONCATENATE("Detail: ",'Level 1'!N234,"  ",'Level 1'!O234,TEXT('Level 1'!P234,"  mm-dd-yyyy"),";"," ",'Level 1'!Q234,'Level 1'!R234,"  ",'Level 1'!T234," ","Payment "," ",'Level 1'!U234,"  ",'Level 1'!V234,"  ",'Level 1'!W234,"  ",'Level 1'!X234,"  ",'Level 1'!Z234, "  ",'Level 1'!AA234, " ","Insurance: ",'Level 1'!A234)</f>
        <v>Detail: Note  Q1  01-00-1900; Q2   Payment  Q4    Q5    Additional Notes:   Insurance: DPOW-CCHP</v>
      </c>
      <c r="C234" s="60" t="str">
        <f>'Level 1'!Y234</f>
        <v>Action</v>
      </c>
      <c r="D234" s="44" t="str">
        <f>VLOOKUP(C234,Table2[#All],3,FALSE)</f>
        <v>What we need from you/Reason</v>
      </c>
      <c r="E234" s="75" t="s">
        <v>199</v>
      </c>
      <c r="F234" s="96"/>
      <c r="G234" s="97"/>
    </row>
    <row r="235" spans="1:7" ht="21" x14ac:dyDescent="0.25">
      <c r="A235" s="43" t="str">
        <f>CONCATENATE("Pt Id:",'Level 1'!E235," ","Pt Name: ",'Level 1'!F235," ","DOS: ", TEXT('Level 1'!H235,"mm-dd-yyyy"),"  "," Amnt: ","$",'Level 1'!J235,"  ", 'Level 1'!N235)</f>
        <v>Pt Id:9424 Pt Name: Grigg, Melissa DOS: 04-01-2022   Amnt: $88.8  Note</v>
      </c>
      <c r="B235" s="43" t="str">
        <f>CONCATENATE("Detail: ",'Level 1'!N235,"  ",'Level 1'!O235,TEXT('Level 1'!P235,"  mm-dd-yyyy"),";"," ",'Level 1'!Q235,'Level 1'!R235,"  ",'Level 1'!T235," ","Payment "," ",'Level 1'!U235,"  ",'Level 1'!V235,"  ",'Level 1'!W235,"  ",'Level 1'!X235,"  ",'Level 1'!Z235, "  ",'Level 1'!AA235, " ","Insurance: ",'Level 1'!A235)</f>
        <v>Detail: Note  Q1  01-00-1900; Q2   Payment  Q4    Q5    Additional Notes:   Insurance: DPOW-CCHP</v>
      </c>
      <c r="C235" s="60" t="str">
        <f>'Level 1'!Y235</f>
        <v>Action</v>
      </c>
      <c r="D235" s="44" t="str">
        <f>VLOOKUP(C235,Table2[#All],3,FALSE)</f>
        <v>What we need from you/Reason</v>
      </c>
      <c r="E235" s="75" t="s">
        <v>199</v>
      </c>
      <c r="F235" s="96"/>
      <c r="G235" s="97"/>
    </row>
    <row r="236" spans="1:7" ht="42" x14ac:dyDescent="0.25">
      <c r="A236" s="43" t="str">
        <f>CONCATENATE("Pt Id:",'Level 1'!E236," ","Pt Name: ",'Level 1'!F236," ","DOS: ", TEXT('Level 1'!H236,"mm-dd-yyyy"),"  "," Amnt: ","$",'Level 1'!J236,"  ", 'Level 1'!N236)</f>
        <v>Pt Id:8673 Pt Name: Crespo Rosa , Jetziell DOS: 04-01-2022   Amnt: $453.2  Note</v>
      </c>
      <c r="B236" s="43" t="str">
        <f>CONCATENATE("Detail: ",'Level 1'!N236,"  ",'Level 1'!O236,TEXT('Level 1'!P236,"  mm-dd-yyyy"),";"," ",'Level 1'!Q236,'Level 1'!R236,"  ",'Level 1'!T236," ","Payment "," ",'Level 1'!U236,"  ",'Level 1'!V236,"  ",'Level 1'!W236,"  ",'Level 1'!X236,"  ",'Level 1'!Z236, "  ",'Level 1'!AA236, " ","Insurance: ",'Level 1'!A236)</f>
        <v>Detail: Note  Q1  01-00-1900; Q2   Payment  Q4    Q5    Additional Notes:   Insurance: DPOW-CCHP</v>
      </c>
      <c r="C236" s="60" t="str">
        <f>'Level 1'!Y236</f>
        <v>Action</v>
      </c>
      <c r="D236" s="44" t="str">
        <f>VLOOKUP(C236,Table2[#All],3,FALSE)</f>
        <v>What we need from you/Reason</v>
      </c>
      <c r="E236" s="75" t="s">
        <v>199</v>
      </c>
      <c r="F236" s="96"/>
      <c r="G236" s="97"/>
    </row>
    <row r="237" spans="1:7" ht="42" x14ac:dyDescent="0.25">
      <c r="A237" s="43" t="str">
        <f>CONCATENATE("Pt Id:",'Level 1'!E237," ","Pt Name: ",'Level 1'!F237," ","DOS: ", TEXT('Level 1'!H237,"mm-dd-yyyy"),"  "," Amnt: ","$",'Level 1'!J237,"  ", 'Level 1'!N237)</f>
        <v>Pt Id:4331 Pt Name: Hidalgo Rosa  , Jeryel DOS: 04-01-2022   Amnt: $542  Note</v>
      </c>
      <c r="B237" s="43" t="str">
        <f>CONCATENATE("Detail: ",'Level 1'!N237,"  ",'Level 1'!O237,TEXT('Level 1'!P237,"  mm-dd-yyyy"),";"," ",'Level 1'!Q237,'Level 1'!R237,"  ",'Level 1'!T237," ","Payment "," ",'Level 1'!U237,"  ",'Level 1'!V237,"  ",'Level 1'!W237,"  ",'Level 1'!X237,"  ",'Level 1'!Z237, "  ",'Level 1'!AA237, " ","Insurance: ",'Level 1'!A237)</f>
        <v>Detail: Note  Q1  01-00-1900; Q2   Payment  Q4    Q5    Additional Notes:   Insurance: DPOW-CCHP</v>
      </c>
      <c r="C237" s="60" t="str">
        <f>'Level 1'!Y237</f>
        <v>Action</v>
      </c>
      <c r="D237" s="44" t="str">
        <f>VLOOKUP(C237,Table2[#All],3,FALSE)</f>
        <v>What we need from you/Reason</v>
      </c>
      <c r="E237" s="75" t="s">
        <v>199</v>
      </c>
      <c r="F237" s="96"/>
      <c r="G237" s="97"/>
    </row>
    <row r="238" spans="1:7" ht="21" x14ac:dyDescent="0.25">
      <c r="A238" s="43" t="str">
        <f>CONCATENATE("Pt Id:",'Level 1'!E238," ","Pt Name: ",'Level 1'!F238," ","DOS: ", TEXT('Level 1'!H238,"mm-dd-yyyy"),"  "," Amnt: ","$",'Level 1'!J238,"  ", 'Level 1'!N238)</f>
        <v>Pt Id:4269 Pt Name: ROSA , CINDY  DOS: 04-01-2022   Amnt: $266  Note</v>
      </c>
      <c r="B238" s="43" t="str">
        <f>CONCATENATE("Detail: ",'Level 1'!N238,"  ",'Level 1'!O238,TEXT('Level 1'!P238,"  mm-dd-yyyy"),";"," ",'Level 1'!Q238,'Level 1'!R238,"  ",'Level 1'!T238," ","Payment "," ",'Level 1'!U238,"  ",'Level 1'!V238,"  ",'Level 1'!W238,"  ",'Level 1'!X238,"  ",'Level 1'!Z238, "  ",'Level 1'!AA238, " ","Insurance: ",'Level 1'!A238)</f>
        <v>Detail: Note  Q1  01-00-1900; Q2   Payment  Q4    Q5    Additional Notes:   Insurance: DPOW-CCHP</v>
      </c>
      <c r="C238" s="60" t="str">
        <f>'Level 1'!Y238</f>
        <v>Action</v>
      </c>
      <c r="D238" s="44" t="str">
        <f>VLOOKUP(C238,Table2[#All],3,FALSE)</f>
        <v>What we need from you/Reason</v>
      </c>
      <c r="E238" s="75" t="s">
        <v>199</v>
      </c>
      <c r="F238" s="96"/>
      <c r="G238" s="97"/>
    </row>
    <row r="239" spans="1:7" ht="42" x14ac:dyDescent="0.25">
      <c r="A239" s="43" t="str">
        <f>CONCATENATE("Pt Id:",'Level 1'!E239," ","Pt Name: ",'Level 1'!F239," ","DOS: ", TEXT('Level 1'!H239,"mm-dd-yyyy"),"  "," Amnt: ","$",'Level 1'!J239,"  ", 'Level 1'!N239)</f>
        <v>Pt Id:9243 Pt Name: Lehmann, Chelsea DOS: 04-01-2022   Amnt: $304.8  Note</v>
      </c>
      <c r="B239" s="43" t="str">
        <f>CONCATENATE("Detail: ",'Level 1'!N239,"  ",'Level 1'!O239,TEXT('Level 1'!P239,"  mm-dd-yyyy"),";"," ",'Level 1'!Q239,'Level 1'!R239,"  ",'Level 1'!T239," ","Payment "," ",'Level 1'!U239,"  ",'Level 1'!V239,"  ",'Level 1'!W239,"  ",'Level 1'!X239,"  ",'Level 1'!Z239, "  ",'Level 1'!AA239, " ","Insurance: ",'Level 1'!A239)</f>
        <v>Detail: Note  Q1  01-00-1900; Q2   Payment  Q4    Q5    Additional Notes:   Insurance: DPOW-CCHP</v>
      </c>
      <c r="C239" s="60" t="str">
        <f>'Level 1'!Y239</f>
        <v>Action</v>
      </c>
      <c r="D239" s="44" t="str">
        <f>VLOOKUP(C239,Table2[#All],3,FALSE)</f>
        <v>What we need from you/Reason</v>
      </c>
      <c r="E239" s="75" t="s">
        <v>199</v>
      </c>
      <c r="F239" s="96"/>
      <c r="G239" s="97"/>
    </row>
    <row r="240" spans="1:7" ht="21" x14ac:dyDescent="0.25">
      <c r="A240" s="43" t="str">
        <f>CONCATENATE("Pt Id:",'Level 1'!E240," ","Pt Name: ",'Level 1'!F240," ","DOS: ", TEXT('Level 1'!H240,"mm-dd-yyyy"),"  "," Amnt: ","$",'Level 1'!J240,"  ", 'Level 1'!N240)</f>
        <v>Pt Id:9313 Pt Name: Mcginnity, Ariel DOS: 04-01-2022   Amnt: $688.4  Note</v>
      </c>
      <c r="B240" s="43" t="str">
        <f>CONCATENATE("Detail: ",'Level 1'!N240,"  ",'Level 1'!O240,TEXT('Level 1'!P240,"  mm-dd-yyyy"),";"," ",'Level 1'!Q240,'Level 1'!R240,"  ",'Level 1'!T240," ","Payment "," ",'Level 1'!U240,"  ",'Level 1'!V240,"  ",'Level 1'!W240,"  ",'Level 1'!X240,"  ",'Level 1'!Z240, "  ",'Level 1'!AA240, " ","Insurance: ",'Level 1'!A240)</f>
        <v>Detail: Note  Q1  01-00-1900; Q2   Payment  Q4    Q5    Additional Notes:   Insurance: DPOW-CCHP</v>
      </c>
      <c r="C240" s="60" t="str">
        <f>'Level 1'!Y240</f>
        <v>Action</v>
      </c>
      <c r="D240" s="44" t="str">
        <f>VLOOKUP(C240,Table2[#All],3,FALSE)</f>
        <v>What we need from you/Reason</v>
      </c>
      <c r="E240" s="75" t="s">
        <v>199</v>
      </c>
      <c r="F240" s="96"/>
      <c r="G240" s="97"/>
    </row>
    <row r="241" spans="1:7" ht="21" x14ac:dyDescent="0.25">
      <c r="A241" s="43" t="str">
        <f>CONCATENATE("Pt Id:",'Level 1'!E241," ","Pt Name: ",'Level 1'!F241," ","DOS: ", TEXT('Level 1'!H241,"mm-dd-yyyy"),"  "," Amnt: ","$",'Level 1'!J241,"  ", 'Level 1'!N241)</f>
        <v>Pt Id:8925 Pt Name: Jabbar, Seriya  DOS: 03-30-2022   Amnt: $634  Note</v>
      </c>
      <c r="B241" s="43" t="str">
        <f>CONCATENATE("Detail: ",'Level 1'!N241,"  ",'Level 1'!O241,TEXT('Level 1'!P241,"  mm-dd-yyyy"),";"," ",'Level 1'!Q241,'Level 1'!R241,"  ",'Level 1'!T241," ","Payment "," ",'Level 1'!U241,"  ",'Level 1'!V241,"  ",'Level 1'!W241,"  ",'Level 1'!X241,"  ",'Level 1'!Z241, "  ",'Level 1'!AA241, " ","Insurance: ",'Level 1'!A241)</f>
        <v>Detail: Note  Q1  01-00-1900; Q2   Payment  Q4    Q5    Additional Notes:   Insurance: DPOW-CCHP</v>
      </c>
      <c r="C241" s="60" t="str">
        <f>'Level 1'!Y241</f>
        <v>Action</v>
      </c>
      <c r="D241" s="44" t="str">
        <f>VLOOKUP(C241,Table2[#All],3,FALSE)</f>
        <v>What we need from you/Reason</v>
      </c>
      <c r="E241" s="75" t="s">
        <v>199</v>
      </c>
      <c r="F241" s="96"/>
      <c r="G241" s="97"/>
    </row>
    <row r="242" spans="1:7" ht="21" x14ac:dyDescent="0.25">
      <c r="A242" s="43" t="str">
        <f>CONCATENATE("Pt Id:",'Level 1'!E242," ","Pt Name: ",'Level 1'!F242," ","DOS: ", TEXT('Level 1'!H242,"mm-dd-yyyy"),"  "," Amnt: ","$",'Level 1'!J242,"  ", 'Level 1'!N242)</f>
        <v>Pt Id:9377 Pt Name: Bogdala , Mark DOS: 03-29-2022   Amnt: $715.2  Note</v>
      </c>
      <c r="B242" s="43" t="str">
        <f>CONCATENATE("Detail: ",'Level 1'!N242,"  ",'Level 1'!O242,TEXT('Level 1'!P242,"  mm-dd-yyyy"),";"," ",'Level 1'!Q242,'Level 1'!R242,"  ",'Level 1'!T242," ","Payment "," ",'Level 1'!U242,"  ",'Level 1'!V242,"  ",'Level 1'!W242,"  ",'Level 1'!X242,"  ",'Level 1'!Z242, "  ",'Level 1'!AA242, " ","Insurance: ",'Level 1'!A242)</f>
        <v>Detail: Note  Q1  01-00-1900; Q2   Payment  Q4    Q5    Additional Notes:   Insurance: DPOW-CCHP</v>
      </c>
      <c r="C242" s="60" t="str">
        <f>'Level 1'!Y242</f>
        <v>Action</v>
      </c>
      <c r="D242" s="44" t="str">
        <f>VLOOKUP(C242,Table2[#All],3,FALSE)</f>
        <v>What we need from you/Reason</v>
      </c>
      <c r="E242" s="75" t="s">
        <v>199</v>
      </c>
      <c r="F242" s="96"/>
      <c r="G242" s="97"/>
    </row>
    <row r="243" spans="1:7" ht="21" x14ac:dyDescent="0.25">
      <c r="A243" s="43" t="str">
        <f>CONCATENATE("Pt Id:",'Level 1'!E243," ","Pt Name: ",'Level 1'!F243," ","DOS: ", TEXT('Level 1'!H243,"mm-dd-yyyy"),"  "," Amnt: ","$",'Level 1'!J243,"  ", 'Level 1'!N243)</f>
        <v>Pt Id:7182 Pt Name: Rand, Jennifer DOS: 03-29-2022   Amnt: $108.8  Note</v>
      </c>
      <c r="B243" s="43" t="str">
        <f>CONCATENATE("Detail: ",'Level 1'!N243,"  ",'Level 1'!O243,TEXT('Level 1'!P243,"  mm-dd-yyyy"),";"," ",'Level 1'!Q243,'Level 1'!R243,"  ",'Level 1'!T243," ","Payment "," ",'Level 1'!U243,"  ",'Level 1'!V243,"  ",'Level 1'!W243,"  ",'Level 1'!X243,"  ",'Level 1'!Z243, "  ",'Level 1'!AA243, " ","Insurance: ",'Level 1'!A243)</f>
        <v>Detail: Note  Q1  01-00-1900; Q2   Payment  Q4    Q5    Additional Notes:   Insurance: DPOW-CCHP</v>
      </c>
      <c r="C243" s="60" t="str">
        <f>'Level 1'!Y243</f>
        <v>Action</v>
      </c>
      <c r="D243" s="44" t="str">
        <f>VLOOKUP(C243,Table2[#All],3,FALSE)</f>
        <v>What we need from you/Reason</v>
      </c>
      <c r="E243" s="75" t="s">
        <v>199</v>
      </c>
      <c r="F243" s="96"/>
      <c r="G243" s="97"/>
    </row>
    <row r="244" spans="1:7" ht="21" x14ac:dyDescent="0.25">
      <c r="A244" s="43" t="str">
        <f>CONCATENATE("Pt Id:",'Level 1'!E244," ","Pt Name: ",'Level 1'!F244," ","DOS: ", TEXT('Level 1'!H244,"mm-dd-yyyy"),"  "," Amnt: ","$",'Level 1'!J244,"  ", 'Level 1'!N244)</f>
        <v>Pt Id:1597 Pt Name: Daniels, Allison DOS: 03-29-2022   Amnt: $347.6  Note</v>
      </c>
      <c r="B244" s="43" t="str">
        <f>CONCATENATE("Detail: ",'Level 1'!N244,"  ",'Level 1'!O244,TEXT('Level 1'!P244,"  mm-dd-yyyy"),";"," ",'Level 1'!Q244,'Level 1'!R244,"  ",'Level 1'!T244," ","Payment "," ",'Level 1'!U244,"  ",'Level 1'!V244,"  ",'Level 1'!W244,"  ",'Level 1'!X244,"  ",'Level 1'!Z244, "  ",'Level 1'!AA244, " ","Insurance: ",'Level 1'!A244)</f>
        <v>Detail: Note  Q1  01-00-1900; Q2   Payment  Q4    Q5    Additional Notes:   Insurance: DPOW-CCHP</v>
      </c>
      <c r="C244" s="60" t="str">
        <f>'Level 1'!Y244</f>
        <v>Action</v>
      </c>
      <c r="D244" s="44" t="str">
        <f>VLOOKUP(C244,Table2[#All],3,FALSE)</f>
        <v>What we need from you/Reason</v>
      </c>
      <c r="E244" s="75" t="s">
        <v>199</v>
      </c>
      <c r="F244" s="96"/>
      <c r="G244" s="97"/>
    </row>
    <row r="245" spans="1:7" ht="21" x14ac:dyDescent="0.25">
      <c r="A245" s="43" t="str">
        <f>CONCATENATE("Pt Id:",'Level 1'!E245," ","Pt Name: ",'Level 1'!F245," ","DOS: ", TEXT('Level 1'!H245,"mm-dd-yyyy"),"  "," Amnt: ","$",'Level 1'!J245,"  ", 'Level 1'!N245)</f>
        <v>Pt Id:9154 Pt Name: Crespo, Melanie DOS: 03-26-2022   Amnt: $294.8  Note</v>
      </c>
      <c r="B245" s="43" t="str">
        <f>CONCATENATE("Detail: ",'Level 1'!N245,"  ",'Level 1'!O245,TEXT('Level 1'!P245,"  mm-dd-yyyy"),";"," ",'Level 1'!Q245,'Level 1'!R245,"  ",'Level 1'!T245," ","Payment "," ",'Level 1'!U245,"  ",'Level 1'!V245,"  ",'Level 1'!W245,"  ",'Level 1'!X245,"  ",'Level 1'!Z245, "  ",'Level 1'!AA245, " ","Insurance: ",'Level 1'!A245)</f>
        <v>Detail: Note  Q1  01-00-1900; Q2   Payment  Q4    Q5    Additional Notes:   Insurance: DPOW-CCHP</v>
      </c>
      <c r="C245" s="60" t="str">
        <f>'Level 1'!Y245</f>
        <v>Action</v>
      </c>
      <c r="D245" s="44" t="str">
        <f>VLOOKUP(C245,Table2[#All],3,FALSE)</f>
        <v>What we need from you/Reason</v>
      </c>
      <c r="E245" s="75" t="s">
        <v>199</v>
      </c>
      <c r="F245" s="96"/>
      <c r="G245" s="97"/>
    </row>
    <row r="246" spans="1:7" ht="21" x14ac:dyDescent="0.25">
      <c r="A246" s="43" t="str">
        <f>CONCATENATE("Pt Id:",'Level 1'!E246," ","Pt Name: ",'Level 1'!F246," ","DOS: ", TEXT('Level 1'!H246,"mm-dd-yyyy"),"  "," Amnt: ","$",'Level 1'!J246,"  ", 'Level 1'!N246)</f>
        <v>Pt Id:9156 Pt Name: Crespo, Clarissa  DOS: 03-26-2022   Amnt: $294.8  Note</v>
      </c>
      <c r="B246" s="43" t="str">
        <f>CONCATENATE("Detail: ",'Level 1'!N246,"  ",'Level 1'!O246,TEXT('Level 1'!P246,"  mm-dd-yyyy"),";"," ",'Level 1'!Q246,'Level 1'!R246,"  ",'Level 1'!T246," ","Payment "," ",'Level 1'!U246,"  ",'Level 1'!V246,"  ",'Level 1'!W246,"  ",'Level 1'!X246,"  ",'Level 1'!Z246, "  ",'Level 1'!AA246, " ","Insurance: ",'Level 1'!A246)</f>
        <v>Detail: Note  Q1  01-00-1900; Q2   Payment  Q4    Q5    Additional Notes:   Insurance: DPOW-CCHP</v>
      </c>
      <c r="C246" s="60" t="str">
        <f>'Level 1'!Y246</f>
        <v>Action</v>
      </c>
      <c r="D246" s="44" t="str">
        <f>VLOOKUP(C246,Table2[#All],3,FALSE)</f>
        <v>What we need from you/Reason</v>
      </c>
      <c r="E246" s="75" t="s">
        <v>199</v>
      </c>
      <c r="F246" s="96"/>
      <c r="G246" s="97"/>
    </row>
    <row r="247" spans="1:7" ht="21" x14ac:dyDescent="0.25">
      <c r="A247" s="43" t="str">
        <f>CONCATENATE("Pt Id:",'Level 1'!E247," ","Pt Name: ",'Level 1'!F247," ","DOS: ", TEXT('Level 1'!H247,"mm-dd-yyyy"),"  "," Amnt: ","$",'Level 1'!J247,"  ", 'Level 1'!N247)</f>
        <v>Pt Id:9176 Pt Name: Moore , Sarah  DOS: 03-25-2022   Amnt: $138  Note</v>
      </c>
      <c r="B247" s="43" t="str">
        <f>CONCATENATE("Detail: ",'Level 1'!N247,"  ",'Level 1'!O247,TEXT('Level 1'!P247,"  mm-dd-yyyy"),";"," ",'Level 1'!Q247,'Level 1'!R247,"  ",'Level 1'!T247," ","Payment "," ",'Level 1'!U247,"  ",'Level 1'!V247,"  ",'Level 1'!W247,"  ",'Level 1'!X247,"  ",'Level 1'!Z247, "  ",'Level 1'!AA247, " ","Insurance: ",'Level 1'!A247)</f>
        <v>Detail: Note  Q1  01-00-1900; Q2   Payment  Q4    Q5    Additional Notes:   Insurance: DPOW-CCHP</v>
      </c>
      <c r="C247" s="60" t="str">
        <f>'Level 1'!Y247</f>
        <v>Action</v>
      </c>
      <c r="D247" s="44" t="str">
        <f>VLOOKUP(C247,Table2[#All],3,FALSE)</f>
        <v>What we need from you/Reason</v>
      </c>
      <c r="E247" s="75" t="s">
        <v>199</v>
      </c>
      <c r="F247" s="96"/>
      <c r="G247" s="97"/>
    </row>
    <row r="248" spans="1:7" ht="21" x14ac:dyDescent="0.25">
      <c r="A248" s="43" t="str">
        <f>CONCATENATE("Pt Id:",'Level 1'!E248," ","Pt Name: ",'Level 1'!F248," ","DOS: ", TEXT('Level 1'!H248,"mm-dd-yyyy"),"  "," Amnt: ","$",'Level 1'!J248,"  ", 'Level 1'!N248)</f>
        <v>Pt Id:9357 Pt Name: Uribe, Olimpia  DOS: 03-25-2022   Amnt: $332.4  Note</v>
      </c>
      <c r="B248" s="43" t="str">
        <f>CONCATENATE("Detail: ",'Level 1'!N248,"  ",'Level 1'!O248,TEXT('Level 1'!P248,"  mm-dd-yyyy"),";"," ",'Level 1'!Q248,'Level 1'!R248,"  ",'Level 1'!T248," ","Payment "," ",'Level 1'!U248,"  ",'Level 1'!V248,"  ",'Level 1'!W248,"  ",'Level 1'!X248,"  ",'Level 1'!Z248, "  ",'Level 1'!AA248, " ","Insurance: ",'Level 1'!A248)</f>
        <v>Detail: Note  Q1  01-00-1900; Q2   Payment  Q4    Q5    Additional Notes:   Insurance: DPOW-CCHP</v>
      </c>
      <c r="C248" s="60" t="str">
        <f>'Level 1'!Y248</f>
        <v>Action</v>
      </c>
      <c r="D248" s="44" t="str">
        <f>VLOOKUP(C248,Table2[#All],3,FALSE)</f>
        <v>What we need from you/Reason</v>
      </c>
      <c r="E248" s="75" t="s">
        <v>199</v>
      </c>
      <c r="F248" s="96"/>
      <c r="G248" s="97"/>
    </row>
    <row r="249" spans="1:7" ht="42" x14ac:dyDescent="0.25">
      <c r="A249" s="43" t="str">
        <f>CONCATENATE("Pt Id:",'Level 1'!E249," ","Pt Name: ",'Level 1'!F249," ","DOS: ", TEXT('Level 1'!H249,"mm-dd-yyyy"),"  "," Amnt: ","$",'Level 1'!J249,"  ", 'Level 1'!N249)</f>
        <v>Pt Id:3645 Pt Name: ROMO, CRISTINA  DOS: 03-25-2022   Amnt: $374.4  Note</v>
      </c>
      <c r="B249" s="43" t="str">
        <f>CONCATENATE("Detail: ",'Level 1'!N249,"  ",'Level 1'!O249,TEXT('Level 1'!P249,"  mm-dd-yyyy"),";"," ",'Level 1'!Q249,'Level 1'!R249,"  ",'Level 1'!T249," ","Payment "," ",'Level 1'!U249,"  ",'Level 1'!V249,"  ",'Level 1'!W249,"  ",'Level 1'!X249,"  ",'Level 1'!Z249, "  ",'Level 1'!AA249, " ","Insurance: ",'Level 1'!A249)</f>
        <v>Detail: Note  Q1  01-00-1900; Q2   Payment  Q4    Q5    Additional Notes:   Insurance: DPOW-CCHP</v>
      </c>
      <c r="C249" s="60" t="str">
        <f>'Level 1'!Y249</f>
        <v>Action</v>
      </c>
      <c r="D249" s="44" t="str">
        <f>VLOOKUP(C249,Table2[#All],3,FALSE)</f>
        <v>What we need from you/Reason</v>
      </c>
      <c r="E249" s="75" t="s">
        <v>199</v>
      </c>
      <c r="F249" s="96"/>
      <c r="G249" s="97"/>
    </row>
    <row r="250" spans="1:7" ht="21" x14ac:dyDescent="0.25">
      <c r="A250" s="43" t="str">
        <f>CONCATENATE("Pt Id:",'Level 1'!E250," ","Pt Name: ",'Level 1'!F250," ","DOS: ", TEXT('Level 1'!H250,"mm-dd-yyyy"),"  "," Amnt: ","$",'Level 1'!J250,"  ", 'Level 1'!N250)</f>
        <v>Pt Id:6000 Pt Name: Lynch, Miricle  DOS: 03-25-2022   Amnt: $116.4  Note</v>
      </c>
      <c r="B250" s="43" t="str">
        <f>CONCATENATE("Detail: ",'Level 1'!N250,"  ",'Level 1'!O250,TEXT('Level 1'!P250,"  mm-dd-yyyy"),";"," ",'Level 1'!Q250,'Level 1'!R250,"  ",'Level 1'!T250," ","Payment "," ",'Level 1'!U250,"  ",'Level 1'!V250,"  ",'Level 1'!W250,"  ",'Level 1'!X250,"  ",'Level 1'!Z250, "  ",'Level 1'!AA250, " ","Insurance: ",'Level 1'!A250)</f>
        <v>Detail: Note  Q1  01-00-1900; Q2   Payment  Q4    Q5    Additional Notes:   Insurance: DPOW-CCHP</v>
      </c>
      <c r="C250" s="60" t="str">
        <f>'Level 1'!Y250</f>
        <v>Action</v>
      </c>
      <c r="D250" s="44" t="str">
        <f>VLOOKUP(C250,Table2[#All],3,FALSE)</f>
        <v>What we need from you/Reason</v>
      </c>
      <c r="E250" s="75" t="s">
        <v>199</v>
      </c>
      <c r="F250" s="96"/>
      <c r="G250" s="97"/>
    </row>
    <row r="251" spans="1:7" ht="21" x14ac:dyDescent="0.25">
      <c r="A251" s="43" t="str">
        <f>CONCATENATE("Pt Id:",'Level 1'!E251," ","Pt Name: ",'Level 1'!F251," ","DOS: ", TEXT('Level 1'!H251,"mm-dd-yyyy"),"  "," Amnt: ","$",'Level 1'!J251,"  ", 'Level 1'!N251)</f>
        <v>Pt Id:9170 Pt Name: Bogdala , Olivia  DOS: 03-25-2022   Amnt: $166.8  Note</v>
      </c>
      <c r="B251" s="43" t="str">
        <f>CONCATENATE("Detail: ",'Level 1'!N251,"  ",'Level 1'!O251,TEXT('Level 1'!P251,"  mm-dd-yyyy"),";"," ",'Level 1'!Q251,'Level 1'!R251,"  ",'Level 1'!T251," ","Payment "," ",'Level 1'!U251,"  ",'Level 1'!V251,"  ",'Level 1'!W251,"  ",'Level 1'!X251,"  ",'Level 1'!Z251, "  ",'Level 1'!AA251, " ","Insurance: ",'Level 1'!A251)</f>
        <v>Detail: Note  Q1  01-00-1900; Q2   Payment  Q4    Q5    Additional Notes:   Insurance: DPOW-CCHP</v>
      </c>
      <c r="C251" s="60" t="str">
        <f>'Level 1'!Y251</f>
        <v>Action</v>
      </c>
      <c r="D251" s="44" t="str">
        <f>VLOOKUP(C251,Table2[#All],3,FALSE)</f>
        <v>What we need from you/Reason</v>
      </c>
      <c r="E251" s="75" t="s">
        <v>199</v>
      </c>
      <c r="F251" s="96"/>
      <c r="G251" s="97"/>
    </row>
    <row r="252" spans="1:7" ht="21" x14ac:dyDescent="0.25">
      <c r="A252" s="43" t="str">
        <f>CONCATENATE("Pt Id:",'Level 1'!E252," ","Pt Name: ",'Level 1'!F252," ","DOS: ", TEXT('Level 1'!H252,"mm-dd-yyyy"),"  "," Amnt: ","$",'Level 1'!J252,"  ", 'Level 1'!N252)</f>
        <v>Pt Id:9171 Pt Name: Bogdala, Luke  DOS: 03-25-2022   Amnt: $453.2  Note</v>
      </c>
      <c r="B252" s="43" t="str">
        <f>CONCATENATE("Detail: ",'Level 1'!N252,"  ",'Level 1'!O252,TEXT('Level 1'!P252,"  mm-dd-yyyy"),";"," ",'Level 1'!Q252,'Level 1'!R252,"  ",'Level 1'!T252," ","Payment "," ",'Level 1'!U252,"  ",'Level 1'!V252,"  ",'Level 1'!W252,"  ",'Level 1'!X252,"  ",'Level 1'!Z252, "  ",'Level 1'!AA252, " ","Insurance: ",'Level 1'!A252)</f>
        <v>Detail: Note  Q1  01-00-1900; Q2   Payment  Q4    Q5    Additional Notes:   Insurance: DPOW-CCHP</v>
      </c>
      <c r="C252" s="60" t="str">
        <f>'Level 1'!Y252</f>
        <v>Action</v>
      </c>
      <c r="D252" s="44" t="str">
        <f>VLOOKUP(C252,Table2[#All],3,FALSE)</f>
        <v>What we need from you/Reason</v>
      </c>
      <c r="E252" s="75" t="s">
        <v>199</v>
      </c>
      <c r="F252" s="96"/>
      <c r="G252" s="97"/>
    </row>
    <row r="253" spans="1:7" ht="42" x14ac:dyDescent="0.25">
      <c r="A253" s="43" t="str">
        <f>CONCATENATE("Pt Id:",'Level 1'!E253," ","Pt Name: ",'Level 1'!F253," ","DOS: ", TEXT('Level 1'!H253,"mm-dd-yyyy"),"  "," Amnt: ","$",'Level 1'!J253,"  ", 'Level 1'!N253)</f>
        <v>Pt Id:9305 Pt Name: Szeklinski, Cheralynn DOS: 03-25-2022   Amnt: $539.6  Note</v>
      </c>
      <c r="B253" s="43" t="str">
        <f>CONCATENATE("Detail: ",'Level 1'!N253,"  ",'Level 1'!O253,TEXT('Level 1'!P253,"  mm-dd-yyyy"),";"," ",'Level 1'!Q253,'Level 1'!R253,"  ",'Level 1'!T253," ","Payment "," ",'Level 1'!U253,"  ",'Level 1'!V253,"  ",'Level 1'!W253,"  ",'Level 1'!X253,"  ",'Level 1'!Z253, "  ",'Level 1'!AA253, " ","Insurance: ",'Level 1'!A253)</f>
        <v>Detail: Note  Q1  01-00-1900; Q2   Payment  Q4    Q5    Additional Notes:   Insurance: DPOW-CCHP</v>
      </c>
      <c r="C253" s="60" t="str">
        <f>'Level 1'!Y253</f>
        <v>Action</v>
      </c>
      <c r="D253" s="44" t="str">
        <f>VLOOKUP(C253,Table2[#All],3,FALSE)</f>
        <v>What we need from you/Reason</v>
      </c>
      <c r="E253" s="75" t="s">
        <v>199</v>
      </c>
      <c r="F253" s="96"/>
      <c r="G253" s="97"/>
    </row>
    <row r="254" spans="1:7" ht="42" x14ac:dyDescent="0.25">
      <c r="A254" s="43" t="str">
        <f>CONCATENATE("Pt Id:",'Level 1'!E254," ","Pt Name: ",'Level 1'!F254," ","DOS: ", TEXT('Level 1'!H254,"mm-dd-yyyy"),"  "," Amnt: ","$",'Level 1'!J254,"  ", 'Level 1'!N254)</f>
        <v>Pt Id:4183 Pt Name: Swiatkowski, Lorna  DOS: 03-24-2022   Amnt: $266  Note</v>
      </c>
      <c r="B254" s="43" t="str">
        <f>CONCATENATE("Detail: ",'Level 1'!N254,"  ",'Level 1'!O254,TEXT('Level 1'!P254,"  mm-dd-yyyy"),";"," ",'Level 1'!Q254,'Level 1'!R254,"  ",'Level 1'!T254," ","Payment "," ",'Level 1'!U254,"  ",'Level 1'!V254,"  ",'Level 1'!W254,"  ",'Level 1'!X254,"  ",'Level 1'!Z254, "  ",'Level 1'!AA254, " ","Insurance: ",'Level 1'!A254)</f>
        <v>Detail: Note  Q1  01-00-1900; Q2   Payment  Q4    Q5    Additional Notes:   Insurance: DPOW-CCHP</v>
      </c>
      <c r="C254" s="60" t="str">
        <f>'Level 1'!Y254</f>
        <v>Action</v>
      </c>
      <c r="D254" s="44" t="str">
        <f>VLOOKUP(C254,Table2[#All],3,FALSE)</f>
        <v>What we need from you/Reason</v>
      </c>
      <c r="E254" s="75" t="s">
        <v>199</v>
      </c>
      <c r="F254" s="96"/>
      <c r="G254" s="97"/>
    </row>
    <row r="255" spans="1:7" ht="21" x14ac:dyDescent="0.25">
      <c r="A255" s="43" t="str">
        <f>CONCATENATE("Pt Id:",'Level 1'!E255," ","Pt Name: ",'Level 1'!F255," ","DOS: ", TEXT('Level 1'!H255,"mm-dd-yyyy"),"  "," Amnt: ","$",'Level 1'!J255,"  ", 'Level 1'!N255)</f>
        <v>Pt Id:3807 Pt Name: Caldoza, Eden DOS: 03-24-2022   Amnt: $227.6  Note</v>
      </c>
      <c r="B255" s="43" t="str">
        <f>CONCATENATE("Detail: ",'Level 1'!N255,"  ",'Level 1'!O255,TEXT('Level 1'!P255,"  mm-dd-yyyy"),";"," ",'Level 1'!Q255,'Level 1'!R255,"  ",'Level 1'!T255," ","Payment "," ",'Level 1'!U255,"  ",'Level 1'!V255,"  ",'Level 1'!W255,"  ",'Level 1'!X255,"  ",'Level 1'!Z255, "  ",'Level 1'!AA255, " ","Insurance: ",'Level 1'!A255)</f>
        <v>Detail: Note  Q1  01-00-1900; Q2   Payment  Q4    Q5    Additional Notes:   Insurance: DPOW-CCHP</v>
      </c>
      <c r="C255" s="60" t="str">
        <f>'Level 1'!Y255</f>
        <v>Action</v>
      </c>
      <c r="D255" s="44" t="str">
        <f>VLOOKUP(C255,Table2[#All],3,FALSE)</f>
        <v>What we need from you/Reason</v>
      </c>
      <c r="E255" s="75" t="s">
        <v>199</v>
      </c>
      <c r="F255" s="96"/>
      <c r="G255" s="97"/>
    </row>
    <row r="256" spans="1:7" ht="42" x14ac:dyDescent="0.25">
      <c r="A256" s="43" t="str">
        <f>CONCATENATE("Pt Id:",'Level 1'!E256," ","Pt Name: ",'Level 1'!F256," ","DOS: ", TEXT('Level 1'!H256,"mm-dd-yyyy"),"  "," Amnt: ","$",'Level 1'!J256,"  ", 'Level 1'!N256)</f>
        <v>Pt Id:8855 Pt Name: Hassan , Nur Fatimah  DOS: 03-24-2022   Amnt: $480  Note</v>
      </c>
      <c r="B256" s="43" t="str">
        <f>CONCATENATE("Detail: ",'Level 1'!N256,"  ",'Level 1'!O256,TEXT('Level 1'!P256,"  mm-dd-yyyy"),";"," ",'Level 1'!Q256,'Level 1'!R256,"  ",'Level 1'!T256," ","Payment "," ",'Level 1'!U256,"  ",'Level 1'!V256,"  ",'Level 1'!W256,"  ",'Level 1'!X256,"  ",'Level 1'!Z256, "  ",'Level 1'!AA256, " ","Insurance: ",'Level 1'!A256)</f>
        <v>Detail: Note  Q1  01-00-1900; Q2   Payment  Q4    Q5    Additional Notes:   Insurance: DPOW-CCHP</v>
      </c>
      <c r="C256" s="60" t="str">
        <f>'Level 1'!Y256</f>
        <v>Action</v>
      </c>
      <c r="D256" s="44" t="str">
        <f>VLOOKUP(C256,Table2[#All],3,FALSE)</f>
        <v>What we need from you/Reason</v>
      </c>
      <c r="E256" s="75" t="s">
        <v>199</v>
      </c>
      <c r="F256" s="96"/>
      <c r="G256" s="97"/>
    </row>
    <row r="257" spans="1:7" ht="21" x14ac:dyDescent="0.25">
      <c r="A257" s="43" t="str">
        <f>CONCATENATE("Pt Id:",'Level 1'!E257," ","Pt Name: ",'Level 1'!F257," ","DOS: ", TEXT('Level 1'!H257,"mm-dd-yyyy"),"  "," Amnt: ","$",'Level 1'!J257,"  ", 'Level 1'!N257)</f>
        <v>Pt Id:3802 Pt Name: Caldoza, Eliana DOS: 03-24-2022   Amnt: $227.6  Note</v>
      </c>
      <c r="B257" s="43" t="str">
        <f>CONCATENATE("Detail: ",'Level 1'!N257,"  ",'Level 1'!O257,TEXT('Level 1'!P257,"  mm-dd-yyyy"),";"," ",'Level 1'!Q257,'Level 1'!R257,"  ",'Level 1'!T257," ","Payment "," ",'Level 1'!U257,"  ",'Level 1'!V257,"  ",'Level 1'!W257,"  ",'Level 1'!X257,"  ",'Level 1'!Z257, "  ",'Level 1'!AA257, " ","Insurance: ",'Level 1'!A257)</f>
        <v>Detail: Note  Q1  01-00-1900; Q2   Payment  Q4    Q5    Additional Notes:   Insurance: DPOW-CCHP</v>
      </c>
      <c r="C257" s="60" t="str">
        <f>'Level 1'!Y257</f>
        <v>Action</v>
      </c>
      <c r="D257" s="44" t="str">
        <f>VLOOKUP(C257,Table2[#All],3,FALSE)</f>
        <v>What we need from you/Reason</v>
      </c>
      <c r="E257" s="75" t="s">
        <v>199</v>
      </c>
      <c r="F257" s="96"/>
      <c r="G257" s="97"/>
    </row>
    <row r="258" spans="1:7" ht="21" x14ac:dyDescent="0.25">
      <c r="A258" s="43" t="str">
        <f>CONCATENATE("Pt Id:",'Level 1'!E258," ","Pt Name: ",'Level 1'!F258," ","DOS: ", TEXT('Level 1'!H258,"mm-dd-yyyy"),"  "," Amnt: ","$",'Level 1'!J258,"  ", 'Level 1'!N258)</f>
        <v>Pt Id:6797 Pt Name: Black, Janessa  DOS: 02-25-2022   Amnt: $240  Note</v>
      </c>
      <c r="B258" s="43" t="str">
        <f>CONCATENATE("Detail: ",'Level 1'!N258,"  ",'Level 1'!O258,TEXT('Level 1'!P258,"  mm-dd-yyyy"),";"," ",'Level 1'!Q258,'Level 1'!R258,"  ",'Level 1'!T258," ","Payment "," ",'Level 1'!U258,"  ",'Level 1'!V258,"  ",'Level 1'!W258,"  ",'Level 1'!X258,"  ",'Level 1'!Z258, "  ",'Level 1'!AA258, " ","Insurance: ",'Level 1'!A258)</f>
        <v>Detail: Note  Q1  01-00-1900; Q2   Payment  Q4    Q5    Additional Notes:   Insurance: DPOW-CCHP</v>
      </c>
      <c r="C258" s="60" t="str">
        <f>'Level 1'!Y258</f>
        <v>Action</v>
      </c>
      <c r="D258" s="44" t="str">
        <f>VLOOKUP(C258,Table2[#All],3,FALSE)</f>
        <v>What we need from you/Reason</v>
      </c>
      <c r="E258" s="75" t="s">
        <v>199</v>
      </c>
      <c r="F258" s="96"/>
      <c r="G258" s="97"/>
    </row>
    <row r="259" spans="1:7" ht="21" x14ac:dyDescent="0.25">
      <c r="A259" s="43" t="str">
        <f>CONCATENATE("Pt Id:",'Level 1'!E259," ","Pt Name: ",'Level 1'!F259," ","DOS: ", TEXT('Level 1'!H259,"mm-dd-yyyy"),"  "," Amnt: ","$",'Level 1'!J259,"  ", 'Level 1'!N259)</f>
        <v>Pt Id:2028 Pt Name: Fattah, Nizar DOS: 03-23-2022   Amnt: $149.6  Note</v>
      </c>
      <c r="B259" s="43" t="str">
        <f>CONCATENATE("Detail: ",'Level 1'!N259,"  ",'Level 1'!O259,TEXT('Level 1'!P259,"  mm-dd-yyyy"),";"," ",'Level 1'!Q259,'Level 1'!R259,"  ",'Level 1'!T259," ","Payment "," ",'Level 1'!U259,"  ",'Level 1'!V259,"  ",'Level 1'!W259,"  ",'Level 1'!X259,"  ",'Level 1'!Z259, "  ",'Level 1'!AA259, " ","Insurance: ",'Level 1'!A259)</f>
        <v>Detail: Note  Q1  01-00-1900; Q2   Payment  Q4    Q5    Additional Notes:   Insurance: DPOW-CCHP</v>
      </c>
      <c r="C259" s="60" t="str">
        <f>'Level 1'!Y259</f>
        <v>Action</v>
      </c>
      <c r="D259" s="44" t="str">
        <f>VLOOKUP(C259,Table2[#All],3,FALSE)</f>
        <v>What we need from you/Reason</v>
      </c>
      <c r="E259" s="75" t="s">
        <v>199</v>
      </c>
      <c r="F259" s="96"/>
      <c r="G259" s="97"/>
    </row>
    <row r="260" spans="1:7" ht="42" x14ac:dyDescent="0.25">
      <c r="A260" s="43" t="str">
        <f>CONCATENATE("Pt Id:",'Level 1'!E260," ","Pt Name: ",'Level 1'!F260," ","DOS: ", TEXT('Level 1'!H260,"mm-dd-yyyy"),"  "," Amnt: ","$",'Level 1'!J260,"  ", 'Level 1'!N260)</f>
        <v>Pt Id:9312 Pt Name: Mcginnity, Penelope  DOS: 03-23-2022   Amnt: $238  Note</v>
      </c>
      <c r="B260" s="43" t="str">
        <f>CONCATENATE("Detail: ",'Level 1'!N260,"  ",'Level 1'!O260,TEXT('Level 1'!P260,"  mm-dd-yyyy"),";"," ",'Level 1'!Q260,'Level 1'!R260,"  ",'Level 1'!T260," ","Payment "," ",'Level 1'!U260,"  ",'Level 1'!V260,"  ",'Level 1'!W260,"  ",'Level 1'!X260,"  ",'Level 1'!Z260, "  ",'Level 1'!AA260, " ","Insurance: ",'Level 1'!A260)</f>
        <v>Detail: Note  Q1  01-00-1900; Q2   Payment  Q4    Q5    Additional Notes:   Insurance: DPOW-CCHP</v>
      </c>
      <c r="C260" s="60" t="str">
        <f>'Level 1'!Y260</f>
        <v>Action</v>
      </c>
      <c r="D260" s="44" t="str">
        <f>VLOOKUP(C260,Table2[#All],3,FALSE)</f>
        <v>What we need from you/Reason</v>
      </c>
      <c r="E260" s="75" t="s">
        <v>199</v>
      </c>
      <c r="F260" s="96"/>
      <c r="G260" s="97"/>
    </row>
    <row r="261" spans="1:7" ht="21" x14ac:dyDescent="0.25">
      <c r="A261" s="43" t="str">
        <f>CONCATENATE("Pt Id:",'Level 1'!E261," ","Pt Name: ",'Level 1'!F261," ","DOS: ", TEXT('Level 1'!H261,"mm-dd-yyyy"),"  "," Amnt: ","$",'Level 1'!J261,"  ", 'Level 1'!N261)</f>
        <v>Pt Id:9339 Pt Name: Kassim, Osman  DOS: 03-23-2022   Amnt: $751.2  Note</v>
      </c>
      <c r="B261" s="43" t="str">
        <f>CONCATENATE("Detail: ",'Level 1'!N261,"  ",'Level 1'!O261,TEXT('Level 1'!P261,"  mm-dd-yyyy"),";"," ",'Level 1'!Q261,'Level 1'!R261,"  ",'Level 1'!T261," ","Payment "," ",'Level 1'!U261,"  ",'Level 1'!V261,"  ",'Level 1'!W261,"  ",'Level 1'!X261,"  ",'Level 1'!Z261, "  ",'Level 1'!AA261, " ","Insurance: ",'Level 1'!A261)</f>
        <v>Detail: Note  Q1  01-00-1900; Q2   Payment  Q4    Q5    Additional Notes:   Insurance: DPOW-CCHP</v>
      </c>
      <c r="C261" s="60" t="str">
        <f>'Level 1'!Y261</f>
        <v>Action</v>
      </c>
      <c r="D261" s="44" t="str">
        <f>VLOOKUP(C261,Table2[#All],3,FALSE)</f>
        <v>What we need from you/Reason</v>
      </c>
      <c r="E261" s="75" t="s">
        <v>199</v>
      </c>
      <c r="F261" s="96"/>
      <c r="G261" s="97"/>
    </row>
    <row r="262" spans="1:7" ht="21" x14ac:dyDescent="0.25">
      <c r="A262" s="43" t="str">
        <f>CONCATENATE("Pt Id:",'Level 1'!E262," ","Pt Name: ",'Level 1'!F262," ","DOS: ", TEXT('Level 1'!H262,"mm-dd-yyyy"),"  "," Amnt: ","$",'Level 1'!J262,"  ", 'Level 1'!N262)</f>
        <v>Pt Id:7281 Pt Name: Mcclendon, Kayla DOS: 03-23-2022   Amnt: $61.2  Note</v>
      </c>
      <c r="B262" s="43" t="str">
        <f>CONCATENATE("Detail: ",'Level 1'!N262,"  ",'Level 1'!O262,TEXT('Level 1'!P262,"  mm-dd-yyyy"),";"," ",'Level 1'!Q262,'Level 1'!R262,"  ",'Level 1'!T262," ","Payment "," ",'Level 1'!U262,"  ",'Level 1'!V262,"  ",'Level 1'!W262,"  ",'Level 1'!X262,"  ",'Level 1'!Z262, "  ",'Level 1'!AA262, " ","Insurance: ",'Level 1'!A262)</f>
        <v>Detail: Note  Q1  01-00-1900; Q2   Payment  Q4    Q5    Additional Notes:   Insurance: DPOW-CCHP</v>
      </c>
      <c r="C262" s="60" t="str">
        <f>'Level 1'!Y262</f>
        <v>Action</v>
      </c>
      <c r="D262" s="44" t="str">
        <f>VLOOKUP(C262,Table2[#All],3,FALSE)</f>
        <v>What we need from you/Reason</v>
      </c>
      <c r="E262" s="75" t="s">
        <v>199</v>
      </c>
      <c r="F262" s="96"/>
      <c r="G262" s="97"/>
    </row>
    <row r="263" spans="1:7" ht="21" x14ac:dyDescent="0.25">
      <c r="A263" s="43" t="str">
        <f>CONCATENATE("Pt Id:",'Level 1'!E263," ","Pt Name: ",'Level 1'!F263," ","DOS: ", TEXT('Level 1'!H263,"mm-dd-yyyy"),"  "," Amnt: ","$",'Level 1'!J263,"  ", 'Level 1'!N263)</f>
        <v>Pt Id:1902 Pt Name: Burgos, Leticia DOS: 03-23-2022   Amnt: $227.6  Note</v>
      </c>
      <c r="B263" s="43" t="str">
        <f>CONCATENATE("Detail: ",'Level 1'!N263,"  ",'Level 1'!O263,TEXT('Level 1'!P263,"  mm-dd-yyyy"),";"," ",'Level 1'!Q263,'Level 1'!R263,"  ",'Level 1'!T263," ","Payment "," ",'Level 1'!U263,"  ",'Level 1'!V263,"  ",'Level 1'!W263,"  ",'Level 1'!X263,"  ",'Level 1'!Z263, "  ",'Level 1'!AA263, " ","Insurance: ",'Level 1'!A263)</f>
        <v>Detail: Note  Q1  01-00-1900; Q2   Payment  Q4    Q5    Additional Notes:   Insurance: DPOW-CCHP</v>
      </c>
      <c r="C263" s="60" t="str">
        <f>'Level 1'!Y263</f>
        <v>Action</v>
      </c>
      <c r="D263" s="44" t="str">
        <f>VLOOKUP(C263,Table2[#All],3,FALSE)</f>
        <v>What we need from you/Reason</v>
      </c>
      <c r="E263" s="75" t="s">
        <v>199</v>
      </c>
      <c r="F263" s="96"/>
      <c r="G263" s="97"/>
    </row>
    <row r="264" spans="1:7" ht="21" x14ac:dyDescent="0.25">
      <c r="A264" s="43" t="str">
        <f>CONCATENATE("Pt Id:",'Level 1'!E264," ","Pt Name: ",'Level 1'!F264," ","DOS: ", TEXT('Level 1'!H264,"mm-dd-yyyy"),"  "," Amnt: ","$",'Level 1'!J264,"  ", 'Level 1'!N264)</f>
        <v>Pt Id:8028 Pt Name: Oneill, Summer  DOS: 03-23-2022   Amnt: $266  Note</v>
      </c>
      <c r="B264" s="43" t="str">
        <f>CONCATENATE("Detail: ",'Level 1'!N264,"  ",'Level 1'!O264,TEXT('Level 1'!P264,"  mm-dd-yyyy"),";"," ",'Level 1'!Q264,'Level 1'!R264,"  ",'Level 1'!T264," ","Payment "," ",'Level 1'!U264,"  ",'Level 1'!V264,"  ",'Level 1'!W264,"  ",'Level 1'!X264,"  ",'Level 1'!Z264, "  ",'Level 1'!AA264, " ","Insurance: ",'Level 1'!A264)</f>
        <v>Detail: Note  Q1  01-00-1900; Q2   Payment  Q4    Q5    Additional Notes:   Insurance: DPOW-CCHP</v>
      </c>
      <c r="C264" s="60" t="str">
        <f>'Level 1'!Y264</f>
        <v>Action</v>
      </c>
      <c r="D264" s="44" t="str">
        <f>VLOOKUP(C264,Table2[#All],3,FALSE)</f>
        <v>What we need from you/Reason</v>
      </c>
      <c r="E264" s="75" t="s">
        <v>199</v>
      </c>
      <c r="F264" s="96"/>
      <c r="G264" s="97"/>
    </row>
    <row r="265" spans="1:7" ht="21" x14ac:dyDescent="0.25">
      <c r="A265" s="43" t="str">
        <f>CONCATENATE("Pt Id:",'Level 1'!E265," ","Pt Name: ",'Level 1'!F265," ","DOS: ", TEXT('Level 1'!H265,"mm-dd-yyyy"),"  "," Amnt: ","$",'Level 1'!J265,"  ", 'Level 1'!N265)</f>
        <v>Pt Id:9323 Pt Name: Hess, Heather  DOS: 03-23-2022   Amnt: $446.4  Note</v>
      </c>
      <c r="B265" s="43" t="str">
        <f>CONCATENATE("Detail: ",'Level 1'!N265,"  ",'Level 1'!O265,TEXT('Level 1'!P265,"  mm-dd-yyyy"),";"," ",'Level 1'!Q265,'Level 1'!R265,"  ",'Level 1'!T265," ","Payment "," ",'Level 1'!U265,"  ",'Level 1'!V265,"  ",'Level 1'!W265,"  ",'Level 1'!X265,"  ",'Level 1'!Z265, "  ",'Level 1'!AA265, " ","Insurance: ",'Level 1'!A265)</f>
        <v>Detail: Note  Q1  01-00-1900; Q2   Payment  Q4    Q5    Additional Notes:   Insurance: DPOW-CCHP</v>
      </c>
      <c r="C265" s="60" t="str">
        <f>'Level 1'!Y265</f>
        <v>Action</v>
      </c>
      <c r="D265" s="44" t="str">
        <f>VLOOKUP(C265,Table2[#All],3,FALSE)</f>
        <v>What we need from you/Reason</v>
      </c>
      <c r="E265" s="75" t="s">
        <v>199</v>
      </c>
      <c r="F265" s="96"/>
      <c r="G265" s="97"/>
    </row>
    <row r="266" spans="1:7" ht="21" x14ac:dyDescent="0.25">
      <c r="A266" s="43" t="str">
        <f>CONCATENATE("Pt Id:",'Level 1'!E266," ","Pt Name: ",'Level 1'!F266," ","DOS: ", TEXT('Level 1'!H266,"mm-dd-yyyy"),"  "," Amnt: ","$",'Level 1'!J266,"  ", 'Level 1'!N266)</f>
        <v>Pt Id:6000 Pt Name: Lynch, Miricle  DOS: 03-22-2022   Amnt: $402.8  Note</v>
      </c>
      <c r="B266" s="43" t="str">
        <f>CONCATENATE("Detail: ",'Level 1'!N266,"  ",'Level 1'!O266,TEXT('Level 1'!P266,"  mm-dd-yyyy"),";"," ",'Level 1'!Q266,'Level 1'!R266,"  ",'Level 1'!T266," ","Payment "," ",'Level 1'!U266,"  ",'Level 1'!V266,"  ",'Level 1'!W266,"  ",'Level 1'!X266,"  ",'Level 1'!Z266, "  ",'Level 1'!AA266, " ","Insurance: ",'Level 1'!A266)</f>
        <v>Detail: Note  Q1  01-00-1900; Q2   Payment  Q4    Q5    Additional Notes:   Insurance: DPOW-CCHP</v>
      </c>
      <c r="C266" s="60" t="str">
        <f>'Level 1'!Y266</f>
        <v>Action</v>
      </c>
      <c r="D266" s="44" t="str">
        <f>VLOOKUP(C266,Table2[#All],3,FALSE)</f>
        <v>What we need from you/Reason</v>
      </c>
      <c r="E266" s="75" t="s">
        <v>199</v>
      </c>
      <c r="F266" s="96"/>
      <c r="G266" s="97"/>
    </row>
    <row r="267" spans="1:7" ht="21" x14ac:dyDescent="0.25">
      <c r="A267" s="43" t="str">
        <f>CONCATENATE("Pt Id:",'Level 1'!E267," ","Pt Name: ",'Level 1'!F267," ","DOS: ", TEXT('Level 1'!H267,"mm-dd-yyyy"),"  "," Amnt: ","$",'Level 1'!J267,"  ", 'Level 1'!N267)</f>
        <v>Pt Id:7981 Pt Name: Sconzert, Jada DOS: 03-22-2022   Amnt: $227.6  Note</v>
      </c>
      <c r="B267" s="43" t="str">
        <f>CONCATENATE("Detail: ",'Level 1'!N267,"  ",'Level 1'!O267,TEXT('Level 1'!P267,"  mm-dd-yyyy"),";"," ",'Level 1'!Q267,'Level 1'!R267,"  ",'Level 1'!T267," ","Payment "," ",'Level 1'!U267,"  ",'Level 1'!V267,"  ",'Level 1'!W267,"  ",'Level 1'!X267,"  ",'Level 1'!Z267, "  ",'Level 1'!AA267, " ","Insurance: ",'Level 1'!A267)</f>
        <v>Detail: Note  Q1  01-00-1900; Q2   Payment  Q4    Q5    Additional Notes:   Insurance: DPOW-CCHP</v>
      </c>
      <c r="C267" s="60" t="str">
        <f>'Level 1'!Y267</f>
        <v>Action</v>
      </c>
      <c r="D267" s="44" t="str">
        <f>VLOOKUP(C267,Table2[#All],3,FALSE)</f>
        <v>What we need from you/Reason</v>
      </c>
      <c r="E267" s="75" t="s">
        <v>199</v>
      </c>
      <c r="F267" s="96"/>
      <c r="G267" s="97"/>
    </row>
    <row r="268" spans="1:7" ht="42" x14ac:dyDescent="0.25">
      <c r="A268" s="43" t="str">
        <f>CONCATENATE("Pt Id:",'Level 1'!E268," ","Pt Name: ",'Level 1'!F268," ","DOS: ", TEXT('Level 1'!H268,"mm-dd-yyyy"),"  "," Amnt: ","$",'Level 1'!J268,"  ", 'Level 1'!N268)</f>
        <v>Pt Id:3710 Pt Name: MUSTAFA, ADAMARIS DOS: 03-22-2022   Amnt: $61.2  Note</v>
      </c>
      <c r="B268" s="43" t="str">
        <f>CONCATENATE("Detail: ",'Level 1'!N268,"  ",'Level 1'!O268,TEXT('Level 1'!P268,"  mm-dd-yyyy"),";"," ",'Level 1'!Q268,'Level 1'!R268,"  ",'Level 1'!T268," ","Payment "," ",'Level 1'!U268,"  ",'Level 1'!V268,"  ",'Level 1'!W268,"  ",'Level 1'!X268,"  ",'Level 1'!Z268, "  ",'Level 1'!AA268, " ","Insurance: ",'Level 1'!A268)</f>
        <v>Detail: Note  Q1  01-00-1900; Q2   Payment  Q4    Q5    Additional Notes:   Insurance: DPOW-CCHP</v>
      </c>
      <c r="C268" s="60" t="str">
        <f>'Level 1'!Y268</f>
        <v>Action</v>
      </c>
      <c r="D268" s="44" t="str">
        <f>VLOOKUP(C268,Table2[#All],3,FALSE)</f>
        <v>What we need from you/Reason</v>
      </c>
      <c r="E268" s="75" t="s">
        <v>199</v>
      </c>
      <c r="F268" s="96"/>
      <c r="G268" s="97"/>
    </row>
    <row r="269" spans="1:7" ht="21" x14ac:dyDescent="0.25">
      <c r="A269" s="43" t="str">
        <f>CONCATENATE("Pt Id:",'Level 1'!E269," ","Pt Name: ",'Level 1'!F269," ","DOS: ", TEXT('Level 1'!H269,"mm-dd-yyyy"),"  "," Amnt: ","$",'Level 1'!J269,"  ", 'Level 1'!N269)</f>
        <v>Pt Id:9118 Pt Name: Pintor , Elayna  DOS: 03-22-2022   Amnt: $188.4  Note</v>
      </c>
      <c r="B269" s="43" t="str">
        <f>CONCATENATE("Detail: ",'Level 1'!N269,"  ",'Level 1'!O269,TEXT('Level 1'!P269,"  mm-dd-yyyy"),";"," ",'Level 1'!Q269,'Level 1'!R269,"  ",'Level 1'!T269," ","Payment "," ",'Level 1'!U269,"  ",'Level 1'!V269,"  ",'Level 1'!W269,"  ",'Level 1'!X269,"  ",'Level 1'!Z269, "  ",'Level 1'!AA269, " ","Insurance: ",'Level 1'!A269)</f>
        <v>Detail: Note  Q1  01-00-1900; Q2   Payment  Q4    Q5    Additional Notes:   Insurance: DPOW-CCHP</v>
      </c>
      <c r="C269" s="60" t="str">
        <f>'Level 1'!Y269</f>
        <v>Action</v>
      </c>
      <c r="D269" s="44" t="str">
        <f>VLOOKUP(C269,Table2[#All],3,FALSE)</f>
        <v>What we need from you/Reason</v>
      </c>
      <c r="E269" s="75" t="s">
        <v>199</v>
      </c>
      <c r="F269" s="96"/>
      <c r="G269" s="97"/>
    </row>
    <row r="270" spans="1:7" ht="42" x14ac:dyDescent="0.25">
      <c r="A270" s="43" t="str">
        <f>CONCATENATE("Pt Id:",'Level 1'!E270," ","Pt Name: ",'Level 1'!F270," ","DOS: ", TEXT('Level 1'!H270,"mm-dd-yyyy"),"  "," Amnt: ","$",'Level 1'!J270,"  ", 'Level 1'!N270)</f>
        <v>Pt Id:9312 Pt Name: Mcginnity, Penelope  DOS: 03-21-2022   Amnt: $256.4  Note</v>
      </c>
      <c r="B270" s="43" t="str">
        <f>CONCATENATE("Detail: ",'Level 1'!N270,"  ",'Level 1'!O270,TEXT('Level 1'!P270,"  mm-dd-yyyy"),";"," ",'Level 1'!Q270,'Level 1'!R270,"  ",'Level 1'!T270," ","Payment "," ",'Level 1'!U270,"  ",'Level 1'!V270,"  ",'Level 1'!W270,"  ",'Level 1'!X270,"  ",'Level 1'!Z270, "  ",'Level 1'!AA270, " ","Insurance: ",'Level 1'!A270)</f>
        <v>Detail: Note  Q1  01-00-1900; Q2   Payment  Q4    Q5    Additional Notes:   Insurance: DPOW-CCHP</v>
      </c>
      <c r="C270" s="60" t="str">
        <f>'Level 1'!Y270</f>
        <v>Action</v>
      </c>
      <c r="D270" s="44" t="str">
        <f>VLOOKUP(C270,Table2[#All],3,FALSE)</f>
        <v>What we need from you/Reason</v>
      </c>
      <c r="E270" s="75" t="s">
        <v>199</v>
      </c>
      <c r="F270" s="96"/>
      <c r="G270" s="97"/>
    </row>
    <row r="271" spans="1:7" ht="42" x14ac:dyDescent="0.25">
      <c r="A271" s="43" t="str">
        <f>CONCATENATE("Pt Id:",'Level 1'!E271," ","Pt Name: ",'Level 1'!F271," ","DOS: ", TEXT('Level 1'!H271,"mm-dd-yyyy"),"  "," Amnt: ","$",'Level 1'!J271,"  ", 'Level 1'!N271)</f>
        <v>Pt Id:3276 Pt Name: TELFORD, LARONDA  DOS: 03-21-2022   Amnt: $1339.2  Note</v>
      </c>
      <c r="B271" s="43" t="str">
        <f>CONCATENATE("Detail: ",'Level 1'!N271,"  ",'Level 1'!O271,TEXT('Level 1'!P271,"  mm-dd-yyyy"),";"," ",'Level 1'!Q271,'Level 1'!R271,"  ",'Level 1'!T271," ","Payment "," ",'Level 1'!U271,"  ",'Level 1'!V271,"  ",'Level 1'!W271,"  ",'Level 1'!X271,"  ",'Level 1'!Z271, "  ",'Level 1'!AA271, " ","Insurance: ",'Level 1'!A271)</f>
        <v>Detail: Note  Q1  01-00-1900; Q2   Payment  Q4    Q5    Additional Notes:   Insurance: DPOW-CCHP</v>
      </c>
      <c r="C271" s="60" t="str">
        <f>'Level 1'!Y271</f>
        <v>Action</v>
      </c>
      <c r="D271" s="44" t="str">
        <f>VLOOKUP(C271,Table2[#All],3,FALSE)</f>
        <v>What we need from you/Reason</v>
      </c>
      <c r="E271" s="75" t="s">
        <v>199</v>
      </c>
      <c r="F271" s="96"/>
      <c r="G271" s="97"/>
    </row>
    <row r="272" spans="1:7" ht="21" x14ac:dyDescent="0.25">
      <c r="A272" s="43" t="str">
        <f>CONCATENATE("Pt Id:",'Level 1'!E272," ","Pt Name: ",'Level 1'!F272," ","DOS: ", TEXT('Level 1'!H272,"mm-dd-yyyy"),"  "," Amnt: ","$",'Level 1'!J272,"  ", 'Level 1'!N272)</f>
        <v>Pt Id:9315 Pt Name: Becker , David DOS: 03-21-2022   Amnt: $166.8  Note</v>
      </c>
      <c r="B272" s="43" t="str">
        <f>CONCATENATE("Detail: ",'Level 1'!N272,"  ",'Level 1'!O272,TEXT('Level 1'!P272,"  mm-dd-yyyy"),";"," ",'Level 1'!Q272,'Level 1'!R272,"  ",'Level 1'!T272," ","Payment "," ",'Level 1'!U272,"  ",'Level 1'!V272,"  ",'Level 1'!W272,"  ",'Level 1'!X272,"  ",'Level 1'!Z272, "  ",'Level 1'!AA272, " ","Insurance: ",'Level 1'!A272)</f>
        <v>Detail: Note  Q1  01-00-1900; Q2   Payment  Q4    Q5    Additional Notes:   Insurance: DPOW-CCHP</v>
      </c>
      <c r="C272" s="60" t="str">
        <f>'Level 1'!Y272</f>
        <v>Action</v>
      </c>
      <c r="D272" s="44" t="str">
        <f>VLOOKUP(C272,Table2[#All],3,FALSE)</f>
        <v>What we need from you/Reason</v>
      </c>
      <c r="E272" s="75" t="s">
        <v>199</v>
      </c>
      <c r="F272" s="96"/>
      <c r="G272" s="97"/>
    </row>
    <row r="273" spans="1:7" ht="42" x14ac:dyDescent="0.25">
      <c r="A273" s="43" t="str">
        <f>CONCATENATE("Pt Id:",'Level 1'!E273," ","Pt Name: ",'Level 1'!F273," ","DOS: ", TEXT('Level 1'!H273,"mm-dd-yyyy"),"  "," Amnt: ","$",'Level 1'!J273,"  ", 'Level 1'!N273)</f>
        <v>Pt Id:9314 Pt Name: Mcginnty , Theodore  DOS: 03-21-2022   Amnt: $256.4  Note</v>
      </c>
      <c r="B273" s="43" t="str">
        <f>CONCATENATE("Detail: ",'Level 1'!N273,"  ",'Level 1'!O273,TEXT('Level 1'!P273,"  mm-dd-yyyy"),";"," ",'Level 1'!Q273,'Level 1'!R273,"  ",'Level 1'!T273," ","Payment "," ",'Level 1'!U273,"  ",'Level 1'!V273,"  ",'Level 1'!W273,"  ",'Level 1'!X273,"  ",'Level 1'!Z273, "  ",'Level 1'!AA273, " ","Insurance: ",'Level 1'!A273)</f>
        <v>Detail: Note  Q1  01-00-1900; Q2   Payment  Q4    Q5    Additional Notes:   Insurance: DPOW-CCHP</v>
      </c>
      <c r="C273" s="60" t="str">
        <f>'Level 1'!Y273</f>
        <v>Action</v>
      </c>
      <c r="D273" s="44" t="str">
        <f>VLOOKUP(C273,Table2[#All],3,FALSE)</f>
        <v>What we need from you/Reason</v>
      </c>
      <c r="E273" s="75" t="s">
        <v>199</v>
      </c>
      <c r="F273" s="96"/>
      <c r="G273" s="97"/>
    </row>
    <row r="274" spans="1:7" ht="21" x14ac:dyDescent="0.25">
      <c r="A274" s="43" t="str">
        <f>CONCATENATE("Pt Id:",'Level 1'!E274," ","Pt Name: ",'Level 1'!F274," ","DOS: ", TEXT('Level 1'!H274,"mm-dd-yyyy"),"  "," Amnt: ","$",'Level 1'!J274,"  ", 'Level 1'!N274)</f>
        <v>Pt Id:9091 Pt Name: Kaur , Khushwant  DOS: 03-19-2022   Amnt: $966  Note</v>
      </c>
      <c r="B274" s="43" t="str">
        <f>CONCATENATE("Detail: ",'Level 1'!N274,"  ",'Level 1'!O274,TEXT('Level 1'!P274,"  mm-dd-yyyy"),";"," ",'Level 1'!Q274,'Level 1'!R274,"  ",'Level 1'!T274," ","Payment "," ",'Level 1'!U274,"  ",'Level 1'!V274,"  ",'Level 1'!W274,"  ",'Level 1'!X274,"  ",'Level 1'!Z274, "  ",'Level 1'!AA274, " ","Insurance: ",'Level 1'!A274)</f>
        <v>Detail: Note  Q1  01-00-1900; Q2   Payment  Q4    Q5    Additional Notes:   Insurance: DPOW-CCHP</v>
      </c>
      <c r="C274" s="60" t="str">
        <f>'Level 1'!Y274</f>
        <v>Action</v>
      </c>
      <c r="D274" s="44" t="str">
        <f>VLOOKUP(C274,Table2[#All],3,FALSE)</f>
        <v>What we need from you/Reason</v>
      </c>
      <c r="E274" s="75" t="s">
        <v>199</v>
      </c>
      <c r="F274" s="96"/>
      <c r="G274" s="97"/>
    </row>
    <row r="275" spans="1:7" ht="21" x14ac:dyDescent="0.25">
      <c r="A275" s="43" t="str">
        <f>CONCATENATE("Pt Id:",'Level 1'!E275," ","Pt Name: ",'Level 1'!F275," ","DOS: ", TEXT('Level 1'!H275,"mm-dd-yyyy"),"  "," Amnt: ","$",'Level 1'!J275,"  ", 'Level 1'!N275)</f>
        <v>Pt Id:9290 Pt Name: Gonzalez, Alicia DOS: 03-19-2022   Amnt: $1905.2  Note</v>
      </c>
      <c r="B275" s="43" t="str">
        <f>CONCATENATE("Detail: ",'Level 1'!N275,"  ",'Level 1'!O275,TEXT('Level 1'!P275,"  mm-dd-yyyy"),";"," ",'Level 1'!Q275,'Level 1'!R275,"  ",'Level 1'!T275," ","Payment "," ",'Level 1'!U275,"  ",'Level 1'!V275,"  ",'Level 1'!W275,"  ",'Level 1'!X275,"  ",'Level 1'!Z275, "  ",'Level 1'!AA275, " ","Insurance: ",'Level 1'!A275)</f>
        <v>Detail: Note  Q1  01-00-1900; Q2   Payment  Q4    Q5    Additional Notes:   Insurance: DPOW-CCHP</v>
      </c>
      <c r="C275" s="60" t="str">
        <f>'Level 1'!Y275</f>
        <v>Action</v>
      </c>
      <c r="D275" s="44" t="str">
        <f>VLOOKUP(C275,Table2[#All],3,FALSE)</f>
        <v>What we need from you/Reason</v>
      </c>
      <c r="E275" s="75" t="s">
        <v>199</v>
      </c>
      <c r="F275" s="96"/>
      <c r="G275" s="97"/>
    </row>
    <row r="276" spans="1:7" ht="21" x14ac:dyDescent="0.25">
      <c r="A276" s="43" t="str">
        <f>CONCATENATE("Pt Id:",'Level 1'!E276," ","Pt Name: ",'Level 1'!F276," ","DOS: ", TEXT('Level 1'!H276,"mm-dd-yyyy"),"  "," Amnt: ","$",'Level 1'!J276,"  ", 'Level 1'!N276)</f>
        <v>Pt Id:6822 Pt Name: Miro, Aria  DOS: 03-18-2022   Amnt: $227.6  Note</v>
      </c>
      <c r="B276" s="43" t="str">
        <f>CONCATENATE("Detail: ",'Level 1'!N276,"  ",'Level 1'!O276,TEXT('Level 1'!P276,"  mm-dd-yyyy"),";"," ",'Level 1'!Q276,'Level 1'!R276,"  ",'Level 1'!T276," ","Payment "," ",'Level 1'!U276,"  ",'Level 1'!V276,"  ",'Level 1'!W276,"  ",'Level 1'!X276,"  ",'Level 1'!Z276, "  ",'Level 1'!AA276, " ","Insurance: ",'Level 1'!A276)</f>
        <v>Detail: Note  Q1  01-00-1900; Q2   Payment  Q4    Q5    Additional Notes:   Insurance: DPOW-CCHP</v>
      </c>
      <c r="C276" s="60" t="str">
        <f>'Level 1'!Y276</f>
        <v>Action</v>
      </c>
      <c r="D276" s="44" t="str">
        <f>VLOOKUP(C276,Table2[#All],3,FALSE)</f>
        <v>What we need from you/Reason</v>
      </c>
      <c r="E276" s="75" t="s">
        <v>199</v>
      </c>
      <c r="F276" s="96"/>
      <c r="G276" s="97"/>
    </row>
    <row r="277" spans="1:7" ht="42" x14ac:dyDescent="0.25">
      <c r="A277" s="43" t="str">
        <f>CONCATENATE("Pt Id:",'Level 1'!E277," ","Pt Name: ",'Level 1'!F277," ","DOS: ", TEXT('Level 1'!H277,"mm-dd-yyyy"),"  "," Amnt: ","$",'Level 1'!J277,"  ", 'Level 1'!N277)</f>
        <v>Pt Id:8855 Pt Name: Hassan , Nur Fatimah  DOS: 03-17-2022   Amnt: $660  Note</v>
      </c>
      <c r="B277" s="43" t="str">
        <f>CONCATENATE("Detail: ",'Level 1'!N277,"  ",'Level 1'!O277,TEXT('Level 1'!P277,"  mm-dd-yyyy"),";"," ",'Level 1'!Q277,'Level 1'!R277,"  ",'Level 1'!T277," ","Payment "," ",'Level 1'!U277,"  ",'Level 1'!V277,"  ",'Level 1'!W277,"  ",'Level 1'!X277,"  ",'Level 1'!Z277, "  ",'Level 1'!AA277, " ","Insurance: ",'Level 1'!A277)</f>
        <v>Detail: Note  Q1  01-00-1900; Q2   Payment  Q4    Q5    Additional Notes:   Insurance: DPOW-CCHP</v>
      </c>
      <c r="C277" s="60" t="str">
        <f>'Level 1'!Y277</f>
        <v>Action</v>
      </c>
      <c r="D277" s="44" t="str">
        <f>VLOOKUP(C277,Table2[#All],3,FALSE)</f>
        <v>What we need from you/Reason</v>
      </c>
      <c r="E277" s="75" t="s">
        <v>199</v>
      </c>
      <c r="F277" s="96"/>
      <c r="G277" s="97"/>
    </row>
    <row r="278" spans="1:7" ht="21" x14ac:dyDescent="0.25">
      <c r="A278" s="43" t="str">
        <f>CONCATENATE("Pt Id:",'Level 1'!E278," ","Pt Name: ",'Level 1'!F278," ","DOS: ", TEXT('Level 1'!H278,"mm-dd-yyyy"),"  "," Amnt: ","$",'Level 1'!J278,"  ", 'Level 1'!N278)</f>
        <v>Pt Id:750 Pt Name: KIRSOP, WENDY DOS: 03-17-2022   Amnt: $88.8  Note</v>
      </c>
      <c r="B278" s="43" t="str">
        <f>CONCATENATE("Detail: ",'Level 1'!N278,"  ",'Level 1'!O278,TEXT('Level 1'!P278,"  mm-dd-yyyy"),";"," ",'Level 1'!Q278,'Level 1'!R278,"  ",'Level 1'!T278," ","Payment "," ",'Level 1'!U278,"  ",'Level 1'!V278,"  ",'Level 1'!W278,"  ",'Level 1'!X278,"  ",'Level 1'!Z278, "  ",'Level 1'!AA278, " ","Insurance: ",'Level 1'!A278)</f>
        <v>Detail: Note  Q1  01-00-1900; Q2   Payment  Q4    Q5    Additional Notes:   Insurance: DPOW-CCHP</v>
      </c>
      <c r="C278" s="60" t="str">
        <f>'Level 1'!Y278</f>
        <v>Action</v>
      </c>
      <c r="D278" s="44" t="str">
        <f>VLOOKUP(C278,Table2[#All],3,FALSE)</f>
        <v>What we need from you/Reason</v>
      </c>
      <c r="E278" s="75" t="s">
        <v>199</v>
      </c>
      <c r="F278" s="96"/>
      <c r="G278" s="97"/>
    </row>
    <row r="279" spans="1:7" ht="21" x14ac:dyDescent="0.25">
      <c r="A279" s="43" t="str">
        <f>CONCATENATE("Pt Id:",'Level 1'!E279," ","Pt Name: ",'Level 1'!F279," ","DOS: ", TEXT('Level 1'!H279,"mm-dd-yyyy"),"  "," Amnt: ","$",'Level 1'!J279,"  ", 'Level 1'!N279)</f>
        <v>Pt Id:1005 Pt Name: Chon, Natalie DOS: 03-17-2022   Amnt: $266  Note</v>
      </c>
      <c r="B279" s="43" t="str">
        <f>CONCATENATE("Detail: ",'Level 1'!N279,"  ",'Level 1'!O279,TEXT('Level 1'!P279,"  mm-dd-yyyy"),";"," ",'Level 1'!Q279,'Level 1'!R279,"  ",'Level 1'!T279," ","Payment "," ",'Level 1'!U279,"  ",'Level 1'!V279,"  ",'Level 1'!W279,"  ",'Level 1'!X279,"  ",'Level 1'!Z279, "  ",'Level 1'!AA279, " ","Insurance: ",'Level 1'!A279)</f>
        <v>Detail: Note  Q1  01-00-1900; Q2   Payment  Q4    Q5    Additional Notes:   Insurance: DPOW-CCHP</v>
      </c>
      <c r="C279" s="60" t="str">
        <f>'Level 1'!Y279</f>
        <v>Action</v>
      </c>
      <c r="D279" s="44" t="str">
        <f>VLOOKUP(C279,Table2[#All],3,FALSE)</f>
        <v>What we need from you/Reason</v>
      </c>
      <c r="E279" s="75" t="s">
        <v>199</v>
      </c>
      <c r="F279" s="96"/>
      <c r="G279" s="97"/>
    </row>
    <row r="280" spans="1:7" ht="42" x14ac:dyDescent="0.25">
      <c r="A280" s="43" t="str">
        <f>CONCATENATE("Pt Id:",'Level 1'!E280," ","Pt Name: ",'Level 1'!F280," ","DOS: ", TEXT('Level 1'!H280,"mm-dd-yyyy"),"  "," Amnt: ","$",'Level 1'!J280,"  ", 'Level 1'!N280)</f>
        <v>Pt Id:9263 Pt Name: Dahadha  Hying , Laura DOS: 03-17-2022   Amnt: $466.8  Note</v>
      </c>
      <c r="B280" s="43" t="str">
        <f>CONCATENATE("Detail: ",'Level 1'!N280,"  ",'Level 1'!O280,TEXT('Level 1'!P280,"  mm-dd-yyyy"),";"," ",'Level 1'!Q280,'Level 1'!R280,"  ",'Level 1'!T280," ","Payment "," ",'Level 1'!U280,"  ",'Level 1'!V280,"  ",'Level 1'!W280,"  ",'Level 1'!X280,"  ",'Level 1'!Z280, "  ",'Level 1'!AA280, " ","Insurance: ",'Level 1'!A280)</f>
        <v>Detail: Note  Q1  01-00-1900; Q2   Payment  Q4    Q5    Additional Notes:   Insurance: DPOW-CCHP</v>
      </c>
      <c r="C280" s="60" t="str">
        <f>'Level 1'!Y280</f>
        <v>Action</v>
      </c>
      <c r="D280" s="44" t="str">
        <f>VLOOKUP(C280,Table2[#All],3,FALSE)</f>
        <v>What we need from you/Reason</v>
      </c>
      <c r="E280" s="75" t="s">
        <v>199</v>
      </c>
      <c r="F280" s="96"/>
      <c r="G280" s="97"/>
    </row>
    <row r="281" spans="1:7" ht="21" x14ac:dyDescent="0.25">
      <c r="A281" s="43" t="str">
        <f>CONCATENATE("Pt Id:",'Level 1'!E281," ","Pt Name: ",'Level 1'!F281," ","DOS: ", TEXT('Level 1'!H281,"mm-dd-yyyy"),"  "," Amnt: ","$",'Level 1'!J281,"  ", 'Level 1'!N281)</f>
        <v>Pt Id:4621 Pt Name: Mueller , Aubrey  DOS: 03-17-2022   Amnt: $432  Note</v>
      </c>
      <c r="B281" s="43" t="str">
        <f>CONCATENATE("Detail: ",'Level 1'!N281,"  ",'Level 1'!O281,TEXT('Level 1'!P281,"  mm-dd-yyyy"),";"," ",'Level 1'!Q281,'Level 1'!R281,"  ",'Level 1'!T281," ","Payment "," ",'Level 1'!U281,"  ",'Level 1'!V281,"  ",'Level 1'!W281,"  ",'Level 1'!X281,"  ",'Level 1'!Z281, "  ",'Level 1'!AA281, " ","Insurance: ",'Level 1'!A281)</f>
        <v>Detail: Note  Q1  01-00-1900; Q2   Payment  Q4    Q5    Additional Notes:   Insurance: DPOW-CCHP</v>
      </c>
      <c r="C281" s="60" t="str">
        <f>'Level 1'!Y281</f>
        <v>Action</v>
      </c>
      <c r="D281" s="44" t="str">
        <f>VLOOKUP(C281,Table2[#All],3,FALSE)</f>
        <v>What we need from you/Reason</v>
      </c>
      <c r="E281" s="75" t="s">
        <v>199</v>
      </c>
      <c r="F281" s="96"/>
      <c r="G281" s="97"/>
    </row>
    <row r="282" spans="1:7" ht="21" x14ac:dyDescent="0.25">
      <c r="A282" s="43" t="str">
        <f>CONCATENATE("Pt Id:",'Level 1'!E282," ","Pt Name: ",'Level 1'!F282," ","DOS: ", TEXT('Level 1'!H282,"mm-dd-yyyy"),"  "," Amnt: ","$",'Level 1'!J282,"  ", 'Level 1'!N282)</f>
        <v>Pt Id:1004 Pt Name: Chon, Lianna DOS: 03-17-2022   Amnt: $227.6  Note</v>
      </c>
      <c r="B282" s="43" t="str">
        <f>CONCATENATE("Detail: ",'Level 1'!N282,"  ",'Level 1'!O282,TEXT('Level 1'!P282,"  mm-dd-yyyy"),";"," ",'Level 1'!Q282,'Level 1'!R282,"  ",'Level 1'!T282," ","Payment "," ",'Level 1'!U282,"  ",'Level 1'!V282,"  ",'Level 1'!W282,"  ",'Level 1'!X282,"  ",'Level 1'!Z282, "  ",'Level 1'!AA282, " ","Insurance: ",'Level 1'!A282)</f>
        <v>Detail: Note  Q1  01-00-1900; Q2   Payment  Q4    Q5    Additional Notes:   Insurance: DPOW-CCHP</v>
      </c>
      <c r="C282" s="60" t="str">
        <f>'Level 1'!Y282</f>
        <v>Action</v>
      </c>
      <c r="D282" s="44" t="str">
        <f>VLOOKUP(C282,Table2[#All],3,FALSE)</f>
        <v>What we need from you/Reason</v>
      </c>
      <c r="E282" s="75" t="s">
        <v>199</v>
      </c>
      <c r="F282" s="96"/>
      <c r="G282" s="97"/>
    </row>
    <row r="283" spans="1:7" ht="21" x14ac:dyDescent="0.25">
      <c r="A283" s="43" t="str">
        <f>CONCATENATE("Pt Id:",'Level 1'!E283," ","Pt Name: ",'Level 1'!F283," ","DOS: ", TEXT('Level 1'!H283,"mm-dd-yyyy"),"  "," Amnt: ","$",'Level 1'!J283,"  ", 'Level 1'!N283)</f>
        <v>Pt Id:4989 Pt Name: THLADI , MAH DOS: 03-12-2022   Amnt: $133.2  Note</v>
      </c>
      <c r="B283" s="43" t="str">
        <f>CONCATENATE("Detail: ",'Level 1'!N283,"  ",'Level 1'!O283,TEXT('Level 1'!P283,"  mm-dd-yyyy"),";"," ",'Level 1'!Q283,'Level 1'!R283,"  ",'Level 1'!T283," ","Payment "," ",'Level 1'!U283,"  ",'Level 1'!V283,"  ",'Level 1'!W283,"  ",'Level 1'!X283,"  ",'Level 1'!Z283, "  ",'Level 1'!AA283, " ","Insurance: ",'Level 1'!A283)</f>
        <v>Detail: Note  Q1  01-00-1900; Q2   Payment  Q4    Q5    Additional Notes:   Insurance: DPOW-CCHP</v>
      </c>
      <c r="C283" s="60" t="str">
        <f>'Level 1'!Y283</f>
        <v>Action</v>
      </c>
      <c r="D283" s="44" t="str">
        <f>VLOOKUP(C283,Table2[#All],3,FALSE)</f>
        <v>What we need from you/Reason</v>
      </c>
      <c r="E283" s="75" t="s">
        <v>199</v>
      </c>
      <c r="F283" s="96"/>
      <c r="G283" s="97"/>
    </row>
    <row r="284" spans="1:7" ht="21" x14ac:dyDescent="0.25">
      <c r="A284" s="43" t="str">
        <f>CONCATENATE("Pt Id:",'Level 1'!E284," ","Pt Name: ",'Level 1'!F284," ","DOS: ", TEXT('Level 1'!H284,"mm-dd-yyyy"),"  "," Amnt: ","$",'Level 1'!J284,"  ", 'Level 1'!N284)</f>
        <v>Pt Id:4622 Pt Name: Mueller , Abigail DOS: 03-04-2022   Amnt: $227.6  Note</v>
      </c>
      <c r="B284" s="43" t="str">
        <f>CONCATENATE("Detail: ",'Level 1'!N284,"  ",'Level 1'!O284,TEXT('Level 1'!P284,"  mm-dd-yyyy"),";"," ",'Level 1'!Q284,'Level 1'!R284,"  ",'Level 1'!T284," ","Payment "," ",'Level 1'!U284,"  ",'Level 1'!V284,"  ",'Level 1'!W284,"  ",'Level 1'!X284,"  ",'Level 1'!Z284, "  ",'Level 1'!AA284, " ","Insurance: ",'Level 1'!A284)</f>
        <v>Detail: Note  Q1  01-00-1900; Q2   Payment  Q4    Q5    Additional Notes:   Insurance: DPOW-CCHP</v>
      </c>
      <c r="C284" s="60" t="str">
        <f>'Level 1'!Y284</f>
        <v>Action</v>
      </c>
      <c r="D284" s="44" t="str">
        <f>VLOOKUP(C284,Table2[#All],3,FALSE)</f>
        <v>What we need from you/Reason</v>
      </c>
      <c r="E284" s="75" t="s">
        <v>199</v>
      </c>
      <c r="F284" s="96"/>
      <c r="G284" s="97"/>
    </row>
    <row r="285" spans="1:7" ht="21" x14ac:dyDescent="0.25">
      <c r="A285" s="43" t="str">
        <f>CONCATENATE("Pt Id:",'Level 1'!E285," ","Pt Name: ",'Level 1'!F285," ","DOS: ", TEXT('Level 1'!H285,"mm-dd-yyyy"),"  "," Amnt: ","$",'Level 1'!J285,"  ", 'Level 1'!N285)</f>
        <v>Pt Id:4621 Pt Name: Mueller , Aubrey  DOS: 03-04-2022   Amnt: $227.6  Note</v>
      </c>
      <c r="B285" s="43" t="str">
        <f>CONCATENATE("Detail: ",'Level 1'!N285,"  ",'Level 1'!O285,TEXT('Level 1'!P285,"  mm-dd-yyyy"),";"," ",'Level 1'!Q285,'Level 1'!R285,"  ",'Level 1'!T285," ","Payment "," ",'Level 1'!U285,"  ",'Level 1'!V285,"  ",'Level 1'!W285,"  ",'Level 1'!X285,"  ",'Level 1'!Z285, "  ",'Level 1'!AA285, " ","Insurance: ",'Level 1'!A285)</f>
        <v>Detail: Note  Q1  01-00-1900; Q2   Payment  Q4    Q5    Additional Notes:   Insurance: DPOW-CCHP</v>
      </c>
      <c r="C285" s="60" t="str">
        <f>'Level 1'!Y285</f>
        <v>Action</v>
      </c>
      <c r="D285" s="44" t="str">
        <f>VLOOKUP(C285,Table2[#All],3,FALSE)</f>
        <v>What we need from you/Reason</v>
      </c>
      <c r="E285" s="75" t="s">
        <v>199</v>
      </c>
      <c r="F285" s="96"/>
      <c r="G285" s="97"/>
    </row>
    <row r="286" spans="1:7" ht="21" x14ac:dyDescent="0.25">
      <c r="A286" s="43" t="str">
        <f>CONCATENATE("Pt Id:",'Level 1'!E286," ","Pt Name: ",'Level 1'!F286," ","DOS: ", TEXT('Level 1'!H286,"mm-dd-yyyy"),"  "," Amnt: ","$",'Level 1'!J286,"  ", 'Level 1'!N286)</f>
        <v>Pt Id:3227 Pt Name: Duldulao , Amy  DOS: 03-01-2022   Amnt: $61.2  Note</v>
      </c>
      <c r="B286" s="43" t="str">
        <f>CONCATENATE("Detail: ",'Level 1'!N286,"  ",'Level 1'!O286,TEXT('Level 1'!P286,"  mm-dd-yyyy"),";"," ",'Level 1'!Q286,'Level 1'!R286,"  ",'Level 1'!T286," ","Payment "," ",'Level 1'!U286,"  ",'Level 1'!V286,"  ",'Level 1'!W286,"  ",'Level 1'!X286,"  ",'Level 1'!Z286, "  ",'Level 1'!AA286, " ","Insurance: ",'Level 1'!A286)</f>
        <v>Detail: Note  Q1  01-00-1900; Q2   Payment  Q4    Q5    Additional Notes:   Insurance: DPOW-CCHP</v>
      </c>
      <c r="C286" s="60" t="str">
        <f>'Level 1'!Y286</f>
        <v>Action</v>
      </c>
      <c r="D286" s="44" t="str">
        <f>VLOOKUP(C286,Table2[#All],3,FALSE)</f>
        <v>What we need from you/Reason</v>
      </c>
      <c r="E286" s="75" t="s">
        <v>199</v>
      </c>
      <c r="F286" s="96"/>
      <c r="G286" s="97"/>
    </row>
    <row r="287" spans="1:7" ht="21" x14ac:dyDescent="0.25">
      <c r="A287" s="43" t="str">
        <f>CONCATENATE("Pt Id:",'Level 1'!E287," ","Pt Name: ",'Level 1'!F287," ","DOS: ", TEXT('Level 1'!H287,"mm-dd-yyyy"),"  "," Amnt: ","$",'Level 1'!J287,"  ", 'Level 1'!N287)</f>
        <v>Pt Id:7855 Pt Name: Malik, Adeel  DOS: 09-01-2021   Amnt: $378  Note</v>
      </c>
      <c r="B287" s="43" t="str">
        <f>CONCATENATE("Detail: ",'Level 1'!N287,"  ",'Level 1'!O287,TEXT('Level 1'!P287,"  mm-dd-yyyy"),";"," ",'Level 1'!Q287,'Level 1'!R287,"  ",'Level 1'!T287," ","Payment "," ",'Level 1'!U287,"  ",'Level 1'!V287,"  ",'Level 1'!W287,"  ",'Level 1'!X287,"  ",'Level 1'!Z287, "  ",'Level 1'!AA287, " ","Insurance: ",'Level 1'!A287)</f>
        <v>Detail: Note  Q1  01-00-1900; Q2   Payment  Q4    Q5    Additional Notes:   Insurance: DPOW-CCHP</v>
      </c>
      <c r="C287" s="60" t="str">
        <f>'Level 1'!Y287</f>
        <v>Action</v>
      </c>
      <c r="D287" s="44" t="str">
        <f>VLOOKUP(C287,Table2[#All],3,FALSE)</f>
        <v>What we need from you/Reason</v>
      </c>
      <c r="E287" s="75" t="s">
        <v>199</v>
      </c>
      <c r="F287" s="96"/>
      <c r="G287" s="97"/>
    </row>
    <row r="288" spans="1:7" ht="21" x14ac:dyDescent="0.25">
      <c r="A288" s="43" t="str">
        <f>CONCATENATE("Pt Id:",'Level 1'!E288," ","Pt Name: ",'Level 1'!F288," ","DOS: ", TEXT('Level 1'!H288,"mm-dd-yyyy"),"  "," Amnt: ","$",'Level 1'!J288,"  ", 'Level 1'!N288)</f>
        <v>Pt Id:7306 Pt Name: Kaur Jr, Sandeep DOS: 02-12-2022   Amnt: $80.4  Note</v>
      </c>
      <c r="B288" s="43" t="str">
        <f>CONCATENATE("Detail: ",'Level 1'!N288,"  ",'Level 1'!O288,TEXT('Level 1'!P288,"  mm-dd-yyyy"),";"," ",'Level 1'!Q288,'Level 1'!R288,"  ",'Level 1'!T288," ","Payment "," ",'Level 1'!U288,"  ",'Level 1'!V288,"  ",'Level 1'!W288,"  ",'Level 1'!X288,"  ",'Level 1'!Z288, "  ",'Level 1'!AA288, " ","Insurance: ",'Level 1'!A288)</f>
        <v>Detail: Note  Q1  01-00-1900; Q2   Payment  Q4    Q5    Additional Notes:   Insurance: DPOW-CCHP</v>
      </c>
      <c r="C288" s="60" t="str">
        <f>'Level 1'!Y288</f>
        <v>Action</v>
      </c>
      <c r="D288" s="44" t="str">
        <f>VLOOKUP(C288,Table2[#All],3,FALSE)</f>
        <v>What we need from you/Reason</v>
      </c>
      <c r="E288" s="75" t="s">
        <v>199</v>
      </c>
      <c r="F288" s="96"/>
      <c r="G288" s="97"/>
    </row>
    <row r="289" spans="1:7" ht="21" x14ac:dyDescent="0.25">
      <c r="A289" s="43" t="str">
        <f>CONCATENATE("Pt Id:",'Level 1'!E289," ","Pt Name: ",'Level 1'!F289," ","DOS: ", TEXT('Level 1'!H289,"mm-dd-yyyy"),"  "," Amnt: ","$",'Level 1'!J289,"  ", 'Level 1'!N289)</f>
        <v>Pt Id:6902 Pt Name: Carey, Stephanie  DOS: 02-11-2022   Amnt: $61.2  Note</v>
      </c>
      <c r="B289" s="43" t="str">
        <f>CONCATENATE("Detail: ",'Level 1'!N289,"  ",'Level 1'!O289,TEXT('Level 1'!P289,"  mm-dd-yyyy"),";"," ",'Level 1'!Q289,'Level 1'!R289,"  ",'Level 1'!T289," ","Payment "," ",'Level 1'!U289,"  ",'Level 1'!V289,"  ",'Level 1'!W289,"  ",'Level 1'!X289,"  ",'Level 1'!Z289, "  ",'Level 1'!AA289, " ","Insurance: ",'Level 1'!A289)</f>
        <v>Detail: Note  Q1  01-00-1900; Q2   Payment  Q4    Q5    Additional Notes:   Insurance: DPOW-CCHP</v>
      </c>
      <c r="C289" s="60" t="str">
        <f>'Level 1'!Y289</f>
        <v>Action</v>
      </c>
      <c r="D289" s="44" t="str">
        <f>VLOOKUP(C289,Table2[#All],3,FALSE)</f>
        <v>What we need from you/Reason</v>
      </c>
      <c r="E289" s="75" t="s">
        <v>199</v>
      </c>
      <c r="F289" s="96"/>
      <c r="G289" s="97"/>
    </row>
    <row r="290" spans="1:7" ht="21" x14ac:dyDescent="0.25">
      <c r="A290" s="43" t="str">
        <f>CONCATENATE("Pt Id:",'Level 1'!E290," ","Pt Name: ",'Level 1'!F290," ","DOS: ", TEXT('Level 1'!H290,"mm-dd-yyyy"),"  "," Amnt: ","$",'Level 1'!J290,"  ", 'Level 1'!N290)</f>
        <v>Pt Id:4131 Pt Name: Zettelmeier, Justin DOS: 02-16-2022   Amnt: $27.6  Note</v>
      </c>
      <c r="B290" s="43" t="str">
        <f>CONCATENATE("Detail: ",'Level 1'!N290,"  ",'Level 1'!O290,TEXT('Level 1'!P290,"  mm-dd-yyyy"),";"," ",'Level 1'!Q290,'Level 1'!R290,"  ",'Level 1'!T290," ","Payment "," ",'Level 1'!U290,"  ",'Level 1'!V290,"  ",'Level 1'!W290,"  ",'Level 1'!X290,"  ",'Level 1'!Z290, "  ",'Level 1'!AA290, " ","Insurance: ",'Level 1'!A290)</f>
        <v>Detail: Note  Q1  01-00-1900; Q2   Payment  Q4    Q5    Additional Notes:   Insurance: DPOW-CCHP</v>
      </c>
      <c r="C290" s="60" t="str">
        <f>'Level 1'!Y290</f>
        <v>Action</v>
      </c>
      <c r="D290" s="44" t="str">
        <f>VLOOKUP(C290,Table2[#All],3,FALSE)</f>
        <v>What we need from you/Reason</v>
      </c>
      <c r="E290" s="75" t="s">
        <v>199</v>
      </c>
      <c r="F290" s="96"/>
      <c r="G290" s="97"/>
    </row>
    <row r="291" spans="1:7" ht="21" x14ac:dyDescent="0.25">
      <c r="A291" s="43" t="str">
        <f>CONCATENATE("Pt Id:",'Level 1'!E291," ","Pt Name: ",'Level 1'!F291," ","DOS: ", TEXT('Level 1'!H291,"mm-dd-yyyy"),"  "," Amnt: ","$",'Level 1'!J291,"  ", 'Level 1'!N291)</f>
        <v>Pt Id:6019 Pt Name: Hoffmann, Shawn DOS: 01-24-2022   Amnt: $58.8  Note</v>
      </c>
      <c r="B291" s="43" t="str">
        <f>CONCATENATE("Detail: ",'Level 1'!N291,"  ",'Level 1'!O291,TEXT('Level 1'!P291,"  mm-dd-yyyy"),";"," ",'Level 1'!Q291,'Level 1'!R291,"  ",'Level 1'!T291," ","Payment "," ",'Level 1'!U291,"  ",'Level 1'!V291,"  ",'Level 1'!W291,"  ",'Level 1'!X291,"  ",'Level 1'!Z291, "  ",'Level 1'!AA291, " ","Insurance: ",'Level 1'!A291)</f>
        <v>Detail: Note  Q1  01-00-1900; Q2   Payment  Q4    Q5    Additional Notes:   Insurance: DPOW-CCHP</v>
      </c>
      <c r="C291" s="60" t="str">
        <f>'Level 1'!Y291</f>
        <v>Action</v>
      </c>
      <c r="D291" s="44" t="str">
        <f>VLOOKUP(C291,Table2[#All],3,FALSE)</f>
        <v>What we need from you/Reason</v>
      </c>
      <c r="E291" s="75" t="s">
        <v>199</v>
      </c>
      <c r="F291" s="96"/>
      <c r="G291" s="97"/>
    </row>
    <row r="292" spans="1:7" ht="42" x14ac:dyDescent="0.25">
      <c r="A292" s="43" t="str">
        <f>CONCATENATE("Pt Id:",'Level 1'!E292," ","Pt Name: ",'Level 1'!F292," ","DOS: ", TEXT('Level 1'!H292,"mm-dd-yyyy"),"  "," Amnt: ","$",'Level 1'!J292,"  ", 'Level 1'!N292)</f>
        <v>Pt Id:4383 Pt Name: Rodriguez Herre, Isabela DOS: 01-22-2022   Amnt: $80.4  Note</v>
      </c>
      <c r="B292" s="43" t="str">
        <f>CONCATENATE("Detail: ",'Level 1'!N292,"  ",'Level 1'!O292,TEXT('Level 1'!P292,"  mm-dd-yyyy"),";"," ",'Level 1'!Q292,'Level 1'!R292,"  ",'Level 1'!T292," ","Payment "," ",'Level 1'!U292,"  ",'Level 1'!V292,"  ",'Level 1'!W292,"  ",'Level 1'!X292,"  ",'Level 1'!Z292, "  ",'Level 1'!AA292, " ","Insurance: ",'Level 1'!A292)</f>
        <v>Detail: Note  Q1  01-00-1900; Q2   Payment  Q4    Q5    Additional Notes:   Insurance: DPOW-CCHP</v>
      </c>
      <c r="C292" s="60" t="str">
        <f>'Level 1'!Y292</f>
        <v>Action</v>
      </c>
      <c r="D292" s="44" t="str">
        <f>VLOOKUP(C292,Table2[#All],3,FALSE)</f>
        <v>What we need from you/Reason</v>
      </c>
      <c r="E292" s="75" t="s">
        <v>199</v>
      </c>
      <c r="F292" s="96"/>
      <c r="G292" s="97"/>
    </row>
    <row r="293" spans="1:7" ht="21" x14ac:dyDescent="0.25">
      <c r="A293" s="43" t="str">
        <f>CONCATENATE("Pt Id:",'Level 1'!E293," ","Pt Name: ",'Level 1'!F293," ","DOS: ", TEXT('Level 1'!H293,"mm-dd-yyyy"),"  "," Amnt: ","$",'Level 1'!J293,"  ", 'Level 1'!N293)</f>
        <v>Pt Id:8442 Pt Name: Anderson, Audrey DOS: 02-18-2022   Amnt: $82.8  Note</v>
      </c>
      <c r="B293" s="43" t="str">
        <f>CONCATENATE("Detail: ",'Level 1'!N293,"  ",'Level 1'!O293,TEXT('Level 1'!P293,"  mm-dd-yyyy"),";"," ",'Level 1'!Q293,'Level 1'!R293,"  ",'Level 1'!T293," ","Payment "," ",'Level 1'!U293,"  ",'Level 1'!V293,"  ",'Level 1'!W293,"  ",'Level 1'!X293,"  ",'Level 1'!Z293, "  ",'Level 1'!AA293, " ","Insurance: ",'Level 1'!A293)</f>
        <v>Detail: Note  Q1  01-00-1900; Q2   Payment  Q4    Q5    Additional Notes:   Insurance: DPOW-CCHP</v>
      </c>
      <c r="C293" s="60" t="str">
        <f>'Level 1'!Y293</f>
        <v>Action</v>
      </c>
      <c r="D293" s="44" t="str">
        <f>VLOOKUP(C293,Table2[#All],3,FALSE)</f>
        <v>What we need from you/Reason</v>
      </c>
      <c r="E293" s="75" t="s">
        <v>199</v>
      </c>
      <c r="F293" s="96"/>
      <c r="G293" s="97"/>
    </row>
    <row r="294" spans="1:7" ht="42" x14ac:dyDescent="0.25">
      <c r="A294" s="43" t="str">
        <f>CONCATENATE("Pt Id:",'Level 1'!E294," ","Pt Name: ",'Level 1'!F294," ","DOS: ", TEXT('Level 1'!H294,"mm-dd-yyyy"),"  "," Amnt: ","$",'Level 1'!J294,"  ", 'Level 1'!N294)</f>
        <v>Pt Id:8439 Pt Name: Mcgowan, Refoncia  DOS: 12-06-2021   Amnt: $408.8  Note</v>
      </c>
      <c r="B294" s="43" t="str">
        <f>CONCATENATE("Detail: ",'Level 1'!N294,"  ",'Level 1'!O294,TEXT('Level 1'!P294,"  mm-dd-yyyy"),";"," ",'Level 1'!Q294,'Level 1'!R294,"  ",'Level 1'!T294," ","Payment "," ",'Level 1'!U294,"  ",'Level 1'!V294,"  ",'Level 1'!W294,"  ",'Level 1'!X294,"  ",'Level 1'!Z294, "  ",'Level 1'!AA294, " ","Insurance: ",'Level 1'!A294)</f>
        <v>Detail: Note  Q1  01-00-1900; Q2   Payment  Q4    Q5    Additional Notes:   Insurance: DPOW-CCHP</v>
      </c>
      <c r="C294" s="60" t="str">
        <f>'Level 1'!Y294</f>
        <v>Action</v>
      </c>
      <c r="D294" s="44" t="str">
        <f>VLOOKUP(C294,Table2[#All],3,FALSE)</f>
        <v>What we need from you/Reason</v>
      </c>
      <c r="E294" s="75" t="s">
        <v>199</v>
      </c>
      <c r="F294" s="96"/>
      <c r="G294" s="97"/>
    </row>
    <row r="295" spans="1:7" ht="21" x14ac:dyDescent="0.25">
      <c r="A295" s="43" t="str">
        <f>CONCATENATE("Pt Id:",'Level 1'!E295," ","Pt Name: ",'Level 1'!F295," ","DOS: ", TEXT('Level 1'!H295,"mm-dd-yyyy"),"  "," Amnt: ","$",'Level 1'!J295,"  ", 'Level 1'!N295)</f>
        <v>Pt Id:4682 Pt Name: Cosme, Joseline DOS: 12-03-2021   Amnt: $80.4  Note</v>
      </c>
      <c r="B295" s="43" t="str">
        <f>CONCATENATE("Detail: ",'Level 1'!N295,"  ",'Level 1'!O295,TEXT('Level 1'!P295,"  mm-dd-yyyy"),";"," ",'Level 1'!Q295,'Level 1'!R295,"  ",'Level 1'!T295," ","Payment "," ",'Level 1'!U295,"  ",'Level 1'!V295,"  ",'Level 1'!W295,"  ",'Level 1'!X295,"  ",'Level 1'!Z295, "  ",'Level 1'!AA295, " ","Insurance: ",'Level 1'!A295)</f>
        <v>Detail: Note  Q1  01-00-1900; Q2   Payment  Q4    Q5    Additional Notes:   Insurance: DPOW-CCHP</v>
      </c>
      <c r="C295" s="60" t="str">
        <f>'Level 1'!Y295</f>
        <v>Action</v>
      </c>
      <c r="D295" s="44" t="str">
        <f>VLOOKUP(C295,Table2[#All],3,FALSE)</f>
        <v>What we need from you/Reason</v>
      </c>
      <c r="E295" s="75" t="s">
        <v>199</v>
      </c>
      <c r="F295" s="96"/>
      <c r="G295" s="97"/>
    </row>
    <row r="296" spans="1:7" ht="21" x14ac:dyDescent="0.25">
      <c r="A296" s="43" t="str">
        <f>CONCATENATE("Pt Id:",'Level 1'!E296," ","Pt Name: ",'Level 1'!F296," ","DOS: ", TEXT('Level 1'!H296,"mm-dd-yyyy"),"  "," Amnt: ","$",'Level 1'!J296,"  ", 'Level 1'!N296)</f>
        <v>Pt Id:8973 Pt Name: Coleman , Cedric DOS: 02-11-2022   Amnt: $82.8  Note</v>
      </c>
      <c r="B296" s="43" t="str">
        <f>CONCATENATE("Detail: ",'Level 1'!N296,"  ",'Level 1'!O296,TEXT('Level 1'!P296,"  mm-dd-yyyy"),";"," ",'Level 1'!Q296,'Level 1'!R296,"  ",'Level 1'!T296," ","Payment "," ",'Level 1'!U296,"  ",'Level 1'!V296,"  ",'Level 1'!W296,"  ",'Level 1'!X296,"  ",'Level 1'!Z296, "  ",'Level 1'!AA296, " ","Insurance: ",'Level 1'!A296)</f>
        <v>Detail: Note  Q1  01-00-1900; Q2   Payment  Q4    Q5    Additional Notes:   Insurance: DPOW-CCHP</v>
      </c>
      <c r="C296" s="60" t="str">
        <f>'Level 1'!Y296</f>
        <v>Action</v>
      </c>
      <c r="D296" s="44" t="str">
        <f>VLOOKUP(C296,Table2[#All],3,FALSE)</f>
        <v>What we need from you/Reason</v>
      </c>
      <c r="E296" s="75" t="s">
        <v>199</v>
      </c>
      <c r="F296" s="96"/>
      <c r="G296" s="97"/>
    </row>
    <row r="297" spans="1:7" ht="42" x14ac:dyDescent="0.25">
      <c r="A297" s="43" t="str">
        <f>CONCATENATE("Pt Id:",'Level 1'!E297," ","Pt Name: ",'Level 1'!F297," ","DOS: ", TEXT('Level 1'!H297,"mm-dd-yyyy"),"  "," Amnt: ","$",'Level 1'!J297,"  ", 'Level 1'!N297)</f>
        <v>Pt Id:9051 Pt Name: Magdaleno, Martin  DOS: 02-11-2022   Amnt: $481.2  Note</v>
      </c>
      <c r="B297" s="43" t="str">
        <f>CONCATENATE("Detail: ",'Level 1'!N297,"  ",'Level 1'!O297,TEXT('Level 1'!P297,"  mm-dd-yyyy"),";"," ",'Level 1'!Q297,'Level 1'!R297,"  ",'Level 1'!T297," ","Payment "," ",'Level 1'!U297,"  ",'Level 1'!V297,"  ",'Level 1'!W297,"  ",'Level 1'!X297,"  ",'Level 1'!Z297, "  ",'Level 1'!AA297, " ","Insurance: ",'Level 1'!A297)</f>
        <v>Detail: Note  Q1  01-00-1900; Q2   Payment  Q4    Q5    Additional Notes:   Insurance: DPOW-CCHP</v>
      </c>
      <c r="C297" s="60" t="str">
        <f>'Level 1'!Y297</f>
        <v>Action</v>
      </c>
      <c r="D297" s="44" t="str">
        <f>VLOOKUP(C297,Table2[#All],3,FALSE)</f>
        <v>What we need from you/Reason</v>
      </c>
      <c r="E297" s="75" t="s">
        <v>199</v>
      </c>
      <c r="F297" s="96"/>
      <c r="G297" s="97"/>
    </row>
    <row r="298" spans="1:7" ht="21" x14ac:dyDescent="0.25">
      <c r="A298" s="43" t="str">
        <f>CONCATENATE("Pt Id:",'Level 1'!E298," ","Pt Name: ",'Level 1'!F298," ","DOS: ", TEXT('Level 1'!H298,"mm-dd-yyyy"),"  "," Amnt: ","$",'Level 1'!J298,"  ", 'Level 1'!N298)</f>
        <v>Pt Id:8851 Pt Name: Duldulao , Mya  DOS: 01-17-2022   Amnt: $261.2  Note</v>
      </c>
      <c r="B298" s="43" t="str">
        <f>CONCATENATE("Detail: ",'Level 1'!N298,"  ",'Level 1'!O298,TEXT('Level 1'!P298,"  mm-dd-yyyy"),";"," ",'Level 1'!Q298,'Level 1'!R298,"  ",'Level 1'!T298," ","Payment "," ",'Level 1'!U298,"  ",'Level 1'!V298,"  ",'Level 1'!W298,"  ",'Level 1'!X298,"  ",'Level 1'!Z298, "  ",'Level 1'!AA298, " ","Insurance: ",'Level 1'!A298)</f>
        <v>Detail: Note  Q1  01-00-1900; Q2   Payment  Q4    Q5    Additional Notes:   Insurance: DPOW-CCHP</v>
      </c>
      <c r="C298" s="60" t="str">
        <f>'Level 1'!Y298</f>
        <v>Action</v>
      </c>
      <c r="D298" s="44" t="str">
        <f>VLOOKUP(C298,Table2[#All],3,FALSE)</f>
        <v>What we need from you/Reason</v>
      </c>
      <c r="E298" s="75" t="s">
        <v>199</v>
      </c>
      <c r="F298" s="96"/>
      <c r="G298" s="97"/>
    </row>
    <row r="299" spans="1:7" ht="21" x14ac:dyDescent="0.25">
      <c r="A299" s="43" t="str">
        <f>CONCATENATE("Pt Id:",'Level 1'!E299," ","Pt Name: ",'Level 1'!F299," ","DOS: ", TEXT('Level 1'!H299,"mm-dd-yyyy"),"  "," Amnt: ","$",'Level 1'!J299,"  ", 'Level 1'!N299)</f>
        <v>Pt Id:8984 Pt Name: Garcia, Zelia  DOS: 02-11-2022   Amnt: $88.8  Note</v>
      </c>
      <c r="B299" s="43" t="str">
        <f>CONCATENATE("Detail: ",'Level 1'!N299,"  ",'Level 1'!O299,TEXT('Level 1'!P299,"  mm-dd-yyyy"),";"," ",'Level 1'!Q299,'Level 1'!R299,"  ",'Level 1'!T299," ","Payment "," ",'Level 1'!U299,"  ",'Level 1'!V299,"  ",'Level 1'!W299,"  ",'Level 1'!X299,"  ",'Level 1'!Z299, "  ",'Level 1'!AA299, " ","Insurance: ",'Level 1'!A299)</f>
        <v>Detail: Note  Q1  01-00-1900; Q2   Payment  Q4    Q5    Additional Notes:   Insurance: DPOW-CCHP</v>
      </c>
      <c r="C299" s="60" t="str">
        <f>'Level 1'!Y299</f>
        <v>Action</v>
      </c>
      <c r="D299" s="44" t="str">
        <f>VLOOKUP(C299,Table2[#All],3,FALSE)</f>
        <v>What we need from you/Reason</v>
      </c>
      <c r="E299" s="75" t="s">
        <v>199</v>
      </c>
      <c r="F299" s="96"/>
      <c r="G299" s="97"/>
    </row>
    <row r="300" spans="1:7" ht="21" x14ac:dyDescent="0.25">
      <c r="A300" s="43" t="str">
        <f>CONCATENATE("Pt Id:",'Level 1'!E300," ","Pt Name: ",'Level 1'!F300," ","DOS: ", TEXT('Level 1'!H300,"mm-dd-yyyy"),"  "," Amnt: ","$",'Level 1'!J300,"  ", 'Level 1'!N300)</f>
        <v>Pt Id:8835 Pt Name: Boclair , Makayla  DOS: 01-19-2022   Amnt: $332.4  Note</v>
      </c>
      <c r="B300" s="43" t="str">
        <f>CONCATENATE("Detail: ",'Level 1'!N300,"  ",'Level 1'!O300,TEXT('Level 1'!P300,"  mm-dd-yyyy"),";"," ",'Level 1'!Q300,'Level 1'!R300,"  ",'Level 1'!T300," ","Payment "," ",'Level 1'!U300,"  ",'Level 1'!V300,"  ",'Level 1'!W300,"  ",'Level 1'!X300,"  ",'Level 1'!Z300, "  ",'Level 1'!AA300, " ","Insurance: ",'Level 1'!A300)</f>
        <v>Detail: Note  Q1  01-00-1900; Q2   Payment  Q4    Q5    Additional Notes:   Insurance: DPOW-CCHP</v>
      </c>
      <c r="C300" s="60" t="str">
        <f>'Level 1'!Y300</f>
        <v>Action</v>
      </c>
      <c r="D300" s="44" t="str">
        <f>VLOOKUP(C300,Table2[#All],3,FALSE)</f>
        <v>What we need from you/Reason</v>
      </c>
      <c r="E300" s="75" t="s">
        <v>199</v>
      </c>
      <c r="F300" s="96"/>
      <c r="G300" s="97"/>
    </row>
    <row r="301" spans="1:7" ht="21" x14ac:dyDescent="0.25">
      <c r="A301" s="43" t="str">
        <f>CONCATENATE("Pt Id:",'Level 1'!E301," ","Pt Name: ",'Level 1'!F301," ","DOS: ", TEXT('Level 1'!H301,"mm-dd-yyyy"),"  "," Amnt: ","$",'Level 1'!J301,"  ", 'Level 1'!N301)</f>
        <v>Pt Id:2372 Pt Name: Beltran , Andrew  DOS: 01-17-2022   Amnt: $227.6  Note</v>
      </c>
      <c r="B301" s="43" t="str">
        <f>CONCATENATE("Detail: ",'Level 1'!N301,"  ",'Level 1'!O301,TEXT('Level 1'!P301,"  mm-dd-yyyy"),";"," ",'Level 1'!Q301,'Level 1'!R301,"  ",'Level 1'!T301," ","Payment "," ",'Level 1'!U301,"  ",'Level 1'!V301,"  ",'Level 1'!W301,"  ",'Level 1'!X301,"  ",'Level 1'!Z301, "  ",'Level 1'!AA301, " ","Insurance: ",'Level 1'!A301)</f>
        <v>Detail: Note  Q1  01-00-1900; Q2   Payment  Q4    Q5    Additional Notes:   Insurance: DPOW-CCHP</v>
      </c>
      <c r="C301" s="60" t="str">
        <f>'Level 1'!Y301</f>
        <v>Action</v>
      </c>
      <c r="D301" s="44" t="str">
        <f>VLOOKUP(C301,Table2[#All],3,FALSE)</f>
        <v>What we need from you/Reason</v>
      </c>
      <c r="E301" s="75" t="s">
        <v>199</v>
      </c>
      <c r="F301" s="96"/>
      <c r="G301" s="97"/>
    </row>
    <row r="302" spans="1:7" ht="42" x14ac:dyDescent="0.25">
      <c r="A302" s="43" t="str">
        <f>CONCATENATE("Pt Id:",'Level 1'!E302," ","Pt Name: ",'Level 1'!F302," ","DOS: ", TEXT('Level 1'!H302,"mm-dd-yyyy"),"  "," Amnt: ","$",'Level 1'!J302,"  ", 'Level 1'!N302)</f>
        <v>Pt Id:4785 Pt Name: Luevano Torres , Shadenny  DOS: 01-19-2022   Amnt: $61.2  Note</v>
      </c>
      <c r="B302" s="43" t="str">
        <f>CONCATENATE("Detail: ",'Level 1'!N302,"  ",'Level 1'!O302,TEXT('Level 1'!P302,"  mm-dd-yyyy"),";"," ",'Level 1'!Q302,'Level 1'!R302,"  ",'Level 1'!T302," ","Payment "," ",'Level 1'!U302,"  ",'Level 1'!V302,"  ",'Level 1'!W302,"  ",'Level 1'!X302,"  ",'Level 1'!Z302, "  ",'Level 1'!AA302, " ","Insurance: ",'Level 1'!A302)</f>
        <v>Detail: Note  Q1  01-00-1900; Q2   Payment  Q4    Q5    Additional Notes:   Insurance: DPOW-CCHP</v>
      </c>
      <c r="C302" s="60" t="str">
        <f>'Level 1'!Y302</f>
        <v>Action</v>
      </c>
      <c r="D302" s="44" t="str">
        <f>VLOOKUP(C302,Table2[#All],3,FALSE)</f>
        <v>What we need from you/Reason</v>
      </c>
      <c r="E302" s="75" t="s">
        <v>199</v>
      </c>
      <c r="F302" s="96"/>
      <c r="G302" s="97"/>
    </row>
    <row r="303" spans="1:7" ht="42" x14ac:dyDescent="0.25">
      <c r="A303" s="43" t="str">
        <f>CONCATENATE("Pt Id:",'Level 1'!E303," ","Pt Name: ",'Level 1'!F303," ","DOS: ", TEXT('Level 1'!H303,"mm-dd-yyyy"),"  "," Amnt: ","$",'Level 1'!J303,"  ", 'Level 1'!N303)</f>
        <v>Pt Id:4289 Pt Name: Bills, Kyzion DOS: 01-18-2022   Amnt: $266  Claim Paid by EFT;</v>
      </c>
      <c r="B303" s="43" t="str">
        <f>CONCATENATE("Detail: ",'Level 1'!N303,"  ",'Level 1'!O303,TEXT('Level 1'!P303,"  mm-dd-yyyy"),";"," ",'Level 1'!Q303,'Level 1'!R303,"  ",'Level 1'!T303," ","Payment "," ",'Level 1'!U303,"  ",'Level 1'!V303,"  ",'Level 1'!W303,"  ",'Level 1'!X303,"  ",'Level 1'!Z303, "  ",'Level 1'!AA303, " ","Insurance: ",'Level 1'!A303)</f>
        <v>Detail: Claim Paid by EFT;  Issue Date:PORTAL; EFT#PORTAL  Portal Payment  Call Ref#:    Cust Rep:    Additional Notes:  Calim Status - Claim was paid by EFT  Model.for total amount. Amount $122.54 Insurance: DPOW-CCHP</v>
      </c>
      <c r="C303" s="60" t="str">
        <f>'Level 1'!Y303</f>
        <v xml:space="preserve">Task Post Pmt Queue </v>
      </c>
      <c r="D303" s="44" t="str">
        <f>VLOOKUP(C303,Table2[#All],3,FALSE)</f>
        <v>N/A</v>
      </c>
      <c r="E303" s="75" t="s">
        <v>199</v>
      </c>
      <c r="F303" s="96"/>
      <c r="G303" s="97"/>
    </row>
    <row r="304" spans="1:7" ht="21" x14ac:dyDescent="0.25">
      <c r="A304" s="43" t="str">
        <f>CONCATENATE("Pt Id:",'Level 1'!E304," ","Pt Name: ",'Level 1'!F304," ","DOS: ", TEXT('Level 1'!H304,"mm-dd-yyyy"),"  "," Amnt: ","$",'Level 1'!J304,"  ", 'Level 1'!N304)</f>
        <v>Pt Id:7310 Pt Name: BU, AH DOS: 01-18-2022   Amnt: $226.8  Note</v>
      </c>
      <c r="B304" s="43" t="str">
        <f>CONCATENATE("Detail: ",'Level 1'!N304,"  ",'Level 1'!O304,TEXT('Level 1'!P304,"  mm-dd-yyyy"),";"," ",'Level 1'!Q304,'Level 1'!R304,"  ",'Level 1'!T304," ","Payment "," ",'Level 1'!U304,"  ",'Level 1'!V304,"  ",'Level 1'!W304,"  ",'Level 1'!X304,"  ",'Level 1'!Z304, "  ",'Level 1'!AA304, " ","Insurance: ",'Level 1'!A304)</f>
        <v>Detail: Note  Q1  01-00-1900; Q2   Payment  Q4    Q5    Additional Notes:   Insurance: DPOW-CCHP</v>
      </c>
      <c r="C304" s="60" t="str">
        <f>'Level 1'!Y304</f>
        <v>Action</v>
      </c>
      <c r="D304" s="44" t="str">
        <f>VLOOKUP(C304,Table2[#All],3,FALSE)</f>
        <v>What we need from you/Reason</v>
      </c>
      <c r="E304" s="75" t="s">
        <v>199</v>
      </c>
      <c r="F304" s="96"/>
      <c r="G304" s="97"/>
    </row>
    <row r="305" spans="1:7" ht="21" x14ac:dyDescent="0.25">
      <c r="A305" s="43" t="str">
        <f>CONCATENATE("Pt Id:",'Level 1'!E305," ","Pt Name: ",'Level 1'!F305," ","DOS: ", TEXT('Level 1'!H305,"mm-dd-yyyy"),"  "," Amnt: ","$",'Level 1'!J305,"  ", 'Level 1'!N305)</f>
        <v>Pt Id:7759 Pt Name: Dundon, Kody  DOS: 01-18-2022   Amnt: $860.4  Note</v>
      </c>
      <c r="B305" s="43" t="str">
        <f>CONCATENATE("Detail: ",'Level 1'!N305,"  ",'Level 1'!O305,TEXT('Level 1'!P305,"  mm-dd-yyyy"),";"," ",'Level 1'!Q305,'Level 1'!R305,"  ",'Level 1'!T305," ","Payment "," ",'Level 1'!U305,"  ",'Level 1'!V305,"  ",'Level 1'!W305,"  ",'Level 1'!X305,"  ",'Level 1'!Z305, "  ",'Level 1'!AA305, " ","Insurance: ",'Level 1'!A305)</f>
        <v>Detail: Note  Q1  01-00-1900; Q2   Payment  Q4    Q5    Additional Notes:   Insurance: DPOW-CCHP</v>
      </c>
      <c r="C305" s="60" t="str">
        <f>'Level 1'!Y305</f>
        <v>Action</v>
      </c>
      <c r="D305" s="44" t="str">
        <f>VLOOKUP(C305,Table2[#All],3,FALSE)</f>
        <v>What we need from you/Reason</v>
      </c>
      <c r="E305" s="75" t="s">
        <v>199</v>
      </c>
      <c r="F305" s="96"/>
      <c r="G305" s="97"/>
    </row>
    <row r="306" spans="1:7" ht="42" x14ac:dyDescent="0.25">
      <c r="A306" s="43" t="str">
        <f>CONCATENATE("Pt Id:",'Level 1'!E306," ","Pt Name: ",'Level 1'!F306," ","DOS: ", TEXT('Level 1'!H306,"mm-dd-yyyy"),"  "," Amnt: ","$",'Level 1'!J306,"  ", 'Level 1'!N306)</f>
        <v>Pt Id:8738 Pt Name: Estupinan Perez, Alexia DOS: 01-14-2022   Amnt: $748  Note</v>
      </c>
      <c r="B306" s="43" t="str">
        <f>CONCATENATE("Detail: ",'Level 1'!N306,"  ",'Level 1'!O306,TEXT('Level 1'!P306,"  mm-dd-yyyy"),";"," ",'Level 1'!Q306,'Level 1'!R306,"  ",'Level 1'!T306," ","Payment "," ",'Level 1'!U306,"  ",'Level 1'!V306,"  ",'Level 1'!W306,"  ",'Level 1'!X306,"  ",'Level 1'!Z306, "  ",'Level 1'!AA306, " ","Insurance: ",'Level 1'!A306)</f>
        <v>Detail: Note  Q1  01-00-1900; Q2   Payment  Q4    Q5    Additional Notes:   Insurance: DPOW-CCHP</v>
      </c>
      <c r="C306" s="60" t="str">
        <f>'Level 1'!Y306</f>
        <v>Action</v>
      </c>
      <c r="D306" s="44" t="str">
        <f>VLOOKUP(C306,Table2[#All],3,FALSE)</f>
        <v>What we need from you/Reason</v>
      </c>
      <c r="E306" s="75" t="s">
        <v>199</v>
      </c>
      <c r="F306" s="96"/>
      <c r="G306" s="97"/>
    </row>
    <row r="307" spans="1:7" ht="21" x14ac:dyDescent="0.25">
      <c r="A307" s="43" t="str">
        <f>CONCATENATE("Pt Id:",'Level 1'!E307," ","Pt Name: ",'Level 1'!F307," ","DOS: ", TEXT('Level 1'!H307,"mm-dd-yyyy"),"  "," Amnt: ","$",'Level 1'!J307,"  ", 'Level 1'!N307)</f>
        <v>Pt Id:1349 Pt Name: Ramirez, Wendy DOS: 01-17-2022   Amnt: $266  Note</v>
      </c>
      <c r="B307" s="43" t="str">
        <f>CONCATENATE("Detail: ",'Level 1'!N307,"  ",'Level 1'!O307,TEXT('Level 1'!P307,"  mm-dd-yyyy"),";"," ",'Level 1'!Q307,'Level 1'!R307,"  ",'Level 1'!T307," ","Payment "," ",'Level 1'!U307,"  ",'Level 1'!V307,"  ",'Level 1'!W307,"  ",'Level 1'!X307,"  ",'Level 1'!Z307, "  ",'Level 1'!AA307, " ","Insurance: ",'Level 1'!A307)</f>
        <v>Detail: Note  Q1  01-00-1900; Q2   Payment  Q4    Q5    Additional Notes:   Insurance: DPOW-CCHP</v>
      </c>
      <c r="C307" s="60" t="str">
        <f>'Level 1'!Y307</f>
        <v>Action</v>
      </c>
      <c r="D307" s="44" t="str">
        <f>VLOOKUP(C307,Table2[#All],3,FALSE)</f>
        <v>What we need from you/Reason</v>
      </c>
      <c r="E307" s="75" t="s">
        <v>199</v>
      </c>
      <c r="F307" s="96"/>
      <c r="G307" s="97"/>
    </row>
    <row r="308" spans="1:7" ht="21" x14ac:dyDescent="0.25">
      <c r="A308" s="43" t="str">
        <f>CONCATENATE("Pt Id:",'Level 1'!E308," ","Pt Name: ",'Level 1'!F308," ","DOS: ", TEXT('Level 1'!H308,"mm-dd-yyyy"),"  "," Amnt: ","$",'Level 1'!J308,"  ", 'Level 1'!N308)</f>
        <v>Pt Id:8761 Pt Name: Potis , Kion  DOS: 01-15-2022   Amnt: $453.2  Note</v>
      </c>
      <c r="B308" s="43" t="str">
        <f>CONCATENATE("Detail: ",'Level 1'!N308,"  ",'Level 1'!O308,TEXT('Level 1'!P308,"  mm-dd-yyyy"),";"," ",'Level 1'!Q308,'Level 1'!R308,"  ",'Level 1'!T308," ","Payment "," ",'Level 1'!U308,"  ",'Level 1'!V308,"  ",'Level 1'!W308,"  ",'Level 1'!X308,"  ",'Level 1'!Z308, "  ",'Level 1'!AA308, " ","Insurance: ",'Level 1'!A308)</f>
        <v>Detail: Note  Q1  01-00-1900; Q2   Payment  Q4    Q5    Additional Notes:   Insurance: DPOW-CCHP</v>
      </c>
      <c r="C308" s="60" t="str">
        <f>'Level 1'!Y308</f>
        <v>Action</v>
      </c>
      <c r="D308" s="44" t="str">
        <f>VLOOKUP(C308,Table2[#All],3,FALSE)</f>
        <v>What we need from you/Reason</v>
      </c>
      <c r="E308" s="75" t="s">
        <v>199</v>
      </c>
      <c r="F308" s="96"/>
      <c r="G308" s="97"/>
    </row>
    <row r="309" spans="1:7" ht="42" x14ac:dyDescent="0.25">
      <c r="A309" s="43" t="str">
        <f>CONCATENATE("Pt Id:",'Level 1'!E309," ","Pt Name: ",'Level 1'!F309," ","DOS: ", TEXT('Level 1'!H309,"mm-dd-yyyy"),"  "," Amnt: ","$",'Level 1'!J309,"  ", 'Level 1'!N309)</f>
        <v>Pt Id:4414 Pt Name: Galaviz Rueda, Ximena DOS: 01-15-2022   Amnt: $138  Note</v>
      </c>
      <c r="B309" s="43" t="str">
        <f>CONCATENATE("Detail: ",'Level 1'!N309,"  ",'Level 1'!O309,TEXT('Level 1'!P309,"  mm-dd-yyyy"),";"," ",'Level 1'!Q309,'Level 1'!R309,"  ",'Level 1'!T309," ","Payment "," ",'Level 1'!U309,"  ",'Level 1'!V309,"  ",'Level 1'!W309,"  ",'Level 1'!X309,"  ",'Level 1'!Z309, "  ",'Level 1'!AA309, " ","Insurance: ",'Level 1'!A309)</f>
        <v>Detail: Note  Q1  01-00-1900; Q2   Payment  Q4    Q5    Additional Notes:   Insurance: DPOW-CCHP</v>
      </c>
      <c r="C309" s="60" t="str">
        <f>'Level 1'!Y309</f>
        <v>Action</v>
      </c>
      <c r="D309" s="44" t="str">
        <f>VLOOKUP(C309,Table2[#All],3,FALSE)</f>
        <v>What we need from you/Reason</v>
      </c>
      <c r="E309" s="75" t="s">
        <v>199</v>
      </c>
      <c r="F309" s="96"/>
      <c r="G309" s="97"/>
    </row>
    <row r="310" spans="1:7" ht="21" x14ac:dyDescent="0.25">
      <c r="A310" s="43" t="str">
        <f>CONCATENATE("Pt Id:",'Level 1'!E310," ","Pt Name: ",'Level 1'!F310," ","DOS: ", TEXT('Level 1'!H310,"mm-dd-yyyy"),"  "," Amnt: ","$",'Level 1'!J310,"  ", 'Level 1'!N310)</f>
        <v>Pt Id:8760 Pt Name: Potis, Kieja  DOS: 01-15-2022   Amnt: $470  Note</v>
      </c>
      <c r="B310" s="43" t="str">
        <f>CONCATENATE("Detail: ",'Level 1'!N310,"  ",'Level 1'!O310,TEXT('Level 1'!P310,"  mm-dd-yyyy"),";"," ",'Level 1'!Q310,'Level 1'!R310,"  ",'Level 1'!T310," ","Payment "," ",'Level 1'!U310,"  ",'Level 1'!V310,"  ",'Level 1'!W310,"  ",'Level 1'!X310,"  ",'Level 1'!Z310, "  ",'Level 1'!AA310, " ","Insurance: ",'Level 1'!A310)</f>
        <v>Detail: Note  Q1  01-00-1900; Q2   Payment  Q4    Q5    Additional Notes:   Insurance: DPOW-CCHP</v>
      </c>
      <c r="C310" s="60" t="str">
        <f>'Level 1'!Y310</f>
        <v>Action</v>
      </c>
      <c r="D310" s="44" t="str">
        <f>VLOOKUP(C310,Table2[#All],3,FALSE)</f>
        <v>What we need from you/Reason</v>
      </c>
      <c r="E310" s="75" t="s">
        <v>199</v>
      </c>
      <c r="F310" s="96"/>
      <c r="G310" s="97"/>
    </row>
    <row r="311" spans="1:7" ht="21" x14ac:dyDescent="0.25">
      <c r="A311" s="43" t="str">
        <f>CONCATENATE("Pt Id:",'Level 1'!E311," ","Pt Name: ",'Level 1'!F311," ","DOS: ", TEXT('Level 1'!H311,"mm-dd-yyyy"),"  "," Amnt: ","$",'Level 1'!J311,"  ", 'Level 1'!N311)</f>
        <v>Pt Id:8758 Pt Name: Cleveland , Deja DOS: 01-15-2022   Amnt: $294.8  Note</v>
      </c>
      <c r="B311" s="43" t="str">
        <f>CONCATENATE("Detail: ",'Level 1'!N311,"  ",'Level 1'!O311,TEXT('Level 1'!P311,"  mm-dd-yyyy"),";"," ",'Level 1'!Q311,'Level 1'!R311,"  ",'Level 1'!T311," ","Payment "," ",'Level 1'!U311,"  ",'Level 1'!V311,"  ",'Level 1'!W311,"  ",'Level 1'!X311,"  ",'Level 1'!Z311, "  ",'Level 1'!AA311, " ","Insurance: ",'Level 1'!A311)</f>
        <v>Detail: Note  Q1  01-00-1900; Q2   Payment  Q4    Q5    Additional Notes:   Insurance: DPOW-CCHP</v>
      </c>
      <c r="C311" s="60" t="str">
        <f>'Level 1'!Y311</f>
        <v>Action</v>
      </c>
      <c r="D311" s="44" t="str">
        <f>VLOOKUP(C311,Table2[#All],3,FALSE)</f>
        <v>What we need from you/Reason</v>
      </c>
      <c r="E311" s="75" t="s">
        <v>199</v>
      </c>
      <c r="F311" s="96"/>
      <c r="G311" s="97"/>
    </row>
    <row r="312" spans="1:7" ht="42" x14ac:dyDescent="0.25">
      <c r="A312" s="43" t="str">
        <f>CONCATENATE("Pt Id:",'Level 1'!E312," ","Pt Name: ",'Level 1'!F312," ","DOS: ", TEXT('Level 1'!H312,"mm-dd-yyyy"),"  "," Amnt: ","$",'Level 1'!J312,"  ", 'Level 1'!N312)</f>
        <v>Pt Id:3440 Pt Name: Galaviz Rueda, Stephanie DOS: 01-15-2022   Amnt: $227.6  Note</v>
      </c>
      <c r="B312" s="43" t="str">
        <f>CONCATENATE("Detail: ",'Level 1'!N312,"  ",'Level 1'!O312,TEXT('Level 1'!P312,"  mm-dd-yyyy"),";"," ",'Level 1'!Q312,'Level 1'!R312,"  ",'Level 1'!T312," ","Payment "," ",'Level 1'!U312,"  ",'Level 1'!V312,"  ",'Level 1'!W312,"  ",'Level 1'!X312,"  ",'Level 1'!Z312, "  ",'Level 1'!AA312, " ","Insurance: ",'Level 1'!A312)</f>
        <v>Detail: Note  Q1  01-00-1900; Q2   Payment  Q4    Q5    Additional Notes:   Insurance: DPOW-CCHP</v>
      </c>
      <c r="C312" s="60" t="str">
        <f>'Level 1'!Y312</f>
        <v>Action</v>
      </c>
      <c r="D312" s="44" t="str">
        <f>VLOOKUP(C312,Table2[#All],3,FALSE)</f>
        <v>What we need from you/Reason</v>
      </c>
      <c r="E312" s="75" t="s">
        <v>199</v>
      </c>
      <c r="F312" s="96"/>
      <c r="G312" s="97"/>
    </row>
    <row r="313" spans="1:7" ht="42" x14ac:dyDescent="0.25">
      <c r="A313" s="43" t="str">
        <f>CONCATENATE("Pt Id:",'Level 1'!E313," ","Pt Name: ",'Level 1'!F313," ","DOS: ", TEXT('Level 1'!H313,"mm-dd-yyyy"),"  "," Amnt: ","$",'Level 1'!J313,"  ", 'Level 1'!N313)</f>
        <v>Pt Id:4388 Pt Name: Galaviz Rueda, Thomas DOS: 01-15-2022   Amnt: $227.6  Note</v>
      </c>
      <c r="B313" s="43" t="str">
        <f>CONCATENATE("Detail: ",'Level 1'!N313,"  ",'Level 1'!O313,TEXT('Level 1'!P313,"  mm-dd-yyyy"),";"," ",'Level 1'!Q313,'Level 1'!R313,"  ",'Level 1'!T313," ","Payment "," ",'Level 1'!U313,"  ",'Level 1'!V313,"  ",'Level 1'!W313,"  ",'Level 1'!X313,"  ",'Level 1'!Z313, "  ",'Level 1'!AA313, " ","Insurance: ",'Level 1'!A313)</f>
        <v>Detail: Note  Q1  01-00-1900; Q2   Payment  Q4    Q5    Additional Notes:   Insurance: DPOW-CCHP</v>
      </c>
      <c r="C313" s="60" t="str">
        <f>'Level 1'!Y313</f>
        <v>Action</v>
      </c>
      <c r="D313" s="44" t="str">
        <f>VLOOKUP(C313,Table2[#All],3,FALSE)</f>
        <v>What we need from you/Reason</v>
      </c>
      <c r="E313" s="75" t="s">
        <v>199</v>
      </c>
      <c r="F313" s="96"/>
      <c r="G313" s="97"/>
    </row>
    <row r="314" spans="1:7" ht="21" x14ac:dyDescent="0.25">
      <c r="A314" s="43" t="str">
        <f>CONCATENATE("Pt Id:",'Level 1'!E314," ","Pt Name: ",'Level 1'!F314," ","DOS: ", TEXT('Level 1'!H314,"mm-dd-yyyy"),"  "," Amnt: ","$",'Level 1'!J314,"  ", 'Level 1'!N314)</f>
        <v>Pt Id:8573 Pt Name: Ventura, Arieana DOS: 01-14-2022   Amnt: $418  Note</v>
      </c>
      <c r="B314" s="43" t="str">
        <f>CONCATENATE("Detail: ",'Level 1'!N314,"  ",'Level 1'!O314,TEXT('Level 1'!P314,"  mm-dd-yyyy"),";"," ",'Level 1'!Q314,'Level 1'!R314,"  ",'Level 1'!T314," ","Payment "," ",'Level 1'!U314,"  ",'Level 1'!V314,"  ",'Level 1'!W314,"  ",'Level 1'!X314,"  ",'Level 1'!Z314, "  ",'Level 1'!AA314, " ","Insurance: ",'Level 1'!A314)</f>
        <v>Detail: Note  Q1  01-00-1900; Q2   Payment  Q4    Q5    Additional Notes:   Insurance: DPOW-CCHP</v>
      </c>
      <c r="C314" s="60" t="str">
        <f>'Level 1'!Y314</f>
        <v>Action</v>
      </c>
      <c r="D314" s="44" t="str">
        <f>VLOOKUP(C314,Table2[#All],3,FALSE)</f>
        <v>What we need from you/Reason</v>
      </c>
      <c r="E314" s="75" t="s">
        <v>199</v>
      </c>
      <c r="F314" s="96"/>
      <c r="G314" s="97"/>
    </row>
    <row r="315" spans="1:7" ht="21" x14ac:dyDescent="0.25">
      <c r="A315" s="43" t="str">
        <f>CONCATENATE("Pt Id:",'Level 1'!E315," ","Pt Name: ",'Level 1'!F315," ","DOS: ", TEXT('Level 1'!H315,"mm-dd-yyyy"),"  "," Amnt: ","$",'Level 1'!J315,"  ", 'Level 1'!N315)</f>
        <v>Pt Id:8747 Pt Name: Henges , Robert DOS: 01-14-2022   Amnt: $162  Note</v>
      </c>
      <c r="B315" s="43" t="str">
        <f>CONCATENATE("Detail: ",'Level 1'!N315,"  ",'Level 1'!O315,TEXT('Level 1'!P315,"  mm-dd-yyyy"),";"," ",'Level 1'!Q315,'Level 1'!R315,"  ",'Level 1'!T315," ","Payment "," ",'Level 1'!U315,"  ",'Level 1'!V315,"  ",'Level 1'!W315,"  ",'Level 1'!X315,"  ",'Level 1'!Z315, "  ",'Level 1'!AA315, " ","Insurance: ",'Level 1'!A315)</f>
        <v>Detail: Note  Q1  01-00-1900; Q2   Payment  Q4    Q5    Additional Notes:   Insurance: DPOW-CCHP</v>
      </c>
      <c r="C315" s="60" t="str">
        <f>'Level 1'!Y315</f>
        <v>Action</v>
      </c>
      <c r="D315" s="44" t="str">
        <f>VLOOKUP(C315,Table2[#All],3,FALSE)</f>
        <v>What we need from you/Reason</v>
      </c>
      <c r="E315" s="75" t="s">
        <v>199</v>
      </c>
      <c r="F315" s="96"/>
      <c r="G315" s="97"/>
    </row>
    <row r="316" spans="1:7" ht="42" x14ac:dyDescent="0.25">
      <c r="A316" s="43" t="str">
        <f>CONCATENATE("Pt Id:",'Level 1'!E316," ","Pt Name: ",'Level 1'!F316," ","DOS: ", TEXT('Level 1'!H316,"mm-dd-yyyy"),"  "," Amnt: ","$",'Level 1'!J316,"  ", 'Level 1'!N316)</f>
        <v>Pt Id:2501 Pt Name: Zuniga Aranda, Sipriano DOS: 01-14-2022   Amnt: $227.6  Note</v>
      </c>
      <c r="B316" s="43" t="str">
        <f>CONCATENATE("Detail: ",'Level 1'!N316,"  ",'Level 1'!O316,TEXT('Level 1'!P316,"  mm-dd-yyyy"),";"," ",'Level 1'!Q316,'Level 1'!R316,"  ",'Level 1'!T316," ","Payment "," ",'Level 1'!U316,"  ",'Level 1'!V316,"  ",'Level 1'!W316,"  ",'Level 1'!X316,"  ",'Level 1'!Z316, "  ",'Level 1'!AA316, " ","Insurance: ",'Level 1'!A316)</f>
        <v>Detail: Note  Q1  01-00-1900; Q2   Payment  Q4    Q5    Additional Notes:   Insurance: DPOW-CCHP</v>
      </c>
      <c r="C316" s="60" t="str">
        <f>'Level 1'!Y316</f>
        <v>Action</v>
      </c>
      <c r="D316" s="44" t="str">
        <f>VLOOKUP(C316,Table2[#All],3,FALSE)</f>
        <v>What we need from you/Reason</v>
      </c>
      <c r="E316" s="75" t="s">
        <v>199</v>
      </c>
      <c r="F316" s="96"/>
      <c r="G316" s="97"/>
    </row>
    <row r="317" spans="1:7" ht="21" x14ac:dyDescent="0.25">
      <c r="A317" s="43" t="str">
        <f>CONCATENATE("Pt Id:",'Level 1'!E317," ","Pt Name: ",'Level 1'!F317," ","DOS: ", TEXT('Level 1'!H317,"mm-dd-yyyy"),"  "," Amnt: ","$",'Level 1'!J317,"  ", 'Level 1'!N317)</f>
        <v>Pt Id:3740 Pt Name: Rios, Fernando DOS: 01-13-2022   Amnt: $337.2  Note</v>
      </c>
      <c r="B317" s="43" t="str">
        <f>CONCATENATE("Detail: ",'Level 1'!N317,"  ",'Level 1'!O317,TEXT('Level 1'!P317,"  mm-dd-yyyy"),";"," ",'Level 1'!Q317,'Level 1'!R317,"  ",'Level 1'!T317," ","Payment "," ",'Level 1'!U317,"  ",'Level 1'!V317,"  ",'Level 1'!W317,"  ",'Level 1'!X317,"  ",'Level 1'!Z317, "  ",'Level 1'!AA317, " ","Insurance: ",'Level 1'!A317)</f>
        <v>Detail: Note  Q1  01-00-1900; Q2   Payment  Q4    Q5    Additional Notes:   Insurance: DPOW-CCHP</v>
      </c>
      <c r="C317" s="60" t="str">
        <f>'Level 1'!Y317</f>
        <v>Action</v>
      </c>
      <c r="D317" s="44" t="str">
        <f>VLOOKUP(C317,Table2[#All],3,FALSE)</f>
        <v>What we need from you/Reason</v>
      </c>
      <c r="E317" s="75" t="s">
        <v>199</v>
      </c>
      <c r="F317" s="96"/>
      <c r="G317" s="97"/>
    </row>
    <row r="318" spans="1:7" ht="42" x14ac:dyDescent="0.25">
      <c r="A318" s="43" t="str">
        <f>CONCATENATE("Pt Id:",'Level 1'!E318," ","Pt Name: ",'Level 1'!F318," ","DOS: ", TEXT('Level 1'!H318,"mm-dd-yyyy"),"  "," Amnt: ","$",'Level 1'!J318,"  ", 'Level 1'!N318)</f>
        <v>Pt Id:8290 Pt Name: Febres Orta , Carol  DOS: 01-13-2022   Amnt: $396  Note</v>
      </c>
      <c r="B318" s="43" t="str">
        <f>CONCATENATE("Detail: ",'Level 1'!N318,"  ",'Level 1'!O318,TEXT('Level 1'!P318,"  mm-dd-yyyy"),";"," ",'Level 1'!Q318,'Level 1'!R318,"  ",'Level 1'!T318," ","Payment "," ",'Level 1'!U318,"  ",'Level 1'!V318,"  ",'Level 1'!W318,"  ",'Level 1'!X318,"  ",'Level 1'!Z318, "  ",'Level 1'!AA318, " ","Insurance: ",'Level 1'!A318)</f>
        <v>Detail: Note  Q1  01-00-1900; Q2   Payment  Q4    Q5    Additional Notes:   Insurance: DPOW-CCHP</v>
      </c>
      <c r="C318" s="60" t="str">
        <f>'Level 1'!Y318</f>
        <v>Action</v>
      </c>
      <c r="D318" s="44" t="str">
        <f>VLOOKUP(C318,Table2[#All],3,FALSE)</f>
        <v>What we need from you/Reason</v>
      </c>
      <c r="E318" s="75" t="s">
        <v>199</v>
      </c>
      <c r="F318" s="96"/>
      <c r="G318" s="97"/>
    </row>
    <row r="319" spans="1:7" ht="21" x14ac:dyDescent="0.25">
      <c r="A319" s="43" t="str">
        <f>CONCATENATE("Pt Id:",'Level 1'!E319," ","Pt Name: ",'Level 1'!F319," ","DOS: ", TEXT('Level 1'!H319,"mm-dd-yyyy"),"  "," Amnt: ","$",'Level 1'!J319,"  ", 'Level 1'!N319)</f>
        <v>Pt Id:3687 Pt Name: SOSA, JULISA DOS: 01-13-2022   Amnt: $266  Note</v>
      </c>
      <c r="B319" s="43" t="str">
        <f>CONCATENATE("Detail: ",'Level 1'!N319,"  ",'Level 1'!O319,TEXT('Level 1'!P319,"  mm-dd-yyyy"),";"," ",'Level 1'!Q319,'Level 1'!R319,"  ",'Level 1'!T319," ","Payment "," ",'Level 1'!U319,"  ",'Level 1'!V319,"  ",'Level 1'!W319,"  ",'Level 1'!X319,"  ",'Level 1'!Z319, "  ",'Level 1'!AA319, " ","Insurance: ",'Level 1'!A319)</f>
        <v>Detail: Note  Q1  01-00-1900; Q2   Payment  Q4    Q5    Additional Notes:   Insurance: DPOW-CCHP</v>
      </c>
      <c r="C319" s="60" t="str">
        <f>'Level 1'!Y319</f>
        <v>Action</v>
      </c>
      <c r="D319" s="44" t="str">
        <f>VLOOKUP(C319,Table2[#All],3,FALSE)</f>
        <v>What we need from you/Reason</v>
      </c>
      <c r="E319" s="75" t="s">
        <v>199</v>
      </c>
      <c r="F319" s="96"/>
      <c r="G319" s="97"/>
    </row>
    <row r="320" spans="1:7" ht="21" x14ac:dyDescent="0.25">
      <c r="A320" s="43" t="str">
        <f>CONCATENATE("Pt Id:",'Level 1'!E320," ","Pt Name: ",'Level 1'!F320," ","DOS: ", TEXT('Level 1'!H320,"mm-dd-yyyy"),"  "," Amnt: ","$",'Level 1'!J320,"  ", 'Level 1'!N320)</f>
        <v>Pt Id:8804 Pt Name: Lin, Ethan DOS: 01-13-2022   Amnt: $1637.2  Note</v>
      </c>
      <c r="B320" s="43" t="str">
        <f>CONCATENATE("Detail: ",'Level 1'!N320,"  ",'Level 1'!O320,TEXT('Level 1'!P320,"  mm-dd-yyyy"),";"," ",'Level 1'!Q320,'Level 1'!R320,"  ",'Level 1'!T320," ","Payment "," ",'Level 1'!U320,"  ",'Level 1'!V320,"  ",'Level 1'!W320,"  ",'Level 1'!X320,"  ",'Level 1'!Z320, "  ",'Level 1'!AA320, " ","Insurance: ",'Level 1'!A320)</f>
        <v>Detail: Note  Q1  01-00-1900; Q2   Payment  Q4    Q5    Additional Notes:   Insurance: DPOW-CCHP</v>
      </c>
      <c r="C320" s="60" t="str">
        <f>'Level 1'!Y320</f>
        <v>Action</v>
      </c>
      <c r="D320" s="44" t="str">
        <f>VLOOKUP(C320,Table2[#All],3,FALSE)</f>
        <v>What we need from you/Reason</v>
      </c>
      <c r="E320" s="75" t="s">
        <v>199</v>
      </c>
      <c r="F320" s="96"/>
      <c r="G320" s="97"/>
    </row>
    <row r="321" spans="1:7" ht="21" x14ac:dyDescent="0.25">
      <c r="A321" s="43" t="str">
        <f>CONCATENATE("Pt Id:",'Level 1'!E321," ","Pt Name: ",'Level 1'!F321," ","DOS: ", TEXT('Level 1'!H321,"mm-dd-yyyy"),"  "," Amnt: ","$",'Level 1'!J321,"  ", 'Level 1'!N321)</f>
        <v>Pt Id:8850 Pt Name: Fitzgerald , Liam  DOS: 01-13-2022   Amnt: $256.4  Note</v>
      </c>
      <c r="B321" s="43" t="str">
        <f>CONCATENATE("Detail: ",'Level 1'!N321,"  ",'Level 1'!O321,TEXT('Level 1'!P321,"  mm-dd-yyyy"),";"," ",'Level 1'!Q321,'Level 1'!R321,"  ",'Level 1'!T321," ","Payment "," ",'Level 1'!U321,"  ",'Level 1'!V321,"  ",'Level 1'!W321,"  ",'Level 1'!X321,"  ",'Level 1'!Z321, "  ",'Level 1'!AA321, " ","Insurance: ",'Level 1'!A321)</f>
        <v>Detail: Note  Q1  01-00-1900; Q2   Payment  Q4    Q5    Additional Notes:   Insurance: DPOW-CCHP</v>
      </c>
      <c r="C321" s="60" t="str">
        <f>'Level 1'!Y321</f>
        <v>Action</v>
      </c>
      <c r="D321" s="44" t="str">
        <f>VLOOKUP(C321,Table2[#All],3,FALSE)</f>
        <v>What we need from you/Reason</v>
      </c>
      <c r="E321" s="75" t="s">
        <v>199</v>
      </c>
      <c r="F321" s="96"/>
      <c r="G321" s="97"/>
    </row>
    <row r="322" spans="1:7" ht="42" x14ac:dyDescent="0.25">
      <c r="A322" s="43" t="str">
        <f>CONCATENATE("Pt Id:",'Level 1'!E322," ","Pt Name: ",'Level 1'!F322," ","DOS: ", TEXT('Level 1'!H322,"mm-dd-yyyy"),"  "," Amnt: ","$",'Level 1'!J322,"  ", 'Level 1'!N322)</f>
        <v>Pt Id:8855 Pt Name: Hassan , Nur Fatimah  DOS: 01-13-2022   Amnt: $216  Note</v>
      </c>
      <c r="B322" s="43" t="str">
        <f>CONCATENATE("Detail: ",'Level 1'!N322,"  ",'Level 1'!O322,TEXT('Level 1'!P322,"  mm-dd-yyyy"),";"," ",'Level 1'!Q322,'Level 1'!R322,"  ",'Level 1'!T322," ","Payment "," ",'Level 1'!U322,"  ",'Level 1'!V322,"  ",'Level 1'!W322,"  ",'Level 1'!X322,"  ",'Level 1'!Z322, "  ",'Level 1'!AA322, " ","Insurance: ",'Level 1'!A322)</f>
        <v>Detail: Note  Q1  01-00-1900; Q2   Payment  Q4    Q5    Additional Notes:   Insurance: DPOW-CCHP</v>
      </c>
      <c r="C322" s="60" t="str">
        <f>'Level 1'!Y322</f>
        <v>Action</v>
      </c>
      <c r="D322" s="44" t="str">
        <f>VLOOKUP(C322,Table2[#All],3,FALSE)</f>
        <v>What we need from you/Reason</v>
      </c>
      <c r="E322" s="75" t="s">
        <v>199</v>
      </c>
      <c r="F322" s="96"/>
      <c r="G322" s="97"/>
    </row>
    <row r="323" spans="1:7" ht="21" x14ac:dyDescent="0.25">
      <c r="A323" s="43" t="str">
        <f>CONCATENATE("Pt Id:",'Level 1'!E323," ","Pt Name: ",'Level 1'!F323," ","DOS: ", TEXT('Level 1'!H323,"mm-dd-yyyy"),"  "," Amnt: ","$",'Level 1'!J323,"  ", 'Level 1'!N323)</f>
        <v>Pt Id:2653 Pt Name: Fernandez , Krystal DOS: 01-12-2022   Amnt: $828  Note</v>
      </c>
      <c r="B323" s="43" t="str">
        <f>CONCATENATE("Detail: ",'Level 1'!N323,"  ",'Level 1'!O323,TEXT('Level 1'!P323,"  mm-dd-yyyy"),";"," ",'Level 1'!Q323,'Level 1'!R323,"  ",'Level 1'!T323," ","Payment "," ",'Level 1'!U323,"  ",'Level 1'!V323,"  ",'Level 1'!W323,"  ",'Level 1'!X323,"  ",'Level 1'!Z323, "  ",'Level 1'!AA323, " ","Insurance: ",'Level 1'!A323)</f>
        <v>Detail: Note  Q1  01-00-1900; Q2   Payment  Q4    Q5    Additional Notes:   Insurance: DPOW-CCHP</v>
      </c>
      <c r="C323" s="60" t="str">
        <f>'Level 1'!Y323</f>
        <v>Action</v>
      </c>
      <c r="D323" s="44" t="str">
        <f>VLOOKUP(C323,Table2[#All],3,FALSE)</f>
        <v>What we need from you/Reason</v>
      </c>
      <c r="E323" s="75" t="s">
        <v>199</v>
      </c>
      <c r="F323" s="96"/>
      <c r="G323" s="97"/>
    </row>
    <row r="324" spans="1:7" ht="21" x14ac:dyDescent="0.25">
      <c r="A324" s="43" t="str">
        <f>CONCATENATE("Pt Id:",'Level 1'!E324," ","Pt Name: ",'Level 1'!F324," ","DOS: ", TEXT('Level 1'!H324,"mm-dd-yyyy"),"  "," Amnt: ","$",'Level 1'!J324,"  ", 'Level 1'!N324)</f>
        <v>Pt Id:8834 Pt Name: Sood, Jamal DOS: 01-12-2022   Amnt: $462  Note</v>
      </c>
      <c r="B324" s="43" t="str">
        <f>CONCATENATE("Detail: ",'Level 1'!N324,"  ",'Level 1'!O324,TEXT('Level 1'!P324,"  mm-dd-yyyy"),";"," ",'Level 1'!Q324,'Level 1'!R324,"  ",'Level 1'!T324," ","Payment "," ",'Level 1'!U324,"  ",'Level 1'!V324,"  ",'Level 1'!W324,"  ",'Level 1'!X324,"  ",'Level 1'!Z324, "  ",'Level 1'!AA324, " ","Insurance: ",'Level 1'!A324)</f>
        <v>Detail: Note  Q1  01-00-1900; Q2   Payment  Q4    Q5    Additional Notes:   Insurance: DPOW-CCHP</v>
      </c>
      <c r="C324" s="60" t="str">
        <f>'Level 1'!Y324</f>
        <v>Action</v>
      </c>
      <c r="D324" s="44" t="str">
        <f>VLOOKUP(C324,Table2[#All],3,FALSE)</f>
        <v>What we need from you/Reason</v>
      </c>
      <c r="E324" s="75" t="s">
        <v>199</v>
      </c>
      <c r="F324" s="96"/>
      <c r="G324" s="97"/>
    </row>
    <row r="325" spans="1:7" ht="42" x14ac:dyDescent="0.25">
      <c r="A325" s="43" t="str">
        <f>CONCATENATE("Pt Id:",'Level 1'!E325," ","Pt Name: ",'Level 1'!F325," ","DOS: ", TEXT('Level 1'!H325,"mm-dd-yyyy"),"  "," Amnt: ","$",'Level 1'!J325,"  ", 'Level 1'!N325)</f>
        <v>Pt Id:8833 Pt Name: Zarate Marin, Manuel DOS: 01-12-2022   Amnt: $630  Note</v>
      </c>
      <c r="B325" s="43" t="str">
        <f>CONCATENATE("Detail: ",'Level 1'!N325,"  ",'Level 1'!O325,TEXT('Level 1'!P325,"  mm-dd-yyyy"),";"," ",'Level 1'!Q325,'Level 1'!R325,"  ",'Level 1'!T325," ","Payment "," ",'Level 1'!U325,"  ",'Level 1'!V325,"  ",'Level 1'!W325,"  ",'Level 1'!X325,"  ",'Level 1'!Z325, "  ",'Level 1'!AA325, " ","Insurance: ",'Level 1'!A325)</f>
        <v>Detail: Note  Q1  01-00-1900; Q2   Payment  Q4    Q5    Additional Notes:   Insurance: DPOW-CCHP</v>
      </c>
      <c r="C325" s="60" t="str">
        <f>'Level 1'!Y325</f>
        <v>Action</v>
      </c>
      <c r="D325" s="44" t="str">
        <f>VLOOKUP(C325,Table2[#All],3,FALSE)</f>
        <v>What we need from you/Reason</v>
      </c>
      <c r="E325" s="75" t="s">
        <v>199</v>
      </c>
      <c r="F325" s="96"/>
      <c r="G325" s="97"/>
    </row>
    <row r="326" spans="1:7" ht="21" x14ac:dyDescent="0.25">
      <c r="A326" s="43" t="str">
        <f>CONCATENATE("Pt Id:",'Level 1'!E326," ","Pt Name: ",'Level 1'!F326," ","DOS: ", TEXT('Level 1'!H326,"mm-dd-yyyy"),"  "," Amnt: ","$",'Level 1'!J326,"  ", 'Level 1'!N326)</f>
        <v>Pt Id:8633 Pt Name: Ridgeway, Aliyanah DOS: 01-12-2022   Amnt: $940  Note</v>
      </c>
      <c r="B326" s="43" t="str">
        <f>CONCATENATE("Detail: ",'Level 1'!N326,"  ",'Level 1'!O326,TEXT('Level 1'!P326,"  mm-dd-yyyy"),";"," ",'Level 1'!Q326,'Level 1'!R326,"  ",'Level 1'!T326," ","Payment "," ",'Level 1'!U326,"  ",'Level 1'!V326,"  ",'Level 1'!W326,"  ",'Level 1'!X326,"  ",'Level 1'!Z326, "  ",'Level 1'!AA326, " ","Insurance: ",'Level 1'!A326)</f>
        <v>Detail: Note  Q1  01-00-1900; Q2   Payment  Q4    Q5    Additional Notes:   Insurance: DPOW-CCHP</v>
      </c>
      <c r="C326" s="60" t="str">
        <f>'Level 1'!Y326</f>
        <v>Action</v>
      </c>
      <c r="D326" s="44" t="str">
        <f>VLOOKUP(C326,Table2[#All],3,FALSE)</f>
        <v>What we need from you/Reason</v>
      </c>
      <c r="E326" s="75" t="s">
        <v>199</v>
      </c>
      <c r="F326" s="96"/>
      <c r="G326" s="97"/>
    </row>
    <row r="327" spans="1:7" ht="42" x14ac:dyDescent="0.25">
      <c r="A327" s="43" t="str">
        <f>CONCATENATE("Pt Id:",'Level 1'!E327," ","Pt Name: ",'Level 1'!F327," ","DOS: ", TEXT('Level 1'!H327,"mm-dd-yyyy"),"  "," Amnt: ","$",'Level 1'!J327,"  ", 'Level 1'!N327)</f>
        <v>Pt Id:8822 Pt Name: Schroeder, Robert DOS: 01-12-2022   Amnt: $130.8  Note</v>
      </c>
      <c r="B327" s="43" t="str">
        <f>CONCATENATE("Detail: ",'Level 1'!N327,"  ",'Level 1'!O327,TEXT('Level 1'!P327,"  mm-dd-yyyy"),";"," ",'Level 1'!Q327,'Level 1'!R327,"  ",'Level 1'!T327," ","Payment "," ",'Level 1'!U327,"  ",'Level 1'!V327,"  ",'Level 1'!W327,"  ",'Level 1'!X327,"  ",'Level 1'!Z327, "  ",'Level 1'!AA327, " ","Insurance: ",'Level 1'!A327)</f>
        <v>Detail: Note  Q1  01-00-1900; Q2   Payment  Q4    Q5    Additional Notes:   Insurance: DPOW-CCHP</v>
      </c>
      <c r="C327" s="60" t="str">
        <f>'Level 1'!Y327</f>
        <v>Action</v>
      </c>
      <c r="D327" s="44" t="str">
        <f>VLOOKUP(C327,Table2[#All],3,FALSE)</f>
        <v>What we need from you/Reason</v>
      </c>
      <c r="E327" s="75" t="s">
        <v>199</v>
      </c>
      <c r="F327" s="96"/>
      <c r="G327" s="97"/>
    </row>
    <row r="328" spans="1:7" ht="42" x14ac:dyDescent="0.25">
      <c r="A328" s="43" t="str">
        <f>CONCATENATE("Pt Id:",'Level 1'!E328," ","Pt Name: ",'Level 1'!F328," ","DOS: ", TEXT('Level 1'!H328,"mm-dd-yyyy"),"  "," Amnt: ","$",'Level 1'!J328,"  ", 'Level 1'!N328)</f>
        <v>Pt Id:8682 Pt Name: Jensen , Christopher  DOS: 01-12-2022   Amnt: $842.4  Note</v>
      </c>
      <c r="B328" s="43" t="str">
        <f>CONCATENATE("Detail: ",'Level 1'!N328,"  ",'Level 1'!O328,TEXT('Level 1'!P328,"  mm-dd-yyyy"),";"," ",'Level 1'!Q328,'Level 1'!R328,"  ",'Level 1'!T328," ","Payment "," ",'Level 1'!U328,"  ",'Level 1'!V328,"  ",'Level 1'!W328,"  ",'Level 1'!X328,"  ",'Level 1'!Z328, "  ",'Level 1'!AA328, " ","Insurance: ",'Level 1'!A328)</f>
        <v>Detail: Note  Q1  01-00-1900; Q2   Payment  Q4    Q5    Additional Notes:   Insurance: DPOW-CCHP</v>
      </c>
      <c r="C328" s="60" t="str">
        <f>'Level 1'!Y328</f>
        <v>Action</v>
      </c>
      <c r="D328" s="44" t="str">
        <f>VLOOKUP(C328,Table2[#All],3,FALSE)</f>
        <v>What we need from you/Reason</v>
      </c>
      <c r="E328" s="75" t="s">
        <v>199</v>
      </c>
      <c r="F328" s="96"/>
      <c r="G328" s="97"/>
    </row>
    <row r="329" spans="1:7" ht="21" x14ac:dyDescent="0.25">
      <c r="A329" s="43" t="str">
        <f>CONCATENATE("Pt Id:",'Level 1'!E329," ","Pt Name: ",'Level 1'!F329," ","DOS: ", TEXT('Level 1'!H329,"mm-dd-yyyy"),"  "," Amnt: ","$",'Level 1'!J329,"  ", 'Level 1'!N329)</f>
        <v>Pt Id:2541 Pt Name: Hamed , Ali  DOS: 01-13-2022   Amnt: $1064  Note</v>
      </c>
      <c r="B329" s="43" t="str">
        <f>CONCATENATE("Detail: ",'Level 1'!N329,"  ",'Level 1'!O329,TEXT('Level 1'!P329,"  mm-dd-yyyy"),";"," ",'Level 1'!Q329,'Level 1'!R329,"  ",'Level 1'!T329," ","Payment "," ",'Level 1'!U329,"  ",'Level 1'!V329,"  ",'Level 1'!W329,"  ",'Level 1'!X329,"  ",'Level 1'!Z329, "  ",'Level 1'!AA329, " ","Insurance: ",'Level 1'!A329)</f>
        <v>Detail: Note  Q1  01-00-1900; Q2   Payment  Q4    Q5    Additional Notes:   Insurance: DPOW-CCHP</v>
      </c>
      <c r="C329" s="60" t="str">
        <f>'Level 1'!Y329</f>
        <v>Action</v>
      </c>
      <c r="D329" s="44" t="str">
        <f>VLOOKUP(C329,Table2[#All],3,FALSE)</f>
        <v>What we need from you/Reason</v>
      </c>
      <c r="E329" s="75" t="s">
        <v>199</v>
      </c>
      <c r="F329" s="96"/>
      <c r="G329" s="97"/>
    </row>
    <row r="330" spans="1:7" ht="42" x14ac:dyDescent="0.25">
      <c r="A330" s="43" t="str">
        <f>CONCATENATE("Pt Id:",'Level 1'!E330," ","Pt Name: ",'Level 1'!F330," ","DOS: ", TEXT('Level 1'!H330,"mm-dd-yyyy"),"  "," Amnt: ","$",'Level 1'!J330,"  ", 'Level 1'!N330)</f>
        <v>Pt Id:5944 Pt Name: Anderson, Eshawn  DOS: 01-12-2022   Amnt: $1113.6  Note</v>
      </c>
      <c r="B330" s="43" t="str">
        <f>CONCATENATE("Detail: ",'Level 1'!N330,"  ",'Level 1'!O330,TEXT('Level 1'!P330,"  mm-dd-yyyy"),";"," ",'Level 1'!Q330,'Level 1'!R330,"  ",'Level 1'!T330," ","Payment "," ",'Level 1'!U330,"  ",'Level 1'!V330,"  ",'Level 1'!W330,"  ",'Level 1'!X330,"  ",'Level 1'!Z330, "  ",'Level 1'!AA330, " ","Insurance: ",'Level 1'!A330)</f>
        <v>Detail: Note  Q1  01-00-1900; Q2   Payment  Q4    Q5    Additional Notes:   Insurance: DPOW-CCHP</v>
      </c>
      <c r="C330" s="60" t="str">
        <f>'Level 1'!Y330</f>
        <v>Action</v>
      </c>
      <c r="D330" s="44" t="str">
        <f>VLOOKUP(C330,Table2[#All],3,FALSE)</f>
        <v>What we need from you/Reason</v>
      </c>
      <c r="E330" s="75" t="s">
        <v>199</v>
      </c>
      <c r="F330" s="96"/>
      <c r="G330" s="97"/>
    </row>
    <row r="331" spans="1:7" ht="42" x14ac:dyDescent="0.25">
      <c r="A331" s="43" t="str">
        <f>CONCATENATE("Pt Id:",'Level 1'!E331," ","Pt Name: ",'Level 1'!F331," ","DOS: ", TEXT('Level 1'!H331,"mm-dd-yyyy"),"  "," Amnt: ","$",'Level 1'!J331,"  ", 'Level 1'!N331)</f>
        <v>Pt Id:7034 Pt Name: VARELA DIAZ , DAMIALYS DOS: 01-12-2022   Amnt: $316  Note</v>
      </c>
      <c r="B331" s="43" t="str">
        <f>CONCATENATE("Detail: ",'Level 1'!N331,"  ",'Level 1'!O331,TEXT('Level 1'!P331,"  mm-dd-yyyy"),";"," ",'Level 1'!Q331,'Level 1'!R331,"  ",'Level 1'!T331," ","Payment "," ",'Level 1'!U331,"  ",'Level 1'!V331,"  ",'Level 1'!W331,"  ",'Level 1'!X331,"  ",'Level 1'!Z331, "  ",'Level 1'!AA331, " ","Insurance: ",'Level 1'!A331)</f>
        <v>Detail: Note  Q1  01-00-1900; Q2   Payment  Q4    Q5    Additional Notes:   Insurance: DPOW-CCHP</v>
      </c>
      <c r="C331" s="60" t="str">
        <f>'Level 1'!Y331</f>
        <v>Action</v>
      </c>
      <c r="D331" s="44" t="str">
        <f>VLOOKUP(C331,Table2[#All],3,FALSE)</f>
        <v>What we need from you/Reason</v>
      </c>
      <c r="E331" s="75" t="s">
        <v>199</v>
      </c>
      <c r="F331" s="96"/>
      <c r="G331" s="97"/>
    </row>
    <row r="332" spans="1:7" ht="21" x14ac:dyDescent="0.25">
      <c r="A332" s="43" t="str">
        <f>CONCATENATE("Pt Id:",'Level 1'!E332," ","Pt Name: ",'Level 1'!F332," ","DOS: ", TEXT('Level 1'!H332,"mm-dd-yyyy"),"  "," Amnt: ","$",'Level 1'!J332,"  ", 'Level 1'!N332)</f>
        <v>Pt Id:8809 Pt Name: Rios, Rogelio  DOS: 01-07-2022   Amnt: $607.2  Note</v>
      </c>
      <c r="B332" s="43" t="str">
        <f>CONCATENATE("Detail: ",'Level 1'!N332,"  ",'Level 1'!O332,TEXT('Level 1'!P332,"  mm-dd-yyyy"),";"," ",'Level 1'!Q332,'Level 1'!R332,"  ",'Level 1'!T332," ","Payment "," ",'Level 1'!U332,"  ",'Level 1'!V332,"  ",'Level 1'!W332,"  ",'Level 1'!X332,"  ",'Level 1'!Z332, "  ",'Level 1'!AA332, " ","Insurance: ",'Level 1'!A332)</f>
        <v>Detail: Note  Q1  01-00-1900; Q2   Payment  Q4    Q5    Additional Notes:   Insurance: DPOW-CCHP</v>
      </c>
      <c r="C332" s="60" t="str">
        <f>'Level 1'!Y332</f>
        <v>Action</v>
      </c>
      <c r="D332" s="44" t="str">
        <f>VLOOKUP(C332,Table2[#All],3,FALSE)</f>
        <v>What we need from you/Reason</v>
      </c>
      <c r="E332" s="75" t="s">
        <v>199</v>
      </c>
      <c r="F332" s="96"/>
      <c r="G332" s="97"/>
    </row>
    <row r="333" spans="1:7" ht="42" x14ac:dyDescent="0.25">
      <c r="A333" s="43" t="str">
        <f>CONCATENATE("Pt Id:",'Level 1'!E333," ","Pt Name: ",'Level 1'!F333," ","DOS: ", TEXT('Level 1'!H333,"mm-dd-yyyy"),"  "," Amnt: ","$",'Level 1'!J333,"  ", 'Level 1'!N333)</f>
        <v>Pt Id:7964 Pt Name: Ledoux , Leonard  DOS: 01-06-2022   Amnt: $1861.2  Note</v>
      </c>
      <c r="B333" s="43" t="str">
        <f>CONCATENATE("Detail: ",'Level 1'!N333,"  ",'Level 1'!O333,TEXT('Level 1'!P333,"  mm-dd-yyyy"),";"," ",'Level 1'!Q333,'Level 1'!R333,"  ",'Level 1'!T333," ","Payment "," ",'Level 1'!U333,"  ",'Level 1'!V333,"  ",'Level 1'!W333,"  ",'Level 1'!X333,"  ",'Level 1'!Z333, "  ",'Level 1'!AA333, " ","Insurance: ",'Level 1'!A333)</f>
        <v>Detail: Note  Q1  01-00-1900; Q2   Payment  Q4    Q5    Additional Notes:   Insurance: DPOW-CCHP</v>
      </c>
      <c r="C333" s="60" t="str">
        <f>'Level 1'!Y333</f>
        <v>Action</v>
      </c>
      <c r="D333" s="44" t="str">
        <f>VLOOKUP(C333,Table2[#All],3,FALSE)</f>
        <v>What we need from you/Reason</v>
      </c>
      <c r="E333" s="75" t="s">
        <v>199</v>
      </c>
      <c r="F333" s="96"/>
      <c r="G333" s="97"/>
    </row>
    <row r="334" spans="1:7" ht="21" x14ac:dyDescent="0.25">
      <c r="A334" s="43" t="str">
        <f>CONCATENATE("Pt Id:",'Level 1'!E334," ","Pt Name: ",'Level 1'!F334," ","DOS: ", TEXT('Level 1'!H334,"mm-dd-yyyy"),"  "," Amnt: ","$",'Level 1'!J334,"  ", 'Level 1'!N334)</f>
        <v>Pt Id:8770 Pt Name: Otero, Tulio DOS: 01-06-2022   Amnt: $490.4  Note</v>
      </c>
      <c r="B334" s="43" t="str">
        <f>CONCATENATE("Detail: ",'Level 1'!N334,"  ",'Level 1'!O334,TEXT('Level 1'!P334,"  mm-dd-yyyy"),";"," ",'Level 1'!Q334,'Level 1'!R334,"  ",'Level 1'!T334," ","Payment "," ",'Level 1'!U334,"  ",'Level 1'!V334,"  ",'Level 1'!W334,"  ",'Level 1'!X334,"  ",'Level 1'!Z334, "  ",'Level 1'!AA334, " ","Insurance: ",'Level 1'!A334)</f>
        <v>Detail: Note  Q1  01-00-1900; Q2   Payment  Q4    Q5    Additional Notes:   Insurance: DPOW-CCHP</v>
      </c>
      <c r="C334" s="60" t="str">
        <f>'Level 1'!Y334</f>
        <v>Action</v>
      </c>
      <c r="D334" s="44" t="str">
        <f>VLOOKUP(C334,Table2[#All],3,FALSE)</f>
        <v>What we need from you/Reason</v>
      </c>
      <c r="E334" s="75" t="s">
        <v>199</v>
      </c>
      <c r="F334" s="96"/>
      <c r="G334" s="97"/>
    </row>
    <row r="335" spans="1:7" ht="42" x14ac:dyDescent="0.25">
      <c r="A335" s="43" t="str">
        <f>CONCATENATE("Pt Id:",'Level 1'!E335," ","Pt Name: ",'Level 1'!F335," ","DOS: ", TEXT('Level 1'!H335,"mm-dd-yyyy"),"  "," Amnt: ","$",'Level 1'!J335,"  ", 'Level 1'!N335)</f>
        <v>Pt Id:8633 Pt Name: Ridgeway, Aliyanah DOS: 01-05-2022   Amnt: $1592  Note</v>
      </c>
      <c r="B335" s="43" t="str">
        <f>CONCATENATE("Detail: ",'Level 1'!N335,"  ",'Level 1'!O335,TEXT('Level 1'!P335,"  mm-dd-yyyy"),";"," ",'Level 1'!Q335,'Level 1'!R335,"  ",'Level 1'!T335," ","Payment "," ",'Level 1'!U335,"  ",'Level 1'!V335,"  ",'Level 1'!W335,"  ",'Level 1'!X335,"  ",'Level 1'!Z335, "  ",'Level 1'!AA335, " ","Insurance: ",'Level 1'!A335)</f>
        <v>Detail: Note  Q1  01-00-1900; Q2   Payment  Q4    Q5    Additional Notes:   Insurance: DPOW-CCHP</v>
      </c>
      <c r="C335" s="60" t="str">
        <f>'Level 1'!Y335</f>
        <v>Action</v>
      </c>
      <c r="D335" s="44" t="str">
        <f>VLOOKUP(C335,Table2[#All],3,FALSE)</f>
        <v>What we need from you/Reason</v>
      </c>
      <c r="E335" s="75" t="s">
        <v>199</v>
      </c>
      <c r="F335" s="96"/>
      <c r="G335" s="97"/>
    </row>
    <row r="336" spans="1:7" ht="21" x14ac:dyDescent="0.25">
      <c r="A336" s="43" t="str">
        <f>CONCATENATE("Pt Id:",'Level 1'!E336," ","Pt Name: ",'Level 1'!F336," ","DOS: ", TEXT('Level 1'!H336,"mm-dd-yyyy"),"  "," Amnt: ","$",'Level 1'!J336,"  ", 'Level 1'!N336)</f>
        <v>Pt Id:2540 Pt Name: Hamed , Laith  DOS: 01-05-2022   Amnt: $100  Note</v>
      </c>
      <c r="B336" s="43" t="str">
        <f>CONCATENATE("Detail: ",'Level 1'!N336,"  ",'Level 1'!O336,TEXT('Level 1'!P336,"  mm-dd-yyyy"),";"," ",'Level 1'!Q336,'Level 1'!R336,"  ",'Level 1'!T336," ","Payment "," ",'Level 1'!U336,"  ",'Level 1'!V336,"  ",'Level 1'!W336,"  ",'Level 1'!X336,"  ",'Level 1'!Z336, "  ",'Level 1'!AA336, " ","Insurance: ",'Level 1'!A336)</f>
        <v>Detail: Note  Q1  01-00-1900; Q2   Payment  Q4    Q5    Additional Notes:   Insurance: DPOW-CCHP</v>
      </c>
      <c r="C336" s="60" t="str">
        <f>'Level 1'!Y336</f>
        <v>Action</v>
      </c>
      <c r="D336" s="44" t="str">
        <f>VLOOKUP(C336,Table2[#All],3,FALSE)</f>
        <v>What we need from you/Reason</v>
      </c>
      <c r="E336" s="75" t="s">
        <v>199</v>
      </c>
      <c r="F336" s="96"/>
      <c r="G336" s="97"/>
    </row>
    <row r="337" spans="1:7" ht="21" x14ac:dyDescent="0.25">
      <c r="A337" s="43" t="str">
        <f>CONCATENATE("Pt Id:",'Level 1'!E337," ","Pt Name: ",'Level 1'!F337," ","DOS: ", TEXT('Level 1'!H337,"mm-dd-yyyy"),"  "," Amnt: ","$",'Level 1'!J337,"  ", 'Level 1'!N337)</f>
        <v>Pt Id:2540 Pt Name: Hamed , Laith  DOS: 01-05-2022   Amnt: $445.2  Note</v>
      </c>
      <c r="B337" s="43" t="str">
        <f>CONCATENATE("Detail: ",'Level 1'!N337,"  ",'Level 1'!O337,TEXT('Level 1'!P337,"  mm-dd-yyyy"),";"," ",'Level 1'!Q337,'Level 1'!R337,"  ",'Level 1'!T337," ","Payment "," ",'Level 1'!U337,"  ",'Level 1'!V337,"  ",'Level 1'!W337,"  ",'Level 1'!X337,"  ",'Level 1'!Z337, "  ",'Level 1'!AA337, " ","Insurance: ",'Level 1'!A337)</f>
        <v>Detail: Note  Q1  01-00-1900; Q2   Payment  Q4    Q5    Additional Notes:   Insurance: DPOW-CCHP</v>
      </c>
      <c r="C337" s="60" t="str">
        <f>'Level 1'!Y337</f>
        <v>Action</v>
      </c>
      <c r="D337" s="44" t="str">
        <f>VLOOKUP(C337,Table2[#All],3,FALSE)</f>
        <v>What we need from you/Reason</v>
      </c>
      <c r="E337" s="75" t="s">
        <v>199</v>
      </c>
      <c r="F337" s="96"/>
      <c r="G337" s="97"/>
    </row>
    <row r="338" spans="1:7" ht="21" x14ac:dyDescent="0.25">
      <c r="A338" s="43" t="str">
        <f>CONCATENATE("Pt Id:",'Level 1'!E338," ","Pt Name: ",'Level 1'!F338," ","DOS: ", TEXT('Level 1'!H338,"mm-dd-yyyy"),"  "," Amnt: ","$",'Level 1'!J338,"  ", 'Level 1'!N338)</f>
        <v>Pt Id:7680 Pt Name: Peterson, Angelina DOS: 01-05-2022   Amnt: $138  Note</v>
      </c>
      <c r="B338" s="43" t="str">
        <f>CONCATENATE("Detail: ",'Level 1'!N338,"  ",'Level 1'!O338,TEXT('Level 1'!P338,"  mm-dd-yyyy"),";"," ",'Level 1'!Q338,'Level 1'!R338,"  ",'Level 1'!T338," ","Payment "," ",'Level 1'!U338,"  ",'Level 1'!V338,"  ",'Level 1'!W338,"  ",'Level 1'!X338,"  ",'Level 1'!Z338, "  ",'Level 1'!AA338, " ","Insurance: ",'Level 1'!A338)</f>
        <v>Detail: Note  Q1  01-00-1900; Q2   Payment  Q4    Q5    Additional Notes:   Insurance: DPOW-CCHP</v>
      </c>
      <c r="C338" s="60" t="str">
        <f>'Level 1'!Y338</f>
        <v>Action</v>
      </c>
      <c r="D338" s="44" t="str">
        <f>VLOOKUP(C338,Table2[#All],3,FALSE)</f>
        <v>What we need from you/Reason</v>
      </c>
      <c r="E338" s="75" t="s">
        <v>199</v>
      </c>
      <c r="F338" s="96"/>
      <c r="G338" s="97"/>
    </row>
    <row r="339" spans="1:7" ht="21" x14ac:dyDescent="0.25">
      <c r="A339" s="43" t="str">
        <f>CONCATENATE("Pt Id:",'Level 1'!E339," ","Pt Name: ",'Level 1'!F339," ","DOS: ", TEXT('Level 1'!H339,"mm-dd-yyyy"),"  "," Amnt: ","$",'Level 1'!J339,"  ", 'Level 1'!N339)</f>
        <v>Pt Id:8573 Pt Name: Ventura, Arieana DOS: 12-10-2021   Amnt: $420.8  Note</v>
      </c>
      <c r="B339" s="43" t="str">
        <f>CONCATENATE("Detail: ",'Level 1'!N339,"  ",'Level 1'!O339,TEXT('Level 1'!P339,"  mm-dd-yyyy"),";"," ",'Level 1'!Q339,'Level 1'!R339,"  ",'Level 1'!T339," ","Payment "," ",'Level 1'!U339,"  ",'Level 1'!V339,"  ",'Level 1'!W339,"  ",'Level 1'!X339,"  ",'Level 1'!Z339, "  ",'Level 1'!AA339, " ","Insurance: ",'Level 1'!A339)</f>
        <v>Detail: Note  Q1  01-00-1900; Q2   Payment  Q4    Q5    Additional Notes:   Insurance: DPOW-CCHP</v>
      </c>
      <c r="C339" s="60" t="str">
        <f>'Level 1'!Y339</f>
        <v>Action</v>
      </c>
      <c r="D339" s="44" t="str">
        <f>VLOOKUP(C339,Table2[#All],3,FALSE)</f>
        <v>What we need from you/Reason</v>
      </c>
      <c r="E339" s="75" t="s">
        <v>199</v>
      </c>
      <c r="F339" s="96"/>
      <c r="G339" s="97"/>
    </row>
    <row r="340" spans="1:7" ht="42" x14ac:dyDescent="0.25">
      <c r="A340" s="43" t="str">
        <f>CONCATENATE("Pt Id:",'Level 1'!E340," ","Pt Name: ",'Level 1'!F340," ","DOS: ", TEXT('Level 1'!H340,"mm-dd-yyyy"),"  "," Amnt: ","$",'Level 1'!J340,"  ", 'Level 1'!N340)</f>
        <v>Pt Id:3996 Pt Name: BEDARD , CHERYL DOS: 01-03-2022   Amnt: $216  Note</v>
      </c>
      <c r="B340" s="43" t="str">
        <f>CONCATENATE("Detail: ",'Level 1'!N340,"  ",'Level 1'!O340,TEXT('Level 1'!P340,"  mm-dd-yyyy"),";"," ",'Level 1'!Q340,'Level 1'!R340,"  ",'Level 1'!T340," ","Payment "," ",'Level 1'!U340,"  ",'Level 1'!V340,"  ",'Level 1'!W340,"  ",'Level 1'!X340,"  ",'Level 1'!Z340, "  ",'Level 1'!AA340, " ","Insurance: ",'Level 1'!A340)</f>
        <v>Detail: Note  Q1  01-00-1900; Q2   Payment  Q4    Q5    Additional Notes:   Insurance: DPOW-CCHP</v>
      </c>
      <c r="C340" s="60" t="str">
        <f>'Level 1'!Y340</f>
        <v>Action</v>
      </c>
      <c r="D340" s="44" t="str">
        <f>VLOOKUP(C340,Table2[#All],3,FALSE)</f>
        <v>What we need from you/Reason</v>
      </c>
      <c r="E340" s="75" t="s">
        <v>199</v>
      </c>
      <c r="F340" s="96"/>
      <c r="G340" s="97"/>
    </row>
    <row r="341" spans="1:7" ht="21" x14ac:dyDescent="0.25">
      <c r="A341" s="43" t="str">
        <f>CONCATENATE("Pt Id:",'Level 1'!E341," ","Pt Name: ",'Level 1'!F341," ","DOS: ", TEXT('Level 1'!H341,"mm-dd-yyyy"),"  "," Amnt: ","$",'Level 1'!J341,"  ", 'Level 1'!N341)</f>
        <v>Pt Id:8187 Pt Name: Deol, Baljeet  DOS: 01-07-2022   Amnt: $216  Note</v>
      </c>
      <c r="B341" s="43" t="str">
        <f>CONCATENATE("Detail: ",'Level 1'!N341,"  ",'Level 1'!O341,TEXT('Level 1'!P341,"  mm-dd-yyyy"),";"," ",'Level 1'!Q341,'Level 1'!R341,"  ",'Level 1'!T341," ","Payment "," ",'Level 1'!U341,"  ",'Level 1'!V341,"  ",'Level 1'!W341,"  ",'Level 1'!X341,"  ",'Level 1'!Z341, "  ",'Level 1'!AA341, " ","Insurance: ",'Level 1'!A341)</f>
        <v>Detail: Note  Q1  01-00-1900; Q2   Payment  Q4    Q5    Additional Notes:   Insurance: DPOW-CCHP</v>
      </c>
      <c r="C341" s="60" t="str">
        <f>'Level 1'!Y341</f>
        <v>Action</v>
      </c>
      <c r="D341" s="44" t="str">
        <f>VLOOKUP(C341,Table2[#All],3,FALSE)</f>
        <v>What we need from you/Reason</v>
      </c>
      <c r="E341" s="75" t="s">
        <v>199</v>
      </c>
      <c r="F341" s="96"/>
      <c r="G341" s="97"/>
    </row>
    <row r="342" spans="1:7" ht="21" x14ac:dyDescent="0.25">
      <c r="A342" s="43" t="str">
        <f>CONCATENATE("Pt Id:",'Level 1'!E342," ","Pt Name: ",'Level 1'!F342," ","DOS: ", TEXT('Level 1'!H342,"mm-dd-yyyy"),"  "," Amnt: ","$",'Level 1'!J342,"  ", 'Level 1'!N342)</f>
        <v>Pt Id:2541 Pt Name: Hamed , Ali  DOS: 01-02-2022   Amnt: $196.8  Note</v>
      </c>
      <c r="B342" s="43" t="str">
        <f>CONCATENATE("Detail: ",'Level 1'!N342,"  ",'Level 1'!O342,TEXT('Level 1'!P342,"  mm-dd-yyyy"),";"," ",'Level 1'!Q342,'Level 1'!R342,"  ",'Level 1'!T342," ","Payment "," ",'Level 1'!U342,"  ",'Level 1'!V342,"  ",'Level 1'!W342,"  ",'Level 1'!X342,"  ",'Level 1'!Z342, "  ",'Level 1'!AA342, " ","Insurance: ",'Level 1'!A342)</f>
        <v>Detail: Note  Q1  01-00-1900; Q2   Payment  Q4    Q5    Additional Notes:   Insurance: DPOW-CCHP</v>
      </c>
      <c r="C342" s="60" t="str">
        <f>'Level 1'!Y342</f>
        <v>Action</v>
      </c>
      <c r="D342" s="44" t="str">
        <f>VLOOKUP(C342,Table2[#All],3,FALSE)</f>
        <v>What we need from you/Reason</v>
      </c>
      <c r="E342" s="75" t="s">
        <v>199</v>
      </c>
      <c r="F342" s="96"/>
      <c r="G342" s="97"/>
    </row>
    <row r="343" spans="1:7" ht="21" x14ac:dyDescent="0.25">
      <c r="A343" s="43" t="str">
        <f>CONCATENATE("Pt Id:",'Level 1'!E343," ","Pt Name: ",'Level 1'!F343," ","DOS: ", TEXT('Level 1'!H343,"mm-dd-yyyy"),"  "," Amnt: ","$",'Level 1'!J343,"  ", 'Level 1'!N343)</f>
        <v>Pt Id:8647 Pt Name: Harris , Marcus  DOS: 01-02-2022   Amnt: $1334.4  Note</v>
      </c>
      <c r="B343" s="43" t="str">
        <f>CONCATENATE("Detail: ",'Level 1'!N343,"  ",'Level 1'!O343,TEXT('Level 1'!P343,"  mm-dd-yyyy"),";"," ",'Level 1'!Q343,'Level 1'!R343,"  ",'Level 1'!T343," ","Payment "," ",'Level 1'!U343,"  ",'Level 1'!V343,"  ",'Level 1'!W343,"  ",'Level 1'!X343,"  ",'Level 1'!Z343, "  ",'Level 1'!AA343, " ","Insurance: ",'Level 1'!A343)</f>
        <v>Detail: Note  Q1  01-00-1900; Q2   Payment  Q4    Q5    Additional Notes:   Insurance: DPOW-CCHP</v>
      </c>
      <c r="C343" s="60" t="str">
        <f>'Level 1'!Y343</f>
        <v>Action</v>
      </c>
      <c r="D343" s="44" t="str">
        <f>VLOOKUP(C343,Table2[#All],3,FALSE)</f>
        <v>What we need from you/Reason</v>
      </c>
      <c r="E343" s="75" t="s">
        <v>199</v>
      </c>
      <c r="F343" s="96"/>
      <c r="G343" s="97"/>
    </row>
    <row r="344" spans="1:7" ht="42" x14ac:dyDescent="0.25">
      <c r="A344" s="43" t="str">
        <f>CONCATENATE("Pt Id:",'Level 1'!E344," ","Pt Name: ",'Level 1'!F344," ","DOS: ", TEXT('Level 1'!H344,"mm-dd-yyyy"),"  "," Amnt: ","$",'Level 1'!J344,"  ", 'Level 1'!N344)</f>
        <v>Pt Id:8682 Pt Name: Jensen , Christopher  DOS: 01-02-2022   Amnt: $88.8  Note</v>
      </c>
      <c r="B344" s="43" t="str">
        <f>CONCATENATE("Detail: ",'Level 1'!N344,"  ",'Level 1'!O344,TEXT('Level 1'!P344,"  mm-dd-yyyy"),";"," ",'Level 1'!Q344,'Level 1'!R344,"  ",'Level 1'!T344," ","Payment "," ",'Level 1'!U344,"  ",'Level 1'!V344,"  ",'Level 1'!W344,"  ",'Level 1'!X344,"  ",'Level 1'!Z344, "  ",'Level 1'!AA344, " ","Insurance: ",'Level 1'!A344)</f>
        <v>Detail: Note  Q1  01-00-1900; Q2   Payment  Q4    Q5    Additional Notes:   Insurance: DPOW-CCHP</v>
      </c>
      <c r="C344" s="60" t="str">
        <f>'Level 1'!Y344</f>
        <v>Action</v>
      </c>
      <c r="D344" s="44" t="str">
        <f>VLOOKUP(C344,Table2[#All],3,FALSE)</f>
        <v>What we need from you/Reason</v>
      </c>
      <c r="E344" s="75" t="s">
        <v>199</v>
      </c>
      <c r="F344" s="96"/>
      <c r="G344" s="97"/>
    </row>
    <row r="345" spans="1:7" ht="42" x14ac:dyDescent="0.25">
      <c r="A345" s="43" t="str">
        <f>CONCATENATE("Pt Id:",'Level 1'!E345," ","Pt Name: ",'Level 1'!F345," ","DOS: ", TEXT('Level 1'!H345,"mm-dd-yyyy"),"  "," Amnt: ","$",'Level 1'!J345,"  ", 'Level 1'!N345)</f>
        <v>Pt Id:1199 Pt Name: Martinez Lopez , Daniel  DOS: 01-02-2022   Amnt: $496  Note</v>
      </c>
      <c r="B345" s="43" t="str">
        <f>CONCATENATE("Detail: ",'Level 1'!N345,"  ",'Level 1'!O345,TEXT('Level 1'!P345,"  mm-dd-yyyy"),";"," ",'Level 1'!Q345,'Level 1'!R345,"  ",'Level 1'!T345," ","Payment "," ",'Level 1'!U345,"  ",'Level 1'!V345,"  ",'Level 1'!W345,"  ",'Level 1'!X345,"  ",'Level 1'!Z345, "  ",'Level 1'!AA345, " ","Insurance: ",'Level 1'!A345)</f>
        <v>Detail: Note  Q1  01-00-1900; Q2   Payment  Q4    Q5    Additional Notes:   Insurance: DPOW-CCHP</v>
      </c>
      <c r="C345" s="60" t="str">
        <f>'Level 1'!Y345</f>
        <v>Action</v>
      </c>
      <c r="D345" s="44" t="str">
        <f>VLOOKUP(C345,Table2[#All],3,FALSE)</f>
        <v>What we need from you/Reason</v>
      </c>
      <c r="E345" s="75" t="s">
        <v>199</v>
      </c>
      <c r="F345" s="96"/>
      <c r="G345" s="97"/>
    </row>
    <row r="346" spans="1:7" ht="42" x14ac:dyDescent="0.25">
      <c r="A346" s="43" t="str">
        <f>CONCATENATE("Pt Id:",'Level 1'!E346," ","Pt Name: ",'Level 1'!F346," ","DOS: ", TEXT('Level 1'!H346,"mm-dd-yyyy"),"  "," Amnt: ","$",'Level 1'!J346,"  ", 'Level 1'!N346)</f>
        <v>Pt Id:4530 Pt Name: Mitchell, Trevean  DOS: 12-31-2021   Amnt: $337.2  Note</v>
      </c>
      <c r="B346" s="43" t="str">
        <f>CONCATENATE("Detail: ",'Level 1'!N346,"  ",'Level 1'!O346,TEXT('Level 1'!P346,"  mm-dd-yyyy"),";"," ",'Level 1'!Q346,'Level 1'!R346,"  ",'Level 1'!T346," ","Payment "," ",'Level 1'!U346,"  ",'Level 1'!V346,"  ",'Level 1'!W346,"  ",'Level 1'!X346,"  ",'Level 1'!Z346, "  ",'Level 1'!AA346, " ","Insurance: ",'Level 1'!A346)</f>
        <v>Detail: Note  Q1  01-00-1900; Q2   Payment  Q4    Q5    Additional Notes:   Insurance: DPOW-CCHP</v>
      </c>
      <c r="C346" s="60" t="str">
        <f>'Level 1'!Y346</f>
        <v>Action</v>
      </c>
      <c r="D346" s="44" t="str">
        <f>VLOOKUP(C346,Table2[#All],3,FALSE)</f>
        <v>What we need from you/Reason</v>
      </c>
      <c r="E346" s="75" t="s">
        <v>199</v>
      </c>
      <c r="F346" s="96"/>
      <c r="G346" s="97"/>
    </row>
    <row r="347" spans="1:7" ht="21" x14ac:dyDescent="0.25">
      <c r="A347" s="43" t="str">
        <f>CONCATENATE("Pt Id:",'Level 1'!E347," ","Pt Name: ",'Level 1'!F347," ","DOS: ", TEXT('Level 1'!H347,"mm-dd-yyyy"),"  "," Amnt: ","$",'Level 1'!J347,"  ", 'Level 1'!N347)</f>
        <v>Pt Id:8747 Pt Name: Henges , Robert DOS: 12-30-2021   Amnt: $704.4  Note</v>
      </c>
      <c r="B347" s="43" t="str">
        <f>CONCATENATE("Detail: ",'Level 1'!N347,"  ",'Level 1'!O347,TEXT('Level 1'!P347,"  mm-dd-yyyy"),";"," ",'Level 1'!Q347,'Level 1'!R347,"  ",'Level 1'!T347," ","Payment "," ",'Level 1'!U347,"  ",'Level 1'!V347,"  ",'Level 1'!W347,"  ",'Level 1'!X347,"  ",'Level 1'!Z347, "  ",'Level 1'!AA347, " ","Insurance: ",'Level 1'!A347)</f>
        <v>Detail: Note  Q1  01-00-1900; Q2   Payment  Q4    Q5    Additional Notes:   Insurance: DPOW-CCHP</v>
      </c>
      <c r="C347" s="60" t="str">
        <f>'Level 1'!Y347</f>
        <v>Action</v>
      </c>
      <c r="D347" s="44" t="str">
        <f>VLOOKUP(C347,Table2[#All],3,FALSE)</f>
        <v>What we need from you/Reason</v>
      </c>
      <c r="E347" s="75" t="s">
        <v>199</v>
      </c>
      <c r="F347" s="96"/>
      <c r="G347" s="97"/>
    </row>
    <row r="348" spans="1:7" ht="21" x14ac:dyDescent="0.25">
      <c r="A348" s="43" t="str">
        <f>CONCATENATE("Pt Id:",'Level 1'!E348," ","Pt Name: ",'Level 1'!F348," ","DOS: ", TEXT('Level 1'!H348,"mm-dd-yyyy"),"  "," Amnt: ","$",'Level 1'!J348,"  ", 'Level 1'!N348)</f>
        <v>Pt Id:8716 Pt Name: Brem, Jessica DOS: 12-30-2021   Amnt: $792  Note</v>
      </c>
      <c r="B348" s="43" t="str">
        <f>CONCATENATE("Detail: ",'Level 1'!N348,"  ",'Level 1'!O348,TEXT('Level 1'!P348,"  mm-dd-yyyy"),";"," ",'Level 1'!Q348,'Level 1'!R348,"  ",'Level 1'!T348," ","Payment "," ",'Level 1'!U348,"  ",'Level 1'!V348,"  ",'Level 1'!W348,"  ",'Level 1'!X348,"  ",'Level 1'!Z348, "  ",'Level 1'!AA348, " ","Insurance: ",'Level 1'!A348)</f>
        <v>Detail: Note  Q1  01-00-1900; Q2   Payment  Q4    Q5    Additional Notes:   Insurance: DPOW-CCHP</v>
      </c>
      <c r="C348" s="60" t="str">
        <f>'Level 1'!Y348</f>
        <v>Action</v>
      </c>
      <c r="D348" s="44" t="str">
        <f>VLOOKUP(C348,Table2[#All],3,FALSE)</f>
        <v>What we need from you/Reason</v>
      </c>
      <c r="E348" s="75" t="s">
        <v>199</v>
      </c>
      <c r="F348" s="96"/>
      <c r="G348" s="97"/>
    </row>
    <row r="349" spans="1:7" ht="42" x14ac:dyDescent="0.25">
      <c r="A349" s="43" t="str">
        <f>CONCATENATE("Pt Id:",'Level 1'!E349," ","Pt Name: ",'Level 1'!F349," ","DOS: ", TEXT('Level 1'!H349,"mm-dd-yyyy"),"  "," Amnt: ","$",'Level 1'!J349,"  ", 'Level 1'!N349)</f>
        <v>Pt Id:3996 Pt Name: BEDARD , CHERYL DOS: 12-30-2021   Amnt: $450  Note</v>
      </c>
      <c r="B349" s="43" t="str">
        <f>CONCATENATE("Detail: ",'Level 1'!N349,"  ",'Level 1'!O349,TEXT('Level 1'!P349,"  mm-dd-yyyy"),";"," ",'Level 1'!Q349,'Level 1'!R349,"  ",'Level 1'!T349," ","Payment "," ",'Level 1'!U349,"  ",'Level 1'!V349,"  ",'Level 1'!W349,"  ",'Level 1'!X349,"  ",'Level 1'!Z349, "  ",'Level 1'!AA349, " ","Insurance: ",'Level 1'!A349)</f>
        <v>Detail: Note  Q1  01-00-1900; Q2   Payment  Q4    Q5    Additional Notes:   Insurance: DPOW-CCHP</v>
      </c>
      <c r="C349" s="60" t="str">
        <f>'Level 1'!Y349</f>
        <v>Action</v>
      </c>
      <c r="D349" s="44" t="str">
        <f>VLOOKUP(C349,Table2[#All],3,FALSE)</f>
        <v>What we need from you/Reason</v>
      </c>
      <c r="E349" s="75" t="s">
        <v>199</v>
      </c>
      <c r="F349" s="96"/>
      <c r="G349" s="97"/>
    </row>
    <row r="350" spans="1:7" ht="21" x14ac:dyDescent="0.25">
      <c r="A350" s="43" t="str">
        <f>CONCATENATE("Pt Id:",'Level 1'!E350," ","Pt Name: ",'Level 1'!F350," ","DOS: ", TEXT('Level 1'!H350,"mm-dd-yyyy"),"  "," Amnt: ","$",'Level 1'!J350,"  ", 'Level 1'!N350)</f>
        <v>Pt Id:8732 Pt Name: Mahoney , Evie DOS: 12-30-2021   Amnt: $166.8  Note</v>
      </c>
      <c r="B350" s="43" t="str">
        <f>CONCATENATE("Detail: ",'Level 1'!N350,"  ",'Level 1'!O350,TEXT('Level 1'!P350,"  mm-dd-yyyy"),";"," ",'Level 1'!Q350,'Level 1'!R350,"  ",'Level 1'!T350," ","Payment "," ",'Level 1'!U350,"  ",'Level 1'!V350,"  ",'Level 1'!W350,"  ",'Level 1'!X350,"  ",'Level 1'!Z350, "  ",'Level 1'!AA350, " ","Insurance: ",'Level 1'!A350)</f>
        <v>Detail: Note  Q1  01-00-1900; Q2   Payment  Q4    Q5    Additional Notes:   Insurance: DPOW-CCHP</v>
      </c>
      <c r="C350" s="60" t="str">
        <f>'Level 1'!Y350</f>
        <v>Action</v>
      </c>
      <c r="D350" s="44" t="str">
        <f>VLOOKUP(C350,Table2[#All],3,FALSE)</f>
        <v>What we need from you/Reason</v>
      </c>
      <c r="E350" s="75" t="s">
        <v>199</v>
      </c>
      <c r="F350" s="96"/>
      <c r="G350" s="97"/>
    </row>
    <row r="351" spans="1:7" ht="21" x14ac:dyDescent="0.25">
      <c r="A351" s="43" t="str">
        <f>CONCATENATE("Pt Id:",'Level 1'!E351," ","Pt Name: ",'Level 1'!F351," ","DOS: ", TEXT('Level 1'!H351,"mm-dd-yyyy"),"  "," Amnt: ","$",'Level 1'!J351,"  ", 'Level 1'!N351)</f>
        <v>Pt Id:8027 Pt Name: Fudeh , Saleh DOS: 12-29-2021   Amnt: $61.2  Note</v>
      </c>
      <c r="B351" s="43" t="str">
        <f>CONCATENATE("Detail: ",'Level 1'!N351,"  ",'Level 1'!O351,TEXT('Level 1'!P351,"  mm-dd-yyyy"),";"," ",'Level 1'!Q351,'Level 1'!R351,"  ",'Level 1'!T351," ","Payment "," ",'Level 1'!U351,"  ",'Level 1'!V351,"  ",'Level 1'!W351,"  ",'Level 1'!X351,"  ",'Level 1'!Z351, "  ",'Level 1'!AA351, " ","Insurance: ",'Level 1'!A351)</f>
        <v>Detail: Note  Q1  01-00-1900; Q2   Payment  Q4    Q5    Additional Notes:   Insurance: DPOW-CCHP</v>
      </c>
      <c r="C351" s="60" t="str">
        <f>'Level 1'!Y351</f>
        <v>Action</v>
      </c>
      <c r="D351" s="44" t="str">
        <f>VLOOKUP(C351,Table2[#All],3,FALSE)</f>
        <v>What we need from you/Reason</v>
      </c>
      <c r="E351" s="75" t="s">
        <v>199</v>
      </c>
      <c r="F351" s="96"/>
      <c r="G351" s="97"/>
    </row>
    <row r="352" spans="1:7" ht="21" x14ac:dyDescent="0.25">
      <c r="A352" s="43" t="str">
        <f>CONCATENATE("Pt Id:",'Level 1'!E352," ","Pt Name: ",'Level 1'!F352," ","DOS: ", TEXT('Level 1'!H352,"mm-dd-yyyy"),"  "," Amnt: ","$",'Level 1'!J352,"  ", 'Level 1'!N352)</f>
        <v>Pt Id:4500 Pt Name: Knilans , Joseph  DOS: 12-29-2021   Amnt: $43.2  Note</v>
      </c>
      <c r="B352" s="43" t="str">
        <f>CONCATENATE("Detail: ",'Level 1'!N352,"  ",'Level 1'!O352,TEXT('Level 1'!P352,"  mm-dd-yyyy"),";"," ",'Level 1'!Q352,'Level 1'!R352,"  ",'Level 1'!T352," ","Payment "," ",'Level 1'!U352,"  ",'Level 1'!V352,"  ",'Level 1'!W352,"  ",'Level 1'!X352,"  ",'Level 1'!Z352, "  ",'Level 1'!AA352, " ","Insurance: ",'Level 1'!A352)</f>
        <v>Detail: Note  Q1  01-00-1900; Q2   Payment  Q4    Q5    Additional Notes:   Insurance: DPOW-CCHP</v>
      </c>
      <c r="C352" s="60" t="str">
        <f>'Level 1'!Y352</f>
        <v>Action</v>
      </c>
      <c r="D352" s="44" t="str">
        <f>VLOOKUP(C352,Table2[#All],3,FALSE)</f>
        <v>What we need from you/Reason</v>
      </c>
      <c r="E352" s="75" t="s">
        <v>199</v>
      </c>
      <c r="F352" s="96"/>
      <c r="G352" s="97"/>
    </row>
    <row r="353" spans="1:7" ht="21" x14ac:dyDescent="0.25">
      <c r="A353" s="43" t="str">
        <f>CONCATENATE("Pt Id:",'Level 1'!E353," ","Pt Name: ",'Level 1'!F353," ","DOS: ", TEXT('Level 1'!H353,"mm-dd-yyyy"),"  "," Amnt: ","$",'Level 1'!J353,"  ", 'Level 1'!N353)</f>
        <v>Pt Id:5821 Pt Name: Hamed , Majd  DOS: 12-28-2021   Amnt: $227.6  Note</v>
      </c>
      <c r="B353" s="43" t="str">
        <f>CONCATENATE("Detail: ",'Level 1'!N353,"  ",'Level 1'!O353,TEXT('Level 1'!P353,"  mm-dd-yyyy"),";"," ",'Level 1'!Q353,'Level 1'!R353,"  ",'Level 1'!T353," ","Payment "," ",'Level 1'!U353,"  ",'Level 1'!V353,"  ",'Level 1'!W353,"  ",'Level 1'!X353,"  ",'Level 1'!Z353, "  ",'Level 1'!AA353, " ","Insurance: ",'Level 1'!A353)</f>
        <v>Detail: Note  Q1  01-00-1900; Q2   Payment  Q4    Q5    Additional Notes:   Insurance: DPOW-CCHP</v>
      </c>
      <c r="C353" s="60" t="str">
        <f>'Level 1'!Y353</f>
        <v>Action</v>
      </c>
      <c r="D353" s="44" t="str">
        <f>VLOOKUP(C353,Table2[#All],3,FALSE)</f>
        <v>What we need from you/Reason</v>
      </c>
      <c r="E353" s="75" t="s">
        <v>199</v>
      </c>
      <c r="F353" s="96"/>
      <c r="G353" s="97"/>
    </row>
    <row r="354" spans="1:7" ht="21" x14ac:dyDescent="0.25">
      <c r="A354" s="43" t="str">
        <f>CONCATENATE("Pt Id:",'Level 1'!E354," ","Pt Name: ",'Level 1'!F354," ","DOS: ", TEXT('Level 1'!H354,"mm-dd-yyyy"),"  "," Amnt: ","$",'Level 1'!J354,"  ", 'Level 1'!N354)</f>
        <v>Pt Id:2540 Pt Name: Hamed , Laith  DOS: 12-28-2021   Amnt: $244.4  Note</v>
      </c>
      <c r="B354" s="43" t="str">
        <f>CONCATENATE("Detail: ",'Level 1'!N354,"  ",'Level 1'!O354,TEXT('Level 1'!P354,"  mm-dd-yyyy"),";"," ",'Level 1'!Q354,'Level 1'!R354,"  ",'Level 1'!T354," ","Payment "," ",'Level 1'!U354,"  ",'Level 1'!V354,"  ",'Level 1'!W354,"  ",'Level 1'!X354,"  ",'Level 1'!Z354, "  ",'Level 1'!AA354, " ","Insurance: ",'Level 1'!A354)</f>
        <v>Detail: Note  Q1  01-00-1900; Q2   Payment  Q4    Q5    Additional Notes:   Insurance: DPOW-CCHP</v>
      </c>
      <c r="C354" s="60" t="str">
        <f>'Level 1'!Y354</f>
        <v>Action</v>
      </c>
      <c r="D354" s="44" t="str">
        <f>VLOOKUP(C354,Table2[#All],3,FALSE)</f>
        <v>What we need from you/Reason</v>
      </c>
      <c r="E354" s="75" t="s">
        <v>199</v>
      </c>
      <c r="F354" s="96"/>
      <c r="G354" s="97"/>
    </row>
    <row r="355" spans="1:7" ht="21" x14ac:dyDescent="0.25">
      <c r="A355" s="43" t="str">
        <f>CONCATENATE("Pt Id:",'Level 1'!E355," ","Pt Name: ",'Level 1'!F355," ","DOS: ", TEXT('Level 1'!H355,"mm-dd-yyyy"),"  "," Amnt: ","$",'Level 1'!J355,"  ", 'Level 1'!N355)</f>
        <v>Pt Id:6169 Pt Name: Arteaga, Abizael DOS: 12-28-2021   Amnt: $364.4  Note</v>
      </c>
      <c r="B355" s="43" t="str">
        <f>CONCATENATE("Detail: ",'Level 1'!N355,"  ",'Level 1'!O355,TEXT('Level 1'!P355,"  mm-dd-yyyy"),";"," ",'Level 1'!Q355,'Level 1'!R355,"  ",'Level 1'!T355," ","Payment "," ",'Level 1'!U355,"  ",'Level 1'!V355,"  ",'Level 1'!W355,"  ",'Level 1'!X355,"  ",'Level 1'!Z355, "  ",'Level 1'!AA355, " ","Insurance: ",'Level 1'!A355)</f>
        <v>Detail: Note  Q1  01-00-1900; Q2   Payment  Q4    Q5    Additional Notes:   Insurance: DPOW-CCHP</v>
      </c>
      <c r="C355" s="60" t="str">
        <f>'Level 1'!Y355</f>
        <v>Action</v>
      </c>
      <c r="D355" s="44" t="str">
        <f>VLOOKUP(C355,Table2[#All],3,FALSE)</f>
        <v>What we need from you/Reason</v>
      </c>
      <c r="E355" s="75" t="s">
        <v>199</v>
      </c>
      <c r="F355" s="96"/>
      <c r="G355" s="97"/>
    </row>
    <row r="356" spans="1:7" ht="42" x14ac:dyDescent="0.25">
      <c r="A356" s="43" t="str">
        <f>CONCATENATE("Pt Id:",'Level 1'!E356," ","Pt Name: ",'Level 1'!F356," ","DOS: ", TEXT('Level 1'!H356,"mm-dd-yyyy"),"  "," Amnt: ","$",'Level 1'!J356,"  ", 'Level 1'!N356)</f>
        <v>Pt Id:8738 Pt Name: Estupinan Perez, Alexia DOS: 12-28-2021   Amnt: $992.8  Note</v>
      </c>
      <c r="B356" s="43" t="str">
        <f>CONCATENATE("Detail: ",'Level 1'!N356,"  ",'Level 1'!O356,TEXT('Level 1'!P356,"  mm-dd-yyyy"),";"," ",'Level 1'!Q356,'Level 1'!R356,"  ",'Level 1'!T356," ","Payment "," ",'Level 1'!U356,"  ",'Level 1'!V356,"  ",'Level 1'!W356,"  ",'Level 1'!X356,"  ",'Level 1'!Z356, "  ",'Level 1'!AA356, " ","Insurance: ",'Level 1'!A356)</f>
        <v>Detail: Note  Q1  01-00-1900; Q2   Payment  Q4    Q5    Additional Notes:   Insurance: DPOW-CCHP</v>
      </c>
      <c r="C356" s="60" t="str">
        <f>'Level 1'!Y356</f>
        <v>Action</v>
      </c>
      <c r="D356" s="44" t="str">
        <f>VLOOKUP(C356,Table2[#All],3,FALSE)</f>
        <v>What we need from you/Reason</v>
      </c>
      <c r="E356" s="75" t="s">
        <v>199</v>
      </c>
      <c r="F356" s="96"/>
      <c r="G356" s="97"/>
    </row>
    <row r="357" spans="1:7" ht="21" x14ac:dyDescent="0.25">
      <c r="A357" s="43" t="str">
        <f>CONCATENATE("Pt Id:",'Level 1'!E357," ","Pt Name: ",'Level 1'!F357," ","DOS: ", TEXT('Level 1'!H357,"mm-dd-yyyy"),"  "," Amnt: ","$",'Level 1'!J357,"  ", 'Level 1'!N357)</f>
        <v>Pt Id:8715 Pt Name: Rupert , Laura  DOS: 12-28-2021   Amnt: $178.4  Note</v>
      </c>
      <c r="B357" s="43" t="str">
        <f>CONCATENATE("Detail: ",'Level 1'!N357,"  ",'Level 1'!O357,TEXT('Level 1'!P357,"  mm-dd-yyyy"),";"," ",'Level 1'!Q357,'Level 1'!R357,"  ",'Level 1'!T357," ","Payment "," ",'Level 1'!U357,"  ",'Level 1'!V357,"  ",'Level 1'!W357,"  ",'Level 1'!X357,"  ",'Level 1'!Z357, "  ",'Level 1'!AA357, " ","Insurance: ",'Level 1'!A357)</f>
        <v>Detail: Note  Q1  01-00-1900; Q2   Payment  Q4    Q5    Additional Notes:   Insurance: DPOW-CCHP</v>
      </c>
      <c r="C357" s="60" t="str">
        <f>'Level 1'!Y357</f>
        <v>Action</v>
      </c>
      <c r="D357" s="44" t="str">
        <f>VLOOKUP(C357,Table2[#All],3,FALSE)</f>
        <v>What we need from you/Reason</v>
      </c>
      <c r="E357" s="75" t="s">
        <v>199</v>
      </c>
      <c r="F357" s="96"/>
      <c r="G357" s="97"/>
    </row>
    <row r="358" spans="1:7" ht="21" x14ac:dyDescent="0.25">
      <c r="A358" s="43" t="str">
        <f>CONCATENATE("Pt Id:",'Level 1'!E358," ","Pt Name: ",'Level 1'!F358," ","DOS: ", TEXT('Level 1'!H358,"mm-dd-yyyy"),"  "," Amnt: ","$",'Level 1'!J358,"  ", 'Level 1'!N358)</f>
        <v>Pt Id:5822 Pt Name: Hamed , Sham  DOS: 12-28-2021   Amnt: $138  Note</v>
      </c>
      <c r="B358" s="43" t="str">
        <f>CONCATENATE("Detail: ",'Level 1'!N358,"  ",'Level 1'!O358,TEXT('Level 1'!P358,"  mm-dd-yyyy"),";"," ",'Level 1'!Q358,'Level 1'!R358,"  ",'Level 1'!T358," ","Payment "," ",'Level 1'!U358,"  ",'Level 1'!V358,"  ",'Level 1'!W358,"  ",'Level 1'!X358,"  ",'Level 1'!Z358, "  ",'Level 1'!AA358, " ","Insurance: ",'Level 1'!A358)</f>
        <v>Detail: Note  Q1  01-00-1900; Q2   Payment  Q4    Q5    Additional Notes:   Insurance: DPOW-CCHP</v>
      </c>
      <c r="C358" s="60" t="str">
        <f>'Level 1'!Y358</f>
        <v>Action</v>
      </c>
      <c r="D358" s="44" t="str">
        <f>VLOOKUP(C358,Table2[#All],3,FALSE)</f>
        <v>What we need from you/Reason</v>
      </c>
      <c r="E358" s="75" t="s">
        <v>199</v>
      </c>
      <c r="F358" s="96"/>
      <c r="G358" s="97"/>
    </row>
    <row r="359" spans="1:7" ht="21" x14ac:dyDescent="0.25">
      <c r="A359" s="43" t="str">
        <f>CONCATENATE("Pt Id:",'Level 1'!E359," ","Pt Name: ",'Level 1'!F359," ","DOS: ", TEXT('Level 1'!H359,"mm-dd-yyyy"),"  "," Amnt: ","$",'Level 1'!J359,"  ", 'Level 1'!N359)</f>
        <v>Pt Id:5718 Pt Name: Sharma, Sunil  DOS: 12-27-2021   Amnt: $149.6  Note</v>
      </c>
      <c r="B359" s="43" t="str">
        <f>CONCATENATE("Detail: ",'Level 1'!N359,"  ",'Level 1'!O359,TEXT('Level 1'!P359,"  mm-dd-yyyy"),";"," ",'Level 1'!Q359,'Level 1'!R359,"  ",'Level 1'!T359," ","Payment "," ",'Level 1'!U359,"  ",'Level 1'!V359,"  ",'Level 1'!W359,"  ",'Level 1'!X359,"  ",'Level 1'!Z359, "  ",'Level 1'!AA359, " ","Insurance: ",'Level 1'!A359)</f>
        <v>Detail: Note  Q1  01-00-1900; Q2   Payment  Q4    Q5    Additional Notes:   Insurance: DPOW-CCHP</v>
      </c>
      <c r="C359" s="60" t="str">
        <f>'Level 1'!Y359</f>
        <v>Action</v>
      </c>
      <c r="D359" s="44" t="str">
        <f>VLOOKUP(C359,Table2[#All],3,FALSE)</f>
        <v>What we need from you/Reason</v>
      </c>
      <c r="E359" s="75" t="s">
        <v>199</v>
      </c>
      <c r="F359" s="96"/>
      <c r="G359" s="97"/>
    </row>
    <row r="360" spans="1:7" ht="42" x14ac:dyDescent="0.25">
      <c r="A360" s="43" t="str">
        <f>CONCATENATE("Pt Id:",'Level 1'!E360," ","Pt Name: ",'Level 1'!F360," ","DOS: ", TEXT('Level 1'!H360,"mm-dd-yyyy"),"  "," Amnt: ","$",'Level 1'!J360,"  ", 'Level 1'!N360)</f>
        <v>Pt Id:5932 Pt Name: Montes De Oca , Alejandra  DOS: 12-27-2021   Amnt: $266  Note</v>
      </c>
      <c r="B360" s="43" t="str">
        <f>CONCATENATE("Detail: ",'Level 1'!N360,"  ",'Level 1'!O360,TEXT('Level 1'!P360,"  mm-dd-yyyy"),";"," ",'Level 1'!Q360,'Level 1'!R360,"  ",'Level 1'!T360," ","Payment "," ",'Level 1'!U360,"  ",'Level 1'!V360,"  ",'Level 1'!W360,"  ",'Level 1'!X360,"  ",'Level 1'!Z360, "  ",'Level 1'!AA360, " ","Insurance: ",'Level 1'!A360)</f>
        <v>Detail: Note  Q1  01-00-1900; Q2   Payment  Q4    Q5    Additional Notes:   Insurance: DPOW-CCHP</v>
      </c>
      <c r="C360" s="60" t="str">
        <f>'Level 1'!Y360</f>
        <v>Action</v>
      </c>
      <c r="D360" s="44" t="str">
        <f>VLOOKUP(C360,Table2[#All],3,FALSE)</f>
        <v>What we need from you/Reason</v>
      </c>
      <c r="E360" s="75" t="s">
        <v>199</v>
      </c>
      <c r="F360" s="96"/>
      <c r="G360" s="97"/>
    </row>
    <row r="361" spans="1:7" ht="21" x14ac:dyDescent="0.25">
      <c r="A361" s="43" t="str">
        <f>CONCATENATE("Pt Id:",'Level 1'!E361," ","Pt Name: ",'Level 1'!F361," ","DOS: ", TEXT('Level 1'!H361,"mm-dd-yyyy"),"  "," Amnt: ","$",'Level 1'!J361,"  ", 'Level 1'!N361)</f>
        <v>Pt Id:7273 Pt Name: Nelson, Amy  DOS: 12-27-2021   Amnt: $61.2  Note</v>
      </c>
      <c r="B361" s="43" t="str">
        <f>CONCATENATE("Detail: ",'Level 1'!N361,"  ",'Level 1'!O361,TEXT('Level 1'!P361,"  mm-dd-yyyy"),";"," ",'Level 1'!Q361,'Level 1'!R361,"  ",'Level 1'!T361," ","Payment "," ",'Level 1'!U361,"  ",'Level 1'!V361,"  ",'Level 1'!W361,"  ",'Level 1'!X361,"  ",'Level 1'!Z361, "  ",'Level 1'!AA361, " ","Insurance: ",'Level 1'!A361)</f>
        <v>Detail: Note  Q1  01-00-1900; Q2   Payment  Q4    Q5    Additional Notes:   Insurance: DPOW-CCHP</v>
      </c>
      <c r="C361" s="60" t="str">
        <f>'Level 1'!Y361</f>
        <v>Action</v>
      </c>
      <c r="D361" s="44" t="str">
        <f>VLOOKUP(C361,Table2[#All],3,FALSE)</f>
        <v>What we need from you/Reason</v>
      </c>
      <c r="E361" s="75" t="s">
        <v>199</v>
      </c>
      <c r="F361" s="96"/>
      <c r="G361" s="97"/>
    </row>
    <row r="362" spans="1:7" ht="21" x14ac:dyDescent="0.25">
      <c r="A362" s="43" t="str">
        <f>CONCATENATE("Pt Id:",'Level 1'!E362," ","Pt Name: ",'Level 1'!F362," ","DOS: ", TEXT('Level 1'!H362,"mm-dd-yyyy"),"  "," Amnt: ","$",'Level 1'!J362,"  ", 'Level 1'!N362)</f>
        <v>Pt Id:5933 Pt Name: Sharma , Kavita  DOS: 12-28-2021   Amnt: $266  Note</v>
      </c>
      <c r="B362" s="43" t="str">
        <f>CONCATENATE("Detail: ",'Level 1'!N362,"  ",'Level 1'!O362,TEXT('Level 1'!P362,"  mm-dd-yyyy"),";"," ",'Level 1'!Q362,'Level 1'!R362,"  ",'Level 1'!T362," ","Payment "," ",'Level 1'!U362,"  ",'Level 1'!V362,"  ",'Level 1'!W362,"  ",'Level 1'!X362,"  ",'Level 1'!Z362, "  ",'Level 1'!AA362, " ","Insurance: ",'Level 1'!A362)</f>
        <v>Detail: Note  Q1  01-00-1900; Q2   Payment  Q4    Q5    Additional Notes:   Insurance: DPOW-CCHP</v>
      </c>
      <c r="C362" s="60" t="str">
        <f>'Level 1'!Y362</f>
        <v>Action</v>
      </c>
      <c r="D362" s="44" t="str">
        <f>VLOOKUP(C362,Table2[#All],3,FALSE)</f>
        <v>What we need from you/Reason</v>
      </c>
      <c r="E362" s="75" t="s">
        <v>199</v>
      </c>
      <c r="F362" s="96"/>
      <c r="G362" s="97"/>
    </row>
    <row r="363" spans="1:7" ht="21" x14ac:dyDescent="0.25">
      <c r="A363" s="43" t="str">
        <f>CONCATENATE("Pt Id:",'Level 1'!E363," ","Pt Name: ",'Level 1'!F363," ","DOS: ", TEXT('Level 1'!H363,"mm-dd-yyyy"),"  "," Amnt: ","$",'Level 1'!J363,"  ", 'Level 1'!N363)</f>
        <v>Pt Id:8701 Pt Name: Hussain, Shahab  DOS: 12-28-2021   Amnt: $162  Note</v>
      </c>
      <c r="B363" s="43" t="str">
        <f>CONCATENATE("Detail: ",'Level 1'!N363,"  ",'Level 1'!O363,TEXT('Level 1'!P363,"  mm-dd-yyyy"),";"," ",'Level 1'!Q363,'Level 1'!R363,"  ",'Level 1'!T363," ","Payment "," ",'Level 1'!U363,"  ",'Level 1'!V363,"  ",'Level 1'!W363,"  ",'Level 1'!X363,"  ",'Level 1'!Z363, "  ",'Level 1'!AA363, " ","Insurance: ",'Level 1'!A363)</f>
        <v>Detail: Note  Q1  01-00-1900; Q2   Payment  Q4    Q5    Additional Notes:   Insurance: DPOW-CCHP</v>
      </c>
      <c r="C363" s="60" t="str">
        <f>'Level 1'!Y363</f>
        <v>Action</v>
      </c>
      <c r="D363" s="44" t="str">
        <f>VLOOKUP(C363,Table2[#All],3,FALSE)</f>
        <v>What we need from you/Reason</v>
      </c>
      <c r="E363" s="75" t="s">
        <v>199</v>
      </c>
      <c r="F363" s="96"/>
      <c r="G363" s="97"/>
    </row>
    <row r="364" spans="1:7" ht="21" x14ac:dyDescent="0.25">
      <c r="A364" s="43" t="str">
        <f>CONCATENATE("Pt Id:",'Level 1'!E364," ","Pt Name: ",'Level 1'!F364," ","DOS: ", TEXT('Level 1'!H364,"mm-dd-yyyy"),"  "," Amnt: ","$",'Level 1'!J364,"  ", 'Level 1'!N364)</f>
        <v>Pt Id:8702 Pt Name: Shahab, Sana  DOS: 12-28-2021   Amnt: $88.8  Note</v>
      </c>
      <c r="B364" s="43" t="str">
        <f>CONCATENATE("Detail: ",'Level 1'!N364,"  ",'Level 1'!O364,TEXT('Level 1'!P364,"  mm-dd-yyyy"),";"," ",'Level 1'!Q364,'Level 1'!R364,"  ",'Level 1'!T364," ","Payment "," ",'Level 1'!U364,"  ",'Level 1'!V364,"  ",'Level 1'!W364,"  ",'Level 1'!X364,"  ",'Level 1'!Z364, "  ",'Level 1'!AA364, " ","Insurance: ",'Level 1'!A364)</f>
        <v>Detail: Note  Q1  01-00-1900; Q2   Payment  Q4    Q5    Additional Notes:   Insurance: DPOW-CCHP</v>
      </c>
      <c r="C364" s="60" t="str">
        <f>'Level 1'!Y364</f>
        <v>Action</v>
      </c>
      <c r="D364" s="44" t="str">
        <f>VLOOKUP(C364,Table2[#All],3,FALSE)</f>
        <v>What we need from you/Reason</v>
      </c>
      <c r="E364" s="75" t="s">
        <v>199</v>
      </c>
      <c r="F364" s="96"/>
      <c r="G364" s="97"/>
    </row>
    <row r="365" spans="1:7" ht="21" x14ac:dyDescent="0.25">
      <c r="A365" s="43" t="str">
        <f>CONCATENATE("Pt Id:",'Level 1'!E365," ","Pt Name: ",'Level 1'!F365," ","DOS: ", TEXT('Level 1'!H365,"mm-dd-yyyy"),"  "," Amnt: ","$",'Level 1'!J365,"  ", 'Level 1'!N365)</f>
        <v>Pt Id:8527 Pt Name: Torres, Ricardo DOS: 12-24-2021   Amnt: $644.4  Note</v>
      </c>
      <c r="B365" s="43" t="str">
        <f>CONCATENATE("Detail: ",'Level 1'!N365,"  ",'Level 1'!O365,TEXT('Level 1'!P365,"  mm-dd-yyyy"),";"," ",'Level 1'!Q365,'Level 1'!R365,"  ",'Level 1'!T365," ","Payment "," ",'Level 1'!U365,"  ",'Level 1'!V365,"  ",'Level 1'!W365,"  ",'Level 1'!X365,"  ",'Level 1'!Z365, "  ",'Level 1'!AA365, " ","Insurance: ",'Level 1'!A365)</f>
        <v>Detail: Note  Q1  01-00-1900; Q2   Payment  Q4    Q5    Additional Notes:   Insurance: DPOW-CCHP</v>
      </c>
      <c r="C365" s="60" t="str">
        <f>'Level 1'!Y365</f>
        <v>Action</v>
      </c>
      <c r="D365" s="44" t="str">
        <f>VLOOKUP(C365,Table2[#All],3,FALSE)</f>
        <v>What we need from you/Reason</v>
      </c>
      <c r="E365" s="75" t="s">
        <v>199</v>
      </c>
      <c r="F365" s="96"/>
      <c r="G365" s="97"/>
    </row>
    <row r="366" spans="1:7" ht="21" x14ac:dyDescent="0.25">
      <c r="A366" s="43" t="str">
        <f>CONCATENATE("Pt Id:",'Level 1'!E366," ","Pt Name: ",'Level 1'!F366," ","DOS: ", TEXT('Level 1'!H366,"mm-dd-yyyy"),"  "," Amnt: ","$",'Level 1'!J366,"  ", 'Level 1'!N366)</f>
        <v>Pt Id:8719 Pt Name: Deol, Manpreet  DOS: 12-24-2021   Amnt: $421.2  Note</v>
      </c>
      <c r="B366" s="43" t="str">
        <f>CONCATENATE("Detail: ",'Level 1'!N366,"  ",'Level 1'!O366,TEXT('Level 1'!P366,"  mm-dd-yyyy"),";"," ",'Level 1'!Q366,'Level 1'!R366,"  ",'Level 1'!T366," ","Payment "," ",'Level 1'!U366,"  ",'Level 1'!V366,"  ",'Level 1'!W366,"  ",'Level 1'!X366,"  ",'Level 1'!Z366, "  ",'Level 1'!AA366, " ","Insurance: ",'Level 1'!A366)</f>
        <v>Detail: Note  Q1  01-00-1900; Q2   Payment  Q4    Q5    Additional Notes:   Insurance: DPOW-CCHP</v>
      </c>
      <c r="C366" s="60" t="str">
        <f>'Level 1'!Y366</f>
        <v>Action</v>
      </c>
      <c r="D366" s="44" t="str">
        <f>VLOOKUP(C366,Table2[#All],3,FALSE)</f>
        <v>What we need from you/Reason</v>
      </c>
      <c r="E366" s="75" t="s">
        <v>199</v>
      </c>
      <c r="F366" s="96"/>
      <c r="G366" s="97"/>
    </row>
    <row r="367" spans="1:7" ht="21" x14ac:dyDescent="0.25">
      <c r="A367" s="43" t="str">
        <f>CONCATENATE("Pt Id:",'Level 1'!E367," ","Pt Name: ",'Level 1'!F367," ","DOS: ", TEXT('Level 1'!H367,"mm-dd-yyyy"),"  "," Amnt: ","$",'Level 1'!J367,"  ", 'Level 1'!N367)</f>
        <v>Pt Id:7857 Pt Name: Gonzales, Julius DOS: 12-24-2021   Amnt: $340.8  Note</v>
      </c>
      <c r="B367" s="43" t="str">
        <f>CONCATENATE("Detail: ",'Level 1'!N367,"  ",'Level 1'!O367,TEXT('Level 1'!P367,"  mm-dd-yyyy"),";"," ",'Level 1'!Q367,'Level 1'!R367,"  ",'Level 1'!T367," ","Payment "," ",'Level 1'!U367,"  ",'Level 1'!V367,"  ",'Level 1'!W367,"  ",'Level 1'!X367,"  ",'Level 1'!Z367, "  ",'Level 1'!AA367, " ","Insurance: ",'Level 1'!A367)</f>
        <v>Detail: Note  Q1  01-00-1900; Q2   Payment  Q4    Q5    Additional Notes:   Insurance: DPOW-CCHP</v>
      </c>
      <c r="C367" s="60" t="str">
        <f>'Level 1'!Y367</f>
        <v>Action</v>
      </c>
      <c r="D367" s="44" t="str">
        <f>VLOOKUP(C367,Table2[#All],3,FALSE)</f>
        <v>What we need from you/Reason</v>
      </c>
      <c r="E367" s="75" t="s">
        <v>199</v>
      </c>
      <c r="F367" s="96"/>
      <c r="G367" s="97"/>
    </row>
    <row r="368" spans="1:7" ht="42" x14ac:dyDescent="0.25">
      <c r="A368" s="43" t="str">
        <f>CONCATENATE("Pt Id:",'Level 1'!E368," ","Pt Name: ",'Level 1'!F368," ","DOS: ", TEXT('Level 1'!H368,"mm-dd-yyyy"),"  "," Amnt: ","$",'Level 1'!J368,"  ", 'Level 1'!N368)</f>
        <v>Pt Id:8706 Pt Name: Jabbar, Muhammad  DOS: 12-23-2021   Amnt: $797.2  Note</v>
      </c>
      <c r="B368" s="43" t="str">
        <f>CONCATENATE("Detail: ",'Level 1'!N368,"  ",'Level 1'!O368,TEXT('Level 1'!P368,"  mm-dd-yyyy"),";"," ",'Level 1'!Q368,'Level 1'!R368,"  ",'Level 1'!T368," ","Payment "," ",'Level 1'!U368,"  ",'Level 1'!V368,"  ",'Level 1'!W368,"  ",'Level 1'!X368,"  ",'Level 1'!Z368, "  ",'Level 1'!AA368, " ","Insurance: ",'Level 1'!A368)</f>
        <v>Detail: Note  Q1  01-00-1900; Q2   Payment  Q4    Q5    Additional Notes:   Insurance: DPOW-CCHP</v>
      </c>
      <c r="C368" s="60" t="str">
        <f>'Level 1'!Y368</f>
        <v>Action</v>
      </c>
      <c r="D368" s="44" t="str">
        <f>VLOOKUP(C368,Table2[#All],3,FALSE)</f>
        <v>What we need from you/Reason</v>
      </c>
      <c r="E368" s="75" t="s">
        <v>199</v>
      </c>
      <c r="F368" s="96"/>
      <c r="G368" s="97"/>
    </row>
    <row r="369" spans="1:7" ht="21" x14ac:dyDescent="0.25">
      <c r="A369" s="43" t="str">
        <f>CONCATENATE("Pt Id:",'Level 1'!E369," ","Pt Name: ",'Level 1'!F369," ","DOS: ", TEXT('Level 1'!H369,"mm-dd-yyyy"),"  "," Amnt: ","$",'Level 1'!J369,"  ", 'Level 1'!N369)</f>
        <v>Pt Id:4132 Pt Name: Cartagena, Dante DOS: 12-23-2021   Amnt: $512  Note</v>
      </c>
      <c r="B369" s="43" t="str">
        <f>CONCATENATE("Detail: ",'Level 1'!N369,"  ",'Level 1'!O369,TEXT('Level 1'!P369,"  mm-dd-yyyy"),";"," ",'Level 1'!Q369,'Level 1'!R369,"  ",'Level 1'!T369," ","Payment "," ",'Level 1'!U369,"  ",'Level 1'!V369,"  ",'Level 1'!W369,"  ",'Level 1'!X369,"  ",'Level 1'!Z369, "  ",'Level 1'!AA369, " ","Insurance: ",'Level 1'!A369)</f>
        <v>Detail: Note  Q1  01-00-1900; Q2   Payment  Q4    Q5    Additional Notes:   Insurance: DPOW-CCHP</v>
      </c>
      <c r="C369" s="60" t="str">
        <f>'Level 1'!Y369</f>
        <v>Action</v>
      </c>
      <c r="D369" s="44" t="str">
        <f>VLOOKUP(C369,Table2[#All],3,FALSE)</f>
        <v>What we need from you/Reason</v>
      </c>
      <c r="E369" s="75" t="s">
        <v>199</v>
      </c>
      <c r="F369" s="96"/>
      <c r="G369" s="97"/>
    </row>
    <row r="370" spans="1:7" ht="21" x14ac:dyDescent="0.25">
      <c r="A370" s="43" t="str">
        <f>CONCATENATE("Pt Id:",'Level 1'!E370," ","Pt Name: ",'Level 1'!F370," ","DOS: ", TEXT('Level 1'!H370,"mm-dd-yyyy"),"  "," Amnt: ","$",'Level 1'!J370,"  ", 'Level 1'!N370)</f>
        <v>Pt Id:8658 Pt Name: Rivera , Danielle  DOS: 12-23-2021   Amnt: $726.8  Note</v>
      </c>
      <c r="B370" s="43" t="str">
        <f>CONCATENATE("Detail: ",'Level 1'!N370,"  ",'Level 1'!O370,TEXT('Level 1'!P370,"  mm-dd-yyyy"),";"," ",'Level 1'!Q370,'Level 1'!R370,"  ",'Level 1'!T370," ","Payment "," ",'Level 1'!U370,"  ",'Level 1'!V370,"  ",'Level 1'!W370,"  ",'Level 1'!X370,"  ",'Level 1'!Z370, "  ",'Level 1'!AA370, " ","Insurance: ",'Level 1'!A370)</f>
        <v>Detail: Note  Q1  01-00-1900; Q2   Payment  Q4    Q5    Additional Notes:   Insurance: DPOW-CCHP</v>
      </c>
      <c r="C370" s="60" t="str">
        <f>'Level 1'!Y370</f>
        <v>Action</v>
      </c>
      <c r="D370" s="44" t="str">
        <f>VLOOKUP(C370,Table2[#All],3,FALSE)</f>
        <v>What we need from you/Reason</v>
      </c>
      <c r="E370" s="75" t="s">
        <v>199</v>
      </c>
      <c r="F370" s="96"/>
      <c r="G370" s="97"/>
    </row>
    <row r="371" spans="1:7" ht="42" x14ac:dyDescent="0.25">
      <c r="A371" s="43" t="str">
        <f>CONCATENATE("Pt Id:",'Level 1'!E371," ","Pt Name: ",'Level 1'!F371," ","DOS: ", TEXT('Level 1'!H371,"mm-dd-yyyy"),"  "," Amnt: ","$",'Level 1'!J371,"  ", 'Level 1'!N371)</f>
        <v>Pt Id:7374 Pt Name: Brem , Alexzander  DOS: 12-23-2021   Amnt: $244.4  Note</v>
      </c>
      <c r="B371" s="43" t="str">
        <f>CONCATENATE("Detail: ",'Level 1'!N371,"  ",'Level 1'!O371,TEXT('Level 1'!P371,"  mm-dd-yyyy"),";"," ",'Level 1'!Q371,'Level 1'!R371,"  ",'Level 1'!T371," ","Payment "," ",'Level 1'!U371,"  ",'Level 1'!V371,"  ",'Level 1'!W371,"  ",'Level 1'!X371,"  ",'Level 1'!Z371, "  ",'Level 1'!AA371, " ","Insurance: ",'Level 1'!A371)</f>
        <v>Detail: Note  Q1  01-00-1900; Q2   Payment  Q4    Q5    Additional Notes:   Insurance: DPOW-CCHP</v>
      </c>
      <c r="C371" s="60" t="str">
        <f>'Level 1'!Y371</f>
        <v>Action</v>
      </c>
      <c r="D371" s="44" t="str">
        <f>VLOOKUP(C371,Table2[#All],3,FALSE)</f>
        <v>What we need from you/Reason</v>
      </c>
      <c r="E371" s="75" t="s">
        <v>199</v>
      </c>
      <c r="F371" s="96"/>
      <c r="G371" s="97"/>
    </row>
    <row r="372" spans="1:7" ht="21" x14ac:dyDescent="0.25">
      <c r="A372" s="43" t="str">
        <f>CONCATENATE("Pt Id:",'Level 1'!E372," ","Pt Name: ",'Level 1'!F372," ","DOS: ", TEXT('Level 1'!H372,"mm-dd-yyyy"),"  "," Amnt: ","$",'Level 1'!J372,"  ", 'Level 1'!N372)</f>
        <v>Pt Id:8716 Pt Name: Brem, Jessica DOS: 12-23-2021   Amnt: $332.4  Note</v>
      </c>
      <c r="B372" s="43" t="str">
        <f>CONCATENATE("Detail: ",'Level 1'!N372,"  ",'Level 1'!O372,TEXT('Level 1'!P372,"  mm-dd-yyyy"),";"," ",'Level 1'!Q372,'Level 1'!R372,"  ",'Level 1'!T372," ","Payment "," ",'Level 1'!U372,"  ",'Level 1'!V372,"  ",'Level 1'!W372,"  ",'Level 1'!X372,"  ",'Level 1'!Z372, "  ",'Level 1'!AA372, " ","Insurance: ",'Level 1'!A372)</f>
        <v>Detail: Note  Q1  01-00-1900; Q2   Payment  Q4    Q5    Additional Notes:   Insurance: DPOW-CCHP</v>
      </c>
      <c r="C372" s="60" t="str">
        <f>'Level 1'!Y372</f>
        <v>Action</v>
      </c>
      <c r="D372" s="44" t="str">
        <f>VLOOKUP(C372,Table2[#All],3,FALSE)</f>
        <v>What we need from you/Reason</v>
      </c>
      <c r="E372" s="75" t="s">
        <v>199</v>
      </c>
      <c r="F372" s="96"/>
      <c r="G372" s="97"/>
    </row>
    <row r="373" spans="1:7" ht="21" x14ac:dyDescent="0.25">
      <c r="A373" s="43" t="str">
        <f>CONCATENATE("Pt Id:",'Level 1'!E373," ","Pt Name: ",'Level 1'!F373," ","DOS: ", TEXT('Level 1'!H373,"mm-dd-yyyy"),"  "," Amnt: ","$",'Level 1'!J373,"  ", 'Level 1'!N373)</f>
        <v>Pt Id:7376 Pt Name: Brem, Gabriella DOS: 12-23-2021   Amnt: $138  Note</v>
      </c>
      <c r="B373" s="43" t="str">
        <f>CONCATENATE("Detail: ",'Level 1'!N373,"  ",'Level 1'!O373,TEXT('Level 1'!P373,"  mm-dd-yyyy"),";"," ",'Level 1'!Q373,'Level 1'!R373,"  ",'Level 1'!T373," ","Payment "," ",'Level 1'!U373,"  ",'Level 1'!V373,"  ",'Level 1'!W373,"  ",'Level 1'!X373,"  ",'Level 1'!Z373, "  ",'Level 1'!AA373, " ","Insurance: ",'Level 1'!A373)</f>
        <v>Detail: Note  Q1  01-00-1900; Q2   Payment  Q4    Q5    Additional Notes:   Insurance: DPOW-CCHP</v>
      </c>
      <c r="C373" s="60" t="str">
        <f>'Level 1'!Y373</f>
        <v>Action</v>
      </c>
      <c r="D373" s="44" t="str">
        <f>VLOOKUP(C373,Table2[#All],3,FALSE)</f>
        <v>What we need from you/Reason</v>
      </c>
      <c r="E373" s="75" t="s">
        <v>199</v>
      </c>
      <c r="F373" s="96"/>
      <c r="G373" s="97"/>
    </row>
    <row r="374" spans="1:7" ht="21" x14ac:dyDescent="0.25">
      <c r="A374" s="43" t="str">
        <f>CONCATENATE("Pt Id:",'Level 1'!E374," ","Pt Name: ",'Level 1'!F374," ","DOS: ", TEXT('Level 1'!H374,"mm-dd-yyyy"),"  "," Amnt: ","$",'Level 1'!J374,"  ", 'Level 1'!N374)</f>
        <v>Pt Id:7652 Pt Name: Thurman , Tova  DOS: 12-23-2021   Amnt: $873.6  Note</v>
      </c>
      <c r="B374" s="43" t="str">
        <f>CONCATENATE("Detail: ",'Level 1'!N374,"  ",'Level 1'!O374,TEXT('Level 1'!P374,"  mm-dd-yyyy"),";"," ",'Level 1'!Q374,'Level 1'!R374,"  ",'Level 1'!T374," ","Payment "," ",'Level 1'!U374,"  ",'Level 1'!V374,"  ",'Level 1'!W374,"  ",'Level 1'!X374,"  ",'Level 1'!Z374, "  ",'Level 1'!AA374, " ","Insurance: ",'Level 1'!A374)</f>
        <v>Detail: Note  Q1  01-00-1900; Q2   Payment  Q4    Q5    Additional Notes:   Insurance: DPOW-CCHP</v>
      </c>
      <c r="C374" s="60" t="str">
        <f>'Level 1'!Y374</f>
        <v>Action</v>
      </c>
      <c r="D374" s="44" t="str">
        <f>VLOOKUP(C374,Table2[#All],3,FALSE)</f>
        <v>What we need from you/Reason</v>
      </c>
      <c r="E374" s="75" t="s">
        <v>199</v>
      </c>
      <c r="F374" s="96"/>
      <c r="G374" s="97"/>
    </row>
    <row r="375" spans="1:7" ht="21" x14ac:dyDescent="0.25">
      <c r="A375" s="43" t="str">
        <f>CONCATENATE("Pt Id:",'Level 1'!E375," ","Pt Name: ",'Level 1'!F375," ","DOS: ", TEXT('Level 1'!H375,"mm-dd-yyyy"),"  "," Amnt: ","$",'Level 1'!J375,"  ", 'Level 1'!N375)</f>
        <v>Pt Id:4181 Pt Name: Gomez, Ariel  DOS: 12-22-2021   Amnt: $227.6  Note</v>
      </c>
      <c r="B375" s="43" t="str">
        <f>CONCATENATE("Detail: ",'Level 1'!N375,"  ",'Level 1'!O375,TEXT('Level 1'!P375,"  mm-dd-yyyy"),";"," ",'Level 1'!Q375,'Level 1'!R375,"  ",'Level 1'!T375," ","Payment "," ",'Level 1'!U375,"  ",'Level 1'!V375,"  ",'Level 1'!W375,"  ",'Level 1'!X375,"  ",'Level 1'!Z375, "  ",'Level 1'!AA375, " ","Insurance: ",'Level 1'!A375)</f>
        <v>Detail: Note  Q1  01-00-1900; Q2   Payment  Q4    Q5    Additional Notes:   Insurance: DPOW-CCHP</v>
      </c>
      <c r="C375" s="60" t="str">
        <f>'Level 1'!Y375</f>
        <v>Action</v>
      </c>
      <c r="D375" s="44" t="str">
        <f>VLOOKUP(C375,Table2[#All],3,FALSE)</f>
        <v>What we need from you/Reason</v>
      </c>
      <c r="E375" s="75" t="s">
        <v>199</v>
      </c>
      <c r="F375" s="96"/>
      <c r="G375" s="97"/>
    </row>
    <row r="376" spans="1:7" ht="42" x14ac:dyDescent="0.25">
      <c r="A376" s="43" t="str">
        <f>CONCATENATE("Pt Id:",'Level 1'!E376," ","Pt Name: ",'Level 1'!F376," ","DOS: ", TEXT('Level 1'!H376,"mm-dd-yyyy"),"  "," Amnt: ","$",'Level 1'!J376,"  ", 'Level 1'!N376)</f>
        <v>Pt Id:4180 Pt Name: Gomez Cruz, Alayna  DOS: 12-22-2021   Amnt: $244.4  Note</v>
      </c>
      <c r="B376" s="43" t="str">
        <f>CONCATENATE("Detail: ",'Level 1'!N376,"  ",'Level 1'!O376,TEXT('Level 1'!P376,"  mm-dd-yyyy"),";"," ",'Level 1'!Q376,'Level 1'!R376,"  ",'Level 1'!T376," ","Payment "," ",'Level 1'!U376,"  ",'Level 1'!V376,"  ",'Level 1'!W376,"  ",'Level 1'!X376,"  ",'Level 1'!Z376, "  ",'Level 1'!AA376, " ","Insurance: ",'Level 1'!A376)</f>
        <v>Detail: Note  Q1  01-00-1900; Q2   Payment  Q4    Q5    Additional Notes:   Insurance: DPOW-CCHP</v>
      </c>
      <c r="C376" s="60" t="str">
        <f>'Level 1'!Y376</f>
        <v>Action</v>
      </c>
      <c r="D376" s="44" t="str">
        <f>VLOOKUP(C376,Table2[#All],3,FALSE)</f>
        <v>What we need from you/Reason</v>
      </c>
      <c r="E376" s="75" t="s">
        <v>199</v>
      </c>
      <c r="F376" s="96"/>
      <c r="G376" s="97"/>
    </row>
    <row r="377" spans="1:7" ht="21" x14ac:dyDescent="0.25">
      <c r="A377" s="43" t="str">
        <f>CONCATENATE("Pt Id:",'Level 1'!E377," ","Pt Name: ",'Level 1'!F377," ","DOS: ", TEXT('Level 1'!H377,"mm-dd-yyyy"),"  "," Amnt: ","$",'Level 1'!J377,"  ", 'Level 1'!N377)</f>
        <v>Pt Id:8360 Pt Name: Gomez, Star DOS: 12-22-2021   Amnt: $378  Note</v>
      </c>
      <c r="B377" s="43" t="str">
        <f>CONCATENATE("Detail: ",'Level 1'!N377,"  ",'Level 1'!O377,TEXT('Level 1'!P377,"  mm-dd-yyyy"),";"," ",'Level 1'!Q377,'Level 1'!R377,"  ",'Level 1'!T377," ","Payment "," ",'Level 1'!U377,"  ",'Level 1'!V377,"  ",'Level 1'!W377,"  ",'Level 1'!X377,"  ",'Level 1'!Z377, "  ",'Level 1'!AA377, " ","Insurance: ",'Level 1'!A377)</f>
        <v>Detail: Note  Q1  01-00-1900; Q2   Payment  Q4    Q5    Additional Notes:   Insurance: DPOW-CCHP</v>
      </c>
      <c r="C377" s="60" t="str">
        <f>'Level 1'!Y377</f>
        <v>Action</v>
      </c>
      <c r="D377" s="44" t="str">
        <f>VLOOKUP(C377,Table2[#All],3,FALSE)</f>
        <v>What we need from you/Reason</v>
      </c>
      <c r="E377" s="75" t="s">
        <v>199</v>
      </c>
      <c r="F377" s="96"/>
      <c r="G377" s="97"/>
    </row>
    <row r="378" spans="1:7" ht="21" x14ac:dyDescent="0.25">
      <c r="A378" s="43" t="str">
        <f>CONCATENATE("Pt Id:",'Level 1'!E378," ","Pt Name: ",'Level 1'!F378," ","DOS: ", TEXT('Level 1'!H378,"mm-dd-yyyy"),"  "," Amnt: ","$",'Level 1'!J378,"  ", 'Level 1'!N378)</f>
        <v>Pt Id:3074 Pt Name: Ayala, Isaiah DOS: 12-21-2021   Amnt: $441.2  Note</v>
      </c>
      <c r="B378" s="43" t="str">
        <f>CONCATENATE("Detail: ",'Level 1'!N378,"  ",'Level 1'!O378,TEXT('Level 1'!P378,"  mm-dd-yyyy"),";"," ",'Level 1'!Q378,'Level 1'!R378,"  ",'Level 1'!T378," ","Payment "," ",'Level 1'!U378,"  ",'Level 1'!V378,"  ",'Level 1'!W378,"  ",'Level 1'!X378,"  ",'Level 1'!Z378, "  ",'Level 1'!AA378, " ","Insurance: ",'Level 1'!A378)</f>
        <v>Detail: Note  Q1  01-00-1900; Q2   Payment  Q4    Q5    Additional Notes:   Insurance: DPOW-CCHP</v>
      </c>
      <c r="C378" s="60" t="str">
        <f>'Level 1'!Y378</f>
        <v>Action</v>
      </c>
      <c r="D378" s="44" t="str">
        <f>VLOOKUP(C378,Table2[#All],3,FALSE)</f>
        <v>What we need from you/Reason</v>
      </c>
      <c r="E378" s="75" t="s">
        <v>199</v>
      </c>
      <c r="F378" s="96"/>
      <c r="G378" s="97"/>
    </row>
    <row r="379" spans="1:7" ht="42" x14ac:dyDescent="0.25">
      <c r="A379" s="43" t="str">
        <f>CONCATENATE("Pt Id:",'Level 1'!E379," ","Pt Name: ",'Level 1'!F379," ","DOS: ", TEXT('Level 1'!H379,"mm-dd-yyyy"),"  "," Amnt: ","$",'Level 1'!J379,"  ", 'Level 1'!N379)</f>
        <v>Pt Id:1771 Pt Name: Ezhar Miah, Mohamad Yunus DOS: 12-21-2021   Amnt: $360  Note</v>
      </c>
      <c r="B379" s="43" t="str">
        <f>CONCATENATE("Detail: ",'Level 1'!N379,"  ",'Level 1'!O379,TEXT('Level 1'!P379,"  mm-dd-yyyy"),";"," ",'Level 1'!Q379,'Level 1'!R379,"  ",'Level 1'!T379," ","Payment "," ",'Level 1'!U379,"  ",'Level 1'!V379,"  ",'Level 1'!W379,"  ",'Level 1'!X379,"  ",'Level 1'!Z379, "  ",'Level 1'!AA379, " ","Insurance: ",'Level 1'!A379)</f>
        <v>Detail: Note  Q1  01-00-1900; Q2   Payment  Q4    Q5    Additional Notes:   Insurance: DPOW-CCHP</v>
      </c>
      <c r="C379" s="60" t="str">
        <f>'Level 1'!Y379</f>
        <v>Action</v>
      </c>
      <c r="D379" s="44" t="str">
        <f>VLOOKUP(C379,Table2[#All],3,FALSE)</f>
        <v>What we need from you/Reason</v>
      </c>
      <c r="E379" s="75" t="s">
        <v>199</v>
      </c>
      <c r="F379" s="96"/>
      <c r="G379" s="97"/>
    </row>
    <row r="380" spans="1:7" ht="21" x14ac:dyDescent="0.25">
      <c r="A380" s="43" t="str">
        <f>CONCATENATE("Pt Id:",'Level 1'!E380," ","Pt Name: ",'Level 1'!F380," ","DOS: ", TEXT('Level 1'!H380,"mm-dd-yyyy"),"  "," Amnt: ","$",'Level 1'!J380,"  ", 'Level 1'!N380)</f>
        <v>Pt Id:3011 Pt Name: Blanks, Chaniyah DOS: 12-21-2021   Amnt: $891.2  Note</v>
      </c>
      <c r="B380" s="43" t="str">
        <f>CONCATENATE("Detail: ",'Level 1'!N380,"  ",'Level 1'!O380,TEXT('Level 1'!P380,"  mm-dd-yyyy"),";"," ",'Level 1'!Q380,'Level 1'!R380,"  ",'Level 1'!T380," ","Payment "," ",'Level 1'!U380,"  ",'Level 1'!V380,"  ",'Level 1'!W380,"  ",'Level 1'!X380,"  ",'Level 1'!Z380, "  ",'Level 1'!AA380, " ","Insurance: ",'Level 1'!A380)</f>
        <v>Detail: Note  Q1  01-00-1900; Q2   Payment  Q4    Q5    Additional Notes:   Insurance: DPOW-CCHP</v>
      </c>
      <c r="C380" s="60" t="str">
        <f>'Level 1'!Y380</f>
        <v>Action</v>
      </c>
      <c r="D380" s="44" t="str">
        <f>VLOOKUP(C380,Table2[#All],3,FALSE)</f>
        <v>What we need from you/Reason</v>
      </c>
      <c r="E380" s="75" t="s">
        <v>199</v>
      </c>
      <c r="F380" s="96"/>
      <c r="G380" s="97"/>
    </row>
    <row r="381" spans="1:7" ht="21" x14ac:dyDescent="0.25">
      <c r="A381" s="43" t="str">
        <f>CONCATENATE("Pt Id:",'Level 1'!E381," ","Pt Name: ",'Level 1'!F381," ","DOS: ", TEXT('Level 1'!H381,"mm-dd-yyyy"),"  "," Amnt: ","$",'Level 1'!J381,"  ", 'Level 1'!N381)</f>
        <v>Pt Id:2813 Pt Name: Munoz Rios, Zoie  DOS: 12-21-2021   Amnt: $542  Note</v>
      </c>
      <c r="B381" s="43" t="str">
        <f>CONCATENATE("Detail: ",'Level 1'!N381,"  ",'Level 1'!O381,TEXT('Level 1'!P381,"  mm-dd-yyyy"),";"," ",'Level 1'!Q381,'Level 1'!R381,"  ",'Level 1'!T381," ","Payment "," ",'Level 1'!U381,"  ",'Level 1'!V381,"  ",'Level 1'!W381,"  ",'Level 1'!X381,"  ",'Level 1'!Z381, "  ",'Level 1'!AA381, " ","Insurance: ",'Level 1'!A381)</f>
        <v>Detail: Note  Q1  01-00-1900; Q2   Payment  Q4    Q5    Additional Notes:   Insurance: DPOW-CCHP</v>
      </c>
      <c r="C381" s="60" t="str">
        <f>'Level 1'!Y381</f>
        <v>Action</v>
      </c>
      <c r="D381" s="44" t="str">
        <f>VLOOKUP(C381,Table2[#All],3,FALSE)</f>
        <v>What we need from you/Reason</v>
      </c>
      <c r="E381" s="75" t="s">
        <v>199</v>
      </c>
      <c r="F381" s="96"/>
      <c r="G381" s="97"/>
    </row>
    <row r="382" spans="1:7" ht="21" x14ac:dyDescent="0.25">
      <c r="A382" s="43" t="str">
        <f>CONCATENATE("Pt Id:",'Level 1'!E382," ","Pt Name: ",'Level 1'!F382," ","DOS: ", TEXT('Level 1'!H382,"mm-dd-yyyy"),"  "," Amnt: ","$",'Level 1'!J382,"  ", 'Level 1'!N382)</f>
        <v>Pt Id:6945 Pt Name: Melnik, Ashley  DOS: 12-20-2021   Amnt: $175.2  Note</v>
      </c>
      <c r="B382" s="43" t="str">
        <f>CONCATENATE("Detail: ",'Level 1'!N382,"  ",'Level 1'!O382,TEXT('Level 1'!P382,"  mm-dd-yyyy"),";"," ",'Level 1'!Q382,'Level 1'!R382,"  ",'Level 1'!T382," ","Payment "," ",'Level 1'!U382,"  ",'Level 1'!V382,"  ",'Level 1'!W382,"  ",'Level 1'!X382,"  ",'Level 1'!Z382, "  ",'Level 1'!AA382, " ","Insurance: ",'Level 1'!A382)</f>
        <v>Detail: Note  Q1  01-00-1900; Q2   Payment  Q4    Q5    Additional Notes:   Insurance: DPOW-CCHP</v>
      </c>
      <c r="C382" s="60" t="str">
        <f>'Level 1'!Y382</f>
        <v>Action</v>
      </c>
      <c r="D382" s="44" t="str">
        <f>VLOOKUP(C382,Table2[#All],3,FALSE)</f>
        <v>What we need from you/Reason</v>
      </c>
      <c r="E382" s="75" t="s">
        <v>199</v>
      </c>
      <c r="F382" s="96"/>
      <c r="G382" s="97"/>
    </row>
    <row r="383" spans="1:7" ht="21" x14ac:dyDescent="0.25">
      <c r="A383" s="43" t="str">
        <f>CONCATENATE("Pt Id:",'Level 1'!E383," ","Pt Name: ",'Level 1'!F383," ","DOS: ", TEXT('Level 1'!H383,"mm-dd-yyyy"),"  "," Amnt: ","$",'Level 1'!J383,"  ", 'Level 1'!N383)</f>
        <v>Pt Id:6191 Pt Name: Yousif, Adam  DOS: 12-17-2021   Amnt: $227.6  Note</v>
      </c>
      <c r="B383" s="43" t="str">
        <f>CONCATENATE("Detail: ",'Level 1'!N383,"  ",'Level 1'!O383,TEXT('Level 1'!P383,"  mm-dd-yyyy"),";"," ",'Level 1'!Q383,'Level 1'!R383,"  ",'Level 1'!T383," ","Payment "," ",'Level 1'!U383,"  ",'Level 1'!V383,"  ",'Level 1'!W383,"  ",'Level 1'!X383,"  ",'Level 1'!Z383, "  ",'Level 1'!AA383, " ","Insurance: ",'Level 1'!A383)</f>
        <v>Detail: Note  Q1  01-00-1900; Q2   Payment  Q4    Q5    Additional Notes:   Insurance: DPOW-CCHP</v>
      </c>
      <c r="C383" s="60" t="str">
        <f>'Level 1'!Y383</f>
        <v>Action</v>
      </c>
      <c r="D383" s="44" t="str">
        <f>VLOOKUP(C383,Table2[#All],3,FALSE)</f>
        <v>What we need from you/Reason</v>
      </c>
      <c r="E383" s="75" t="s">
        <v>199</v>
      </c>
      <c r="F383" s="96"/>
      <c r="G383" s="97"/>
    </row>
    <row r="384" spans="1:7" ht="21" x14ac:dyDescent="0.25">
      <c r="A384" s="43" t="str">
        <f>CONCATENATE("Pt Id:",'Level 1'!E384," ","Pt Name: ",'Level 1'!F384," ","DOS: ", TEXT('Level 1'!H384,"mm-dd-yyyy"),"  "," Amnt: ","$",'Level 1'!J384,"  ", 'Level 1'!N384)</f>
        <v>Pt Id:6193 Pt Name: Yousif , Aya  DOS: 12-17-2021   Amnt: $266  Note</v>
      </c>
      <c r="B384" s="43" t="str">
        <f>CONCATENATE("Detail: ",'Level 1'!N384,"  ",'Level 1'!O384,TEXT('Level 1'!P384,"  mm-dd-yyyy"),";"," ",'Level 1'!Q384,'Level 1'!R384,"  ",'Level 1'!T384," ","Payment "," ",'Level 1'!U384,"  ",'Level 1'!V384,"  ",'Level 1'!W384,"  ",'Level 1'!X384,"  ",'Level 1'!Z384, "  ",'Level 1'!AA384, " ","Insurance: ",'Level 1'!A384)</f>
        <v>Detail: Note  Q1  01-00-1900; Q2   Payment  Q4    Q5    Additional Notes:   Insurance: DPOW-CCHP</v>
      </c>
      <c r="C384" s="60" t="str">
        <f>'Level 1'!Y384</f>
        <v>Action</v>
      </c>
      <c r="D384" s="44" t="str">
        <f>VLOOKUP(C384,Table2[#All],3,FALSE)</f>
        <v>What we need from you/Reason</v>
      </c>
      <c r="E384" s="75" t="s">
        <v>199</v>
      </c>
      <c r="F384" s="96"/>
      <c r="G384" s="97"/>
    </row>
    <row r="385" spans="1:7" ht="21" x14ac:dyDescent="0.25">
      <c r="A385" s="43" t="str">
        <f>CONCATENATE("Pt Id:",'Level 1'!E385," ","Pt Name: ",'Level 1'!F385," ","DOS: ", TEXT('Level 1'!H385,"mm-dd-yyyy"),"  "," Amnt: ","$",'Level 1'!J385,"  ", 'Level 1'!N385)</f>
        <v>Pt Id:8610 Pt Name: Lian, Ram DOS: 12-17-2021   Amnt: $72  Note</v>
      </c>
      <c r="B385" s="43" t="str">
        <f>CONCATENATE("Detail: ",'Level 1'!N385,"  ",'Level 1'!O385,TEXT('Level 1'!P385,"  mm-dd-yyyy"),";"," ",'Level 1'!Q385,'Level 1'!R385,"  ",'Level 1'!T385," ","Payment "," ",'Level 1'!U385,"  ",'Level 1'!V385,"  ",'Level 1'!W385,"  ",'Level 1'!X385,"  ",'Level 1'!Z385, "  ",'Level 1'!AA385, " ","Insurance: ",'Level 1'!A385)</f>
        <v>Detail: Note  Q1  01-00-1900; Q2   Payment  Q4    Q5    Additional Notes:   Insurance: DPOW-CCHP</v>
      </c>
      <c r="C385" s="60" t="str">
        <f>'Level 1'!Y385</f>
        <v>Action</v>
      </c>
      <c r="D385" s="44" t="str">
        <f>VLOOKUP(C385,Table2[#All],3,FALSE)</f>
        <v>What we need from you/Reason</v>
      </c>
      <c r="E385" s="75" t="s">
        <v>199</v>
      </c>
      <c r="F385" s="96"/>
      <c r="G385" s="97"/>
    </row>
    <row r="386" spans="1:7" ht="21" x14ac:dyDescent="0.25">
      <c r="A386" s="43" t="str">
        <f>CONCATENATE("Pt Id:",'Level 1'!E386," ","Pt Name: ",'Level 1'!F386," ","DOS: ", TEXT('Level 1'!H386,"mm-dd-yyyy"),"  "," Amnt: ","$",'Level 1'!J386,"  ", 'Level 1'!N386)</f>
        <v>Pt Id:6499 Pt Name: Bey, Kayla  DOS: 12-17-2021   Amnt: $159.6  Note</v>
      </c>
      <c r="B386" s="43" t="str">
        <f>CONCATENATE("Detail: ",'Level 1'!N386,"  ",'Level 1'!O386,TEXT('Level 1'!P386,"  mm-dd-yyyy"),";"," ",'Level 1'!Q386,'Level 1'!R386,"  ",'Level 1'!T386," ","Payment "," ",'Level 1'!U386,"  ",'Level 1'!V386,"  ",'Level 1'!W386,"  ",'Level 1'!X386,"  ",'Level 1'!Z386, "  ",'Level 1'!AA386, " ","Insurance: ",'Level 1'!A386)</f>
        <v>Detail: Note  Q1  01-00-1900; Q2   Payment  Q4    Q5    Additional Notes:   Insurance: DPOW-CCHP</v>
      </c>
      <c r="C386" s="60" t="str">
        <f>'Level 1'!Y386</f>
        <v>Action</v>
      </c>
      <c r="D386" s="44" t="str">
        <f>VLOOKUP(C386,Table2[#All],3,FALSE)</f>
        <v>What we need from you/Reason</v>
      </c>
      <c r="E386" s="75" t="s">
        <v>199</v>
      </c>
      <c r="F386" s="96"/>
      <c r="G386" s="97"/>
    </row>
    <row r="387" spans="1:7" ht="21" x14ac:dyDescent="0.25">
      <c r="A387" s="43" t="str">
        <f>CONCATENATE("Pt Id:",'Level 1'!E387," ","Pt Name: ",'Level 1'!F387," ","DOS: ", TEXT('Level 1'!H387,"mm-dd-yyyy"),"  "," Amnt: ","$",'Level 1'!J387,"  ", 'Level 1'!N387)</f>
        <v>Pt Id:6192 Pt Name: Yousif, Ali DOS: 12-18-2021   Amnt: $227.6  Note</v>
      </c>
      <c r="B387" s="43" t="str">
        <f>CONCATENATE("Detail: ",'Level 1'!N387,"  ",'Level 1'!O387,TEXT('Level 1'!P387,"  mm-dd-yyyy"),";"," ",'Level 1'!Q387,'Level 1'!R387,"  ",'Level 1'!T387," ","Payment "," ",'Level 1'!U387,"  ",'Level 1'!V387,"  ",'Level 1'!W387,"  ",'Level 1'!X387,"  ",'Level 1'!Z387, "  ",'Level 1'!AA387, " ","Insurance: ",'Level 1'!A387)</f>
        <v>Detail: Note  Q1  01-00-1900; Q2   Payment  Q4    Q5    Additional Notes:   Insurance: DPOW-CCHP</v>
      </c>
      <c r="C387" s="60" t="str">
        <f>'Level 1'!Y387</f>
        <v>Action</v>
      </c>
      <c r="D387" s="44" t="str">
        <f>VLOOKUP(C387,Table2[#All],3,FALSE)</f>
        <v>What we need from you/Reason</v>
      </c>
      <c r="E387" s="75" t="s">
        <v>199</v>
      </c>
      <c r="F387" s="96"/>
      <c r="G387" s="97"/>
    </row>
    <row r="388" spans="1:7" ht="21" x14ac:dyDescent="0.25">
      <c r="A388" s="43" t="str">
        <f>CONCATENATE("Pt Id:",'Level 1'!E388," ","Pt Name: ",'Level 1'!F388," ","DOS: ", TEXT('Level 1'!H388,"mm-dd-yyyy"),"  "," Amnt: ","$",'Level 1'!J388,"  ", 'Level 1'!N388)</f>
        <v>Pt Id:7162 Pt Name: Lozada, Jesian  DOS: 12-18-2021   Amnt: $244.4  Note</v>
      </c>
      <c r="B388" s="43" t="str">
        <f>CONCATENATE("Detail: ",'Level 1'!N388,"  ",'Level 1'!O388,TEXT('Level 1'!P388,"  mm-dd-yyyy"),";"," ",'Level 1'!Q388,'Level 1'!R388,"  ",'Level 1'!T388," ","Payment "," ",'Level 1'!U388,"  ",'Level 1'!V388,"  ",'Level 1'!W388,"  ",'Level 1'!X388,"  ",'Level 1'!Z388, "  ",'Level 1'!AA388, " ","Insurance: ",'Level 1'!A388)</f>
        <v>Detail: Note  Q1  01-00-1900; Q2   Payment  Q4    Q5    Additional Notes:   Insurance: DPOW-CCHP</v>
      </c>
      <c r="C388" s="60" t="str">
        <f>'Level 1'!Y388</f>
        <v>Action</v>
      </c>
      <c r="D388" s="44" t="str">
        <f>VLOOKUP(C388,Table2[#All],3,FALSE)</f>
        <v>What we need from you/Reason</v>
      </c>
      <c r="E388" s="75" t="s">
        <v>199</v>
      </c>
      <c r="F388" s="96"/>
      <c r="G388" s="97"/>
    </row>
    <row r="389" spans="1:7" ht="42" x14ac:dyDescent="0.25">
      <c r="A389" s="43" t="str">
        <f>CONCATENATE("Pt Id:",'Level 1'!E389," ","Pt Name: ",'Level 1'!F389," ","DOS: ", TEXT('Level 1'!H389,"mm-dd-yyyy"),"  "," Amnt: ","$",'Level 1'!J389,"  ", 'Level 1'!N389)</f>
        <v>Pt Id:7163 Pt Name: Lozada Vazquez , Jeslian  DOS: 12-18-2021   Amnt: $244.4  Note</v>
      </c>
      <c r="B389" s="43" t="str">
        <f>CONCATENATE("Detail: ",'Level 1'!N389,"  ",'Level 1'!O389,TEXT('Level 1'!P389,"  mm-dd-yyyy"),";"," ",'Level 1'!Q389,'Level 1'!R389,"  ",'Level 1'!T389," ","Payment "," ",'Level 1'!U389,"  ",'Level 1'!V389,"  ",'Level 1'!W389,"  ",'Level 1'!X389,"  ",'Level 1'!Z389, "  ",'Level 1'!AA389, " ","Insurance: ",'Level 1'!A389)</f>
        <v>Detail: Note  Q1  01-00-1900; Q2   Payment  Q4    Q5    Additional Notes:   Insurance: DPOW-CCHP</v>
      </c>
      <c r="C389" s="60" t="str">
        <f>'Level 1'!Y389</f>
        <v>Action</v>
      </c>
      <c r="D389" s="44" t="str">
        <f>VLOOKUP(C389,Table2[#All],3,FALSE)</f>
        <v>What we need from you/Reason</v>
      </c>
      <c r="E389" s="75" t="s">
        <v>199</v>
      </c>
      <c r="F389" s="96"/>
      <c r="G389" s="97"/>
    </row>
    <row r="390" spans="1:7" ht="42" x14ac:dyDescent="0.25">
      <c r="A390" s="43" t="str">
        <f>CONCATENATE("Pt Id:",'Level 1'!E390," ","Pt Name: ",'Level 1'!F390," ","DOS: ", TEXT('Level 1'!H390,"mm-dd-yyyy"),"  "," Amnt: ","$",'Level 1'!J390,"  ", 'Level 1'!N390)</f>
        <v>Pt Id:8570 Pt Name: Ruiz Ortiz , Miguel DOS: 12-21-2021   Amnt: $404.8  Note</v>
      </c>
      <c r="B390" s="43" t="str">
        <f>CONCATENATE("Detail: ",'Level 1'!N390,"  ",'Level 1'!O390,TEXT('Level 1'!P390,"  mm-dd-yyyy"),";"," ",'Level 1'!Q390,'Level 1'!R390,"  ",'Level 1'!T390," ","Payment "," ",'Level 1'!U390,"  ",'Level 1'!V390,"  ",'Level 1'!W390,"  ",'Level 1'!X390,"  ",'Level 1'!Z390, "  ",'Level 1'!AA390, " ","Insurance: ",'Level 1'!A390)</f>
        <v>Detail: Note  Q1  01-00-1900; Q2   Payment  Q4    Q5    Additional Notes:   Insurance: DPOW-CCHP</v>
      </c>
      <c r="C390" s="60" t="str">
        <f>'Level 1'!Y390</f>
        <v>Action</v>
      </c>
      <c r="D390" s="44" t="str">
        <f>VLOOKUP(C390,Table2[#All],3,FALSE)</f>
        <v>What we need from you/Reason</v>
      </c>
      <c r="E390" s="75" t="s">
        <v>199</v>
      </c>
      <c r="F390" s="96"/>
      <c r="G390" s="97"/>
    </row>
    <row r="391" spans="1:7" ht="21" x14ac:dyDescent="0.25">
      <c r="A391" s="43" t="str">
        <f>CONCATENATE("Pt Id:",'Level 1'!E391," ","Pt Name: ",'Level 1'!F391," ","DOS: ", TEXT('Level 1'!H391,"mm-dd-yyyy"),"  "," Amnt: ","$",'Level 1'!J391,"  ", 'Level 1'!N391)</f>
        <v>Pt Id:5147 Pt Name: Penkalski , Angela  DOS: 12-17-2021   Amnt: $266  Note</v>
      </c>
      <c r="B391" s="43" t="str">
        <f>CONCATENATE("Detail: ",'Level 1'!N391,"  ",'Level 1'!O391,TEXT('Level 1'!P391,"  mm-dd-yyyy"),";"," ",'Level 1'!Q391,'Level 1'!R391,"  ",'Level 1'!T391," ","Payment "," ",'Level 1'!U391,"  ",'Level 1'!V391,"  ",'Level 1'!W391,"  ",'Level 1'!X391,"  ",'Level 1'!Z391, "  ",'Level 1'!AA391, " ","Insurance: ",'Level 1'!A391)</f>
        <v>Detail: Note  Q1  01-00-1900; Q2   Payment  Q4    Q5    Additional Notes:   Insurance: DPOW-CCHP</v>
      </c>
      <c r="C391" s="60" t="str">
        <f>'Level 1'!Y391</f>
        <v>Action</v>
      </c>
      <c r="D391" s="44" t="str">
        <f>VLOOKUP(C391,Table2[#All],3,FALSE)</f>
        <v>What we need from you/Reason</v>
      </c>
      <c r="E391" s="75" t="s">
        <v>199</v>
      </c>
      <c r="F391" s="96"/>
      <c r="G391" s="97"/>
    </row>
    <row r="392" spans="1:7" ht="21" x14ac:dyDescent="0.25">
      <c r="A392" s="43" t="str">
        <f>CONCATENATE("Pt Id:",'Level 1'!E392," ","Pt Name: ",'Level 1'!F392," ","DOS: ", TEXT('Level 1'!H392,"mm-dd-yyyy"),"  "," Amnt: ","$",'Level 1'!J392,"  ", 'Level 1'!N392)</f>
        <v>Pt Id:8675 Pt Name: Czarnecki, Fiona  DOS: 12-17-2021   Amnt: $294.8  Note</v>
      </c>
      <c r="B392" s="43" t="str">
        <f>CONCATENATE("Detail: ",'Level 1'!N392,"  ",'Level 1'!O392,TEXT('Level 1'!P392,"  mm-dd-yyyy"),";"," ",'Level 1'!Q392,'Level 1'!R392,"  ",'Level 1'!T392," ","Payment "," ",'Level 1'!U392,"  ",'Level 1'!V392,"  ",'Level 1'!W392,"  ",'Level 1'!X392,"  ",'Level 1'!Z392, "  ",'Level 1'!AA392, " ","Insurance: ",'Level 1'!A392)</f>
        <v>Detail: Note  Q1  01-00-1900; Q2   Payment  Q4    Q5    Additional Notes:   Insurance: DPOW-CCHP</v>
      </c>
      <c r="C392" s="60" t="str">
        <f>'Level 1'!Y392</f>
        <v>Action</v>
      </c>
      <c r="D392" s="44" t="str">
        <f>VLOOKUP(C392,Table2[#All],3,FALSE)</f>
        <v>What we need from you/Reason</v>
      </c>
      <c r="E392" s="75" t="s">
        <v>199</v>
      </c>
      <c r="F392" s="96"/>
      <c r="G392" s="97"/>
    </row>
    <row r="393" spans="1:7" ht="21" x14ac:dyDescent="0.25">
      <c r="A393" s="43" t="str">
        <f>CONCATENATE("Pt Id:",'Level 1'!E393," ","Pt Name: ",'Level 1'!F393," ","DOS: ", TEXT('Level 1'!H393,"mm-dd-yyyy"),"  "," Amnt: ","$",'Level 1'!J393,"  ", 'Level 1'!N393)</f>
        <v>Pt Id:8285 Pt Name: Crespo, Jose  DOS: 12-17-2021   Amnt: $294.8  Note</v>
      </c>
      <c r="B393" s="43" t="str">
        <f>CONCATENATE("Detail: ",'Level 1'!N393,"  ",'Level 1'!O393,TEXT('Level 1'!P393,"  mm-dd-yyyy"),";"," ",'Level 1'!Q393,'Level 1'!R393,"  ",'Level 1'!T393," ","Payment "," ",'Level 1'!U393,"  ",'Level 1'!V393,"  ",'Level 1'!W393,"  ",'Level 1'!X393,"  ",'Level 1'!Z393, "  ",'Level 1'!AA393, " ","Insurance: ",'Level 1'!A393)</f>
        <v>Detail: Note  Q1  01-00-1900; Q2   Payment  Q4    Q5    Additional Notes:   Insurance: DPOW-CCHP</v>
      </c>
      <c r="C393" s="60" t="str">
        <f>'Level 1'!Y393</f>
        <v>Action</v>
      </c>
      <c r="D393" s="44" t="str">
        <f>VLOOKUP(C393,Table2[#All],3,FALSE)</f>
        <v>What we need from you/Reason</v>
      </c>
      <c r="E393" s="75" t="s">
        <v>199</v>
      </c>
      <c r="F393" s="96"/>
      <c r="G393" s="97"/>
    </row>
    <row r="394" spans="1:7" ht="21" x14ac:dyDescent="0.25">
      <c r="A394" s="43" t="str">
        <f>CONCATENATE("Pt Id:",'Level 1'!E394," ","Pt Name: ",'Level 1'!F394," ","DOS: ", TEXT('Level 1'!H394,"mm-dd-yyyy"),"  "," Amnt: ","$",'Level 1'!J394,"  ", 'Level 1'!N394)</f>
        <v>Pt Id:7885 Pt Name: Leahy, Seth  DOS: 12-17-2021   Amnt: $2600.4  Note</v>
      </c>
      <c r="B394" s="43" t="str">
        <f>CONCATENATE("Detail: ",'Level 1'!N394,"  ",'Level 1'!O394,TEXT('Level 1'!P394,"  mm-dd-yyyy"),";"," ",'Level 1'!Q394,'Level 1'!R394,"  ",'Level 1'!T394," ","Payment "," ",'Level 1'!U394,"  ",'Level 1'!V394,"  ",'Level 1'!W394,"  ",'Level 1'!X394,"  ",'Level 1'!Z394, "  ",'Level 1'!AA394, " ","Insurance: ",'Level 1'!A394)</f>
        <v>Detail: Note  Q1  01-00-1900; Q2   Payment  Q4    Q5    Additional Notes:   Insurance: DPOW-CCHP</v>
      </c>
      <c r="C394" s="60" t="str">
        <f>'Level 1'!Y394</f>
        <v>Action</v>
      </c>
      <c r="D394" s="44" t="str">
        <f>VLOOKUP(C394,Table2[#All],3,FALSE)</f>
        <v>What we need from you/Reason</v>
      </c>
      <c r="E394" s="75" t="s">
        <v>199</v>
      </c>
      <c r="F394" s="96"/>
      <c r="G394" s="97"/>
    </row>
    <row r="395" spans="1:7" ht="42" x14ac:dyDescent="0.25">
      <c r="A395" s="43" t="str">
        <f>CONCATENATE("Pt Id:",'Level 1'!E395," ","Pt Name: ",'Level 1'!F395," ","DOS: ", TEXT('Level 1'!H395,"mm-dd-yyyy"),"  "," Amnt: ","$",'Level 1'!J395,"  ", 'Level 1'!N395)</f>
        <v>Pt Id:8283 Pt Name: Gonzalez , Vanessa DOS: 12-17-2021   Amnt: $294.8  Note</v>
      </c>
      <c r="B395" s="43" t="str">
        <f>CONCATENATE("Detail: ",'Level 1'!N395,"  ",'Level 1'!O395,TEXT('Level 1'!P395,"  mm-dd-yyyy"),";"," ",'Level 1'!Q395,'Level 1'!R395,"  ",'Level 1'!T395," ","Payment "," ",'Level 1'!U395,"  ",'Level 1'!V395,"  ",'Level 1'!W395,"  ",'Level 1'!X395,"  ",'Level 1'!Z395, "  ",'Level 1'!AA395, " ","Insurance: ",'Level 1'!A395)</f>
        <v>Detail: Note  Q1  01-00-1900; Q2   Payment  Q4    Q5    Additional Notes:   Insurance: DPOW-CCHP</v>
      </c>
      <c r="C395" s="60" t="str">
        <f>'Level 1'!Y395</f>
        <v>Action</v>
      </c>
      <c r="D395" s="44" t="str">
        <f>VLOOKUP(C395,Table2[#All],3,FALSE)</f>
        <v>What we need from you/Reason</v>
      </c>
      <c r="E395" s="75" t="s">
        <v>199</v>
      </c>
      <c r="F395" s="96"/>
      <c r="G395" s="97"/>
    </row>
    <row r="396" spans="1:7" ht="21" x14ac:dyDescent="0.25">
      <c r="A396" s="43" t="str">
        <f>CONCATENATE("Pt Id:",'Level 1'!E396," ","Pt Name: ",'Level 1'!F396," ","DOS: ", TEXT('Level 1'!H396,"mm-dd-yyyy"),"  "," Amnt: ","$",'Level 1'!J396,"  ", 'Level 1'!N396)</f>
        <v>Pt Id:8676 Pt Name: Sanchez, Melissa DOS: 12-15-2021   Amnt: $512.4  Note</v>
      </c>
      <c r="B396" s="43" t="str">
        <f>CONCATENATE("Detail: ",'Level 1'!N396,"  ",'Level 1'!O396,TEXT('Level 1'!P396,"  mm-dd-yyyy"),";"," ",'Level 1'!Q396,'Level 1'!R396,"  ",'Level 1'!T396," ","Payment "," ",'Level 1'!U396,"  ",'Level 1'!V396,"  ",'Level 1'!W396,"  ",'Level 1'!X396,"  ",'Level 1'!Z396, "  ",'Level 1'!AA396, " ","Insurance: ",'Level 1'!A396)</f>
        <v>Detail: Note  Q1  01-00-1900; Q2   Payment  Q4    Q5    Additional Notes:   Insurance: DPOW-CCHP</v>
      </c>
      <c r="C396" s="60" t="str">
        <f>'Level 1'!Y396</f>
        <v>Action</v>
      </c>
      <c r="D396" s="44" t="str">
        <f>VLOOKUP(C396,Table2[#All],3,FALSE)</f>
        <v>What we need from you/Reason</v>
      </c>
      <c r="E396" s="75" t="s">
        <v>199</v>
      </c>
      <c r="F396" s="96"/>
      <c r="G396" s="97"/>
    </row>
    <row r="397" spans="1:7" ht="42" x14ac:dyDescent="0.25">
      <c r="A397" s="43" t="str">
        <f>CONCATENATE("Pt Id:",'Level 1'!E397," ","Pt Name: ",'Level 1'!F397," ","DOS: ", TEXT('Level 1'!H397,"mm-dd-yyyy"),"  "," Amnt: ","$",'Level 1'!J397,"  ", 'Level 1'!N397)</f>
        <v>Pt Id:4388 Pt Name: Galaviz Rueda, Thomas DOS: 12-15-2021   Amnt: $88.8  Note</v>
      </c>
      <c r="B397" s="43" t="str">
        <f>CONCATENATE("Detail: ",'Level 1'!N397,"  ",'Level 1'!O397,TEXT('Level 1'!P397,"  mm-dd-yyyy"),";"," ",'Level 1'!Q397,'Level 1'!R397,"  ",'Level 1'!T397," ","Payment "," ",'Level 1'!U397,"  ",'Level 1'!V397,"  ",'Level 1'!W397,"  ",'Level 1'!X397,"  ",'Level 1'!Z397, "  ",'Level 1'!AA397, " ","Insurance: ",'Level 1'!A397)</f>
        <v>Detail: Note  Q1  01-00-1900; Q2   Payment  Q4    Q5    Additional Notes:   Insurance: DPOW-CCHP</v>
      </c>
      <c r="C397" s="60" t="str">
        <f>'Level 1'!Y397</f>
        <v>Action</v>
      </c>
      <c r="D397" s="44" t="str">
        <f>VLOOKUP(C397,Table2[#All],3,FALSE)</f>
        <v>What we need from you/Reason</v>
      </c>
      <c r="E397" s="75" t="s">
        <v>199</v>
      </c>
      <c r="F397" s="96"/>
      <c r="G397" s="97"/>
    </row>
    <row r="398" spans="1:7" ht="21" x14ac:dyDescent="0.25">
      <c r="A398" s="43" t="str">
        <f>CONCATENATE("Pt Id:",'Level 1'!E398," ","Pt Name: ",'Level 1'!F398," ","DOS: ", TEXT('Level 1'!H398,"mm-dd-yyyy"),"  "," Amnt: ","$",'Level 1'!J398,"  ", 'Level 1'!N398)</f>
        <v>Pt Id:8404 Pt Name: Gonzalez , Arlene  DOS: 12-16-2021   Amnt: $480  Note</v>
      </c>
      <c r="B398" s="43" t="str">
        <f>CONCATENATE("Detail: ",'Level 1'!N398,"  ",'Level 1'!O398,TEXT('Level 1'!P398,"  mm-dd-yyyy"),";"," ",'Level 1'!Q398,'Level 1'!R398,"  ",'Level 1'!T398," ","Payment "," ",'Level 1'!U398,"  ",'Level 1'!V398,"  ",'Level 1'!W398,"  ",'Level 1'!X398,"  ",'Level 1'!Z398, "  ",'Level 1'!AA398, " ","Insurance: ",'Level 1'!A398)</f>
        <v>Detail: Note  Q1  01-00-1900; Q2   Payment  Q4    Q5    Additional Notes:   Insurance: DPOW-CCHP</v>
      </c>
      <c r="C398" s="60" t="str">
        <f>'Level 1'!Y398</f>
        <v>Action</v>
      </c>
      <c r="D398" s="44" t="str">
        <f>VLOOKUP(C398,Table2[#All],3,FALSE)</f>
        <v>What we need from you/Reason</v>
      </c>
      <c r="E398" s="75" t="s">
        <v>199</v>
      </c>
      <c r="F398" s="96"/>
      <c r="G398" s="97"/>
    </row>
    <row r="399" spans="1:7" ht="21" x14ac:dyDescent="0.25">
      <c r="A399" s="43" t="str">
        <f>CONCATENATE("Pt Id:",'Level 1'!E399," ","Pt Name: ",'Level 1'!F399," ","DOS: ", TEXT('Level 1'!H399,"mm-dd-yyyy"),"  "," Amnt: ","$",'Level 1'!J399,"  ", 'Level 1'!N399)</f>
        <v>Pt Id:8555 Pt Name: Sanchez , Jose DOS: 12-14-2021   Amnt: $748.8  Note</v>
      </c>
      <c r="B399" s="43" t="str">
        <f>CONCATENATE("Detail: ",'Level 1'!N399,"  ",'Level 1'!O399,TEXT('Level 1'!P399,"  mm-dd-yyyy"),";"," ",'Level 1'!Q399,'Level 1'!R399,"  ",'Level 1'!T399," ","Payment "," ",'Level 1'!U399,"  ",'Level 1'!V399,"  ",'Level 1'!W399,"  ",'Level 1'!X399,"  ",'Level 1'!Z399, "  ",'Level 1'!AA399, " ","Insurance: ",'Level 1'!A399)</f>
        <v>Detail: Note  Q1  01-00-1900; Q2   Payment  Q4    Q5    Additional Notes:   Insurance: DPOW-CCHP</v>
      </c>
      <c r="C399" s="60" t="str">
        <f>'Level 1'!Y399</f>
        <v>Action</v>
      </c>
      <c r="D399" s="44" t="str">
        <f>VLOOKUP(C399,Table2[#All],3,FALSE)</f>
        <v>What we need from you/Reason</v>
      </c>
      <c r="E399" s="75" t="s">
        <v>199</v>
      </c>
      <c r="F399" s="96"/>
      <c r="G399" s="97"/>
    </row>
    <row r="400" spans="1:7" ht="42" x14ac:dyDescent="0.25">
      <c r="A400" s="43" t="str">
        <f>CONCATENATE("Pt Id:",'Level 1'!E400," ","Pt Name: ",'Level 1'!F400," ","DOS: ", TEXT('Level 1'!H400,"mm-dd-yyyy"),"  "," Amnt: ","$",'Level 1'!J400,"  ", 'Level 1'!N400)</f>
        <v>Pt Id:1199 Pt Name: Martinez Lopez , Daniel  DOS: 12-14-2021   Amnt: $227.6  Note</v>
      </c>
      <c r="B400" s="43" t="str">
        <f>CONCATENATE("Detail: ",'Level 1'!N400,"  ",'Level 1'!O400,TEXT('Level 1'!P400,"  mm-dd-yyyy"),";"," ",'Level 1'!Q400,'Level 1'!R400,"  ",'Level 1'!T400," ","Payment "," ",'Level 1'!U400,"  ",'Level 1'!V400,"  ",'Level 1'!W400,"  ",'Level 1'!X400,"  ",'Level 1'!Z400, "  ",'Level 1'!AA400, " ","Insurance: ",'Level 1'!A400)</f>
        <v>Detail: Note  Q1  01-00-1900; Q2   Payment  Q4    Q5    Additional Notes:   Insurance: DPOW-CCHP</v>
      </c>
      <c r="C400" s="60" t="str">
        <f>'Level 1'!Y400</f>
        <v>Action</v>
      </c>
      <c r="D400" s="44" t="str">
        <f>VLOOKUP(C400,Table2[#All],3,FALSE)</f>
        <v>What we need from you/Reason</v>
      </c>
      <c r="E400" s="75" t="s">
        <v>199</v>
      </c>
      <c r="F400" s="96"/>
      <c r="G400" s="97"/>
    </row>
    <row r="401" spans="1:7" ht="42" x14ac:dyDescent="0.25">
      <c r="A401" s="43" t="str">
        <f>CONCATENATE("Pt Id:",'Level 1'!E401," ","Pt Name: ",'Level 1'!F401," ","DOS: ", TEXT('Level 1'!H401,"mm-dd-yyyy"),"  "," Amnt: ","$",'Level 1'!J401,"  ", 'Level 1'!N401)</f>
        <v>Pt Id:1771 Pt Name: Ezhar Miah, Mohamad Yunus DOS: 12-14-2021   Amnt: $266  Note</v>
      </c>
      <c r="B401" s="43" t="str">
        <f>CONCATENATE("Detail: ",'Level 1'!N401,"  ",'Level 1'!O401,TEXT('Level 1'!P401,"  mm-dd-yyyy"),";"," ",'Level 1'!Q401,'Level 1'!R401,"  ",'Level 1'!T401," ","Payment "," ",'Level 1'!U401,"  ",'Level 1'!V401,"  ",'Level 1'!W401,"  ",'Level 1'!X401,"  ",'Level 1'!Z401, "  ",'Level 1'!AA401, " ","Insurance: ",'Level 1'!A401)</f>
        <v>Detail: Note  Q1  01-00-1900; Q2   Payment  Q4    Q5    Additional Notes:   Insurance: DPOW-CCHP</v>
      </c>
      <c r="C401" s="60" t="str">
        <f>'Level 1'!Y401</f>
        <v>Action</v>
      </c>
      <c r="D401" s="44" t="str">
        <f>VLOOKUP(C401,Table2[#All],3,FALSE)</f>
        <v>What we need from you/Reason</v>
      </c>
      <c r="E401" s="75" t="s">
        <v>199</v>
      </c>
      <c r="F401" s="96"/>
      <c r="G401" s="97"/>
    </row>
    <row r="402" spans="1:7" ht="42" x14ac:dyDescent="0.25">
      <c r="A402" s="43" t="str">
        <f>CONCATENATE("Pt Id:",'Level 1'!E402," ","Pt Name: ",'Level 1'!F402," ","DOS: ", TEXT('Level 1'!H402,"mm-dd-yyyy"),"  "," Amnt: ","$",'Level 1'!J402,"  ", 'Level 1'!N402)</f>
        <v>Pt Id:7705 Pt Name: Mahone, Avianna DOS: 12-11-2021   Amnt: $1033.6  Note</v>
      </c>
      <c r="B402" s="43" t="str">
        <f>CONCATENATE("Detail: ",'Level 1'!N402,"  ",'Level 1'!O402,TEXT('Level 1'!P402,"  mm-dd-yyyy"),";"," ",'Level 1'!Q402,'Level 1'!R402,"  ",'Level 1'!T402," ","Payment "," ",'Level 1'!U402,"  ",'Level 1'!V402,"  ",'Level 1'!W402,"  ",'Level 1'!X402,"  ",'Level 1'!Z402, "  ",'Level 1'!AA402, " ","Insurance: ",'Level 1'!A402)</f>
        <v>Detail: Note  Q1  01-00-1900; Q2   Payment  Q4    Q5    Additional Notes:   Insurance: DPOW-CCHP</v>
      </c>
      <c r="C402" s="60" t="str">
        <f>'Level 1'!Y402</f>
        <v>Action</v>
      </c>
      <c r="D402" s="44" t="str">
        <f>VLOOKUP(C402,Table2[#All],3,FALSE)</f>
        <v>What we need from you/Reason</v>
      </c>
      <c r="E402" s="75" t="s">
        <v>199</v>
      </c>
      <c r="F402" s="96"/>
      <c r="G402" s="97"/>
    </row>
    <row r="403" spans="1:7" ht="21" x14ac:dyDescent="0.25">
      <c r="A403" s="43" t="str">
        <f>CONCATENATE("Pt Id:",'Level 1'!E403," ","Pt Name: ",'Level 1'!F403," ","DOS: ", TEXT('Level 1'!H403,"mm-dd-yyyy"),"  "," Amnt: ","$",'Level 1'!J403,"  ", 'Level 1'!N403)</f>
        <v>Pt Id:8483 Pt Name: Speckmann, Mikah DOS: 12-10-2021   Amnt: $100  Note</v>
      </c>
      <c r="B403" s="43" t="str">
        <f>CONCATENATE("Detail: ",'Level 1'!N403,"  ",'Level 1'!O403,TEXT('Level 1'!P403,"  mm-dd-yyyy"),";"," ",'Level 1'!Q403,'Level 1'!R403,"  ",'Level 1'!T403," ","Payment "," ",'Level 1'!U403,"  ",'Level 1'!V403,"  ",'Level 1'!W403,"  ",'Level 1'!X403,"  ",'Level 1'!Z403, "  ",'Level 1'!AA403, " ","Insurance: ",'Level 1'!A403)</f>
        <v>Detail: Note  Q1  01-00-1900; Q2   Payment  Q4    Q5    Additional Notes:   Insurance: DPOW-CCHP</v>
      </c>
      <c r="C403" s="60" t="str">
        <f>'Level 1'!Y403</f>
        <v>Action</v>
      </c>
      <c r="D403" s="44" t="str">
        <f>VLOOKUP(C403,Table2[#All],3,FALSE)</f>
        <v>What we need from you/Reason</v>
      </c>
      <c r="E403" s="75" t="s">
        <v>199</v>
      </c>
      <c r="F403" s="96"/>
      <c r="G403" s="97"/>
    </row>
    <row r="404" spans="1:7" ht="21" x14ac:dyDescent="0.25">
      <c r="A404" s="43" t="str">
        <f>CONCATENATE("Pt Id:",'Level 1'!E404," ","Pt Name: ",'Level 1'!F404," ","DOS: ", TEXT('Level 1'!H404,"mm-dd-yyyy"),"  "," Amnt: ","$",'Level 1'!J404,"  ", 'Level 1'!N404)</f>
        <v>Pt Id:2825 Pt Name: Peeples, Michele DOS: 12-17-2021   Amnt: $1062  Note</v>
      </c>
      <c r="B404" s="43" t="str">
        <f>CONCATENATE("Detail: ",'Level 1'!N404,"  ",'Level 1'!O404,TEXT('Level 1'!P404,"  mm-dd-yyyy"),";"," ",'Level 1'!Q404,'Level 1'!R404,"  ",'Level 1'!T404," ","Payment "," ",'Level 1'!U404,"  ",'Level 1'!V404,"  ",'Level 1'!W404,"  ",'Level 1'!X404,"  ",'Level 1'!Z404, "  ",'Level 1'!AA404, " ","Insurance: ",'Level 1'!A404)</f>
        <v>Detail: Note  Q1  01-00-1900; Q2   Payment  Q4    Q5    Additional Notes:   Insurance: DPOW-CCHP</v>
      </c>
      <c r="C404" s="60" t="str">
        <f>'Level 1'!Y404</f>
        <v>Action</v>
      </c>
      <c r="D404" s="44" t="str">
        <f>VLOOKUP(C404,Table2[#All],3,FALSE)</f>
        <v>What we need from you/Reason</v>
      </c>
      <c r="E404" s="75" t="s">
        <v>199</v>
      </c>
      <c r="F404" s="96"/>
      <c r="G404" s="97"/>
    </row>
    <row r="405" spans="1:7" ht="21" x14ac:dyDescent="0.25">
      <c r="A405" s="43" t="str">
        <f>CONCATENATE("Pt Id:",'Level 1'!E405," ","Pt Name: ",'Level 1'!F405," ","DOS: ", TEXT('Level 1'!H405,"mm-dd-yyyy"),"  "," Amnt: ","$",'Level 1'!J405,"  ", 'Level 1'!N405)</f>
        <v>Pt Id:2653 Pt Name: Fernandez , Krystal DOS: 12-13-2021   Amnt: $252  Note</v>
      </c>
      <c r="B405" s="43" t="str">
        <f>CONCATENATE("Detail: ",'Level 1'!N405,"  ",'Level 1'!O405,TEXT('Level 1'!P405,"  mm-dd-yyyy"),";"," ",'Level 1'!Q405,'Level 1'!R405,"  ",'Level 1'!T405," ","Payment "," ",'Level 1'!U405,"  ",'Level 1'!V405,"  ",'Level 1'!W405,"  ",'Level 1'!X405,"  ",'Level 1'!Z405, "  ",'Level 1'!AA405, " ","Insurance: ",'Level 1'!A405)</f>
        <v>Detail: Note  Q1  01-00-1900; Q2   Payment  Q4    Q5    Additional Notes:   Insurance: DPOW-CCHP</v>
      </c>
      <c r="C405" s="60" t="str">
        <f>'Level 1'!Y405</f>
        <v>Action</v>
      </c>
      <c r="D405" s="44" t="str">
        <f>VLOOKUP(C405,Table2[#All],3,FALSE)</f>
        <v>What we need from you/Reason</v>
      </c>
      <c r="E405" s="75" t="s">
        <v>199</v>
      </c>
      <c r="F405" s="96"/>
      <c r="G405" s="97"/>
    </row>
    <row r="406" spans="1:7" ht="21" x14ac:dyDescent="0.25">
      <c r="A406" s="43" t="str">
        <f>CONCATENATE("Pt Id:",'Level 1'!E406," ","Pt Name: ",'Level 1'!F406," ","DOS: ", TEXT('Level 1'!H406,"mm-dd-yyyy"),"  "," Amnt: ","$",'Level 1'!J406,"  ", 'Level 1'!N406)</f>
        <v>Pt Id:596 Pt Name: Stinson, Jamya  DOS: 12-13-2021   Amnt: $532  Note</v>
      </c>
      <c r="B406" s="43" t="str">
        <f>CONCATENATE("Detail: ",'Level 1'!N406,"  ",'Level 1'!O406,TEXT('Level 1'!P406,"  mm-dd-yyyy"),";"," ",'Level 1'!Q406,'Level 1'!R406,"  ",'Level 1'!T406," ","Payment "," ",'Level 1'!U406,"  ",'Level 1'!V406,"  ",'Level 1'!W406,"  ",'Level 1'!X406,"  ",'Level 1'!Z406, "  ",'Level 1'!AA406, " ","Insurance: ",'Level 1'!A406)</f>
        <v>Detail: Note  Q1  01-00-1900; Q2   Payment  Q4    Q5    Additional Notes:   Insurance: DPOW-CCHP</v>
      </c>
      <c r="C406" s="60" t="str">
        <f>'Level 1'!Y406</f>
        <v>Action</v>
      </c>
      <c r="D406" s="44" t="str">
        <f>VLOOKUP(C406,Table2[#All],3,FALSE)</f>
        <v>What we need from you/Reason</v>
      </c>
      <c r="E406" s="75" t="s">
        <v>199</v>
      </c>
      <c r="F406" s="96"/>
      <c r="G406" s="97"/>
    </row>
    <row r="407" spans="1:7" ht="21" x14ac:dyDescent="0.25">
      <c r="A407" s="43" t="str">
        <f>CONCATENATE("Pt Id:",'Level 1'!E407," ","Pt Name: ",'Level 1'!F407," ","DOS: ", TEXT('Level 1'!H407,"mm-dd-yyyy"),"  "," Amnt: ","$",'Level 1'!J407,"  ", 'Level 1'!N407)</f>
        <v>Pt Id:6769 Pt Name: Riemer , Josie DOS: 12-13-2021   Amnt: $199.2  Note</v>
      </c>
      <c r="B407" s="43" t="str">
        <f>CONCATENATE("Detail: ",'Level 1'!N407,"  ",'Level 1'!O407,TEXT('Level 1'!P407,"  mm-dd-yyyy"),";"," ",'Level 1'!Q407,'Level 1'!R407,"  ",'Level 1'!T407," ","Payment "," ",'Level 1'!U407,"  ",'Level 1'!V407,"  ",'Level 1'!W407,"  ",'Level 1'!X407,"  ",'Level 1'!Z407, "  ",'Level 1'!AA407, " ","Insurance: ",'Level 1'!A407)</f>
        <v>Detail: Note  Q1  01-00-1900; Q2   Payment  Q4    Q5    Additional Notes:   Insurance: DPOW-CCHP</v>
      </c>
      <c r="C407" s="60" t="str">
        <f>'Level 1'!Y407</f>
        <v>Action</v>
      </c>
      <c r="D407" s="44" t="str">
        <f>VLOOKUP(C407,Table2[#All],3,FALSE)</f>
        <v>What we need from you/Reason</v>
      </c>
      <c r="E407" s="75" t="s">
        <v>199</v>
      </c>
      <c r="F407" s="96"/>
      <c r="G407" s="97"/>
    </row>
    <row r="408" spans="1:7" ht="42" x14ac:dyDescent="0.25">
      <c r="A408" s="43" t="str">
        <f>CONCATENATE("Pt Id:",'Level 1'!E408," ","Pt Name: ",'Level 1'!F408," ","DOS: ", TEXT('Level 1'!H408,"mm-dd-yyyy"),"  "," Amnt: ","$",'Level 1'!J408,"  ", 'Level 1'!N408)</f>
        <v>Pt Id:8480 Pt Name: Emmanuel Hollow , Ishmael  DOS: 12-07-2021   Amnt: $202.8  Note</v>
      </c>
      <c r="B408" s="43" t="str">
        <f>CONCATENATE("Detail: ",'Level 1'!N408,"  ",'Level 1'!O408,TEXT('Level 1'!P408,"  mm-dd-yyyy"),";"," ",'Level 1'!Q408,'Level 1'!R408,"  ",'Level 1'!T408," ","Payment "," ",'Level 1'!U408,"  ",'Level 1'!V408,"  ",'Level 1'!W408,"  ",'Level 1'!X408,"  ",'Level 1'!Z408, "  ",'Level 1'!AA408, " ","Insurance: ",'Level 1'!A408)</f>
        <v>Detail: Note  Q1  01-00-1900; Q2   Payment  Q4    Q5    Additional Notes:   Insurance: DPOW-CCHP</v>
      </c>
      <c r="C408" s="60" t="str">
        <f>'Level 1'!Y408</f>
        <v>Action</v>
      </c>
      <c r="D408" s="44" t="str">
        <f>VLOOKUP(C408,Table2[#All],3,FALSE)</f>
        <v>What we need from you/Reason</v>
      </c>
      <c r="E408" s="75" t="s">
        <v>199</v>
      </c>
      <c r="F408" s="96"/>
      <c r="G408" s="97"/>
    </row>
    <row r="409" spans="1:7" ht="42" x14ac:dyDescent="0.25">
      <c r="A409" s="43" t="str">
        <f>CONCATENATE("Pt Id:",'Level 1'!E409," ","Pt Name: ",'Level 1'!F409," ","DOS: ", TEXT('Level 1'!H409,"mm-dd-yyyy"),"  "," Amnt: ","$",'Level 1'!J409,"  ", 'Level 1'!N409)</f>
        <v>Pt Id:8578 Pt Name: Jackson, Superior  DOS: 12-07-2021   Amnt: $453.2  Note</v>
      </c>
      <c r="B409" s="43" t="str">
        <f>CONCATENATE("Detail: ",'Level 1'!N409,"  ",'Level 1'!O409,TEXT('Level 1'!P409,"  mm-dd-yyyy"),";"," ",'Level 1'!Q409,'Level 1'!R409,"  ",'Level 1'!T409," ","Payment "," ",'Level 1'!U409,"  ",'Level 1'!V409,"  ",'Level 1'!W409,"  ",'Level 1'!X409,"  ",'Level 1'!Z409, "  ",'Level 1'!AA409, " ","Insurance: ",'Level 1'!A409)</f>
        <v>Detail: Note  Q1  01-00-1900; Q2   Payment  Q4    Q5    Additional Notes:   Insurance: DPOW-CCHP</v>
      </c>
      <c r="C409" s="60" t="str">
        <f>'Level 1'!Y409</f>
        <v>Action</v>
      </c>
      <c r="D409" s="44" t="str">
        <f>VLOOKUP(C409,Table2[#All],3,FALSE)</f>
        <v>What we need from you/Reason</v>
      </c>
      <c r="E409" s="75" t="s">
        <v>199</v>
      </c>
      <c r="F409" s="96"/>
      <c r="G409" s="97"/>
    </row>
    <row r="410" spans="1:7" ht="21" x14ac:dyDescent="0.25">
      <c r="A410" s="43" t="str">
        <f>CONCATENATE("Pt Id:",'Level 1'!E410," ","Pt Name: ",'Level 1'!F410," ","DOS: ", TEXT('Level 1'!H410,"mm-dd-yyyy"),"  "," Amnt: ","$",'Level 1'!J410,"  ", 'Level 1'!N410)</f>
        <v>Pt Id:4857 Pt Name: Nunez, Elvira  DOS: 12-07-2021   Amnt: $266  Note</v>
      </c>
      <c r="B410" s="43" t="str">
        <f>CONCATENATE("Detail: ",'Level 1'!N410,"  ",'Level 1'!O410,TEXT('Level 1'!P410,"  mm-dd-yyyy"),";"," ",'Level 1'!Q410,'Level 1'!R410,"  ",'Level 1'!T410," ","Payment "," ",'Level 1'!U410,"  ",'Level 1'!V410,"  ",'Level 1'!W410,"  ",'Level 1'!X410,"  ",'Level 1'!Z410, "  ",'Level 1'!AA410, " ","Insurance: ",'Level 1'!A410)</f>
        <v>Detail: Note  Q1  01-00-1900; Q2   Payment  Q4    Q5    Additional Notes:   Insurance: DPOW-CCHP</v>
      </c>
      <c r="C410" s="60" t="str">
        <f>'Level 1'!Y410</f>
        <v>Action</v>
      </c>
      <c r="D410" s="44" t="str">
        <f>VLOOKUP(C410,Table2[#All],3,FALSE)</f>
        <v>What we need from you/Reason</v>
      </c>
      <c r="E410" s="75" t="s">
        <v>199</v>
      </c>
      <c r="F410" s="96"/>
      <c r="G410" s="97"/>
    </row>
    <row r="411" spans="1:7" ht="42" x14ac:dyDescent="0.25">
      <c r="A411" s="43" t="str">
        <f>CONCATENATE("Pt Id:",'Level 1'!E411," ","Pt Name: ",'Level 1'!F411," ","DOS: ", TEXT('Level 1'!H411,"mm-dd-yyyy"),"  "," Amnt: ","$",'Level 1'!J411,"  ", 'Level 1'!N411)</f>
        <v>Pt Id:8564 Pt Name: Delgado , Genesis  DOS: 12-07-2021   Amnt: $166.8  Note</v>
      </c>
      <c r="B411" s="43" t="str">
        <f>CONCATENATE("Detail: ",'Level 1'!N411,"  ",'Level 1'!O411,TEXT('Level 1'!P411,"  mm-dd-yyyy"),";"," ",'Level 1'!Q411,'Level 1'!R411,"  ",'Level 1'!T411," ","Payment "," ",'Level 1'!U411,"  ",'Level 1'!V411,"  ",'Level 1'!W411,"  ",'Level 1'!X411,"  ",'Level 1'!Z411, "  ",'Level 1'!AA411, " ","Insurance: ",'Level 1'!A411)</f>
        <v>Detail: Note  Q1  01-00-1900; Q2   Payment  Q4    Q5    Additional Notes:   Insurance: DPOW-CCHP</v>
      </c>
      <c r="C411" s="60" t="str">
        <f>'Level 1'!Y411</f>
        <v>Action</v>
      </c>
      <c r="D411" s="44" t="str">
        <f>VLOOKUP(C411,Table2[#All],3,FALSE)</f>
        <v>What we need from you/Reason</v>
      </c>
      <c r="E411" s="75" t="s">
        <v>199</v>
      </c>
      <c r="F411" s="96"/>
      <c r="G411" s="97"/>
    </row>
    <row r="412" spans="1:7" ht="21" x14ac:dyDescent="0.25">
      <c r="A412" s="43" t="str">
        <f>CONCATENATE("Pt Id:",'Level 1'!E412," ","Pt Name: ",'Level 1'!F412," ","DOS: ", TEXT('Level 1'!H412,"mm-dd-yyyy"),"  "," Amnt: ","$",'Level 1'!J412,"  ", 'Level 1'!N412)</f>
        <v>Pt Id:4841 Pt Name: Nunez, Jose DOS: 12-07-2021   Amnt: $185.6  Note</v>
      </c>
      <c r="B412" s="43" t="str">
        <f>CONCATENATE("Detail: ",'Level 1'!N412,"  ",'Level 1'!O412,TEXT('Level 1'!P412,"  mm-dd-yyyy"),";"," ",'Level 1'!Q412,'Level 1'!R412,"  ",'Level 1'!T412," ","Payment "," ",'Level 1'!U412,"  ",'Level 1'!V412,"  ",'Level 1'!W412,"  ",'Level 1'!X412,"  ",'Level 1'!Z412, "  ",'Level 1'!AA412, " ","Insurance: ",'Level 1'!A412)</f>
        <v>Detail: Note  Q1  01-00-1900; Q2   Payment  Q4    Q5    Additional Notes:   Insurance: DPOW-CCHP</v>
      </c>
      <c r="C412" s="60" t="str">
        <f>'Level 1'!Y412</f>
        <v>Action</v>
      </c>
      <c r="D412" s="44" t="str">
        <f>VLOOKUP(C412,Table2[#All],3,FALSE)</f>
        <v>What we need from you/Reason</v>
      </c>
      <c r="E412" s="75" t="s">
        <v>199</v>
      </c>
      <c r="F412" s="96"/>
      <c r="G412" s="97"/>
    </row>
    <row r="413" spans="1:7" ht="21" x14ac:dyDescent="0.25">
      <c r="A413" s="43" t="str">
        <f>CONCATENATE("Pt Id:",'Level 1'!E413," ","Pt Name: ",'Level 1'!F413," ","DOS: ", TEXT('Level 1'!H413,"mm-dd-yyyy"),"  "," Amnt: ","$",'Level 1'!J413,"  ", 'Level 1'!N413)</f>
        <v>Pt Id:8647 Pt Name: Harris , Marcus  DOS: 12-07-2021   Amnt: $186  Note</v>
      </c>
      <c r="B413" s="43" t="str">
        <f>CONCATENATE("Detail: ",'Level 1'!N413,"  ",'Level 1'!O413,TEXT('Level 1'!P413,"  mm-dd-yyyy"),";"," ",'Level 1'!Q413,'Level 1'!R413,"  ",'Level 1'!T413," ","Payment "," ",'Level 1'!U413,"  ",'Level 1'!V413,"  ",'Level 1'!W413,"  ",'Level 1'!X413,"  ",'Level 1'!Z413, "  ",'Level 1'!AA413, " ","Insurance: ",'Level 1'!A413)</f>
        <v>Detail: Note  Q1  01-00-1900; Q2   Payment  Q4    Q5    Additional Notes:   Insurance: DPOW-CCHP</v>
      </c>
      <c r="C413" s="60" t="str">
        <f>'Level 1'!Y413</f>
        <v>Action</v>
      </c>
      <c r="D413" s="44" t="str">
        <f>VLOOKUP(C413,Table2[#All],3,FALSE)</f>
        <v>What we need from you/Reason</v>
      </c>
      <c r="E413" s="75" t="s">
        <v>199</v>
      </c>
      <c r="F413" s="96"/>
      <c r="G413" s="97"/>
    </row>
    <row r="414" spans="1:7" ht="42" x14ac:dyDescent="0.25">
      <c r="A414" s="43" t="str">
        <f>CONCATENATE("Pt Id:",'Level 1'!E414," ","Pt Name: ",'Level 1'!F414," ","DOS: ", TEXT('Level 1'!H414,"mm-dd-yyyy"),"  "," Amnt: ","$",'Level 1'!J414,"  ", 'Level 1'!N414)</f>
        <v>Pt Id:8565 Pt Name: Ramirez Hernandez, Yaretzi DOS: 12-06-2021   Amnt: $61.2  Note</v>
      </c>
      <c r="B414" s="43" t="str">
        <f>CONCATENATE("Detail: ",'Level 1'!N414,"  ",'Level 1'!O414,TEXT('Level 1'!P414,"  mm-dd-yyyy"),";"," ",'Level 1'!Q414,'Level 1'!R414,"  ",'Level 1'!T414," ","Payment "," ",'Level 1'!U414,"  ",'Level 1'!V414,"  ",'Level 1'!W414,"  ",'Level 1'!X414,"  ",'Level 1'!Z414, "  ",'Level 1'!AA414, " ","Insurance: ",'Level 1'!A414)</f>
        <v>Detail: Note  Q1  01-00-1900; Q2   Payment  Q4    Q5    Additional Notes:   Insurance: DPOW-CCHP</v>
      </c>
      <c r="C414" s="60" t="str">
        <f>'Level 1'!Y414</f>
        <v>Action</v>
      </c>
      <c r="D414" s="44" t="str">
        <f>VLOOKUP(C414,Table2[#All],3,FALSE)</f>
        <v>What we need from you/Reason</v>
      </c>
      <c r="E414" s="75" t="s">
        <v>199</v>
      </c>
      <c r="F414" s="96"/>
      <c r="G414" s="97"/>
    </row>
    <row r="415" spans="1:7" ht="21" x14ac:dyDescent="0.25">
      <c r="A415" s="43" t="str">
        <f>CONCATENATE("Pt Id:",'Level 1'!E415," ","Pt Name: ",'Level 1'!F415," ","DOS: ", TEXT('Level 1'!H415,"mm-dd-yyyy"),"  "," Amnt: ","$",'Level 1'!J415,"  ", 'Level 1'!N415)</f>
        <v>Pt Id:6266 Pt Name: Willis , Zyriah  DOS: 12-06-2021   Amnt: $244.4  Note</v>
      </c>
      <c r="B415" s="43" t="str">
        <f>CONCATENATE("Detail: ",'Level 1'!N415,"  ",'Level 1'!O415,TEXT('Level 1'!P415,"  mm-dd-yyyy"),";"," ",'Level 1'!Q415,'Level 1'!R415,"  ",'Level 1'!T415," ","Payment "," ",'Level 1'!U415,"  ",'Level 1'!V415,"  ",'Level 1'!W415,"  ",'Level 1'!X415,"  ",'Level 1'!Z415, "  ",'Level 1'!AA415, " ","Insurance: ",'Level 1'!A415)</f>
        <v>Detail: Note  Q1  01-00-1900; Q2   Payment  Q4    Q5    Additional Notes:   Insurance: DPOW-CCHP</v>
      </c>
      <c r="C415" s="60" t="str">
        <f>'Level 1'!Y415</f>
        <v>Action</v>
      </c>
      <c r="D415" s="44" t="str">
        <f>VLOOKUP(C415,Table2[#All],3,FALSE)</f>
        <v>What we need from you/Reason</v>
      </c>
      <c r="E415" s="75" t="s">
        <v>199</v>
      </c>
      <c r="F415" s="96"/>
      <c r="G415" s="97"/>
    </row>
    <row r="416" spans="1:7" ht="42" x14ac:dyDescent="0.25">
      <c r="A416" s="43" t="str">
        <f>CONCATENATE("Pt Id:",'Level 1'!E416," ","Pt Name: ",'Level 1'!F416," ","DOS: ", TEXT('Level 1'!H416,"mm-dd-yyyy"),"  "," Amnt: ","$",'Level 1'!J416,"  ", 'Level 1'!N416)</f>
        <v>Pt Id:2654 Pt Name: Fernandez , Briana  DOS: 12-06-2021   Amnt: $430.4  Note</v>
      </c>
      <c r="B416" s="43" t="str">
        <f>CONCATENATE("Detail: ",'Level 1'!N416,"  ",'Level 1'!O416,TEXT('Level 1'!P416,"  mm-dd-yyyy"),";"," ",'Level 1'!Q416,'Level 1'!R416,"  ",'Level 1'!T416," ","Payment "," ",'Level 1'!U416,"  ",'Level 1'!V416,"  ",'Level 1'!W416,"  ",'Level 1'!X416,"  ",'Level 1'!Z416, "  ",'Level 1'!AA416, " ","Insurance: ",'Level 1'!A416)</f>
        <v>Detail: Note  Q1  01-00-1900; Q2   Payment  Q4    Q5    Additional Notes:   Insurance: DPOW-CCHP</v>
      </c>
      <c r="C416" s="60" t="str">
        <f>'Level 1'!Y416</f>
        <v>Action</v>
      </c>
      <c r="D416" s="44" t="str">
        <f>VLOOKUP(C416,Table2[#All],3,FALSE)</f>
        <v>What we need from you/Reason</v>
      </c>
      <c r="E416" s="75" t="s">
        <v>199</v>
      </c>
      <c r="F416" s="96"/>
      <c r="G416" s="97"/>
    </row>
    <row r="417" spans="1:7" ht="21" x14ac:dyDescent="0.25">
      <c r="A417" s="43" t="str">
        <f>CONCATENATE("Pt Id:",'Level 1'!E417," ","Pt Name: ",'Level 1'!F417," ","DOS: ", TEXT('Level 1'!H417,"mm-dd-yyyy"),"  "," Amnt: ","$",'Level 1'!J417,"  ", 'Level 1'!N417)</f>
        <v>Pt Id:8493 Pt Name: Abdalla, Abdalla DOS: 12-06-2021   Amnt: $1202.8  Note</v>
      </c>
      <c r="B417" s="43" t="str">
        <f>CONCATENATE("Detail: ",'Level 1'!N417,"  ",'Level 1'!O417,TEXT('Level 1'!P417,"  mm-dd-yyyy"),";"," ",'Level 1'!Q417,'Level 1'!R417,"  ",'Level 1'!T417," ","Payment "," ",'Level 1'!U417,"  ",'Level 1'!V417,"  ",'Level 1'!W417,"  ",'Level 1'!X417,"  ",'Level 1'!Z417, "  ",'Level 1'!AA417, " ","Insurance: ",'Level 1'!A417)</f>
        <v>Detail: Note  Q1  01-00-1900; Q2   Payment  Q4    Q5    Additional Notes:   Insurance: DPOW-CCHP</v>
      </c>
      <c r="C417" s="60" t="str">
        <f>'Level 1'!Y417</f>
        <v>Action</v>
      </c>
      <c r="D417" s="44" t="str">
        <f>VLOOKUP(C417,Table2[#All],3,FALSE)</f>
        <v>What we need from you/Reason</v>
      </c>
      <c r="E417" s="75" t="s">
        <v>199</v>
      </c>
      <c r="F417" s="96"/>
      <c r="G417" s="97"/>
    </row>
    <row r="418" spans="1:7" ht="21" x14ac:dyDescent="0.25">
      <c r="A418" s="43" t="str">
        <f>CONCATENATE("Pt Id:",'Level 1'!E418," ","Pt Name: ",'Level 1'!F418," ","DOS: ", TEXT('Level 1'!H418,"mm-dd-yyyy"),"  "," Amnt: ","$",'Level 1'!J418,"  ", 'Level 1'!N418)</f>
        <v>Pt Id:7842 Pt Name: Wilson, Garrett DOS: 12-03-2021   Amnt: $681.6  Note</v>
      </c>
      <c r="B418" s="43" t="str">
        <f>CONCATENATE("Detail: ",'Level 1'!N418,"  ",'Level 1'!O418,TEXT('Level 1'!P418,"  mm-dd-yyyy"),";"," ",'Level 1'!Q418,'Level 1'!R418,"  ",'Level 1'!T418," ","Payment "," ",'Level 1'!U418,"  ",'Level 1'!V418,"  ",'Level 1'!W418,"  ",'Level 1'!X418,"  ",'Level 1'!Z418, "  ",'Level 1'!AA418, " ","Insurance: ",'Level 1'!A418)</f>
        <v>Detail: Note  Q1  01-00-1900; Q2   Payment  Q4    Q5    Additional Notes:   Insurance: DPOW-CCHP</v>
      </c>
      <c r="C418" s="60" t="str">
        <f>'Level 1'!Y418</f>
        <v>Action</v>
      </c>
      <c r="D418" s="44" t="str">
        <f>VLOOKUP(C418,Table2[#All],3,FALSE)</f>
        <v>What we need from you/Reason</v>
      </c>
      <c r="E418" s="75" t="s">
        <v>199</v>
      </c>
      <c r="F418" s="96"/>
      <c r="G418" s="97"/>
    </row>
    <row r="419" spans="1:7" ht="21" x14ac:dyDescent="0.25">
      <c r="A419" s="43" t="str">
        <f>CONCATENATE("Pt Id:",'Level 1'!E419," ","Pt Name: ",'Level 1'!F419," ","DOS: ", TEXT('Level 1'!H419,"mm-dd-yyyy"),"  "," Amnt: ","$",'Level 1'!J419,"  ", 'Level 1'!N419)</f>
        <v>Pt Id:752 Pt Name: Gonzalez, Ayden DOS: 11-03-2021   Amnt: $520  Note</v>
      </c>
      <c r="B419" s="43" t="str">
        <f>CONCATENATE("Detail: ",'Level 1'!N419,"  ",'Level 1'!O419,TEXT('Level 1'!P419,"  mm-dd-yyyy"),";"," ",'Level 1'!Q419,'Level 1'!R419,"  ",'Level 1'!T419," ","Payment "," ",'Level 1'!U419,"  ",'Level 1'!V419,"  ",'Level 1'!W419,"  ",'Level 1'!X419,"  ",'Level 1'!Z419, "  ",'Level 1'!AA419, " ","Insurance: ",'Level 1'!A419)</f>
        <v>Detail: Note  Q1  01-00-1900; Q2   Payment  Q4    Q5    Additional Notes:   Insurance: DPOW-CCHP</v>
      </c>
      <c r="C419" s="60" t="str">
        <f>'Level 1'!Y419</f>
        <v>Action</v>
      </c>
      <c r="D419" s="44" t="str">
        <f>VLOOKUP(C419,Table2[#All],3,FALSE)</f>
        <v>What we need from you/Reason</v>
      </c>
      <c r="E419" s="75" t="s">
        <v>199</v>
      </c>
      <c r="F419" s="96"/>
      <c r="G419" s="97"/>
    </row>
    <row r="420" spans="1:7" ht="21" x14ac:dyDescent="0.25">
      <c r="A420" s="43" t="str">
        <f>CONCATENATE("Pt Id:",'Level 1'!E420," ","Pt Name: ",'Level 1'!F420," ","DOS: ", TEXT('Level 1'!H420,"mm-dd-yyyy"),"  "," Amnt: ","$",'Level 1'!J420,"  ", 'Level 1'!N420)</f>
        <v>Pt Id:752 Pt Name: Gonzalez, Ayden DOS: 12-10-2021   Amnt: $170.4  Note</v>
      </c>
      <c r="B420" s="43" t="str">
        <f>CONCATENATE("Detail: ",'Level 1'!N420,"  ",'Level 1'!O420,TEXT('Level 1'!P420,"  mm-dd-yyyy"),";"," ",'Level 1'!Q420,'Level 1'!R420,"  ",'Level 1'!T420," ","Payment "," ",'Level 1'!U420,"  ",'Level 1'!V420,"  ",'Level 1'!W420,"  ",'Level 1'!X420,"  ",'Level 1'!Z420, "  ",'Level 1'!AA420, " ","Insurance: ",'Level 1'!A420)</f>
        <v>Detail: Note  Q1  01-00-1900; Q2   Payment  Q4    Q5    Additional Notes:   Insurance: DPOW-CCHP</v>
      </c>
      <c r="C420" s="60" t="str">
        <f>'Level 1'!Y420</f>
        <v>Action</v>
      </c>
      <c r="D420" s="44" t="str">
        <f>VLOOKUP(C420,Table2[#All],3,FALSE)</f>
        <v>What we need from you/Reason</v>
      </c>
      <c r="E420" s="75" t="s">
        <v>199</v>
      </c>
      <c r="F420" s="96"/>
      <c r="G420" s="97"/>
    </row>
    <row r="421" spans="1:7" ht="42" x14ac:dyDescent="0.25">
      <c r="A421" s="43" t="str">
        <f>CONCATENATE("Pt Id:",'Level 1'!E421," ","Pt Name: ",'Level 1'!F421," ","DOS: ", TEXT('Level 1'!H421,"mm-dd-yyyy"),"  "," Amnt: ","$",'Level 1'!J421,"  ", 'Level 1'!N421)</f>
        <v>Pt Id:7081 Pt Name: Rein Madden , Josie  DOS: 12-06-2021   Amnt: $138  Note</v>
      </c>
      <c r="B421" s="43" t="str">
        <f>CONCATENATE("Detail: ",'Level 1'!N421,"  ",'Level 1'!O421,TEXT('Level 1'!P421,"  mm-dd-yyyy"),";"," ",'Level 1'!Q421,'Level 1'!R421,"  ",'Level 1'!T421," ","Payment "," ",'Level 1'!U421,"  ",'Level 1'!V421,"  ",'Level 1'!W421,"  ",'Level 1'!X421,"  ",'Level 1'!Z421, "  ",'Level 1'!AA421, " ","Insurance: ",'Level 1'!A421)</f>
        <v>Detail: Note  Q1  01-00-1900; Q2   Payment  Q4    Q5    Additional Notes:   Insurance: DPOW-CCHP</v>
      </c>
      <c r="C421" s="60" t="str">
        <f>'Level 1'!Y421</f>
        <v>Action</v>
      </c>
      <c r="D421" s="44" t="str">
        <f>VLOOKUP(C421,Table2[#All],3,FALSE)</f>
        <v>What we need from you/Reason</v>
      </c>
      <c r="E421" s="75" t="s">
        <v>199</v>
      </c>
      <c r="F421" s="96"/>
      <c r="G421" s="97"/>
    </row>
    <row r="422" spans="1:7" ht="42" x14ac:dyDescent="0.25">
      <c r="A422" s="43" t="str">
        <f>CONCATENATE("Pt Id:",'Level 1'!E422," ","Pt Name: ",'Level 1'!F422," ","DOS: ", TEXT('Level 1'!H422,"mm-dd-yyyy"),"  "," Amnt: ","$",'Level 1'!J422,"  ", 'Level 1'!N422)</f>
        <v>Pt Id:8560 Pt Name: Barron Cabriale , Laura DOS: 12-07-2021   Amnt: $258.8  Note</v>
      </c>
      <c r="B422" s="43" t="str">
        <f>CONCATENATE("Detail: ",'Level 1'!N422,"  ",'Level 1'!O422,TEXT('Level 1'!P422,"  mm-dd-yyyy"),";"," ",'Level 1'!Q422,'Level 1'!R422,"  ",'Level 1'!T422," ","Payment "," ",'Level 1'!U422,"  ",'Level 1'!V422,"  ",'Level 1'!W422,"  ",'Level 1'!X422,"  ",'Level 1'!Z422, "  ",'Level 1'!AA422, " ","Insurance: ",'Level 1'!A422)</f>
        <v>Detail: Note  Q1  01-00-1900; Q2   Payment  Q4    Q5    Additional Notes:   Insurance: DPOW-CCHP</v>
      </c>
      <c r="C422" s="60" t="str">
        <f>'Level 1'!Y422</f>
        <v>Action</v>
      </c>
      <c r="D422" s="44" t="str">
        <f>VLOOKUP(C422,Table2[#All],3,FALSE)</f>
        <v>What we need from you/Reason</v>
      </c>
      <c r="E422" s="75" t="s">
        <v>199</v>
      </c>
      <c r="F422" s="96"/>
      <c r="G422" s="97"/>
    </row>
    <row r="423" spans="1:7" ht="21" x14ac:dyDescent="0.25">
      <c r="A423" s="43" t="str">
        <f>CONCATENATE("Pt Id:",'Level 1'!E423," ","Pt Name: ",'Level 1'!F423," ","DOS: ", TEXT('Level 1'!H423,"mm-dd-yyyy"),"  "," Amnt: ","$",'Level 1'!J423,"  ", 'Level 1'!N423)</f>
        <v>Pt Id:8561 Pt Name: Santos , Jessica  DOS: 12-07-2021   Amnt: $88.8  Note</v>
      </c>
      <c r="B423" s="43" t="str">
        <f>CONCATENATE("Detail: ",'Level 1'!N423,"  ",'Level 1'!O423,TEXT('Level 1'!P423,"  mm-dd-yyyy"),";"," ",'Level 1'!Q423,'Level 1'!R423,"  ",'Level 1'!T423," ","Payment "," ",'Level 1'!U423,"  ",'Level 1'!V423,"  ",'Level 1'!W423,"  ",'Level 1'!X423,"  ",'Level 1'!Z423, "  ",'Level 1'!AA423, " ","Insurance: ",'Level 1'!A423)</f>
        <v>Detail: Note  Q1  01-00-1900; Q2   Payment  Q4    Q5    Additional Notes:   Insurance: DPOW-CCHP</v>
      </c>
      <c r="C423" s="60" t="str">
        <f>'Level 1'!Y423</f>
        <v>Action</v>
      </c>
      <c r="D423" s="44" t="str">
        <f>VLOOKUP(C423,Table2[#All],3,FALSE)</f>
        <v>What we need from you/Reason</v>
      </c>
      <c r="E423" s="75" t="s">
        <v>199</v>
      </c>
      <c r="F423" s="96"/>
      <c r="G423" s="97"/>
    </row>
    <row r="424" spans="1:7" ht="21" x14ac:dyDescent="0.25">
      <c r="A424" s="43" t="str">
        <f>CONCATENATE("Pt Id:",'Level 1'!E424," ","Pt Name: ",'Level 1'!F424," ","DOS: ", TEXT('Level 1'!H424,"mm-dd-yyyy"),"  "," Amnt: ","$",'Level 1'!J424,"  ", 'Level 1'!N424)</f>
        <v>Pt Id:8555 Pt Name: Sanchez , Jose DOS: 12-07-2021   Amnt: $294.8  Note</v>
      </c>
      <c r="B424" s="43" t="str">
        <f>CONCATENATE("Detail: ",'Level 1'!N424,"  ",'Level 1'!O424,TEXT('Level 1'!P424,"  mm-dd-yyyy"),";"," ",'Level 1'!Q424,'Level 1'!R424,"  ",'Level 1'!T424," ","Payment "," ",'Level 1'!U424,"  ",'Level 1'!V424,"  ",'Level 1'!W424,"  ",'Level 1'!X424,"  ",'Level 1'!Z424, "  ",'Level 1'!AA424, " ","Insurance: ",'Level 1'!A424)</f>
        <v>Detail: Note  Q1  01-00-1900; Q2   Payment  Q4    Q5    Additional Notes:   Insurance: DPOW-CCHP</v>
      </c>
      <c r="C424" s="60" t="str">
        <f>'Level 1'!Y424</f>
        <v>Action</v>
      </c>
      <c r="D424" s="44" t="str">
        <f>VLOOKUP(C424,Table2[#All],3,FALSE)</f>
        <v>What we need from you/Reason</v>
      </c>
      <c r="E424" s="75" t="s">
        <v>199</v>
      </c>
      <c r="F424" s="96"/>
      <c r="G424" s="97"/>
    </row>
    <row r="425" spans="1:7" ht="21" x14ac:dyDescent="0.25">
      <c r="A425" s="43" t="str">
        <f>CONCATENATE("Pt Id:",'Level 1'!E425," ","Pt Name: ",'Level 1'!F425," ","DOS: ", TEXT('Level 1'!H425,"mm-dd-yyyy"),"  "," Amnt: ","$",'Level 1'!J425,"  ", 'Level 1'!N425)</f>
        <v>Pt Id:7135 Pt Name: Lentini, Kolten  DOS: 12-07-2021   Amnt: $718  Note</v>
      </c>
      <c r="B425" s="43" t="str">
        <f>CONCATENATE("Detail: ",'Level 1'!N425,"  ",'Level 1'!O425,TEXT('Level 1'!P425,"  mm-dd-yyyy"),";"," ",'Level 1'!Q425,'Level 1'!R425,"  ",'Level 1'!T425," ","Payment "," ",'Level 1'!U425,"  ",'Level 1'!V425,"  ",'Level 1'!W425,"  ",'Level 1'!X425,"  ",'Level 1'!Z425, "  ",'Level 1'!AA425, " ","Insurance: ",'Level 1'!A425)</f>
        <v>Detail: Note  Q1  01-00-1900; Q2   Payment  Q4    Q5    Additional Notes:   Insurance: DPOW-CCHP</v>
      </c>
      <c r="C425" s="60" t="str">
        <f>'Level 1'!Y425</f>
        <v>Action</v>
      </c>
      <c r="D425" s="44" t="str">
        <f>VLOOKUP(C425,Table2[#All],3,FALSE)</f>
        <v>What we need from you/Reason</v>
      </c>
      <c r="E425" s="75" t="s">
        <v>199</v>
      </c>
      <c r="F425" s="96"/>
      <c r="G425" s="97"/>
    </row>
    <row r="426" spans="1:7" ht="21" x14ac:dyDescent="0.25">
      <c r="A426" s="43" t="str">
        <f>CONCATENATE("Pt Id:",'Level 1'!E426," ","Pt Name: ",'Level 1'!F426," ","DOS: ", TEXT('Level 1'!H426,"mm-dd-yyyy"),"  "," Amnt: ","$",'Level 1'!J426,"  ", 'Level 1'!N426)</f>
        <v>Pt Id:3707 Pt Name: LENTINI, SONJA  DOS: 12-07-2021   Amnt: $82.8  Note</v>
      </c>
      <c r="B426" s="43" t="str">
        <f>CONCATENATE("Detail: ",'Level 1'!N426,"  ",'Level 1'!O426,TEXT('Level 1'!P426,"  mm-dd-yyyy"),";"," ",'Level 1'!Q426,'Level 1'!R426,"  ",'Level 1'!T426," ","Payment "," ",'Level 1'!U426,"  ",'Level 1'!V426,"  ",'Level 1'!W426,"  ",'Level 1'!X426,"  ",'Level 1'!Z426, "  ",'Level 1'!AA426, " ","Insurance: ",'Level 1'!A426)</f>
        <v>Detail: Note  Q1  01-00-1900; Q2   Payment  Q4    Q5    Additional Notes:   Insurance: DPOW-CCHP</v>
      </c>
      <c r="C426" s="60" t="str">
        <f>'Level 1'!Y426</f>
        <v>Action</v>
      </c>
      <c r="D426" s="44" t="str">
        <f>VLOOKUP(C426,Table2[#All],3,FALSE)</f>
        <v>What we need from you/Reason</v>
      </c>
      <c r="E426" s="75" t="s">
        <v>199</v>
      </c>
      <c r="F426" s="96"/>
      <c r="G426" s="97"/>
    </row>
    <row r="427" spans="1:7" ht="42" x14ac:dyDescent="0.25">
      <c r="A427" s="43" t="str">
        <f>CONCATENATE("Pt Id:",'Level 1'!E427," ","Pt Name: ",'Level 1'!F427," ","DOS: ", TEXT('Level 1'!H427,"mm-dd-yyyy"),"  "," Amnt: ","$",'Level 1'!J427,"  ", 'Level 1'!N427)</f>
        <v>Pt Id:5596 Pt Name: Hopgood, Shemika DOS: 12-04-2021   Amnt: $149.6  Note</v>
      </c>
      <c r="B427" s="43" t="str">
        <f>CONCATENATE("Detail: ",'Level 1'!N427,"  ",'Level 1'!O427,TEXT('Level 1'!P427,"  mm-dd-yyyy"),";"," ",'Level 1'!Q427,'Level 1'!R427,"  ",'Level 1'!T427," ","Payment "," ",'Level 1'!U427,"  ",'Level 1'!V427,"  ",'Level 1'!W427,"  ",'Level 1'!X427,"  ",'Level 1'!Z427, "  ",'Level 1'!AA427, " ","Insurance: ",'Level 1'!A427)</f>
        <v>Detail: Note  Q1  01-00-1900; Q2   Payment  Q4    Q5    Additional Notes:   Insurance: DPOW-CCHP</v>
      </c>
      <c r="C427" s="60" t="str">
        <f>'Level 1'!Y427</f>
        <v>Action</v>
      </c>
      <c r="D427" s="44" t="str">
        <f>VLOOKUP(C427,Table2[#All],3,FALSE)</f>
        <v>What we need from you/Reason</v>
      </c>
      <c r="E427" s="75" t="s">
        <v>199</v>
      </c>
      <c r="F427" s="96"/>
      <c r="G427" s="97"/>
    </row>
    <row r="428" spans="1:7" ht="21" x14ac:dyDescent="0.25">
      <c r="A428" s="43" t="str">
        <f>CONCATENATE("Pt Id:",'Level 1'!E428," ","Pt Name: ",'Level 1'!F428," ","DOS: ", TEXT('Level 1'!H428,"mm-dd-yyyy"),"  "," Amnt: ","$",'Level 1'!J428,"  ", 'Level 1'!N428)</f>
        <v>Pt Id:8483 Pt Name: Speckmann, Mikah DOS: 12-03-2021   Amnt: $712  Note</v>
      </c>
      <c r="B428" s="43" t="str">
        <f>CONCATENATE("Detail: ",'Level 1'!N428,"  ",'Level 1'!O428,TEXT('Level 1'!P428,"  mm-dd-yyyy"),";"," ",'Level 1'!Q428,'Level 1'!R428,"  ",'Level 1'!T428," ","Payment "," ",'Level 1'!U428,"  ",'Level 1'!V428,"  ",'Level 1'!W428,"  ",'Level 1'!X428,"  ",'Level 1'!Z428, "  ",'Level 1'!AA428, " ","Insurance: ",'Level 1'!A428)</f>
        <v>Detail: Note  Q1  01-00-1900; Q2   Payment  Q4    Q5    Additional Notes:   Insurance: DPOW-CCHP</v>
      </c>
      <c r="C428" s="60" t="str">
        <f>'Level 1'!Y428</f>
        <v>Action</v>
      </c>
      <c r="D428" s="44" t="str">
        <f>VLOOKUP(C428,Table2[#All],3,FALSE)</f>
        <v>What we need from you/Reason</v>
      </c>
      <c r="E428" s="75" t="s">
        <v>199</v>
      </c>
      <c r="F428" s="96"/>
      <c r="G428" s="97"/>
    </row>
    <row r="429" spans="1:7" ht="21" x14ac:dyDescent="0.25">
      <c r="A429" s="43" t="str">
        <f>CONCATENATE("Pt Id:",'Level 1'!E429," ","Pt Name: ",'Level 1'!F429," ","DOS: ", TEXT('Level 1'!H429,"mm-dd-yyyy"),"  "," Amnt: ","$",'Level 1'!J429,"  ", 'Level 1'!N429)</f>
        <v>Pt Id:8610 Pt Name: Lian, Ram DOS: 12-03-2021   Amnt: $589.2  Note</v>
      </c>
      <c r="B429" s="43" t="str">
        <f>CONCATENATE("Detail: ",'Level 1'!N429,"  ",'Level 1'!O429,TEXT('Level 1'!P429,"  mm-dd-yyyy"),";"," ",'Level 1'!Q429,'Level 1'!R429,"  ",'Level 1'!T429," ","Payment "," ",'Level 1'!U429,"  ",'Level 1'!V429,"  ",'Level 1'!W429,"  ",'Level 1'!X429,"  ",'Level 1'!Z429, "  ",'Level 1'!AA429, " ","Insurance: ",'Level 1'!A429)</f>
        <v>Detail: Note  Q1  01-00-1900; Q2   Payment  Q4    Q5    Additional Notes:   Insurance: DPOW-CCHP</v>
      </c>
      <c r="C429" s="60" t="str">
        <f>'Level 1'!Y429</f>
        <v>Action</v>
      </c>
      <c r="D429" s="44" t="str">
        <f>VLOOKUP(C429,Table2[#All],3,FALSE)</f>
        <v>What we need from you/Reason</v>
      </c>
      <c r="E429" s="75" t="s">
        <v>199</v>
      </c>
      <c r="F429" s="96"/>
      <c r="G429" s="97"/>
    </row>
    <row r="430" spans="1:7" ht="42" x14ac:dyDescent="0.25">
      <c r="A430" s="43" t="str">
        <f>CONCATENATE("Pt Id:",'Level 1'!E430," ","Pt Name: ",'Level 1'!F430," ","DOS: ", TEXT('Level 1'!H430,"mm-dd-yyyy"),"  "," Amnt: ","$",'Level 1'!J430,"  ", 'Level 1'!N430)</f>
        <v>Pt Id:5720 Pt Name: Perez Rios, Shayra DOS: 12-02-2021   Amnt: $218.4  Note</v>
      </c>
      <c r="B430" s="43" t="str">
        <f>CONCATENATE("Detail: ",'Level 1'!N430,"  ",'Level 1'!O430,TEXT('Level 1'!P430,"  mm-dd-yyyy"),";"," ",'Level 1'!Q430,'Level 1'!R430,"  ",'Level 1'!T430," ","Payment "," ",'Level 1'!U430,"  ",'Level 1'!V430,"  ",'Level 1'!W430,"  ",'Level 1'!X430,"  ",'Level 1'!Z430, "  ",'Level 1'!AA430, " ","Insurance: ",'Level 1'!A430)</f>
        <v>Detail: Note  Q1  01-00-1900; Q2   Payment  Q4    Q5    Additional Notes:   Insurance: DPOW-CCHP</v>
      </c>
      <c r="C430" s="60" t="str">
        <f>'Level 1'!Y430</f>
        <v>Action</v>
      </c>
      <c r="D430" s="44" t="str">
        <f>VLOOKUP(C430,Table2[#All],3,FALSE)</f>
        <v>What we need from you/Reason</v>
      </c>
      <c r="E430" s="75" t="s">
        <v>199</v>
      </c>
      <c r="F430" s="96"/>
      <c r="G430" s="97"/>
    </row>
    <row r="431" spans="1:7" ht="42" x14ac:dyDescent="0.25">
      <c r="A431" s="43" t="str">
        <f>CONCATENATE("Pt Id:",'Level 1'!E431," ","Pt Name: ",'Level 1'!F431," ","DOS: ", TEXT('Level 1'!H431,"mm-dd-yyyy"),"  "," Amnt: ","$",'Level 1'!J431,"  ", 'Level 1'!N431)</f>
        <v>Pt Id:3144 Pt Name: CRITES, SAVANNAH DOS: 12-02-2021   Amnt: $266  Note</v>
      </c>
      <c r="B431" s="43" t="str">
        <f>CONCATENATE("Detail: ",'Level 1'!N431,"  ",'Level 1'!O431,TEXT('Level 1'!P431,"  mm-dd-yyyy"),";"," ",'Level 1'!Q431,'Level 1'!R431,"  ",'Level 1'!T431," ","Payment "," ",'Level 1'!U431,"  ",'Level 1'!V431,"  ",'Level 1'!W431,"  ",'Level 1'!X431,"  ",'Level 1'!Z431, "  ",'Level 1'!AA431, " ","Insurance: ",'Level 1'!A431)</f>
        <v>Detail: Note  Q1  01-00-1900; Q2   Payment  Q4    Q5    Additional Notes:   Insurance: DPOW-CCHP</v>
      </c>
      <c r="C431" s="60" t="str">
        <f>'Level 1'!Y431</f>
        <v>Action</v>
      </c>
      <c r="D431" s="44" t="str">
        <f>VLOOKUP(C431,Table2[#All],3,FALSE)</f>
        <v>What we need from you/Reason</v>
      </c>
      <c r="E431" s="75" t="s">
        <v>199</v>
      </c>
      <c r="F431" s="96"/>
      <c r="G431" s="97"/>
    </row>
    <row r="432" spans="1:7" ht="42" x14ac:dyDescent="0.25">
      <c r="A432" s="43" t="str">
        <f>CONCATENATE("Pt Id:",'Level 1'!E432," ","Pt Name: ",'Level 1'!F432," ","DOS: ", TEXT('Level 1'!H432,"mm-dd-yyyy"),"  "," Amnt: ","$",'Level 1'!J432,"  ", 'Level 1'!N432)</f>
        <v>Pt Id:8514 Pt Name: Hogan Alford, Shamir  DOS: 12-02-2021   Amnt: $756  Note</v>
      </c>
      <c r="B432" s="43" t="str">
        <f>CONCATENATE("Detail: ",'Level 1'!N432,"  ",'Level 1'!O432,TEXT('Level 1'!P432,"  mm-dd-yyyy"),";"," ",'Level 1'!Q432,'Level 1'!R432,"  ",'Level 1'!T432," ","Payment "," ",'Level 1'!U432,"  ",'Level 1'!V432,"  ",'Level 1'!W432,"  ",'Level 1'!X432,"  ",'Level 1'!Z432, "  ",'Level 1'!AA432, " ","Insurance: ",'Level 1'!A432)</f>
        <v>Detail: Note  Q1  01-00-1900; Q2   Payment  Q4    Q5    Additional Notes:   Insurance: DPOW-CCHP</v>
      </c>
      <c r="C432" s="60" t="str">
        <f>'Level 1'!Y432</f>
        <v>Action</v>
      </c>
      <c r="D432" s="44" t="str">
        <f>VLOOKUP(C432,Table2[#All],3,FALSE)</f>
        <v>What we need from you/Reason</v>
      </c>
      <c r="E432" s="75" t="s">
        <v>199</v>
      </c>
      <c r="F432" s="96"/>
      <c r="G432" s="97"/>
    </row>
    <row r="433" spans="1:7" ht="21" x14ac:dyDescent="0.25">
      <c r="A433" s="43" t="str">
        <f>CONCATENATE("Pt Id:",'Level 1'!E433," ","Pt Name: ",'Level 1'!F433," ","DOS: ", TEXT('Level 1'!H433,"mm-dd-yyyy"),"  "," Amnt: ","$",'Level 1'!J433,"  ", 'Level 1'!N433)</f>
        <v>Pt Id:3546 Pt Name: Lentini, Randy DOS: 12-01-2021   Amnt: $266  Note</v>
      </c>
      <c r="B433" s="43" t="str">
        <f>CONCATENATE("Detail: ",'Level 1'!N433,"  ",'Level 1'!O433,TEXT('Level 1'!P433,"  mm-dd-yyyy"),";"," ",'Level 1'!Q433,'Level 1'!R433,"  ",'Level 1'!T433," ","Payment "," ",'Level 1'!U433,"  ",'Level 1'!V433,"  ",'Level 1'!W433,"  ",'Level 1'!X433,"  ",'Level 1'!Z433, "  ",'Level 1'!AA433, " ","Insurance: ",'Level 1'!A433)</f>
        <v>Detail: Note  Q1  01-00-1900; Q2   Payment  Q4    Q5    Additional Notes:   Insurance: DPOW-CCHP</v>
      </c>
      <c r="C433" s="60" t="str">
        <f>'Level 1'!Y433</f>
        <v>Action</v>
      </c>
      <c r="D433" s="44" t="str">
        <f>VLOOKUP(C433,Table2[#All],3,FALSE)</f>
        <v>What we need from you/Reason</v>
      </c>
      <c r="E433" s="75" t="s">
        <v>199</v>
      </c>
      <c r="F433" s="96"/>
      <c r="G433" s="97"/>
    </row>
    <row r="434" spans="1:7" ht="21" x14ac:dyDescent="0.25">
      <c r="A434" s="43" t="str">
        <f>CONCATENATE("Pt Id:",'Level 1'!E434," ","Pt Name: ",'Level 1'!F434," ","DOS: ", TEXT('Level 1'!H434,"mm-dd-yyyy"),"  "," Amnt: ","$",'Level 1'!J434,"  ", 'Level 1'!N434)</f>
        <v>Pt Id:4132 Pt Name: Cartagena, Dante DOS: 11-30-2021   Amnt: $445.2  Note</v>
      </c>
      <c r="B434" s="43" t="str">
        <f>CONCATENATE("Detail: ",'Level 1'!N434,"  ",'Level 1'!O434,TEXT('Level 1'!P434,"  mm-dd-yyyy"),";"," ",'Level 1'!Q434,'Level 1'!R434,"  ",'Level 1'!T434," ","Payment "," ",'Level 1'!U434,"  ",'Level 1'!V434,"  ",'Level 1'!W434,"  ",'Level 1'!X434,"  ",'Level 1'!Z434, "  ",'Level 1'!AA434, " ","Insurance: ",'Level 1'!A434)</f>
        <v>Detail: Note  Q1  01-00-1900; Q2   Payment  Q4    Q5    Additional Notes:   Insurance: DPOW-CCHP</v>
      </c>
      <c r="C434" s="60" t="str">
        <f>'Level 1'!Y434</f>
        <v>Action</v>
      </c>
      <c r="D434" s="44" t="str">
        <f>VLOOKUP(C434,Table2[#All],3,FALSE)</f>
        <v>What we need from you/Reason</v>
      </c>
      <c r="E434" s="75" t="s">
        <v>199</v>
      </c>
      <c r="F434" s="96"/>
      <c r="G434" s="97"/>
    </row>
    <row r="435" spans="1:7" ht="42" x14ac:dyDescent="0.25">
      <c r="A435" s="43" t="str">
        <f>CONCATENATE("Pt Id:",'Level 1'!E435," ","Pt Name: ",'Level 1'!F435," ","DOS: ", TEXT('Level 1'!H435,"mm-dd-yyyy"),"  "," Amnt: ","$",'Level 1'!J435,"  ", 'Level 1'!N435)</f>
        <v>Pt Id:8575 Pt Name: Mercado , Monica  DOS: 11-30-2021   Amnt: $294.8  Note</v>
      </c>
      <c r="B435" s="43" t="str">
        <f>CONCATENATE("Detail: ",'Level 1'!N435,"  ",'Level 1'!O435,TEXT('Level 1'!P435,"  mm-dd-yyyy"),";"," ",'Level 1'!Q435,'Level 1'!R435,"  ",'Level 1'!T435," ","Payment "," ",'Level 1'!U435,"  ",'Level 1'!V435,"  ",'Level 1'!W435,"  ",'Level 1'!X435,"  ",'Level 1'!Z435, "  ",'Level 1'!AA435, " ","Insurance: ",'Level 1'!A435)</f>
        <v>Detail: Note  Q1  01-00-1900; Q2   Payment  Q4    Q5    Additional Notes:   Insurance: DPOW-CCHP</v>
      </c>
      <c r="C435" s="60" t="str">
        <f>'Level 1'!Y435</f>
        <v>Action</v>
      </c>
      <c r="D435" s="44" t="str">
        <f>VLOOKUP(C435,Table2[#All],3,FALSE)</f>
        <v>What we need from you/Reason</v>
      </c>
      <c r="E435" s="75" t="s">
        <v>199</v>
      </c>
      <c r="F435" s="96"/>
      <c r="G435" s="97"/>
    </row>
    <row r="436" spans="1:7" ht="21" x14ac:dyDescent="0.25">
      <c r="A436" s="43" t="str">
        <f>CONCATENATE("Pt Id:",'Level 1'!E436," ","Pt Name: ",'Level 1'!F436," ","DOS: ", TEXT('Level 1'!H436,"mm-dd-yyyy"),"  "," Amnt: ","$",'Level 1'!J436,"  ", 'Level 1'!N436)</f>
        <v>Pt Id:8546 Pt Name: Escobedo , Karla DOS: 11-30-2021   Amnt: $61.2  Note</v>
      </c>
      <c r="B436" s="43" t="str">
        <f>CONCATENATE("Detail: ",'Level 1'!N436,"  ",'Level 1'!O436,TEXT('Level 1'!P436,"  mm-dd-yyyy"),";"," ",'Level 1'!Q436,'Level 1'!R436,"  ",'Level 1'!T436," ","Payment "," ",'Level 1'!U436,"  ",'Level 1'!V436,"  ",'Level 1'!W436,"  ",'Level 1'!X436,"  ",'Level 1'!Z436, "  ",'Level 1'!AA436, " ","Insurance: ",'Level 1'!A436)</f>
        <v>Detail: Note  Q1  01-00-1900; Q2   Payment  Q4    Q5    Additional Notes:   Insurance: DPOW-CCHP</v>
      </c>
      <c r="C436" s="60" t="str">
        <f>'Level 1'!Y436</f>
        <v>Action</v>
      </c>
      <c r="D436" s="44" t="str">
        <f>VLOOKUP(C436,Table2[#All],3,FALSE)</f>
        <v>What we need from you/Reason</v>
      </c>
      <c r="E436" s="75" t="s">
        <v>199</v>
      </c>
      <c r="F436" s="96"/>
      <c r="G436" s="97"/>
    </row>
    <row r="437" spans="1:7" ht="21" x14ac:dyDescent="0.25">
      <c r="A437" s="43" t="str">
        <f>CONCATENATE("Pt Id:",'Level 1'!E437," ","Pt Name: ",'Level 1'!F437," ","DOS: ", TEXT('Level 1'!H437,"mm-dd-yyyy"),"  "," Amnt: ","$",'Level 1'!J437,"  ", 'Level 1'!N437)</f>
        <v>Pt Id:6770 Pt Name: Cox , Mosiah  DOS: 11-29-2021   Amnt: $365.6  Note</v>
      </c>
      <c r="B437" s="43" t="str">
        <f>CONCATENATE("Detail: ",'Level 1'!N437,"  ",'Level 1'!O437,TEXT('Level 1'!P437,"  mm-dd-yyyy"),";"," ",'Level 1'!Q437,'Level 1'!R437,"  ",'Level 1'!T437," ","Payment "," ",'Level 1'!U437,"  ",'Level 1'!V437,"  ",'Level 1'!W437,"  ",'Level 1'!X437,"  ",'Level 1'!Z437, "  ",'Level 1'!AA437, " ","Insurance: ",'Level 1'!A437)</f>
        <v>Detail: Note  Q1  01-00-1900; Q2   Payment  Q4    Q5    Additional Notes:   Insurance: DPOW-CCHP</v>
      </c>
      <c r="C437" s="60" t="str">
        <f>'Level 1'!Y437</f>
        <v>Action</v>
      </c>
      <c r="D437" s="44" t="str">
        <f>VLOOKUP(C437,Table2[#All],3,FALSE)</f>
        <v>What we need from you/Reason</v>
      </c>
      <c r="E437" s="75" t="s">
        <v>199</v>
      </c>
      <c r="F437" s="96"/>
      <c r="G437" s="97"/>
    </row>
    <row r="438" spans="1:7" ht="42" x14ac:dyDescent="0.25">
      <c r="A438" s="43" t="str">
        <f>CONCATENATE("Pt Id:",'Level 1'!E438," ","Pt Name: ",'Level 1'!F438," ","DOS: ", TEXT('Level 1'!H438,"mm-dd-yyyy"),"  "," Amnt: ","$",'Level 1'!J438,"  ", 'Level 1'!N438)</f>
        <v>Pt Id:7904 Pt Name: Butterfield, Ryelund DOS: 11-23-2021   Amnt: $406  Note</v>
      </c>
      <c r="B438" s="43" t="str">
        <f>CONCATENATE("Detail: ",'Level 1'!N438,"  ",'Level 1'!O438,TEXT('Level 1'!P438,"  mm-dd-yyyy"),";"," ",'Level 1'!Q438,'Level 1'!R438,"  ",'Level 1'!T438," ","Payment "," ",'Level 1'!U438,"  ",'Level 1'!V438,"  ",'Level 1'!W438,"  ",'Level 1'!X438,"  ",'Level 1'!Z438, "  ",'Level 1'!AA438, " ","Insurance: ",'Level 1'!A438)</f>
        <v>Detail: Note  Q1  01-00-1900; Q2   Payment  Q4    Q5    Additional Notes:   Insurance: DPOW-CCHP</v>
      </c>
      <c r="C438" s="60" t="str">
        <f>'Level 1'!Y438</f>
        <v>Action</v>
      </c>
      <c r="D438" s="44" t="str">
        <f>VLOOKUP(C438,Table2[#All],3,FALSE)</f>
        <v>What we need from you/Reason</v>
      </c>
      <c r="E438" s="75" t="s">
        <v>199</v>
      </c>
      <c r="F438" s="96"/>
      <c r="G438" s="97"/>
    </row>
    <row r="439" spans="1:7" ht="42" x14ac:dyDescent="0.25">
      <c r="A439" s="43" t="str">
        <f>CONCATENATE("Pt Id:",'Level 1'!E439," ","Pt Name: ",'Level 1'!F439," ","DOS: ", TEXT('Level 1'!H439,"mm-dd-yyyy"),"  "," Amnt: ","$",'Level 1'!J439,"  ", 'Level 1'!N439)</f>
        <v>Pt Id:8470 Pt Name: Piotrowski , Amelia  DOS: 11-22-2021   Amnt: $166.8  Note</v>
      </c>
      <c r="B439" s="43" t="str">
        <f>CONCATENATE("Detail: ",'Level 1'!N439,"  ",'Level 1'!O439,TEXT('Level 1'!P439,"  mm-dd-yyyy"),";"," ",'Level 1'!Q439,'Level 1'!R439,"  ",'Level 1'!T439," ","Payment "," ",'Level 1'!U439,"  ",'Level 1'!V439,"  ",'Level 1'!W439,"  ",'Level 1'!X439,"  ",'Level 1'!Z439, "  ",'Level 1'!AA439, " ","Insurance: ",'Level 1'!A439)</f>
        <v>Detail: Note  Q1  01-00-1900; Q2   Payment  Q4    Q5    Additional Notes:   Insurance: DPOW-CCHP</v>
      </c>
      <c r="C439" s="60" t="str">
        <f>'Level 1'!Y439</f>
        <v>Action</v>
      </c>
      <c r="D439" s="44" t="str">
        <f>VLOOKUP(C439,Table2[#All],3,FALSE)</f>
        <v>What we need from you/Reason</v>
      </c>
      <c r="E439" s="75" t="s">
        <v>199</v>
      </c>
      <c r="F439" s="96"/>
      <c r="G439" s="97"/>
    </row>
    <row r="440" spans="1:7" ht="21" x14ac:dyDescent="0.25">
      <c r="A440" s="43" t="str">
        <f>CONCATENATE("Pt Id:",'Level 1'!E440," ","Pt Name: ",'Level 1'!F440," ","DOS: ", TEXT('Level 1'!H440,"mm-dd-yyyy"),"  "," Amnt: ","$",'Level 1'!J440,"  ", 'Level 1'!N440)</f>
        <v>Pt Id:8508 Pt Name: Nunez, David  DOS: 11-19-2021   Amnt: $804  Note</v>
      </c>
      <c r="B440" s="43" t="str">
        <f>CONCATENATE("Detail: ",'Level 1'!N440,"  ",'Level 1'!O440,TEXT('Level 1'!P440,"  mm-dd-yyyy"),";"," ",'Level 1'!Q440,'Level 1'!R440,"  ",'Level 1'!T440," ","Payment "," ",'Level 1'!U440,"  ",'Level 1'!V440,"  ",'Level 1'!W440,"  ",'Level 1'!X440,"  ",'Level 1'!Z440, "  ",'Level 1'!AA440, " ","Insurance: ",'Level 1'!A440)</f>
        <v>Detail: Note  Q1  01-00-1900; Q2   Payment  Q4    Q5    Additional Notes:   Insurance: DPOW-CCHP</v>
      </c>
      <c r="C440" s="60" t="str">
        <f>'Level 1'!Y440</f>
        <v>Action</v>
      </c>
      <c r="D440" s="44" t="str">
        <f>VLOOKUP(C440,Table2[#All],3,FALSE)</f>
        <v>What we need from you/Reason</v>
      </c>
      <c r="E440" s="75" t="s">
        <v>199</v>
      </c>
      <c r="F440" s="96"/>
      <c r="G440" s="97"/>
    </row>
    <row r="441" spans="1:7" ht="21" x14ac:dyDescent="0.25">
      <c r="A441" s="43" t="str">
        <f>CONCATENATE("Pt Id:",'Level 1'!E441," ","Pt Name: ",'Level 1'!F441," ","DOS: ", TEXT('Level 1'!H441,"mm-dd-yyyy"),"  "," Amnt: ","$",'Level 1'!J441,"  ", 'Level 1'!N441)</f>
        <v>Pt Id:1982 Pt Name: Forrest, Lenora DOS: 11-18-2021   Amnt: $253.2  Note</v>
      </c>
      <c r="B441" s="43" t="str">
        <f>CONCATENATE("Detail: ",'Level 1'!N441,"  ",'Level 1'!O441,TEXT('Level 1'!P441,"  mm-dd-yyyy"),";"," ",'Level 1'!Q441,'Level 1'!R441,"  ",'Level 1'!T441," ","Payment "," ",'Level 1'!U441,"  ",'Level 1'!V441,"  ",'Level 1'!W441,"  ",'Level 1'!X441,"  ",'Level 1'!Z441, "  ",'Level 1'!AA441, " ","Insurance: ",'Level 1'!A441)</f>
        <v>Detail: Note  Q1  01-00-1900; Q2   Payment  Q4    Q5    Additional Notes:   Insurance: DPOW-CCHP</v>
      </c>
      <c r="C441" s="60" t="str">
        <f>'Level 1'!Y441</f>
        <v>Action</v>
      </c>
      <c r="D441" s="44" t="str">
        <f>VLOOKUP(C441,Table2[#All],3,FALSE)</f>
        <v>What we need from you/Reason</v>
      </c>
      <c r="E441" s="75" t="s">
        <v>199</v>
      </c>
      <c r="F441" s="96"/>
      <c r="G441" s="97"/>
    </row>
    <row r="442" spans="1:7" ht="42" x14ac:dyDescent="0.25">
      <c r="A442" s="43" t="str">
        <f>CONCATENATE("Pt Id:",'Level 1'!E442," ","Pt Name: ",'Level 1'!F442," ","DOS: ", TEXT('Level 1'!H442,"mm-dd-yyyy"),"  "," Amnt: ","$",'Level 1'!J442,"  ", 'Level 1'!N442)</f>
        <v>Pt Id:1661 Pt Name: Cuccia Ramos, Liliana  DOS: 11-18-2021   Amnt: $365.6  Note</v>
      </c>
      <c r="B442" s="43" t="str">
        <f>CONCATENATE("Detail: ",'Level 1'!N442,"  ",'Level 1'!O442,TEXT('Level 1'!P442,"  mm-dd-yyyy"),";"," ",'Level 1'!Q442,'Level 1'!R442,"  ",'Level 1'!T442," ","Payment "," ",'Level 1'!U442,"  ",'Level 1'!V442,"  ",'Level 1'!W442,"  ",'Level 1'!X442,"  ",'Level 1'!Z442, "  ",'Level 1'!AA442, " ","Insurance: ",'Level 1'!A442)</f>
        <v>Detail: Note  Q1  01-00-1900; Q2   Payment  Q4    Q5    Additional Notes:   Insurance: DPOW-CCHP</v>
      </c>
      <c r="C442" s="60" t="str">
        <f>'Level 1'!Y442</f>
        <v>Action</v>
      </c>
      <c r="D442" s="44" t="str">
        <f>VLOOKUP(C442,Table2[#All],3,FALSE)</f>
        <v>What we need from you/Reason</v>
      </c>
      <c r="E442" s="75" t="s">
        <v>199</v>
      </c>
      <c r="F442" s="96"/>
      <c r="G442" s="97"/>
    </row>
    <row r="443" spans="1:7" ht="21" x14ac:dyDescent="0.25">
      <c r="A443" s="43" t="str">
        <f>CONCATENATE("Pt Id:",'Level 1'!E443," ","Pt Name: ",'Level 1'!F443," ","DOS: ", TEXT('Level 1'!H443,"mm-dd-yyyy"),"  "," Amnt: ","$",'Level 1'!J443,"  ", 'Level 1'!N443)</f>
        <v>Pt Id:8214 Pt Name: Villa, Jaquelin  DOS: 11-18-2021   Amnt: $403.2  Note</v>
      </c>
      <c r="B443" s="43" t="str">
        <f>CONCATENATE("Detail: ",'Level 1'!N443,"  ",'Level 1'!O443,TEXT('Level 1'!P443,"  mm-dd-yyyy"),";"," ",'Level 1'!Q443,'Level 1'!R443,"  ",'Level 1'!T443," ","Payment "," ",'Level 1'!U443,"  ",'Level 1'!V443,"  ",'Level 1'!W443,"  ",'Level 1'!X443,"  ",'Level 1'!Z443, "  ",'Level 1'!AA443, " ","Insurance: ",'Level 1'!A443)</f>
        <v>Detail: Note  Q1  01-00-1900; Q2   Payment  Q4    Q5    Additional Notes:   Insurance: DPOW-CCHP</v>
      </c>
      <c r="C443" s="60" t="str">
        <f>'Level 1'!Y443</f>
        <v>Action</v>
      </c>
      <c r="D443" s="44" t="str">
        <f>VLOOKUP(C443,Table2[#All],3,FALSE)</f>
        <v>What we need from you/Reason</v>
      </c>
      <c r="E443" s="75" t="s">
        <v>199</v>
      </c>
      <c r="F443" s="96"/>
      <c r="G443" s="97"/>
    </row>
    <row r="444" spans="1:7" ht="21" x14ac:dyDescent="0.25">
      <c r="A444" s="43" t="str">
        <f>CONCATENATE("Pt Id:",'Level 1'!E444," ","Pt Name: ",'Level 1'!F444," ","DOS: ", TEXT('Level 1'!H444,"mm-dd-yyyy"),"  "," Amnt: ","$",'Level 1'!J444,"  ", 'Level 1'!N444)</f>
        <v>Pt Id:3914 Pt Name: ASSIM, ALYAN DOS: 11-17-2021   Amnt: $227.6  Note</v>
      </c>
      <c r="B444" s="43" t="str">
        <f>CONCATENATE("Detail: ",'Level 1'!N444,"  ",'Level 1'!O444,TEXT('Level 1'!P444,"  mm-dd-yyyy"),";"," ",'Level 1'!Q444,'Level 1'!R444,"  ",'Level 1'!T444," ","Payment "," ",'Level 1'!U444,"  ",'Level 1'!V444,"  ",'Level 1'!W444,"  ",'Level 1'!X444,"  ",'Level 1'!Z444, "  ",'Level 1'!AA444, " ","Insurance: ",'Level 1'!A444)</f>
        <v>Detail: Note  Q1  01-00-1900; Q2   Payment  Q4    Q5    Additional Notes:   Insurance: DPOW-CCHP</v>
      </c>
      <c r="C444" s="60" t="str">
        <f>'Level 1'!Y444</f>
        <v>Action</v>
      </c>
      <c r="D444" s="44" t="str">
        <f>VLOOKUP(C444,Table2[#All],3,FALSE)</f>
        <v>What we need from you/Reason</v>
      </c>
      <c r="E444" s="75" t="s">
        <v>199</v>
      </c>
      <c r="F444" s="96"/>
      <c r="G444" s="97"/>
    </row>
    <row r="445" spans="1:7" ht="21" x14ac:dyDescent="0.25">
      <c r="A445" s="43" t="str">
        <f>CONCATENATE("Pt Id:",'Level 1'!E445," ","Pt Name: ",'Level 1'!F445," ","DOS: ", TEXT('Level 1'!H445,"mm-dd-yyyy"),"  "," Amnt: ","$",'Level 1'!J445,"  ", 'Level 1'!N445)</f>
        <v>Pt Id:3960 Pt Name: ASSIM, YOUSIF DOS: 11-17-2021   Amnt: $227.6  Note</v>
      </c>
      <c r="B445" s="43" t="str">
        <f>CONCATENATE("Detail: ",'Level 1'!N445,"  ",'Level 1'!O445,TEXT('Level 1'!P445,"  mm-dd-yyyy"),";"," ",'Level 1'!Q445,'Level 1'!R445,"  ",'Level 1'!T445," ","Payment "," ",'Level 1'!U445,"  ",'Level 1'!V445,"  ",'Level 1'!W445,"  ",'Level 1'!X445,"  ",'Level 1'!Z445, "  ",'Level 1'!AA445, " ","Insurance: ",'Level 1'!A445)</f>
        <v>Detail: Note  Q1  01-00-1900; Q2   Payment  Q4    Q5    Additional Notes:   Insurance: DPOW-CCHP</v>
      </c>
      <c r="C445" s="60" t="str">
        <f>'Level 1'!Y445</f>
        <v>Action</v>
      </c>
      <c r="D445" s="44" t="str">
        <f>VLOOKUP(C445,Table2[#All],3,FALSE)</f>
        <v>What we need from you/Reason</v>
      </c>
      <c r="E445" s="75" t="s">
        <v>199</v>
      </c>
      <c r="F445" s="96"/>
      <c r="G445" s="97"/>
    </row>
    <row r="446" spans="1:7" ht="21" x14ac:dyDescent="0.25">
      <c r="A446" s="43" t="str">
        <f>CONCATENATE("Pt Id:",'Level 1'!E446," ","Pt Name: ",'Level 1'!F446," ","DOS: ", TEXT('Level 1'!H446,"mm-dd-yyyy"),"  "," Amnt: ","$",'Level 1'!J446,"  ", 'Level 1'!N446)</f>
        <v>Pt Id:5419 Pt Name: Gonzales, Olivia  DOS: 11-17-2021   Amnt: $287.6  Note</v>
      </c>
      <c r="B446" s="43" t="str">
        <f>CONCATENATE("Detail: ",'Level 1'!N446,"  ",'Level 1'!O446,TEXT('Level 1'!P446,"  mm-dd-yyyy"),";"," ",'Level 1'!Q446,'Level 1'!R446,"  ",'Level 1'!T446," ","Payment "," ",'Level 1'!U446,"  ",'Level 1'!V446,"  ",'Level 1'!W446,"  ",'Level 1'!X446,"  ",'Level 1'!Z446, "  ",'Level 1'!AA446, " ","Insurance: ",'Level 1'!A446)</f>
        <v>Detail: Note  Q1  01-00-1900; Q2   Payment  Q4    Q5    Additional Notes:   Insurance: DPOW-CCHP</v>
      </c>
      <c r="C446" s="60" t="str">
        <f>'Level 1'!Y446</f>
        <v>Action</v>
      </c>
      <c r="D446" s="44" t="str">
        <f>VLOOKUP(C446,Table2[#All],3,FALSE)</f>
        <v>What we need from you/Reason</v>
      </c>
      <c r="E446" s="75" t="s">
        <v>199</v>
      </c>
      <c r="F446" s="96"/>
      <c r="G446" s="97"/>
    </row>
    <row r="447" spans="1:7" ht="21" x14ac:dyDescent="0.25">
      <c r="A447" s="43" t="str">
        <f>CONCATENATE("Pt Id:",'Level 1'!E447," ","Pt Name: ",'Level 1'!F447," ","DOS: ", TEXT('Level 1'!H447,"mm-dd-yyyy"),"  "," Amnt: ","$",'Level 1'!J447,"  ", 'Level 1'!N447)</f>
        <v>Pt Id:7983 Pt Name: Sconzert , Jennifer DOS: 11-16-2021   Amnt: $61.2  Note</v>
      </c>
      <c r="B447" s="43" t="str">
        <f>CONCATENATE("Detail: ",'Level 1'!N447,"  ",'Level 1'!O447,TEXT('Level 1'!P447,"  mm-dd-yyyy"),";"," ",'Level 1'!Q447,'Level 1'!R447,"  ",'Level 1'!T447," ","Payment "," ",'Level 1'!U447,"  ",'Level 1'!V447,"  ",'Level 1'!W447,"  ",'Level 1'!X447,"  ",'Level 1'!Z447, "  ",'Level 1'!AA447, " ","Insurance: ",'Level 1'!A447)</f>
        <v>Detail: Note  Q1  01-00-1900; Q2   Payment  Q4    Q5    Additional Notes:   Insurance: DPOW-CCHP</v>
      </c>
      <c r="C447" s="60" t="str">
        <f>'Level 1'!Y447</f>
        <v>Action</v>
      </c>
      <c r="D447" s="44" t="str">
        <f>VLOOKUP(C447,Table2[#All],3,FALSE)</f>
        <v>What we need from you/Reason</v>
      </c>
      <c r="E447" s="75" t="s">
        <v>199</v>
      </c>
      <c r="F447" s="96"/>
      <c r="G447" s="97"/>
    </row>
    <row r="448" spans="1:7" ht="42" x14ac:dyDescent="0.25">
      <c r="A448" s="43" t="str">
        <f>CONCATENATE("Pt Id:",'Level 1'!E448," ","Pt Name: ",'Level 1'!F448," ","DOS: ", TEXT('Level 1'!H448,"mm-dd-yyyy"),"  "," Amnt: ","$",'Level 1'!J448,"  ", 'Level 1'!N448)</f>
        <v>Pt Id:8480 Pt Name: Emmanuel Hollow , Ishmael  DOS: 11-16-2021   Amnt: $199.2  Note</v>
      </c>
      <c r="B448" s="43" t="str">
        <f>CONCATENATE("Detail: ",'Level 1'!N448,"  ",'Level 1'!O448,TEXT('Level 1'!P448,"  mm-dd-yyyy"),";"," ",'Level 1'!Q448,'Level 1'!R448,"  ",'Level 1'!T448," ","Payment "," ",'Level 1'!U448,"  ",'Level 1'!V448,"  ",'Level 1'!W448,"  ",'Level 1'!X448,"  ",'Level 1'!Z448, "  ",'Level 1'!AA448, " ","Insurance: ",'Level 1'!A448)</f>
        <v>Detail: Note  Q1  01-00-1900; Q2   Payment  Q4    Q5    Additional Notes:   Insurance: DPOW-CCHP</v>
      </c>
      <c r="C448" s="60" t="str">
        <f>'Level 1'!Y448</f>
        <v>Action</v>
      </c>
      <c r="D448" s="44" t="str">
        <f>VLOOKUP(C448,Table2[#All],3,FALSE)</f>
        <v>What we need from you/Reason</v>
      </c>
      <c r="E448" s="75" t="s">
        <v>199</v>
      </c>
      <c r="F448" s="96"/>
      <c r="G448" s="97"/>
    </row>
    <row r="449" spans="1:7" ht="42" x14ac:dyDescent="0.25">
      <c r="A449" s="43" t="str">
        <f>CONCATENATE("Pt Id:",'Level 1'!E449," ","Pt Name: ",'Level 1'!F449," ","DOS: ", TEXT('Level 1'!H449,"mm-dd-yyyy"),"  "," Amnt: ","$",'Level 1'!J449,"  ", 'Level 1'!N449)</f>
        <v>Pt Id:5568 Pt Name: Archibald , Veyda  DOS: 11-16-2021   Amnt: $350.8  Note</v>
      </c>
      <c r="B449" s="43" t="str">
        <f>CONCATENATE("Detail: ",'Level 1'!N449,"  ",'Level 1'!O449,TEXT('Level 1'!P449,"  mm-dd-yyyy"),";"," ",'Level 1'!Q449,'Level 1'!R449,"  ",'Level 1'!T449," ","Payment "," ",'Level 1'!U449,"  ",'Level 1'!V449,"  ",'Level 1'!W449,"  ",'Level 1'!X449,"  ",'Level 1'!Z449, "  ",'Level 1'!AA449, " ","Insurance: ",'Level 1'!A449)</f>
        <v>Detail: Note  Q1  01-00-1900; Q2   Payment  Q4    Q5    Additional Notes:   Insurance: DPOW-CCHP</v>
      </c>
      <c r="C449" s="60" t="str">
        <f>'Level 1'!Y449</f>
        <v>Action</v>
      </c>
      <c r="D449" s="44" t="str">
        <f>VLOOKUP(C449,Table2[#All],3,FALSE)</f>
        <v>What we need from you/Reason</v>
      </c>
      <c r="E449" s="75" t="s">
        <v>199</v>
      </c>
      <c r="F449" s="96"/>
      <c r="G449" s="97"/>
    </row>
    <row r="450" spans="1:7" ht="21" x14ac:dyDescent="0.25">
      <c r="A450" s="43" t="str">
        <f>CONCATENATE("Pt Id:",'Level 1'!E450," ","Pt Name: ",'Level 1'!F450," ","DOS: ", TEXT('Level 1'!H450,"mm-dd-yyyy"),"  "," Amnt: ","$",'Level 1'!J450,"  ", 'Level 1'!N450)</f>
        <v>Pt Id:1750 Pt Name: Lee, Urya DOS: 11-15-2021   Amnt: $88.8  Note</v>
      </c>
      <c r="B450" s="43" t="str">
        <f>CONCATENATE("Detail: ",'Level 1'!N450,"  ",'Level 1'!O450,TEXT('Level 1'!P450,"  mm-dd-yyyy"),";"," ",'Level 1'!Q450,'Level 1'!R450,"  ",'Level 1'!T450," ","Payment "," ",'Level 1'!U450,"  ",'Level 1'!V450,"  ",'Level 1'!W450,"  ",'Level 1'!X450,"  ",'Level 1'!Z450, "  ",'Level 1'!AA450, " ","Insurance: ",'Level 1'!A450)</f>
        <v>Detail: Note  Q1  01-00-1900; Q2   Payment  Q4    Q5    Additional Notes:   Insurance: DPOW-CCHP</v>
      </c>
      <c r="C450" s="60" t="str">
        <f>'Level 1'!Y450</f>
        <v>Action</v>
      </c>
      <c r="D450" s="44" t="str">
        <f>VLOOKUP(C450,Table2[#All],3,FALSE)</f>
        <v>What we need from you/Reason</v>
      </c>
      <c r="E450" s="75" t="s">
        <v>199</v>
      </c>
      <c r="F450" s="96"/>
      <c r="G450" s="97"/>
    </row>
    <row r="451" spans="1:7" ht="21" x14ac:dyDescent="0.25">
      <c r="A451" s="43" t="str">
        <f>CONCATENATE("Pt Id:",'Level 1'!E451," ","Pt Name: ",'Level 1'!F451," ","DOS: ", TEXT('Level 1'!H451,"mm-dd-yyyy"),"  "," Amnt: ","$",'Level 1'!J451,"  ", 'Level 1'!N451)</f>
        <v>Pt Id:6646 Pt Name: Vazquez, Niomy  DOS: 11-18-2021   Amnt: $505.2  Note</v>
      </c>
      <c r="B451" s="43" t="str">
        <f>CONCATENATE("Detail: ",'Level 1'!N451,"  ",'Level 1'!O451,TEXT('Level 1'!P451,"  mm-dd-yyyy"),";"," ",'Level 1'!Q451,'Level 1'!R451,"  ",'Level 1'!T451," ","Payment "," ",'Level 1'!U451,"  ",'Level 1'!V451,"  ",'Level 1'!W451,"  ",'Level 1'!X451,"  ",'Level 1'!Z451, "  ",'Level 1'!AA451, " ","Insurance: ",'Level 1'!A451)</f>
        <v>Detail: Note  Q1  01-00-1900; Q2   Payment  Q4    Q5    Additional Notes:   Insurance: DPOW-CCHP</v>
      </c>
      <c r="C451" s="60" t="str">
        <f>'Level 1'!Y451</f>
        <v>Action</v>
      </c>
      <c r="D451" s="44" t="str">
        <f>VLOOKUP(C451,Table2[#All],3,FALSE)</f>
        <v>What we need from you/Reason</v>
      </c>
      <c r="E451" s="75" t="s">
        <v>199</v>
      </c>
      <c r="F451" s="96"/>
      <c r="G451" s="97"/>
    </row>
    <row r="452" spans="1:7" ht="21" x14ac:dyDescent="0.25">
      <c r="A452" s="43" t="str">
        <f>CONCATENATE("Pt Id:",'Level 1'!E452," ","Pt Name: ",'Level 1'!F452," ","DOS: ", TEXT('Level 1'!H452,"mm-dd-yyyy"),"  "," Amnt: ","$",'Level 1'!J452,"  ", 'Level 1'!N452)</f>
        <v>Pt Id:8421 Pt Name: Lee , Isa  DOS: 11-18-2021   Amnt: $166.8  Note</v>
      </c>
      <c r="B452" s="43" t="str">
        <f>CONCATENATE("Detail: ",'Level 1'!N452,"  ",'Level 1'!O452,TEXT('Level 1'!P452,"  mm-dd-yyyy"),";"," ",'Level 1'!Q452,'Level 1'!R452,"  ",'Level 1'!T452," ","Payment "," ",'Level 1'!U452,"  ",'Level 1'!V452,"  ",'Level 1'!W452,"  ",'Level 1'!X452,"  ",'Level 1'!Z452, "  ",'Level 1'!AA452, " ","Insurance: ",'Level 1'!A452)</f>
        <v>Detail: Note  Q1  01-00-1900; Q2   Payment  Q4    Q5    Additional Notes:   Insurance: DPOW-CCHP</v>
      </c>
      <c r="C452" s="60" t="str">
        <f>'Level 1'!Y452</f>
        <v>Action</v>
      </c>
      <c r="D452" s="44" t="str">
        <f>VLOOKUP(C452,Table2[#All],3,FALSE)</f>
        <v>What we need from you/Reason</v>
      </c>
      <c r="E452" s="75" t="s">
        <v>199</v>
      </c>
      <c r="F452" s="96"/>
      <c r="G452" s="97"/>
    </row>
    <row r="453" spans="1:7" ht="21" x14ac:dyDescent="0.25">
      <c r="A453" s="43" t="str">
        <f>CONCATENATE("Pt Id:",'Level 1'!E453," ","Pt Name: ",'Level 1'!F453," ","DOS: ", TEXT('Level 1'!H453,"mm-dd-yyyy"),"  "," Amnt: ","$",'Level 1'!J453,"  ", 'Level 1'!N453)</f>
        <v>Pt Id:3514 Pt Name: Payne, Michael DOS: 11-15-2021   Amnt: $244.4  Note</v>
      </c>
      <c r="B453" s="43" t="str">
        <f>CONCATENATE("Detail: ",'Level 1'!N453,"  ",'Level 1'!O453,TEXT('Level 1'!P453,"  mm-dd-yyyy"),";"," ",'Level 1'!Q453,'Level 1'!R453,"  ",'Level 1'!T453," ","Payment "," ",'Level 1'!U453,"  ",'Level 1'!V453,"  ",'Level 1'!W453,"  ",'Level 1'!X453,"  ",'Level 1'!Z453, "  ",'Level 1'!AA453, " ","Insurance: ",'Level 1'!A453)</f>
        <v>Detail: Note  Q1  01-00-1900; Q2   Payment  Q4    Q5    Additional Notes:   Insurance: DPOW-CCHP</v>
      </c>
      <c r="C453" s="60" t="str">
        <f>'Level 1'!Y453</f>
        <v>Action</v>
      </c>
      <c r="D453" s="44" t="str">
        <f>VLOOKUP(C453,Table2[#All],3,FALSE)</f>
        <v>What we need from you/Reason</v>
      </c>
      <c r="E453" s="75" t="s">
        <v>199</v>
      </c>
      <c r="F453" s="96"/>
      <c r="G453" s="97"/>
    </row>
    <row r="454" spans="1:7" ht="42" x14ac:dyDescent="0.25">
      <c r="A454" s="43" t="str">
        <f>CONCATENATE("Pt Id:",'Level 1'!E454," ","Pt Name: ",'Level 1'!F454," ","DOS: ", TEXT('Level 1'!H454,"mm-dd-yyyy"),"  "," Amnt: ","$",'Level 1'!J454,"  ", 'Level 1'!N454)</f>
        <v>Pt Id:3447 Pt Name: RAMSEY, COURTNEY DOS: 11-15-2021   Amnt: $138  Note</v>
      </c>
      <c r="B454" s="43" t="str">
        <f>CONCATENATE("Detail: ",'Level 1'!N454,"  ",'Level 1'!O454,TEXT('Level 1'!P454,"  mm-dd-yyyy"),";"," ",'Level 1'!Q454,'Level 1'!R454,"  ",'Level 1'!T454," ","Payment "," ",'Level 1'!U454,"  ",'Level 1'!V454,"  ",'Level 1'!W454,"  ",'Level 1'!X454,"  ",'Level 1'!Z454, "  ",'Level 1'!AA454, " ","Insurance: ",'Level 1'!A454)</f>
        <v>Detail: Note  Q1  01-00-1900; Q2   Payment  Q4    Q5    Additional Notes:   Insurance: DPOW-CCHP</v>
      </c>
      <c r="C454" s="60" t="str">
        <f>'Level 1'!Y454</f>
        <v>Action</v>
      </c>
      <c r="D454" s="44" t="str">
        <f>VLOOKUP(C454,Table2[#All],3,FALSE)</f>
        <v>What we need from you/Reason</v>
      </c>
      <c r="E454" s="75" t="s">
        <v>199</v>
      </c>
      <c r="F454" s="96"/>
      <c r="G454" s="97"/>
    </row>
    <row r="455" spans="1:7" ht="21" x14ac:dyDescent="0.25">
      <c r="A455" s="43" t="str">
        <f>CONCATENATE("Pt Id:",'Level 1'!E455," ","Pt Name: ",'Level 1'!F455," ","DOS: ", TEXT('Level 1'!H455,"mm-dd-yyyy"),"  "," Amnt: ","$",'Level 1'!J455,"  ", 'Level 1'!N455)</f>
        <v>Pt Id:752 Pt Name: Gonzalez, Ayden DOS: 11-15-2021   Amnt: $82.8  Note</v>
      </c>
      <c r="B455" s="43" t="str">
        <f>CONCATENATE("Detail: ",'Level 1'!N455,"  ",'Level 1'!O455,TEXT('Level 1'!P455,"  mm-dd-yyyy"),";"," ",'Level 1'!Q455,'Level 1'!R455,"  ",'Level 1'!T455," ","Payment "," ",'Level 1'!U455,"  ",'Level 1'!V455,"  ",'Level 1'!W455,"  ",'Level 1'!X455,"  ",'Level 1'!Z455, "  ",'Level 1'!AA455, " ","Insurance: ",'Level 1'!A455)</f>
        <v>Detail: Note  Q1  01-00-1900; Q2   Payment  Q4    Q5    Additional Notes:   Insurance: DPOW-CCHP</v>
      </c>
      <c r="C455" s="60" t="str">
        <f>'Level 1'!Y455</f>
        <v>Action</v>
      </c>
      <c r="D455" s="44" t="str">
        <f>VLOOKUP(C455,Table2[#All],3,FALSE)</f>
        <v>What we need from you/Reason</v>
      </c>
      <c r="E455" s="75" t="s">
        <v>199</v>
      </c>
      <c r="F455" s="96"/>
      <c r="G455" s="97"/>
    </row>
    <row r="456" spans="1:7" ht="42" x14ac:dyDescent="0.25">
      <c r="A456" s="43" t="str">
        <f>CONCATENATE("Pt Id:",'Level 1'!E456," ","Pt Name: ",'Level 1'!F456," ","DOS: ", TEXT('Level 1'!H456,"mm-dd-yyyy"),"  "," Amnt: ","$",'Level 1'!J456,"  ", 'Level 1'!N456)</f>
        <v>Pt Id:5240 Pt Name: Maldonado, Jadxel  DOS: 11-15-2021   Amnt: $278.4  Note</v>
      </c>
      <c r="B456" s="43" t="str">
        <f>CONCATENATE("Detail: ",'Level 1'!N456,"  ",'Level 1'!O456,TEXT('Level 1'!P456,"  mm-dd-yyyy"),";"," ",'Level 1'!Q456,'Level 1'!R456,"  ",'Level 1'!T456," ","Payment "," ",'Level 1'!U456,"  ",'Level 1'!V456,"  ",'Level 1'!W456,"  ",'Level 1'!X456,"  ",'Level 1'!Z456, "  ",'Level 1'!AA456, " ","Insurance: ",'Level 1'!A456)</f>
        <v>Detail: Note  Q1  01-00-1900; Q2   Payment  Q4    Q5    Additional Notes:   Insurance: DPOW-CCHP</v>
      </c>
      <c r="C456" s="60" t="str">
        <f>'Level 1'!Y456</f>
        <v>Action</v>
      </c>
      <c r="D456" s="44" t="str">
        <f>VLOOKUP(C456,Table2[#All],3,FALSE)</f>
        <v>What we need from you/Reason</v>
      </c>
      <c r="E456" s="75" t="s">
        <v>199</v>
      </c>
      <c r="F456" s="96"/>
      <c r="G456" s="97"/>
    </row>
    <row r="457" spans="1:7" ht="42" x14ac:dyDescent="0.25">
      <c r="A457" s="43" t="str">
        <f>CONCATENATE("Pt Id:",'Level 1'!E457," ","Pt Name: ",'Level 1'!F457," ","DOS: ", TEXT('Level 1'!H457,"mm-dd-yyyy"),"  "," Amnt: ","$",'Level 1'!J457,"  ", 'Level 1'!N457)</f>
        <v>Pt Id:7348 Pt Name: Mohammed, Sadiya DOS: 11-13-2021   Amnt: $138  Note</v>
      </c>
      <c r="B457" s="43" t="str">
        <f>CONCATENATE("Detail: ",'Level 1'!N457,"  ",'Level 1'!O457,TEXT('Level 1'!P457,"  mm-dd-yyyy"),";"," ",'Level 1'!Q457,'Level 1'!R457,"  ",'Level 1'!T457," ","Payment "," ",'Level 1'!U457,"  ",'Level 1'!V457,"  ",'Level 1'!W457,"  ",'Level 1'!X457,"  ",'Level 1'!Z457, "  ",'Level 1'!AA457, " ","Insurance: ",'Level 1'!A457)</f>
        <v>Detail: Note  Q1  01-00-1900; Q2   Payment  Q4    Q5    Additional Notes:   Insurance: DPOW-CCHP</v>
      </c>
      <c r="C457" s="60" t="str">
        <f>'Level 1'!Y457</f>
        <v>Action</v>
      </c>
      <c r="D457" s="44" t="str">
        <f>VLOOKUP(C457,Table2[#All],3,FALSE)</f>
        <v>What we need from you/Reason</v>
      </c>
      <c r="E457" s="75" t="s">
        <v>199</v>
      </c>
      <c r="F457" s="96"/>
      <c r="G457" s="97"/>
    </row>
    <row r="458" spans="1:7" ht="21" x14ac:dyDescent="0.25">
      <c r="A458" s="43" t="str">
        <f>CONCATENATE("Pt Id:",'Level 1'!E458," ","Pt Name: ",'Level 1'!F458," ","DOS: ", TEXT('Level 1'!H458,"mm-dd-yyyy"),"  "," Amnt: ","$",'Level 1'!J458,"  ", 'Level 1'!N458)</f>
        <v>Pt Id:7273 Pt Name: Nelson, Amy  DOS: 11-12-2021   Amnt: $285.6  Note</v>
      </c>
      <c r="B458" s="43" t="str">
        <f>CONCATENATE("Detail: ",'Level 1'!N458,"  ",'Level 1'!O458,TEXT('Level 1'!P458,"  mm-dd-yyyy"),";"," ",'Level 1'!Q458,'Level 1'!R458,"  ",'Level 1'!T458," ","Payment "," ",'Level 1'!U458,"  ",'Level 1'!V458,"  ",'Level 1'!W458,"  ",'Level 1'!X458,"  ",'Level 1'!Z458, "  ",'Level 1'!AA458, " ","Insurance: ",'Level 1'!A458)</f>
        <v>Detail: Note  Q1  01-00-1900; Q2   Payment  Q4    Q5    Additional Notes:   Insurance: DPOW-CCHP</v>
      </c>
      <c r="C458" s="60" t="str">
        <f>'Level 1'!Y458</f>
        <v>Action</v>
      </c>
      <c r="D458" s="44" t="str">
        <f>VLOOKUP(C458,Table2[#All],3,FALSE)</f>
        <v>What we need from you/Reason</v>
      </c>
      <c r="E458" s="75" t="s">
        <v>199</v>
      </c>
      <c r="F458" s="96"/>
      <c r="G458" s="97"/>
    </row>
    <row r="459" spans="1:7" ht="42" x14ac:dyDescent="0.25">
      <c r="A459" s="43" t="str">
        <f>CONCATENATE("Pt Id:",'Level 1'!E459," ","Pt Name: ",'Level 1'!F459," ","DOS: ", TEXT('Level 1'!H459,"mm-dd-yyyy"),"  "," Amnt: ","$",'Level 1'!J459,"  ", 'Level 1'!N459)</f>
        <v>Pt Id:5798 Pt Name: Torres Santos , Aracelis  DOS: 11-12-2021   Amnt: $314.4  Note</v>
      </c>
      <c r="B459" s="43" t="str">
        <f>CONCATENATE("Detail: ",'Level 1'!N459,"  ",'Level 1'!O459,TEXT('Level 1'!P459,"  mm-dd-yyyy"),";"," ",'Level 1'!Q459,'Level 1'!R459,"  ",'Level 1'!T459," ","Payment "," ",'Level 1'!U459,"  ",'Level 1'!V459,"  ",'Level 1'!W459,"  ",'Level 1'!X459,"  ",'Level 1'!Z459, "  ",'Level 1'!AA459, " ","Insurance: ",'Level 1'!A459)</f>
        <v>Detail: Note  Q1  01-00-1900; Q2   Payment  Q4    Q5    Additional Notes:   Insurance: DPOW-CCHP</v>
      </c>
      <c r="C459" s="60" t="str">
        <f>'Level 1'!Y459</f>
        <v>Action</v>
      </c>
      <c r="D459" s="44" t="str">
        <f>VLOOKUP(C459,Table2[#All],3,FALSE)</f>
        <v>What we need from you/Reason</v>
      </c>
      <c r="E459" s="75" t="s">
        <v>199</v>
      </c>
      <c r="F459" s="96"/>
      <c r="G459" s="97"/>
    </row>
    <row r="460" spans="1:7" ht="42" x14ac:dyDescent="0.25">
      <c r="A460" s="43" t="str">
        <f>CONCATENATE("Pt Id:",'Level 1'!E460," ","Pt Name: ",'Level 1'!F460," ","DOS: ", TEXT('Level 1'!H460,"mm-dd-yyyy"),"  "," Amnt: ","$",'Level 1'!J460,"  ", 'Level 1'!N460)</f>
        <v>Pt Id:5533 Pt Name: Martinez Perez , Shaelys  DOS: 11-11-2021   Amnt: $935.6  Note</v>
      </c>
      <c r="B460" s="43" t="str">
        <f>CONCATENATE("Detail: ",'Level 1'!N460,"  ",'Level 1'!O460,TEXT('Level 1'!P460,"  mm-dd-yyyy"),";"," ",'Level 1'!Q460,'Level 1'!R460,"  ",'Level 1'!T460," ","Payment "," ",'Level 1'!U460,"  ",'Level 1'!V460,"  ",'Level 1'!W460,"  ",'Level 1'!X460,"  ",'Level 1'!Z460, "  ",'Level 1'!AA460, " ","Insurance: ",'Level 1'!A460)</f>
        <v>Detail: Note  Q1  01-00-1900; Q2   Payment  Q4    Q5    Additional Notes:   Insurance: DPOW-CCHP</v>
      </c>
      <c r="C460" s="60" t="str">
        <f>'Level 1'!Y460</f>
        <v>Action</v>
      </c>
      <c r="D460" s="44" t="str">
        <f>VLOOKUP(C460,Table2[#All],3,FALSE)</f>
        <v>What we need from you/Reason</v>
      </c>
      <c r="E460" s="75" t="s">
        <v>199</v>
      </c>
      <c r="F460" s="96"/>
      <c r="G460" s="97"/>
    </row>
    <row r="461" spans="1:7" ht="42" x14ac:dyDescent="0.25">
      <c r="A461" s="43" t="str">
        <f>CONCATENATE("Pt Id:",'Level 1'!E461," ","Pt Name: ",'Level 1'!F461," ","DOS: ", TEXT('Level 1'!H461,"mm-dd-yyyy"),"  "," Amnt: ","$",'Level 1'!J461,"  ", 'Level 1'!N461)</f>
        <v>Pt Id:5256 Pt Name: Tapia Cruz, Bertha Alicia DOS: 11-11-2021   Amnt: $404  Note</v>
      </c>
      <c r="B461" s="43" t="str">
        <f>CONCATENATE("Detail: ",'Level 1'!N461,"  ",'Level 1'!O461,TEXT('Level 1'!P461,"  mm-dd-yyyy"),";"," ",'Level 1'!Q461,'Level 1'!R461,"  ",'Level 1'!T461," ","Payment "," ",'Level 1'!U461,"  ",'Level 1'!V461,"  ",'Level 1'!W461,"  ",'Level 1'!X461,"  ",'Level 1'!Z461, "  ",'Level 1'!AA461, " ","Insurance: ",'Level 1'!A461)</f>
        <v>Detail: Note  Q1  01-00-1900; Q2   Payment  Q4    Q5    Additional Notes:   Insurance: DPOW-CCHP</v>
      </c>
      <c r="C461" s="60" t="str">
        <f>'Level 1'!Y461</f>
        <v>Action</v>
      </c>
      <c r="D461" s="44" t="str">
        <f>VLOOKUP(C461,Table2[#All],3,FALSE)</f>
        <v>What we need from you/Reason</v>
      </c>
      <c r="E461" s="75" t="s">
        <v>199</v>
      </c>
      <c r="F461" s="96"/>
      <c r="G461" s="97"/>
    </row>
    <row r="462" spans="1:7" ht="42" x14ac:dyDescent="0.25">
      <c r="A462" s="43" t="str">
        <f>CONCATENATE("Pt Id:",'Level 1'!E462," ","Pt Name: ",'Level 1'!F462," ","DOS: ", TEXT('Level 1'!H462,"mm-dd-yyyy"),"  "," Amnt: ","$",'Level 1'!J462,"  ", 'Level 1'!N462)</f>
        <v>Pt Id:5532 Pt Name: Martinez Perez, Ezequiel  DOS: 11-11-2021   Amnt: $532  Note</v>
      </c>
      <c r="B462" s="43" t="str">
        <f>CONCATENATE("Detail: ",'Level 1'!N462,"  ",'Level 1'!O462,TEXT('Level 1'!P462,"  mm-dd-yyyy"),";"," ",'Level 1'!Q462,'Level 1'!R462,"  ",'Level 1'!T462," ","Payment "," ",'Level 1'!U462,"  ",'Level 1'!V462,"  ",'Level 1'!W462,"  ",'Level 1'!X462,"  ",'Level 1'!Z462, "  ",'Level 1'!AA462, " ","Insurance: ",'Level 1'!A462)</f>
        <v>Detail: Note  Q1  01-00-1900; Q2   Payment  Q4    Q5    Additional Notes:   Insurance: DPOW-CCHP</v>
      </c>
      <c r="C462" s="60" t="str">
        <f>'Level 1'!Y462</f>
        <v>Action</v>
      </c>
      <c r="D462" s="44" t="str">
        <f>VLOOKUP(C462,Table2[#All],3,FALSE)</f>
        <v>What we need from you/Reason</v>
      </c>
      <c r="E462" s="75" t="s">
        <v>199</v>
      </c>
      <c r="F462" s="96"/>
      <c r="G462" s="97"/>
    </row>
    <row r="463" spans="1:7" ht="21" x14ac:dyDescent="0.25">
      <c r="A463" s="43" t="str">
        <f>CONCATENATE("Pt Id:",'Level 1'!E463," ","Pt Name: ",'Level 1'!F463," ","DOS: ", TEXT('Level 1'!H463,"mm-dd-yyyy"),"  "," Amnt: ","$",'Level 1'!J463,"  ", 'Level 1'!N463)</f>
        <v>Pt Id:5735 Pt Name: Perez , Branden  DOS: 11-11-2021   Amnt: $108  Note</v>
      </c>
      <c r="B463" s="43" t="str">
        <f>CONCATENATE("Detail: ",'Level 1'!N463,"  ",'Level 1'!O463,TEXT('Level 1'!P463,"  mm-dd-yyyy"),";"," ",'Level 1'!Q463,'Level 1'!R463,"  ",'Level 1'!T463," ","Payment "," ",'Level 1'!U463,"  ",'Level 1'!V463,"  ",'Level 1'!W463,"  ",'Level 1'!X463,"  ",'Level 1'!Z463, "  ",'Level 1'!AA463, " ","Insurance: ",'Level 1'!A463)</f>
        <v>Detail: Note  Q1  01-00-1900; Q2   Payment  Q4    Q5    Additional Notes:   Insurance: DPOW-CCHP</v>
      </c>
      <c r="C463" s="60" t="str">
        <f>'Level 1'!Y463</f>
        <v>Action</v>
      </c>
      <c r="D463" s="44" t="str">
        <f>VLOOKUP(C463,Table2[#All],3,FALSE)</f>
        <v>What we need from you/Reason</v>
      </c>
      <c r="E463" s="75" t="s">
        <v>199</v>
      </c>
      <c r="F463" s="96"/>
      <c r="G463" s="97"/>
    </row>
    <row r="464" spans="1:7" ht="21" x14ac:dyDescent="0.25">
      <c r="A464" s="43" t="str">
        <f>CONCATENATE("Pt Id:",'Level 1'!E464," ","Pt Name: ",'Level 1'!F464," ","DOS: ", TEXT('Level 1'!H464,"mm-dd-yyyy"),"  "," Amnt: ","$",'Level 1'!J464,"  ", 'Level 1'!N464)</f>
        <v>Pt Id:8039 Pt Name: Kindred, Latesha DOS: 11-11-2021   Amnt: $432  Note</v>
      </c>
      <c r="B464" s="43" t="str">
        <f>CONCATENATE("Detail: ",'Level 1'!N464,"  ",'Level 1'!O464,TEXT('Level 1'!P464,"  mm-dd-yyyy"),";"," ",'Level 1'!Q464,'Level 1'!R464,"  ",'Level 1'!T464," ","Payment "," ",'Level 1'!U464,"  ",'Level 1'!V464,"  ",'Level 1'!W464,"  ",'Level 1'!X464,"  ",'Level 1'!Z464, "  ",'Level 1'!AA464, " ","Insurance: ",'Level 1'!A464)</f>
        <v>Detail: Note  Q1  01-00-1900; Q2   Payment  Q4    Q5    Additional Notes:   Insurance: DPOW-CCHP</v>
      </c>
      <c r="C464" s="60" t="str">
        <f>'Level 1'!Y464</f>
        <v>Action</v>
      </c>
      <c r="D464" s="44" t="str">
        <f>VLOOKUP(C464,Table2[#All],3,FALSE)</f>
        <v>What we need from you/Reason</v>
      </c>
      <c r="E464" s="75" t="s">
        <v>199</v>
      </c>
      <c r="F464" s="96"/>
      <c r="G464" s="97"/>
    </row>
    <row r="465" spans="1:7" ht="21" x14ac:dyDescent="0.25">
      <c r="A465" s="43" t="str">
        <f>CONCATENATE("Pt Id:",'Level 1'!E465," ","Pt Name: ",'Level 1'!F465," ","DOS: ", TEXT('Level 1'!H465,"mm-dd-yyyy"),"  "," Amnt: ","$",'Level 1'!J465,"  ", 'Level 1'!N465)</f>
        <v>Pt Id:1749 Pt Name: Lee, Isaiah DOS: 11-10-2021   Amnt: $227.6  Note</v>
      </c>
      <c r="B465" s="43" t="str">
        <f>CONCATENATE("Detail: ",'Level 1'!N465,"  ",'Level 1'!O465,TEXT('Level 1'!P465,"  mm-dd-yyyy"),";"," ",'Level 1'!Q465,'Level 1'!R465,"  ",'Level 1'!T465," ","Payment "," ",'Level 1'!U465,"  ",'Level 1'!V465,"  ",'Level 1'!W465,"  ",'Level 1'!X465,"  ",'Level 1'!Z465, "  ",'Level 1'!AA465, " ","Insurance: ",'Level 1'!A465)</f>
        <v>Detail: Note  Q1  01-00-1900; Q2   Payment  Q4    Q5    Additional Notes:   Insurance: DPOW-CCHP</v>
      </c>
      <c r="C465" s="60" t="str">
        <f>'Level 1'!Y465</f>
        <v>Action</v>
      </c>
      <c r="D465" s="44" t="str">
        <f>VLOOKUP(C465,Table2[#All],3,FALSE)</f>
        <v>What we need from you/Reason</v>
      </c>
      <c r="E465" s="75" t="s">
        <v>199</v>
      </c>
      <c r="F465" s="96"/>
      <c r="G465" s="97"/>
    </row>
    <row r="466" spans="1:7" ht="21" x14ac:dyDescent="0.25">
      <c r="A466" s="43" t="str">
        <f>CONCATENATE("Pt Id:",'Level 1'!E466," ","Pt Name: ",'Level 1'!F466," ","DOS: ", TEXT('Level 1'!H466,"mm-dd-yyyy"),"  "," Amnt: ","$",'Level 1'!J466,"  ", 'Level 1'!N466)</f>
        <v>Pt Id:8347 Pt Name: Sharma , Sanjeev DOS: 11-10-2021   Amnt: $82.8  Note</v>
      </c>
      <c r="B466" s="43" t="str">
        <f>CONCATENATE("Detail: ",'Level 1'!N466,"  ",'Level 1'!O466,TEXT('Level 1'!P466,"  mm-dd-yyyy"),";"," ",'Level 1'!Q466,'Level 1'!R466,"  ",'Level 1'!T466," ","Payment "," ",'Level 1'!U466,"  ",'Level 1'!V466,"  ",'Level 1'!W466,"  ",'Level 1'!X466,"  ",'Level 1'!Z466, "  ",'Level 1'!AA466, " ","Insurance: ",'Level 1'!A466)</f>
        <v>Detail: Note  Q1  01-00-1900; Q2   Payment  Q4    Q5    Additional Notes:   Insurance: DPOW-CCHP</v>
      </c>
      <c r="C466" s="60" t="str">
        <f>'Level 1'!Y466</f>
        <v>Action</v>
      </c>
      <c r="D466" s="44" t="str">
        <f>VLOOKUP(C466,Table2[#All],3,FALSE)</f>
        <v>What we need from you/Reason</v>
      </c>
      <c r="E466" s="75" t="s">
        <v>199</v>
      </c>
      <c r="F466" s="96"/>
      <c r="G466" s="97"/>
    </row>
    <row r="467" spans="1:7" ht="21" x14ac:dyDescent="0.25">
      <c r="A467" s="43" t="str">
        <f>CONCATENATE("Pt Id:",'Level 1'!E467," ","Pt Name: ",'Level 1'!F467," ","DOS: ", TEXT('Level 1'!H467,"mm-dd-yyyy"),"  "," Amnt: ","$",'Level 1'!J467,"  ", 'Level 1'!N467)</f>
        <v>Pt Id:8420 Pt Name: Lee , Isarella  DOS: 11-10-2021   Amnt: $166.8  Note</v>
      </c>
      <c r="B467" s="43" t="str">
        <f>CONCATENATE("Detail: ",'Level 1'!N467,"  ",'Level 1'!O467,TEXT('Level 1'!P467,"  mm-dd-yyyy"),";"," ",'Level 1'!Q467,'Level 1'!R467,"  ",'Level 1'!T467," ","Payment "," ",'Level 1'!U467,"  ",'Level 1'!V467,"  ",'Level 1'!W467,"  ",'Level 1'!X467,"  ",'Level 1'!Z467, "  ",'Level 1'!AA467, " ","Insurance: ",'Level 1'!A467)</f>
        <v>Detail: Note  Q1  01-00-1900; Q2   Payment  Q4    Q5    Additional Notes:   Insurance: DPOW-CCHP</v>
      </c>
      <c r="C467" s="60" t="str">
        <f>'Level 1'!Y467</f>
        <v>Action</v>
      </c>
      <c r="D467" s="44" t="str">
        <f>VLOOKUP(C467,Table2[#All],3,FALSE)</f>
        <v>What we need from you/Reason</v>
      </c>
      <c r="E467" s="75" t="s">
        <v>199</v>
      </c>
      <c r="F467" s="96"/>
      <c r="G467" s="97"/>
    </row>
    <row r="468" spans="1:7" ht="21" x14ac:dyDescent="0.25">
      <c r="A468" s="43" t="str">
        <f>CONCATENATE("Pt Id:",'Level 1'!E468," ","Pt Name: ",'Level 1'!F468," ","DOS: ", TEXT('Level 1'!H468,"mm-dd-yyyy"),"  "," Amnt: ","$",'Level 1'!J468,"  ", 'Level 1'!N468)</f>
        <v>Pt Id:8299 Pt Name: Williams , Caden DOS: 11-09-2021   Amnt: $294.8  Note</v>
      </c>
      <c r="B468" s="43" t="str">
        <f>CONCATENATE("Detail: ",'Level 1'!N468,"  ",'Level 1'!O468,TEXT('Level 1'!P468,"  mm-dd-yyyy"),";"," ",'Level 1'!Q468,'Level 1'!R468,"  ",'Level 1'!T468," ","Payment "," ",'Level 1'!U468,"  ",'Level 1'!V468,"  ",'Level 1'!W468,"  ",'Level 1'!X468,"  ",'Level 1'!Z468, "  ",'Level 1'!AA468, " ","Insurance: ",'Level 1'!A468)</f>
        <v>Detail: Note  Q1  01-00-1900; Q2   Payment  Q4    Q5    Additional Notes:   Insurance: DPOW-CCHP</v>
      </c>
      <c r="C468" s="60" t="str">
        <f>'Level 1'!Y468</f>
        <v>Action</v>
      </c>
      <c r="D468" s="44" t="str">
        <f>VLOOKUP(C468,Table2[#All],3,FALSE)</f>
        <v>What we need from you/Reason</v>
      </c>
      <c r="E468" s="75" t="s">
        <v>199</v>
      </c>
      <c r="F468" s="96"/>
      <c r="G468" s="97"/>
    </row>
    <row r="469" spans="1:7" ht="21" x14ac:dyDescent="0.25">
      <c r="A469" s="43" t="str">
        <f>CONCATENATE("Pt Id:",'Level 1'!E469," ","Pt Name: ",'Level 1'!F469," ","DOS: ", TEXT('Level 1'!H469,"mm-dd-yyyy"),"  "," Amnt: ","$",'Level 1'!J469,"  ", 'Level 1'!N469)</f>
        <v>Pt Id:8275 Pt Name: Quiroz , Nolen  DOS: 11-09-2021   Amnt: $180  Note</v>
      </c>
      <c r="B469" s="43" t="str">
        <f>CONCATENATE("Detail: ",'Level 1'!N469,"  ",'Level 1'!O469,TEXT('Level 1'!P469,"  mm-dd-yyyy"),";"," ",'Level 1'!Q469,'Level 1'!R469,"  ",'Level 1'!T469," ","Payment "," ",'Level 1'!U469,"  ",'Level 1'!V469,"  ",'Level 1'!W469,"  ",'Level 1'!X469,"  ",'Level 1'!Z469, "  ",'Level 1'!AA469, " ","Insurance: ",'Level 1'!A469)</f>
        <v>Detail: Note  Q1  01-00-1900; Q2   Payment  Q4    Q5    Additional Notes:   Insurance: DPOW-CCHP</v>
      </c>
      <c r="C469" s="60" t="str">
        <f>'Level 1'!Y469</f>
        <v>Action</v>
      </c>
      <c r="D469" s="44" t="str">
        <f>VLOOKUP(C469,Table2[#All],3,FALSE)</f>
        <v>What we need from you/Reason</v>
      </c>
      <c r="E469" s="75" t="s">
        <v>199</v>
      </c>
      <c r="F469" s="96"/>
      <c r="G469" s="97"/>
    </row>
    <row r="470" spans="1:7" ht="21" x14ac:dyDescent="0.25">
      <c r="A470" s="43" t="str">
        <f>CONCATENATE("Pt Id:",'Level 1'!E470," ","Pt Name: ",'Level 1'!F470," ","DOS: ", TEXT('Level 1'!H470,"mm-dd-yyyy"),"  "," Amnt: ","$",'Level 1'!J470,"  ", 'Level 1'!N470)</f>
        <v>Pt Id:7759 Pt Name: Dundon, Kody  DOS: 09-23-2021   Amnt: $180  Note</v>
      </c>
      <c r="B470" s="43" t="str">
        <f>CONCATENATE("Detail: ",'Level 1'!N470,"  ",'Level 1'!O470,TEXT('Level 1'!P470,"  mm-dd-yyyy"),";"," ",'Level 1'!Q470,'Level 1'!R470,"  ",'Level 1'!T470," ","Payment "," ",'Level 1'!U470,"  ",'Level 1'!V470,"  ",'Level 1'!W470,"  ",'Level 1'!X470,"  ",'Level 1'!Z470, "  ",'Level 1'!AA470, " ","Insurance: ",'Level 1'!A470)</f>
        <v>Detail: Note  Q1  01-00-1900; Q2   Payment  Q4    Q5    Additional Notes:   Insurance: DPOW-CCHP</v>
      </c>
      <c r="C470" s="60" t="str">
        <f>'Level 1'!Y470</f>
        <v>Action</v>
      </c>
      <c r="D470" s="44" t="str">
        <f>VLOOKUP(C470,Table2[#All],3,FALSE)</f>
        <v>What we need from you/Reason</v>
      </c>
      <c r="E470" s="75" t="s">
        <v>199</v>
      </c>
      <c r="F470" s="96"/>
      <c r="G470" s="97"/>
    </row>
    <row r="471" spans="1:7" ht="21" x14ac:dyDescent="0.25">
      <c r="A471" s="43" t="str">
        <f>CONCATENATE("Pt Id:",'Level 1'!E471," ","Pt Name: ",'Level 1'!F471," ","DOS: ", TEXT('Level 1'!H471,"mm-dd-yyyy"),"  "," Amnt: ","$",'Level 1'!J471,"  ", 'Level 1'!N471)</f>
        <v>Pt Id:6769 Pt Name: Riemer , Josie DOS: 08-09-2021   Amnt: $88.8  Note</v>
      </c>
      <c r="B471" s="43" t="str">
        <f>CONCATENATE("Detail: ",'Level 1'!N471,"  ",'Level 1'!O471,TEXT('Level 1'!P471,"  mm-dd-yyyy"),";"," ",'Level 1'!Q471,'Level 1'!R471,"  ",'Level 1'!T471," ","Payment "," ",'Level 1'!U471,"  ",'Level 1'!V471,"  ",'Level 1'!W471,"  ",'Level 1'!X471,"  ",'Level 1'!Z471, "  ",'Level 1'!AA471, " ","Insurance: ",'Level 1'!A471)</f>
        <v>Detail: Note  Q1  01-00-1900; Q2   Payment  Q4    Q5    Additional Notes:   Insurance: DPOW-CCHP</v>
      </c>
      <c r="C471" s="60" t="str">
        <f>'Level 1'!Y471</f>
        <v>Action</v>
      </c>
      <c r="D471" s="44" t="str">
        <f>VLOOKUP(C471,Table2[#All],3,FALSE)</f>
        <v>What we need from you/Reason</v>
      </c>
      <c r="E471" s="75" t="s">
        <v>199</v>
      </c>
      <c r="F471" s="96"/>
      <c r="G471" s="97"/>
    </row>
    <row r="472" spans="1:7" ht="21" x14ac:dyDescent="0.25">
      <c r="A472" s="43" t="str">
        <f>CONCATENATE("Pt Id:",'Level 1'!E472," ","Pt Name: ",'Level 1'!F472," ","DOS: ", TEXT('Level 1'!H472,"mm-dd-yyyy"),"  "," Amnt: ","$",'Level 1'!J472,"  ", 'Level 1'!N472)</f>
        <v>Pt Id:7846 Pt Name: Tipton, Calarey DOS: 10-14-2021   Amnt: $556.8  Note</v>
      </c>
      <c r="B472" s="43" t="str">
        <f>CONCATENATE("Detail: ",'Level 1'!N472,"  ",'Level 1'!O472,TEXT('Level 1'!P472,"  mm-dd-yyyy"),";"," ",'Level 1'!Q472,'Level 1'!R472,"  ",'Level 1'!T472," ","Payment "," ",'Level 1'!U472,"  ",'Level 1'!V472,"  ",'Level 1'!W472,"  ",'Level 1'!X472,"  ",'Level 1'!Z472, "  ",'Level 1'!AA472, " ","Insurance: ",'Level 1'!A472)</f>
        <v>Detail: Note  Q1  01-00-1900; Q2   Payment  Q4    Q5    Additional Notes:   Insurance: DPOW-CCHP</v>
      </c>
      <c r="C472" s="60" t="str">
        <f>'Level 1'!Y472</f>
        <v>Action</v>
      </c>
      <c r="D472" s="44" t="str">
        <f>VLOOKUP(C472,Table2[#All],3,FALSE)</f>
        <v>What we need from you/Reason</v>
      </c>
      <c r="E472" s="75" t="s">
        <v>199</v>
      </c>
      <c r="F472" s="96"/>
      <c r="G472" s="97"/>
    </row>
    <row r="473" spans="1:7" ht="21" x14ac:dyDescent="0.25">
      <c r="A473" s="43" t="str">
        <f>CONCATENATE("Pt Id:",'Level 1'!E473," ","Pt Name: ",'Level 1'!F473," ","DOS: ", TEXT('Level 1'!H473,"mm-dd-yyyy"),"  "," Amnt: ","$",'Level 1'!J473,"  ", 'Level 1'!N473)</f>
        <v>Pt Id:7828 Pt Name: Penkalski, Autumn  DOS: 11-08-2021   Amnt: $114  Note</v>
      </c>
      <c r="B473" s="43" t="str">
        <f>CONCATENATE("Detail: ",'Level 1'!N473,"  ",'Level 1'!O473,TEXT('Level 1'!P473,"  mm-dd-yyyy"),";"," ",'Level 1'!Q473,'Level 1'!R473,"  ",'Level 1'!T473," ","Payment "," ",'Level 1'!U473,"  ",'Level 1'!V473,"  ",'Level 1'!W473,"  ",'Level 1'!X473,"  ",'Level 1'!Z473, "  ",'Level 1'!AA473, " ","Insurance: ",'Level 1'!A473)</f>
        <v>Detail: Note  Q1  01-00-1900; Q2   Payment  Q4    Q5    Additional Notes:   Insurance: DPOW-CCHP</v>
      </c>
      <c r="C473" s="60" t="str">
        <f>'Level 1'!Y473</f>
        <v>Action</v>
      </c>
      <c r="D473" s="44" t="str">
        <f>VLOOKUP(C473,Table2[#All],3,FALSE)</f>
        <v>What we need from you/Reason</v>
      </c>
      <c r="E473" s="75" t="s">
        <v>199</v>
      </c>
      <c r="F473" s="96"/>
      <c r="G473" s="97"/>
    </row>
    <row r="474" spans="1:7" ht="21" x14ac:dyDescent="0.25">
      <c r="A474" s="43" t="str">
        <f>CONCATENATE("Pt Id:",'Level 1'!E474," ","Pt Name: ",'Level 1'!F474," ","DOS: ", TEXT('Level 1'!H474,"mm-dd-yyyy"),"  "," Amnt: ","$",'Level 1'!J474,"  ", 'Level 1'!N474)</f>
        <v>Pt Id:3011 Pt Name: Blanks, Chaniyah DOS: 11-08-2021   Amnt: $61.2  Note</v>
      </c>
      <c r="B474" s="43" t="str">
        <f>CONCATENATE("Detail: ",'Level 1'!N474,"  ",'Level 1'!O474,TEXT('Level 1'!P474,"  mm-dd-yyyy"),";"," ",'Level 1'!Q474,'Level 1'!R474,"  ",'Level 1'!T474," ","Payment "," ",'Level 1'!U474,"  ",'Level 1'!V474,"  ",'Level 1'!W474,"  ",'Level 1'!X474,"  ",'Level 1'!Z474, "  ",'Level 1'!AA474, " ","Insurance: ",'Level 1'!A474)</f>
        <v>Detail: Note  Q1  01-00-1900; Q2   Payment  Q4    Q5    Additional Notes:   Insurance: DPOW-CCHP</v>
      </c>
      <c r="C474" s="60" t="str">
        <f>'Level 1'!Y474</f>
        <v>Action</v>
      </c>
      <c r="D474" s="44" t="str">
        <f>VLOOKUP(C474,Table2[#All],3,FALSE)</f>
        <v>What we need from you/Reason</v>
      </c>
      <c r="E474" s="75" t="s">
        <v>199</v>
      </c>
      <c r="F474" s="96"/>
      <c r="G474" s="97"/>
    </row>
    <row r="475" spans="1:7" ht="21" x14ac:dyDescent="0.25">
      <c r="A475" s="43" t="str">
        <f>CONCATENATE("Pt Id:",'Level 1'!E475," ","Pt Name: ",'Level 1'!F475," ","DOS: ", TEXT('Level 1'!H475,"mm-dd-yyyy"),"  "," Amnt: ","$",'Level 1'!J475,"  ", 'Level 1'!N475)</f>
        <v>Pt Id:2825 Pt Name: Peeples, Michele DOS: 11-08-2021   Amnt: $250.8  Note</v>
      </c>
      <c r="B475" s="43" t="str">
        <f>CONCATENATE("Detail: ",'Level 1'!N475,"  ",'Level 1'!O475,TEXT('Level 1'!P475,"  mm-dd-yyyy"),";"," ",'Level 1'!Q475,'Level 1'!R475,"  ",'Level 1'!T475," ","Payment "," ",'Level 1'!U475,"  ",'Level 1'!V475,"  ",'Level 1'!W475,"  ",'Level 1'!X475,"  ",'Level 1'!Z475, "  ",'Level 1'!AA475, " ","Insurance: ",'Level 1'!A475)</f>
        <v>Detail: Note  Q1  01-00-1900; Q2   Payment  Q4    Q5    Additional Notes:   Insurance: DPOW-CCHP</v>
      </c>
      <c r="C475" s="60" t="str">
        <f>'Level 1'!Y475</f>
        <v>Action</v>
      </c>
      <c r="D475" s="44" t="str">
        <f>VLOOKUP(C475,Table2[#All],3,FALSE)</f>
        <v>What we need from you/Reason</v>
      </c>
      <c r="E475" s="75" t="s">
        <v>199</v>
      </c>
      <c r="F475" s="96"/>
      <c r="G475" s="97"/>
    </row>
    <row r="476" spans="1:7" ht="42" x14ac:dyDescent="0.25">
      <c r="A476" s="43" t="str">
        <f>CONCATENATE("Pt Id:",'Level 1'!E476," ","Pt Name: ",'Level 1'!F476," ","DOS: ", TEXT('Level 1'!H476,"mm-dd-yyyy"),"  "," Amnt: ","$",'Level 1'!J476,"  ", 'Level 1'!N476)</f>
        <v>Pt Id:5147 Pt Name: Penkalski , Angela  DOS: 11-08-2021   Amnt: $511.2  Note</v>
      </c>
      <c r="B476" s="43" t="str">
        <f>CONCATENATE("Detail: ",'Level 1'!N476,"  ",'Level 1'!O476,TEXT('Level 1'!P476,"  mm-dd-yyyy"),";"," ",'Level 1'!Q476,'Level 1'!R476,"  ",'Level 1'!T476," ","Payment "," ",'Level 1'!U476,"  ",'Level 1'!V476,"  ",'Level 1'!W476,"  ",'Level 1'!X476,"  ",'Level 1'!Z476, "  ",'Level 1'!AA476, " ","Insurance: ",'Level 1'!A476)</f>
        <v>Detail: Note  Q1  01-00-1900; Q2   Payment  Q4    Q5    Additional Notes:   Insurance: DPOW-CCHP</v>
      </c>
      <c r="C476" s="60" t="str">
        <f>'Level 1'!Y476</f>
        <v>Action</v>
      </c>
      <c r="D476" s="44" t="str">
        <f>VLOOKUP(C476,Table2[#All],3,FALSE)</f>
        <v>What we need from you/Reason</v>
      </c>
      <c r="E476" s="75" t="s">
        <v>199</v>
      </c>
      <c r="F476" s="96"/>
      <c r="G476" s="97"/>
    </row>
    <row r="477" spans="1:7" ht="21" x14ac:dyDescent="0.25">
      <c r="A477" s="43" t="str">
        <f>CONCATENATE("Pt Id:",'Level 1'!E477," ","Pt Name: ",'Level 1'!F477," ","DOS: ", TEXT('Level 1'!H477,"mm-dd-yyyy"),"  "," Amnt: ","$",'Level 1'!J477,"  ", 'Level 1'!N477)</f>
        <v>Pt Id:4291 Pt Name: Griffin, Vataurus DOS: 11-08-2021   Amnt: $244.8  Note</v>
      </c>
      <c r="B477" s="43" t="str">
        <f>CONCATENATE("Detail: ",'Level 1'!N477,"  ",'Level 1'!O477,TEXT('Level 1'!P477,"  mm-dd-yyyy"),";"," ",'Level 1'!Q477,'Level 1'!R477,"  ",'Level 1'!T477," ","Payment "," ",'Level 1'!U477,"  ",'Level 1'!V477,"  ",'Level 1'!W477,"  ",'Level 1'!X477,"  ",'Level 1'!Z477, "  ",'Level 1'!AA477, " ","Insurance: ",'Level 1'!A477)</f>
        <v>Detail: Note  Q1  01-00-1900; Q2   Payment  Q4    Q5    Additional Notes:   Insurance: DPOW-CCHP</v>
      </c>
      <c r="C477" s="60" t="str">
        <f>'Level 1'!Y477</f>
        <v>Action</v>
      </c>
      <c r="D477" s="44" t="str">
        <f>VLOOKUP(C477,Table2[#All],3,FALSE)</f>
        <v>What we need from you/Reason</v>
      </c>
      <c r="E477" s="75" t="s">
        <v>199</v>
      </c>
      <c r="F477" s="96"/>
      <c r="G477" s="97"/>
    </row>
    <row r="478" spans="1:7" ht="42" x14ac:dyDescent="0.25">
      <c r="A478" s="43" t="str">
        <f>CONCATENATE("Pt Id:",'Level 1'!E478," ","Pt Name: ",'Level 1'!F478," ","DOS: ", TEXT('Level 1'!H478,"mm-dd-yyyy"),"  "," Amnt: ","$",'Level 1'!J478,"  ", 'Level 1'!N478)</f>
        <v>Pt Id:5568 Pt Name: Archibald , Veyda  DOS: 11-08-2021   Amnt: $460.4  Note</v>
      </c>
      <c r="B478" s="43" t="str">
        <f>CONCATENATE("Detail: ",'Level 1'!N478,"  ",'Level 1'!O478,TEXT('Level 1'!P478,"  mm-dd-yyyy"),";"," ",'Level 1'!Q478,'Level 1'!R478,"  ",'Level 1'!T478," ","Payment "," ",'Level 1'!U478,"  ",'Level 1'!V478,"  ",'Level 1'!W478,"  ",'Level 1'!X478,"  ",'Level 1'!Z478, "  ",'Level 1'!AA478, " ","Insurance: ",'Level 1'!A478)</f>
        <v>Detail: Note  Q1  01-00-1900; Q2   Payment  Q4    Q5    Additional Notes:   Insurance: DPOW-CCHP</v>
      </c>
      <c r="C478" s="60" t="str">
        <f>'Level 1'!Y478</f>
        <v>Action</v>
      </c>
      <c r="D478" s="44" t="str">
        <f>VLOOKUP(C478,Table2[#All],3,FALSE)</f>
        <v>What we need from you/Reason</v>
      </c>
      <c r="E478" s="75" t="s">
        <v>199</v>
      </c>
      <c r="F478" s="96"/>
      <c r="G478" s="97"/>
    </row>
    <row r="479" spans="1:7" ht="42" x14ac:dyDescent="0.25">
      <c r="A479" s="43" t="str">
        <f>CONCATENATE("Pt Id:",'Level 1'!E479," ","Pt Name: ",'Level 1'!F479," ","DOS: ", TEXT('Level 1'!H479,"mm-dd-yyyy"),"  "," Amnt: ","$",'Level 1'!J479,"  ", 'Level 1'!N479)</f>
        <v>Pt Id:8388 Pt Name: GARCIA, LYNETTE DOS: 11-09-2021   Amnt: $199.2  Note</v>
      </c>
      <c r="B479" s="43" t="str">
        <f>CONCATENATE("Detail: ",'Level 1'!N479,"  ",'Level 1'!O479,TEXT('Level 1'!P479,"  mm-dd-yyyy"),";"," ",'Level 1'!Q479,'Level 1'!R479,"  ",'Level 1'!T479," ","Payment "," ",'Level 1'!U479,"  ",'Level 1'!V479,"  ",'Level 1'!W479,"  ",'Level 1'!X479,"  ",'Level 1'!Z479, "  ",'Level 1'!AA479, " ","Insurance: ",'Level 1'!A479)</f>
        <v>Detail: Note  Q1  01-00-1900; Q2   Payment  Q4    Q5    Additional Notes:   Insurance: DPOW-CCHP</v>
      </c>
      <c r="C479" s="60" t="str">
        <f>'Level 1'!Y479</f>
        <v>Action</v>
      </c>
      <c r="D479" s="44" t="str">
        <f>VLOOKUP(C479,Table2[#All],3,FALSE)</f>
        <v>What we need from you/Reason</v>
      </c>
      <c r="E479" s="75" t="s">
        <v>199</v>
      </c>
      <c r="F479" s="96"/>
      <c r="G479" s="97"/>
    </row>
    <row r="480" spans="1:7" ht="42" x14ac:dyDescent="0.25">
      <c r="A480" s="43" t="str">
        <f>CONCATENATE("Pt Id:",'Level 1'!E480," ","Pt Name: ",'Level 1'!F480," ","DOS: ", TEXT('Level 1'!H480,"mm-dd-yyyy"),"  "," Amnt: ","$",'Level 1'!J480,"  ", 'Level 1'!N480)</f>
        <v>Pt Id:3105 Pt Name: Chavez Esquivia, Juan DOS: 11-05-2021   Amnt: $61.2  Note</v>
      </c>
      <c r="B480" s="43" t="str">
        <f>CONCATENATE("Detail: ",'Level 1'!N480,"  ",'Level 1'!O480,TEXT('Level 1'!P480,"  mm-dd-yyyy"),";"," ",'Level 1'!Q480,'Level 1'!R480,"  ",'Level 1'!T480," ","Payment "," ",'Level 1'!U480,"  ",'Level 1'!V480,"  ",'Level 1'!W480,"  ",'Level 1'!X480,"  ",'Level 1'!Z480, "  ",'Level 1'!AA480, " ","Insurance: ",'Level 1'!A480)</f>
        <v>Detail: Note  Q1  01-00-1900; Q2   Payment  Q4    Q5    Additional Notes:   Insurance: DPOW-CCHP</v>
      </c>
      <c r="C480" s="60" t="str">
        <f>'Level 1'!Y480</f>
        <v>Action</v>
      </c>
      <c r="D480" s="44" t="str">
        <f>VLOOKUP(C480,Table2[#All],3,FALSE)</f>
        <v>What we need from you/Reason</v>
      </c>
      <c r="E480" s="75" t="s">
        <v>199</v>
      </c>
      <c r="F480" s="96"/>
      <c r="G480" s="97"/>
    </row>
    <row r="481" spans="1:7" ht="21" x14ac:dyDescent="0.25">
      <c r="A481" s="43" t="str">
        <f>CONCATENATE("Pt Id:",'Level 1'!E481," ","Pt Name: ",'Level 1'!F481," ","DOS: ", TEXT('Level 1'!H481,"mm-dd-yyyy"),"  "," Amnt: ","$",'Level 1'!J481,"  ", 'Level 1'!N481)</f>
        <v>Pt Id:8334 Pt Name: Dahadha, Malik DOS: 11-05-2021   Amnt: $61.2  Note</v>
      </c>
      <c r="B481" s="43" t="str">
        <f>CONCATENATE("Detail: ",'Level 1'!N481,"  ",'Level 1'!O481,TEXT('Level 1'!P481,"  mm-dd-yyyy"),";"," ",'Level 1'!Q481,'Level 1'!R481,"  ",'Level 1'!T481," ","Payment "," ",'Level 1'!U481,"  ",'Level 1'!V481,"  ",'Level 1'!W481,"  ",'Level 1'!X481,"  ",'Level 1'!Z481, "  ",'Level 1'!AA481, " ","Insurance: ",'Level 1'!A481)</f>
        <v>Detail: Note  Q1  01-00-1900; Q2   Payment  Q4    Q5    Additional Notes:   Insurance: DPOW-CCHP</v>
      </c>
      <c r="C481" s="60" t="str">
        <f>'Level 1'!Y481</f>
        <v>Action</v>
      </c>
      <c r="D481" s="44" t="str">
        <f>VLOOKUP(C481,Table2[#All],3,FALSE)</f>
        <v>What we need from you/Reason</v>
      </c>
      <c r="E481" s="75" t="s">
        <v>199</v>
      </c>
      <c r="F481" s="96"/>
      <c r="G481" s="97"/>
    </row>
    <row r="482" spans="1:7" ht="42" x14ac:dyDescent="0.25">
      <c r="A482" s="43" t="str">
        <f>CONCATENATE("Pt Id:",'Level 1'!E482," ","Pt Name: ",'Level 1'!F482," ","DOS: ", TEXT('Level 1'!H482,"mm-dd-yyyy"),"  "," Amnt: ","$",'Level 1'!J482,"  ", 'Level 1'!N482)</f>
        <v>Pt Id:5532 Pt Name: Martinez Perez, Ezequiel  DOS: 11-04-2021   Amnt: $748  Note</v>
      </c>
      <c r="B482" s="43" t="str">
        <f>CONCATENATE("Detail: ",'Level 1'!N482,"  ",'Level 1'!O482,TEXT('Level 1'!P482,"  mm-dd-yyyy"),";"," ",'Level 1'!Q482,'Level 1'!R482,"  ",'Level 1'!T482," ","Payment "," ",'Level 1'!U482,"  ",'Level 1'!V482,"  ",'Level 1'!W482,"  ",'Level 1'!X482,"  ",'Level 1'!Z482, "  ",'Level 1'!AA482, " ","Insurance: ",'Level 1'!A482)</f>
        <v>Detail: Note  Q1  01-00-1900; Q2   Payment  Q4    Q5    Additional Notes:   Insurance: DPOW-CCHP</v>
      </c>
      <c r="C482" s="60" t="str">
        <f>'Level 1'!Y482</f>
        <v>Action</v>
      </c>
      <c r="D482" s="44" t="str">
        <f>VLOOKUP(C482,Table2[#All],3,FALSE)</f>
        <v>What we need from you/Reason</v>
      </c>
      <c r="E482" s="75" t="s">
        <v>199</v>
      </c>
      <c r="F482" s="96"/>
      <c r="G482" s="97"/>
    </row>
    <row r="483" spans="1:7" ht="42" x14ac:dyDescent="0.25">
      <c r="A483" s="43" t="str">
        <f>CONCATENATE("Pt Id:",'Level 1'!E483," ","Pt Name: ",'Level 1'!F483," ","DOS: ", TEXT('Level 1'!H483,"mm-dd-yyyy"),"  "," Amnt: ","$",'Level 1'!J483,"  ", 'Level 1'!N483)</f>
        <v>Pt Id:6353 Pt Name: Jensen Wright , Heather Ann DOS: 11-04-2021   Amnt: $199.2  Note</v>
      </c>
      <c r="B483" s="43" t="str">
        <f>CONCATENATE("Detail: ",'Level 1'!N483,"  ",'Level 1'!O483,TEXT('Level 1'!P483,"  mm-dd-yyyy"),";"," ",'Level 1'!Q483,'Level 1'!R483,"  ",'Level 1'!T483," ","Payment "," ",'Level 1'!U483,"  ",'Level 1'!V483,"  ",'Level 1'!W483,"  ",'Level 1'!X483,"  ",'Level 1'!Z483, "  ",'Level 1'!AA483, " ","Insurance: ",'Level 1'!A483)</f>
        <v>Detail: Note  Q1  01-00-1900; Q2   Payment  Q4    Q5    Additional Notes:   Insurance: DPOW-CCHP</v>
      </c>
      <c r="C483" s="60" t="str">
        <f>'Level 1'!Y483</f>
        <v>Action</v>
      </c>
      <c r="D483" s="44" t="str">
        <f>VLOOKUP(C483,Table2[#All],3,FALSE)</f>
        <v>What we need from you/Reason</v>
      </c>
      <c r="E483" s="75" t="s">
        <v>199</v>
      </c>
      <c r="F483" s="96"/>
      <c r="G483" s="97"/>
    </row>
    <row r="484" spans="1:7" ht="21" x14ac:dyDescent="0.25">
      <c r="A484" s="43" t="str">
        <f>CONCATENATE("Pt Id:",'Level 1'!E484," ","Pt Name: ",'Level 1'!F484," ","DOS: ", TEXT('Level 1'!H484,"mm-dd-yyyy"),"  "," Amnt: ","$",'Level 1'!J484,"  ", 'Level 1'!N484)</f>
        <v>Pt Id:5821 Pt Name: Hamed , Majd  DOS: 11-05-2021   Amnt: $88.8  Note</v>
      </c>
      <c r="B484" s="43" t="str">
        <f>CONCATENATE("Detail: ",'Level 1'!N484,"  ",'Level 1'!O484,TEXT('Level 1'!P484,"  mm-dd-yyyy"),";"," ",'Level 1'!Q484,'Level 1'!R484,"  ",'Level 1'!T484," ","Payment "," ",'Level 1'!U484,"  ",'Level 1'!V484,"  ",'Level 1'!W484,"  ",'Level 1'!X484,"  ",'Level 1'!Z484, "  ",'Level 1'!AA484, " ","Insurance: ",'Level 1'!A484)</f>
        <v>Detail: Note  Q1  01-00-1900; Q2   Payment  Q4    Q5    Additional Notes:   Insurance: DPOW-CCHP</v>
      </c>
      <c r="C484" s="60" t="str">
        <f>'Level 1'!Y484</f>
        <v>Action</v>
      </c>
      <c r="D484" s="44" t="str">
        <f>VLOOKUP(C484,Table2[#All],3,FALSE)</f>
        <v>What we need from you/Reason</v>
      </c>
      <c r="E484" s="75" t="s">
        <v>199</v>
      </c>
      <c r="F484" s="96"/>
      <c r="G484" s="97"/>
    </row>
    <row r="485" spans="1:7" ht="21" x14ac:dyDescent="0.25">
      <c r="A485" s="43" t="str">
        <f>CONCATENATE("Pt Id:",'Level 1'!E485," ","Pt Name: ",'Level 1'!F485," ","DOS: ", TEXT('Level 1'!H485,"mm-dd-yyyy"),"  "," Amnt: ","$",'Level 1'!J485,"  ", 'Level 1'!N485)</f>
        <v>Pt Id:8397 Pt Name: Hood , Brandon  DOS: 11-05-2021   Amnt: $420.8  Note</v>
      </c>
      <c r="B485" s="43" t="str">
        <f>CONCATENATE("Detail: ",'Level 1'!N485,"  ",'Level 1'!O485,TEXT('Level 1'!P485,"  mm-dd-yyyy"),";"," ",'Level 1'!Q485,'Level 1'!R485,"  ",'Level 1'!T485," ","Payment "," ",'Level 1'!U485,"  ",'Level 1'!V485,"  ",'Level 1'!W485,"  ",'Level 1'!X485,"  ",'Level 1'!Z485, "  ",'Level 1'!AA485, " ","Insurance: ",'Level 1'!A485)</f>
        <v>Detail: Note  Q1  01-00-1900; Q2   Payment  Q4    Q5    Additional Notes:   Insurance: DPOW-CCHP</v>
      </c>
      <c r="C485" s="60" t="str">
        <f>'Level 1'!Y485</f>
        <v>Action</v>
      </c>
      <c r="D485" s="44" t="str">
        <f>VLOOKUP(C485,Table2[#All],3,FALSE)</f>
        <v>What we need from you/Reason</v>
      </c>
      <c r="E485" s="75" t="s">
        <v>199</v>
      </c>
      <c r="F485" s="96"/>
      <c r="G485" s="97"/>
    </row>
    <row r="486" spans="1:7" ht="21" x14ac:dyDescent="0.25">
      <c r="A486" s="43" t="str">
        <f>CONCATENATE("Pt Id:",'Level 1'!E486," ","Pt Name: ",'Level 1'!F486," ","DOS: ", TEXT('Level 1'!H486,"mm-dd-yyyy"),"  "," Amnt: ","$",'Level 1'!J486,"  ", 'Level 1'!N486)</f>
        <v>Pt Id:2825 Pt Name: Peeples, Michele DOS: 11-02-2021   Amnt: $266  Note</v>
      </c>
      <c r="B486" s="43" t="str">
        <f>CONCATENATE("Detail: ",'Level 1'!N486,"  ",'Level 1'!O486,TEXT('Level 1'!P486,"  mm-dd-yyyy"),";"," ",'Level 1'!Q486,'Level 1'!R486,"  ",'Level 1'!T486," ","Payment "," ",'Level 1'!U486,"  ",'Level 1'!V486,"  ",'Level 1'!W486,"  ",'Level 1'!X486,"  ",'Level 1'!Z486, "  ",'Level 1'!AA486, " ","Insurance: ",'Level 1'!A486)</f>
        <v>Detail: Note  Q1  01-00-1900; Q2   Payment  Q4    Q5    Additional Notes:   Insurance: DPOW-CCHP</v>
      </c>
      <c r="C486" s="60" t="str">
        <f>'Level 1'!Y486</f>
        <v>Action</v>
      </c>
      <c r="D486" s="44" t="str">
        <f>VLOOKUP(C486,Table2[#All],3,FALSE)</f>
        <v>What we need from you/Reason</v>
      </c>
      <c r="E486" s="75" t="s">
        <v>199</v>
      </c>
      <c r="F486" s="96"/>
      <c r="G486" s="97"/>
    </row>
    <row r="487" spans="1:7" ht="21" x14ac:dyDescent="0.25">
      <c r="A487" s="43" t="str">
        <f>CONCATENATE("Pt Id:",'Level 1'!E487," ","Pt Name: ",'Level 1'!F487," ","DOS: ", TEXT('Level 1'!H487,"mm-dd-yyyy"),"  "," Amnt: ","$",'Level 1'!J487,"  ", 'Level 1'!N487)</f>
        <v>Pt Id:8359 Pt Name: West, Cathryn DOS: 11-02-2021   Amnt: $175.2  Note</v>
      </c>
      <c r="B487" s="43" t="str">
        <f>CONCATENATE("Detail: ",'Level 1'!N487,"  ",'Level 1'!O487,TEXT('Level 1'!P487,"  mm-dd-yyyy"),";"," ",'Level 1'!Q487,'Level 1'!R487,"  ",'Level 1'!T487," ","Payment "," ",'Level 1'!U487,"  ",'Level 1'!V487,"  ",'Level 1'!W487,"  ",'Level 1'!X487,"  ",'Level 1'!Z487, "  ",'Level 1'!AA487, " ","Insurance: ",'Level 1'!A487)</f>
        <v>Detail: Note  Q1  01-00-1900; Q2   Payment  Q4    Q5    Additional Notes:   Insurance: DPOW-CCHP</v>
      </c>
      <c r="C487" s="60" t="str">
        <f>'Level 1'!Y487</f>
        <v>Action</v>
      </c>
      <c r="D487" s="44" t="str">
        <f>VLOOKUP(C487,Table2[#All],3,FALSE)</f>
        <v>What we need from you/Reason</v>
      </c>
      <c r="E487" s="75" t="s">
        <v>199</v>
      </c>
      <c r="F487" s="96"/>
      <c r="G487" s="97"/>
    </row>
    <row r="488" spans="1:7" ht="21" x14ac:dyDescent="0.25">
      <c r="A488" s="43" t="str">
        <f>CONCATENATE("Pt Id:",'Level 1'!E488," ","Pt Name: ",'Level 1'!F488," ","DOS: ", TEXT('Level 1'!H488,"mm-dd-yyyy"),"  "," Amnt: ","$",'Level 1'!J488,"  ", 'Level 1'!N488)</f>
        <v>Pt Id:5841 Pt Name: Torres, Alexander DOS: 11-02-2021   Amnt: $698  Note</v>
      </c>
      <c r="B488" s="43" t="str">
        <f>CONCATENATE("Detail: ",'Level 1'!N488,"  ",'Level 1'!O488,TEXT('Level 1'!P488,"  mm-dd-yyyy"),";"," ",'Level 1'!Q488,'Level 1'!R488,"  ",'Level 1'!T488," ","Payment "," ",'Level 1'!U488,"  ",'Level 1'!V488,"  ",'Level 1'!W488,"  ",'Level 1'!X488,"  ",'Level 1'!Z488, "  ",'Level 1'!AA488, " ","Insurance: ",'Level 1'!A488)</f>
        <v>Detail: Note  Q1  01-00-1900; Q2   Payment  Q4    Q5    Additional Notes:   Insurance: DPOW-CCHP</v>
      </c>
      <c r="C488" s="60" t="str">
        <f>'Level 1'!Y488</f>
        <v>Action</v>
      </c>
      <c r="D488" s="44" t="str">
        <f>VLOOKUP(C488,Table2[#All],3,FALSE)</f>
        <v>What we need from you/Reason</v>
      </c>
      <c r="E488" s="75" t="s">
        <v>199</v>
      </c>
      <c r="F488" s="96"/>
      <c r="G488" s="97"/>
    </row>
    <row r="489" spans="1:7" ht="42" x14ac:dyDescent="0.25">
      <c r="A489" s="43" t="str">
        <f>CONCATENATE("Pt Id:",'Level 1'!E489," ","Pt Name: ",'Level 1'!F489," ","DOS: ", TEXT('Level 1'!H489,"mm-dd-yyyy"),"  "," Amnt: ","$",'Level 1'!J489,"  ", 'Level 1'!N489)</f>
        <v>Pt Id:3881 Pt Name: EDWARDS, MESSIAH DOS: 11-02-2021   Amnt: $437.2  Note</v>
      </c>
      <c r="B489" s="43" t="str">
        <f>CONCATENATE("Detail: ",'Level 1'!N489,"  ",'Level 1'!O489,TEXT('Level 1'!P489,"  mm-dd-yyyy"),";"," ",'Level 1'!Q489,'Level 1'!R489,"  ",'Level 1'!T489," ","Payment "," ",'Level 1'!U489,"  ",'Level 1'!V489,"  ",'Level 1'!W489,"  ",'Level 1'!X489,"  ",'Level 1'!Z489, "  ",'Level 1'!AA489, " ","Insurance: ",'Level 1'!A489)</f>
        <v>Detail: Note  Q1  01-00-1900; Q2   Payment  Q4    Q5    Additional Notes:   Insurance: DPOW-CCHP</v>
      </c>
      <c r="C489" s="60" t="str">
        <f>'Level 1'!Y489</f>
        <v>Action</v>
      </c>
      <c r="D489" s="44" t="str">
        <f>VLOOKUP(C489,Table2[#All],3,FALSE)</f>
        <v>What we need from you/Reason</v>
      </c>
      <c r="E489" s="75" t="s">
        <v>199</v>
      </c>
      <c r="F489" s="96"/>
      <c r="G489" s="97"/>
    </row>
    <row r="490" spans="1:7" ht="42" x14ac:dyDescent="0.25">
      <c r="A490" s="43" t="str">
        <f>CONCATENATE("Pt Id:",'Level 1'!E490," ","Pt Name: ",'Level 1'!F490," ","DOS: ", TEXT('Level 1'!H490,"mm-dd-yyyy"),"  "," Amnt: ","$",'Level 1'!J490,"  ", 'Level 1'!N490)</f>
        <v>Pt Id:3447 Pt Name: RAMSEY, COURTNEY DOS: 11-03-2021   Amnt: $266  Note</v>
      </c>
      <c r="B490" s="43" t="str">
        <f>CONCATENATE("Detail: ",'Level 1'!N490,"  ",'Level 1'!O490,TEXT('Level 1'!P490,"  mm-dd-yyyy"),";"," ",'Level 1'!Q490,'Level 1'!R490,"  ",'Level 1'!T490," ","Payment "," ",'Level 1'!U490,"  ",'Level 1'!V490,"  ",'Level 1'!W490,"  ",'Level 1'!X490,"  ",'Level 1'!Z490, "  ",'Level 1'!AA490, " ","Insurance: ",'Level 1'!A490)</f>
        <v>Detail: Note  Q1  01-00-1900; Q2   Payment  Q4    Q5    Additional Notes:   Insurance: DPOW-CCHP</v>
      </c>
      <c r="C490" s="60" t="str">
        <f>'Level 1'!Y490</f>
        <v>Action</v>
      </c>
      <c r="D490" s="44" t="str">
        <f>VLOOKUP(C490,Table2[#All],3,FALSE)</f>
        <v>What we need from you/Reason</v>
      </c>
      <c r="E490" s="75" t="s">
        <v>199</v>
      </c>
      <c r="F490" s="96"/>
      <c r="G490" s="97"/>
    </row>
    <row r="491" spans="1:7" ht="42" x14ac:dyDescent="0.25">
      <c r="A491" s="43" t="str">
        <f>CONCATENATE("Pt Id:",'Level 1'!E491," ","Pt Name: ",'Level 1'!F491," ","DOS: ", TEXT('Level 1'!H491,"mm-dd-yyyy"),"  "," Amnt: ","$",'Level 1'!J491,"  ", 'Level 1'!N491)</f>
        <v>Pt Id:3707 Pt Name: LENTINI, SONJA  DOS: 11-03-2021   Amnt: $303.6  Note</v>
      </c>
      <c r="B491" s="43" t="str">
        <f>CONCATENATE("Detail: ",'Level 1'!N491,"  ",'Level 1'!O491,TEXT('Level 1'!P491,"  mm-dd-yyyy"),";"," ",'Level 1'!Q491,'Level 1'!R491,"  ",'Level 1'!T491," ","Payment "," ",'Level 1'!U491,"  ",'Level 1'!V491,"  ",'Level 1'!W491,"  ",'Level 1'!X491,"  ",'Level 1'!Z491, "  ",'Level 1'!AA491, " ","Insurance: ",'Level 1'!A491)</f>
        <v>Detail: Note  Q1  01-00-1900; Q2   Payment  Q4    Q5    Additional Notes:   Insurance: DPOW-CCHP</v>
      </c>
      <c r="C491" s="60" t="str">
        <f>'Level 1'!Y491</f>
        <v>Action</v>
      </c>
      <c r="D491" s="44" t="str">
        <f>VLOOKUP(C491,Table2[#All],3,FALSE)</f>
        <v>What we need from you/Reason</v>
      </c>
      <c r="E491" s="75" t="s">
        <v>199</v>
      </c>
      <c r="F491" s="96"/>
      <c r="G491" s="97"/>
    </row>
    <row r="492" spans="1:7" ht="42" x14ac:dyDescent="0.25">
      <c r="A492" s="43" t="str">
        <f>CONCATENATE("Pt Id:",'Level 1'!E492," ","Pt Name: ",'Level 1'!F492," ","DOS: ", TEXT('Level 1'!H492,"mm-dd-yyyy"),"  "," Amnt: ","$",'Level 1'!J492,"  ", 'Level 1'!N492)</f>
        <v>Pt Id:5531 Pt Name: Martinez Perez, Eliud  DOS: 11-04-2021   Amnt: $61.2  Note</v>
      </c>
      <c r="B492" s="43" t="str">
        <f>CONCATENATE("Detail: ",'Level 1'!N492,"  ",'Level 1'!O492,TEXT('Level 1'!P492,"  mm-dd-yyyy"),";"," ",'Level 1'!Q492,'Level 1'!R492,"  ",'Level 1'!T492," ","Payment "," ",'Level 1'!U492,"  ",'Level 1'!V492,"  ",'Level 1'!W492,"  ",'Level 1'!X492,"  ",'Level 1'!Z492, "  ",'Level 1'!AA492, " ","Insurance: ",'Level 1'!A492)</f>
        <v>Detail: Note  Q1  01-00-1900; Q2   Payment  Q4    Q5    Additional Notes:   Insurance: DPOW-CCHP</v>
      </c>
      <c r="C492" s="60" t="str">
        <f>'Level 1'!Y492</f>
        <v>Action</v>
      </c>
      <c r="D492" s="44" t="str">
        <f>VLOOKUP(C492,Table2[#All],3,FALSE)</f>
        <v>What we need from you/Reason</v>
      </c>
      <c r="E492" s="75" t="s">
        <v>199</v>
      </c>
      <c r="F492" s="96"/>
      <c r="G492" s="97"/>
    </row>
    <row r="493" spans="1:7" ht="42" x14ac:dyDescent="0.25">
      <c r="A493" s="43" t="str">
        <f>CONCATENATE("Pt Id:",'Level 1'!E493," ","Pt Name: ",'Level 1'!F493," ","DOS: ", TEXT('Level 1'!H493,"mm-dd-yyyy"),"  "," Amnt: ","$",'Level 1'!J493,"  ", 'Level 1'!N493)</f>
        <v>Pt Id:8323 Pt Name: Calderon Padill, Mara DOS: 11-03-2021   Amnt: $238  Note</v>
      </c>
      <c r="B493" s="43" t="str">
        <f>CONCATENATE("Detail: ",'Level 1'!N493,"  ",'Level 1'!O493,TEXT('Level 1'!P493,"  mm-dd-yyyy"),";"," ",'Level 1'!Q493,'Level 1'!R493,"  ",'Level 1'!T493," ","Payment "," ",'Level 1'!U493,"  ",'Level 1'!V493,"  ",'Level 1'!W493,"  ",'Level 1'!X493,"  ",'Level 1'!Z493, "  ",'Level 1'!AA493, " ","Insurance: ",'Level 1'!A493)</f>
        <v>Detail: Note  Q1  01-00-1900; Q2   Payment  Q4    Q5    Additional Notes:   Insurance: DPOW-CCHP</v>
      </c>
      <c r="C493" s="60" t="str">
        <f>'Level 1'!Y493</f>
        <v>Action</v>
      </c>
      <c r="D493" s="44" t="str">
        <f>VLOOKUP(C493,Table2[#All],3,FALSE)</f>
        <v>What we need from you/Reason</v>
      </c>
      <c r="E493" s="75" t="s">
        <v>199</v>
      </c>
      <c r="F493" s="96"/>
      <c r="G493" s="97"/>
    </row>
    <row r="494" spans="1:7" ht="21" x14ac:dyDescent="0.25">
      <c r="A494" s="43" t="str">
        <f>CONCATENATE("Pt Id:",'Level 1'!E494," ","Pt Name: ",'Level 1'!F494," ","DOS: ", TEXT('Level 1'!H494,"mm-dd-yyyy"),"  "," Amnt: ","$",'Level 1'!J494,"  ", 'Level 1'!N494)</f>
        <v>Pt Id:8329 Pt Name: Lopez, Neolani DOS: 11-02-2021   Amnt: $756  Note</v>
      </c>
      <c r="B494" s="43" t="str">
        <f>CONCATENATE("Detail: ",'Level 1'!N494,"  ",'Level 1'!O494,TEXT('Level 1'!P494,"  mm-dd-yyyy"),";"," ",'Level 1'!Q494,'Level 1'!R494,"  ",'Level 1'!T494," ","Payment "," ",'Level 1'!U494,"  ",'Level 1'!V494,"  ",'Level 1'!W494,"  ",'Level 1'!X494,"  ",'Level 1'!Z494, "  ",'Level 1'!AA494, " ","Insurance: ",'Level 1'!A494)</f>
        <v>Detail: Note  Q1  01-00-1900; Q2   Payment  Q4    Q5    Additional Notes:   Insurance: DPOW-CCHP</v>
      </c>
      <c r="C494" s="60" t="str">
        <f>'Level 1'!Y494</f>
        <v>Action</v>
      </c>
      <c r="D494" s="44" t="str">
        <f>VLOOKUP(C494,Table2[#All],3,FALSE)</f>
        <v>What we need from you/Reason</v>
      </c>
      <c r="E494" s="75" t="s">
        <v>199</v>
      </c>
      <c r="F494" s="96"/>
      <c r="G494" s="97"/>
    </row>
    <row r="495" spans="1:7" ht="21" x14ac:dyDescent="0.25">
      <c r="A495" s="43" t="str">
        <f>CONCATENATE("Pt Id:",'Level 1'!E495," ","Pt Name: ",'Level 1'!F495," ","DOS: ", TEXT('Level 1'!H495,"mm-dd-yyyy"),"  "," Amnt: ","$",'Level 1'!J495,"  ", 'Level 1'!N495)</f>
        <v>Pt Id:8347 Pt Name: Sharma , Sanjeev DOS: 11-01-2021   Amnt: $226.8  Note</v>
      </c>
      <c r="B495" s="43" t="str">
        <f>CONCATENATE("Detail: ",'Level 1'!N495,"  ",'Level 1'!O495,TEXT('Level 1'!P495,"  mm-dd-yyyy"),";"," ",'Level 1'!Q495,'Level 1'!R495,"  ",'Level 1'!T495," ","Payment "," ",'Level 1'!U495,"  ",'Level 1'!V495,"  ",'Level 1'!W495,"  ",'Level 1'!X495,"  ",'Level 1'!Z495, "  ",'Level 1'!AA495, " ","Insurance: ",'Level 1'!A495)</f>
        <v>Detail: Note  Q1  01-00-1900; Q2   Payment  Q4    Q5    Additional Notes:   Insurance: DPOW-CCHP</v>
      </c>
      <c r="C495" s="60" t="str">
        <f>'Level 1'!Y495</f>
        <v>Action</v>
      </c>
      <c r="D495" s="44" t="str">
        <f>VLOOKUP(C495,Table2[#All],3,FALSE)</f>
        <v>What we need from you/Reason</v>
      </c>
      <c r="E495" s="75" t="s">
        <v>199</v>
      </c>
      <c r="F495" s="96"/>
      <c r="G495" s="97"/>
    </row>
    <row r="496" spans="1:7" ht="21" x14ac:dyDescent="0.25">
      <c r="A496" s="43" t="str">
        <f>CONCATENATE("Pt Id:",'Level 1'!E496," ","Pt Name: ",'Level 1'!F496," ","DOS: ", TEXT('Level 1'!H496,"mm-dd-yyyy"),"  "," Amnt: ","$",'Level 1'!J496,"  ", 'Level 1'!N496)</f>
        <v>Pt Id:8338 Pt Name: Rebollar , Marilu  DOS: 11-01-2021   Amnt: $332.4  Note</v>
      </c>
      <c r="B496" s="43" t="str">
        <f>CONCATENATE("Detail: ",'Level 1'!N496,"  ",'Level 1'!O496,TEXT('Level 1'!P496,"  mm-dd-yyyy"),";"," ",'Level 1'!Q496,'Level 1'!R496,"  ",'Level 1'!T496," ","Payment "," ",'Level 1'!U496,"  ",'Level 1'!V496,"  ",'Level 1'!W496,"  ",'Level 1'!X496,"  ",'Level 1'!Z496, "  ",'Level 1'!AA496, " ","Insurance: ",'Level 1'!A496)</f>
        <v>Detail: Note  Q1  01-00-1900; Q2   Payment  Q4    Q5    Additional Notes:   Insurance: DPOW-CCHP</v>
      </c>
      <c r="C496" s="60" t="str">
        <f>'Level 1'!Y496</f>
        <v>Action</v>
      </c>
      <c r="D496" s="44" t="str">
        <f>VLOOKUP(C496,Table2[#All],3,FALSE)</f>
        <v>What we need from you/Reason</v>
      </c>
      <c r="E496" s="75" t="s">
        <v>199</v>
      </c>
      <c r="F496" s="96"/>
      <c r="G496" s="97"/>
    </row>
    <row r="497" spans="1:7" ht="42" x14ac:dyDescent="0.25">
      <c r="A497" s="43" t="str">
        <f>CONCATENATE("Pt Id:",'Level 1'!E497," ","Pt Name: ",'Level 1'!F497," ","DOS: ", TEXT('Level 1'!H497,"mm-dd-yyyy"),"  "," Amnt: ","$",'Level 1'!J497,"  ", 'Level 1'!N497)</f>
        <v>Pt Id:5489 Pt Name: Bedard , Annabella  DOS: 10-29-2021   Amnt: $138  Note</v>
      </c>
      <c r="B497" s="43" t="str">
        <f>CONCATENATE("Detail: ",'Level 1'!N497,"  ",'Level 1'!O497,TEXT('Level 1'!P497,"  mm-dd-yyyy"),";"," ",'Level 1'!Q497,'Level 1'!R497,"  ",'Level 1'!T497," ","Payment "," ",'Level 1'!U497,"  ",'Level 1'!V497,"  ",'Level 1'!W497,"  ",'Level 1'!X497,"  ",'Level 1'!Z497, "  ",'Level 1'!AA497, " ","Insurance: ",'Level 1'!A497)</f>
        <v>Detail: Note  Q1  01-00-1900; Q2   Payment  Q4    Q5    Additional Notes:   Insurance: DPOW-CCHP</v>
      </c>
      <c r="C497" s="60" t="str">
        <f>'Level 1'!Y497</f>
        <v>Action</v>
      </c>
      <c r="D497" s="44" t="str">
        <f>VLOOKUP(C497,Table2[#All],3,FALSE)</f>
        <v>What we need from you/Reason</v>
      </c>
      <c r="E497" s="75" t="s">
        <v>199</v>
      </c>
      <c r="F497" s="96"/>
      <c r="G497" s="97"/>
    </row>
    <row r="498" spans="1:7" ht="21" x14ac:dyDescent="0.25">
      <c r="A498" s="43" t="str">
        <f>CONCATENATE("Pt Id:",'Level 1'!E498," ","Pt Name: ",'Level 1'!F498," ","DOS: ", TEXT('Level 1'!H498,"mm-dd-yyyy"),"  "," Amnt: ","$",'Level 1'!J498,"  ", 'Level 1'!N498)</f>
        <v>Pt Id:2568 Pt Name: Ruiz , Angelina  DOS: 10-29-2021   Amnt: $244.4  Note</v>
      </c>
      <c r="B498" s="43" t="str">
        <f>CONCATENATE("Detail: ",'Level 1'!N498,"  ",'Level 1'!O498,TEXT('Level 1'!P498,"  mm-dd-yyyy"),";"," ",'Level 1'!Q498,'Level 1'!R498,"  ",'Level 1'!T498," ","Payment "," ",'Level 1'!U498,"  ",'Level 1'!V498,"  ",'Level 1'!W498,"  ",'Level 1'!X498,"  ",'Level 1'!Z498, "  ",'Level 1'!AA498, " ","Insurance: ",'Level 1'!A498)</f>
        <v>Detail: Note  Q1  01-00-1900; Q2   Payment  Q4    Q5    Additional Notes:   Insurance: DPOW-CCHP</v>
      </c>
      <c r="C498" s="60" t="str">
        <f>'Level 1'!Y498</f>
        <v>Action</v>
      </c>
      <c r="D498" s="44" t="str">
        <f>VLOOKUP(C498,Table2[#All],3,FALSE)</f>
        <v>What we need from you/Reason</v>
      </c>
      <c r="E498" s="75" t="s">
        <v>199</v>
      </c>
      <c r="F498" s="96"/>
      <c r="G498" s="97"/>
    </row>
    <row r="499" spans="1:7" ht="42" x14ac:dyDescent="0.25">
      <c r="A499" s="43" t="str">
        <f>CONCATENATE("Pt Id:",'Level 1'!E499," ","Pt Name: ",'Level 1'!F499," ","DOS: ", TEXT('Level 1'!H499,"mm-dd-yyyy"),"  "," Amnt: ","$",'Level 1'!J499,"  ", 'Level 1'!N499)</f>
        <v>Pt Id:5290 Pt Name: Maldonado , Zuleyka  DOS: 11-01-2021   Amnt: $266  Note</v>
      </c>
      <c r="B499" s="43" t="str">
        <f>CONCATENATE("Detail: ",'Level 1'!N499,"  ",'Level 1'!O499,TEXT('Level 1'!P499,"  mm-dd-yyyy"),";"," ",'Level 1'!Q499,'Level 1'!R499,"  ",'Level 1'!T499," ","Payment "," ",'Level 1'!U499,"  ",'Level 1'!V499,"  ",'Level 1'!W499,"  ",'Level 1'!X499,"  ",'Level 1'!Z499, "  ",'Level 1'!AA499, " ","Insurance: ",'Level 1'!A499)</f>
        <v>Detail: Note  Q1  01-00-1900; Q2   Payment  Q4    Q5    Additional Notes:   Insurance: DPOW-CCHP</v>
      </c>
      <c r="C499" s="60" t="str">
        <f>'Level 1'!Y499</f>
        <v>Action</v>
      </c>
      <c r="D499" s="44" t="str">
        <f>VLOOKUP(C499,Table2[#All],3,FALSE)</f>
        <v>What we need from you/Reason</v>
      </c>
      <c r="E499" s="75" t="s">
        <v>199</v>
      </c>
      <c r="F499" s="96"/>
      <c r="G499" s="97"/>
    </row>
    <row r="500" spans="1:7" ht="42" x14ac:dyDescent="0.25">
      <c r="A500" s="43" t="str">
        <f>CONCATENATE("Pt Id:",'Level 1'!E500," ","Pt Name: ",'Level 1'!F500," ","DOS: ", TEXT('Level 1'!H500,"mm-dd-yyyy"),"  "," Amnt: ","$",'Level 1'!J500,"  ", 'Level 1'!N500)</f>
        <v>Pt Id:2502 Pt Name: Saldivar Venega, Javier DOS: 10-30-2021   Amnt: $244.4  Note</v>
      </c>
      <c r="B500" s="43" t="str">
        <f>CONCATENATE("Detail: ",'Level 1'!N500,"  ",'Level 1'!O500,TEXT('Level 1'!P500,"  mm-dd-yyyy"),";"," ",'Level 1'!Q500,'Level 1'!R500,"  ",'Level 1'!T500," ","Payment "," ",'Level 1'!U500,"  ",'Level 1'!V500,"  ",'Level 1'!W500,"  ",'Level 1'!X500,"  ",'Level 1'!Z500, "  ",'Level 1'!AA500, " ","Insurance: ",'Level 1'!A500)</f>
        <v>Detail: Note  Q1  01-00-1900; Q2   Payment  Q4    Q5    Additional Notes:   Insurance: DPOW-CCHP</v>
      </c>
      <c r="C500" s="60" t="str">
        <f>'Level 1'!Y500</f>
        <v>Action</v>
      </c>
      <c r="D500" s="44" t="str">
        <f>VLOOKUP(C500,Table2[#All],3,FALSE)</f>
        <v>What we need from you/Reason</v>
      </c>
      <c r="E500" s="75" t="s">
        <v>199</v>
      </c>
      <c r="F500" s="96"/>
      <c r="G500" s="97"/>
    </row>
    <row r="501" spans="1:7" ht="42" x14ac:dyDescent="0.25">
      <c r="A501" s="43" t="str">
        <f>CONCATENATE("Pt Id:",'Level 1'!E501," ","Pt Name: ",'Level 1'!F501," ","DOS: ", TEXT('Level 1'!H501,"mm-dd-yyyy"),"  "," Amnt: ","$",'Level 1'!J501,"  ", 'Level 1'!N501)</f>
        <v>Pt Id:2503 Pt Name: Saldivar Venega, Pamela DOS: 10-30-2021   Amnt: $424.4  Note</v>
      </c>
      <c r="B501" s="43" t="str">
        <f>CONCATENATE("Detail: ",'Level 1'!N501,"  ",'Level 1'!O501,TEXT('Level 1'!P501,"  mm-dd-yyyy"),";"," ",'Level 1'!Q501,'Level 1'!R501,"  ",'Level 1'!T501," ","Payment "," ",'Level 1'!U501,"  ",'Level 1'!V501,"  ",'Level 1'!W501,"  ",'Level 1'!X501,"  ",'Level 1'!Z501, "  ",'Level 1'!AA501, " ","Insurance: ",'Level 1'!A501)</f>
        <v>Detail: Note  Q1  01-00-1900; Q2   Payment  Q4    Q5    Additional Notes:   Insurance: DPOW-CCHP</v>
      </c>
      <c r="C501" s="60" t="str">
        <f>'Level 1'!Y501</f>
        <v>Action</v>
      </c>
      <c r="D501" s="44" t="str">
        <f>VLOOKUP(C501,Table2[#All],3,FALSE)</f>
        <v>What we need from you/Reason</v>
      </c>
      <c r="E501" s="75" t="s">
        <v>199</v>
      </c>
      <c r="F501" s="96"/>
      <c r="G501" s="97"/>
    </row>
    <row r="502" spans="1:7" ht="42" x14ac:dyDescent="0.25">
      <c r="A502" s="43" t="str">
        <f>CONCATENATE("Pt Id:",'Level 1'!E502," ","Pt Name: ",'Level 1'!F502," ","DOS: ", TEXT('Level 1'!H502,"mm-dd-yyyy"),"  "," Amnt: ","$",'Level 1'!J502,"  ", 'Level 1'!N502)</f>
        <v>Pt Id:8290 Pt Name: Febres Orta , Carol  DOS: 10-30-2021   Amnt: $294.8  Note</v>
      </c>
      <c r="B502" s="43" t="str">
        <f>CONCATENATE("Detail: ",'Level 1'!N502,"  ",'Level 1'!O502,TEXT('Level 1'!P502,"  mm-dd-yyyy"),";"," ",'Level 1'!Q502,'Level 1'!R502,"  ",'Level 1'!T502," ","Payment "," ",'Level 1'!U502,"  ",'Level 1'!V502,"  ",'Level 1'!W502,"  ",'Level 1'!X502,"  ",'Level 1'!Z502, "  ",'Level 1'!AA502, " ","Insurance: ",'Level 1'!A502)</f>
        <v>Detail: Note  Q1  01-00-1900; Q2   Payment  Q4    Q5    Additional Notes:   Insurance: DPOW-CCHP</v>
      </c>
      <c r="C502" s="60" t="str">
        <f>'Level 1'!Y502</f>
        <v>Action</v>
      </c>
      <c r="D502" s="44" t="str">
        <f>VLOOKUP(C502,Table2[#All],3,FALSE)</f>
        <v>What we need from you/Reason</v>
      </c>
      <c r="E502" s="75" t="s">
        <v>199</v>
      </c>
      <c r="F502" s="96"/>
      <c r="G502" s="97"/>
    </row>
    <row r="503" spans="1:7" ht="21" x14ac:dyDescent="0.25">
      <c r="A503" s="43" t="str">
        <f>CONCATENATE("Pt Id:",'Level 1'!E503," ","Pt Name: ",'Level 1'!F503," ","DOS: ", TEXT('Level 1'!H503,"mm-dd-yyyy"),"  "," Amnt: ","$",'Level 1'!J503,"  ", 'Level 1'!N503)</f>
        <v>Pt Id:7833 Pt Name: Candelaria, Jariel  DOS: 10-30-2021   Amnt: $532  Note</v>
      </c>
      <c r="B503" s="43" t="str">
        <f>CONCATENATE("Detail: ",'Level 1'!N503,"  ",'Level 1'!O503,TEXT('Level 1'!P503,"  mm-dd-yyyy"),";"," ",'Level 1'!Q503,'Level 1'!R503,"  ",'Level 1'!T503," ","Payment "," ",'Level 1'!U503,"  ",'Level 1'!V503,"  ",'Level 1'!W503,"  ",'Level 1'!X503,"  ",'Level 1'!Z503, "  ",'Level 1'!AA503, " ","Insurance: ",'Level 1'!A503)</f>
        <v>Detail: Note  Q1  01-00-1900; Q2   Payment  Q4    Q5    Additional Notes:   Insurance: DPOW-CCHP</v>
      </c>
      <c r="C503" s="60" t="str">
        <f>'Level 1'!Y503</f>
        <v>Action</v>
      </c>
      <c r="D503" s="44" t="str">
        <f>VLOOKUP(C503,Table2[#All],3,FALSE)</f>
        <v>What we need from you/Reason</v>
      </c>
      <c r="E503" s="75" t="s">
        <v>199</v>
      </c>
      <c r="F503" s="96"/>
      <c r="G503" s="97"/>
    </row>
    <row r="504" spans="1:7" ht="21" x14ac:dyDescent="0.25">
      <c r="A504" s="43" t="str">
        <f>CONCATENATE("Pt Id:",'Level 1'!E504," ","Pt Name: ",'Level 1'!F504," ","DOS: ", TEXT('Level 1'!H504,"mm-dd-yyyy"),"  "," Amnt: ","$",'Level 1'!J504,"  ", 'Level 1'!N504)</f>
        <v>Pt Id:2688 Pt Name: Siso, Samuel DOS: 10-28-2021   Amnt: $244.4  Note</v>
      </c>
      <c r="B504" s="43" t="str">
        <f>CONCATENATE("Detail: ",'Level 1'!N504,"  ",'Level 1'!O504,TEXT('Level 1'!P504,"  mm-dd-yyyy"),";"," ",'Level 1'!Q504,'Level 1'!R504,"  ",'Level 1'!T504," ","Payment "," ",'Level 1'!U504,"  ",'Level 1'!V504,"  ",'Level 1'!W504,"  ",'Level 1'!X504,"  ",'Level 1'!Z504, "  ",'Level 1'!AA504, " ","Insurance: ",'Level 1'!A504)</f>
        <v>Detail: Note  Q1  01-00-1900; Q2   Payment  Q4    Q5    Additional Notes:   Insurance: DPOW-CCHP</v>
      </c>
      <c r="C504" s="60" t="str">
        <f>'Level 1'!Y504</f>
        <v>Action</v>
      </c>
      <c r="D504" s="44" t="str">
        <f>VLOOKUP(C504,Table2[#All],3,FALSE)</f>
        <v>What we need from you/Reason</v>
      </c>
      <c r="E504" s="75" t="s">
        <v>199</v>
      </c>
      <c r="F504" s="96"/>
      <c r="G504" s="97"/>
    </row>
    <row r="505" spans="1:7" ht="21" x14ac:dyDescent="0.25">
      <c r="A505" s="43" t="str">
        <f>CONCATENATE("Pt Id:",'Level 1'!E505," ","Pt Name: ",'Level 1'!F505," ","DOS: ", TEXT('Level 1'!H505,"mm-dd-yyyy"),"  "," Amnt: ","$",'Level 1'!J505,"  ", 'Level 1'!N505)</f>
        <v>Pt Id:8340 Pt Name: Rahmani, Perparim DOS: 10-28-2021   Amnt: $216  Note</v>
      </c>
      <c r="B505" s="43" t="str">
        <f>CONCATENATE("Detail: ",'Level 1'!N505,"  ",'Level 1'!O505,TEXT('Level 1'!P505,"  mm-dd-yyyy"),";"," ",'Level 1'!Q505,'Level 1'!R505,"  ",'Level 1'!T505," ","Payment "," ",'Level 1'!U505,"  ",'Level 1'!V505,"  ",'Level 1'!W505,"  ",'Level 1'!X505,"  ",'Level 1'!Z505, "  ",'Level 1'!AA505, " ","Insurance: ",'Level 1'!A505)</f>
        <v>Detail: Note  Q1  01-00-1900; Q2   Payment  Q4    Q5    Additional Notes:   Insurance: DPOW-CCHP</v>
      </c>
      <c r="C505" s="60" t="str">
        <f>'Level 1'!Y505</f>
        <v>Action</v>
      </c>
      <c r="D505" s="44" t="str">
        <f>VLOOKUP(C505,Table2[#All],3,FALSE)</f>
        <v>What we need from you/Reason</v>
      </c>
      <c r="E505" s="75" t="s">
        <v>199</v>
      </c>
      <c r="F505" s="96"/>
      <c r="G505" s="97"/>
    </row>
    <row r="506" spans="1:7" ht="21" x14ac:dyDescent="0.25">
      <c r="A506" s="43" t="str">
        <f>CONCATENATE("Pt Id:",'Level 1'!E506," ","Pt Name: ",'Level 1'!F506," ","DOS: ", TEXT('Level 1'!H506,"mm-dd-yyyy"),"  "," Amnt: ","$",'Level 1'!J506,"  ", 'Level 1'!N506)</f>
        <v>Pt Id:8348 Pt Name: Howell, Jamaria DOS: 10-29-2021   Amnt: $175.2  Note</v>
      </c>
      <c r="B506" s="43" t="str">
        <f>CONCATENATE("Detail: ",'Level 1'!N506,"  ",'Level 1'!O506,TEXT('Level 1'!P506,"  mm-dd-yyyy"),";"," ",'Level 1'!Q506,'Level 1'!R506,"  ",'Level 1'!T506," ","Payment "," ",'Level 1'!U506,"  ",'Level 1'!V506,"  ",'Level 1'!W506,"  ",'Level 1'!X506,"  ",'Level 1'!Z506, "  ",'Level 1'!AA506, " ","Insurance: ",'Level 1'!A506)</f>
        <v>Detail: Note  Q1  01-00-1900; Q2   Payment  Q4    Q5    Additional Notes:   Insurance: DPOW-CCHP</v>
      </c>
      <c r="C506" s="60" t="str">
        <f>'Level 1'!Y506</f>
        <v>Action</v>
      </c>
      <c r="D506" s="44" t="str">
        <f>VLOOKUP(C506,Table2[#All],3,FALSE)</f>
        <v>What we need from you/Reason</v>
      </c>
      <c r="E506" s="75" t="s">
        <v>199</v>
      </c>
      <c r="F506" s="96"/>
      <c r="G506" s="97"/>
    </row>
    <row r="507" spans="1:7" ht="21" x14ac:dyDescent="0.25">
      <c r="A507" s="43" t="str">
        <f>CONCATENATE("Pt Id:",'Level 1'!E507," ","Pt Name: ",'Level 1'!F507," ","DOS: ", TEXT('Level 1'!H507,"mm-dd-yyyy"),"  "," Amnt: ","$",'Level 1'!J507,"  ", 'Level 1'!N507)</f>
        <v>Pt Id:752 Pt Name: Gonzalez, Ayden DOS: 10-29-2021   Amnt: $227.6  Note</v>
      </c>
      <c r="B507" s="43" t="str">
        <f>CONCATENATE("Detail: ",'Level 1'!N507,"  ",'Level 1'!O507,TEXT('Level 1'!P507,"  mm-dd-yyyy"),";"," ",'Level 1'!Q507,'Level 1'!R507,"  ",'Level 1'!T507," ","Payment "," ",'Level 1'!U507,"  ",'Level 1'!V507,"  ",'Level 1'!W507,"  ",'Level 1'!X507,"  ",'Level 1'!Z507, "  ",'Level 1'!AA507, " ","Insurance: ",'Level 1'!A507)</f>
        <v>Detail: Note  Q1  01-00-1900; Q2   Payment  Q4    Q5    Additional Notes:   Insurance: DPOW-CCHP</v>
      </c>
      <c r="C507" s="60" t="str">
        <f>'Level 1'!Y507</f>
        <v>Action</v>
      </c>
      <c r="D507" s="44" t="str">
        <f>VLOOKUP(C507,Table2[#All],3,FALSE)</f>
        <v>What we need from you/Reason</v>
      </c>
      <c r="E507" s="75" t="s">
        <v>199</v>
      </c>
      <c r="F507" s="96"/>
      <c r="G507" s="97"/>
    </row>
    <row r="508" spans="1:7" ht="21" x14ac:dyDescent="0.25">
      <c r="A508" s="43" t="str">
        <f>CONCATENATE("Pt Id:",'Level 1'!E508," ","Pt Name: ",'Level 1'!F508," ","DOS: ", TEXT('Level 1'!H508,"mm-dd-yyyy"),"  "," Amnt: ","$",'Level 1'!J508,"  ", 'Level 1'!N508)</f>
        <v>Pt Id:1188 Pt Name: Gonzalez, Sophia DOS: 10-29-2021   Amnt: $244.4  Note</v>
      </c>
      <c r="B508" s="43" t="str">
        <f>CONCATENATE("Detail: ",'Level 1'!N508,"  ",'Level 1'!O508,TEXT('Level 1'!P508,"  mm-dd-yyyy"),";"," ",'Level 1'!Q508,'Level 1'!R508,"  ",'Level 1'!T508," ","Payment "," ",'Level 1'!U508,"  ",'Level 1'!V508,"  ",'Level 1'!W508,"  ",'Level 1'!X508,"  ",'Level 1'!Z508, "  ",'Level 1'!AA508, " ","Insurance: ",'Level 1'!A508)</f>
        <v>Detail: Note  Q1  01-00-1900; Q2   Payment  Q4    Q5    Additional Notes:   Insurance: DPOW-CCHP</v>
      </c>
      <c r="C508" s="60" t="str">
        <f>'Level 1'!Y508</f>
        <v>Action</v>
      </c>
      <c r="D508" s="44" t="str">
        <f>VLOOKUP(C508,Table2[#All],3,FALSE)</f>
        <v>What we need from you/Reason</v>
      </c>
      <c r="E508" s="75" t="s">
        <v>199</v>
      </c>
      <c r="F508" s="96"/>
      <c r="G508" s="97"/>
    </row>
    <row r="509" spans="1:7" ht="42" x14ac:dyDescent="0.25">
      <c r="A509" s="43" t="str">
        <f>CONCATENATE("Pt Id:",'Level 1'!E509," ","Pt Name: ",'Level 1'!F509," ","DOS: ", TEXT('Level 1'!H509,"mm-dd-yyyy"),"  "," Amnt: ","$",'Level 1'!J509,"  ", 'Level 1'!N509)</f>
        <v>Pt Id:8227 Pt Name: Santiago Cervan, Alondra  DOS: 10-29-2021   Amnt: $454  Note</v>
      </c>
      <c r="B509" s="43" t="str">
        <f>CONCATENATE("Detail: ",'Level 1'!N509,"  ",'Level 1'!O509,TEXT('Level 1'!P509,"  mm-dd-yyyy"),";"," ",'Level 1'!Q509,'Level 1'!R509,"  ",'Level 1'!T509," ","Payment "," ",'Level 1'!U509,"  ",'Level 1'!V509,"  ",'Level 1'!W509,"  ",'Level 1'!X509,"  ",'Level 1'!Z509, "  ",'Level 1'!AA509, " ","Insurance: ",'Level 1'!A509)</f>
        <v>Detail: Note  Q1  01-00-1900; Q2   Payment  Q4    Q5    Additional Notes:   Insurance: DPOW-CCHP</v>
      </c>
      <c r="C509" s="60" t="str">
        <f>'Level 1'!Y509</f>
        <v>Action</v>
      </c>
      <c r="D509" s="44" t="str">
        <f>VLOOKUP(C509,Table2[#All],3,FALSE)</f>
        <v>What we need from you/Reason</v>
      </c>
      <c r="E509" s="75" t="s">
        <v>199</v>
      </c>
      <c r="F509" s="96"/>
      <c r="G509" s="97"/>
    </row>
    <row r="510" spans="1:7" ht="21" x14ac:dyDescent="0.25">
      <c r="A510" s="43" t="str">
        <f>CONCATENATE("Pt Id:",'Level 1'!E510," ","Pt Name: ",'Level 1'!F510," ","DOS: ", TEXT('Level 1'!H510,"mm-dd-yyyy"),"  "," Amnt: ","$",'Level 1'!J510,"  ", 'Level 1'!N510)</f>
        <v>Pt Id:6958 Pt Name: Rahmani , Elvina  DOS: 10-28-2021   Amnt: $227.6  Note</v>
      </c>
      <c r="B510" s="43" t="str">
        <f>CONCATENATE("Detail: ",'Level 1'!N510,"  ",'Level 1'!O510,TEXT('Level 1'!P510,"  mm-dd-yyyy"),";"," ",'Level 1'!Q510,'Level 1'!R510,"  ",'Level 1'!T510," ","Payment "," ",'Level 1'!U510,"  ",'Level 1'!V510,"  ",'Level 1'!W510,"  ",'Level 1'!X510,"  ",'Level 1'!Z510, "  ",'Level 1'!AA510, " ","Insurance: ",'Level 1'!A510)</f>
        <v>Detail: Note  Q1  01-00-1900; Q2   Payment  Q4    Q5    Additional Notes:   Insurance: DPOW-CCHP</v>
      </c>
      <c r="C510" s="60" t="str">
        <f>'Level 1'!Y510</f>
        <v>Action</v>
      </c>
      <c r="D510" s="44" t="str">
        <f>VLOOKUP(C510,Table2[#All],3,FALSE)</f>
        <v>What we need from you/Reason</v>
      </c>
      <c r="E510" s="75" t="s">
        <v>199</v>
      </c>
      <c r="F510" s="96"/>
      <c r="G510" s="97"/>
    </row>
    <row r="511" spans="1:7" ht="42" x14ac:dyDescent="0.25">
      <c r="A511" s="43" t="str">
        <f>CONCATENATE("Pt Id:",'Level 1'!E511," ","Pt Name: ",'Level 1'!F511," ","DOS: ", TEXT('Level 1'!H511,"mm-dd-yyyy"),"  "," Amnt: ","$",'Level 1'!J511,"  ", 'Level 1'!N511)</f>
        <v>Pt Id:5488 Pt Name: Mohammed Ali , Ahmed  DOS: 10-28-2021   Amnt: $266  Note</v>
      </c>
      <c r="B511" s="43" t="str">
        <f>CONCATENATE("Detail: ",'Level 1'!N511,"  ",'Level 1'!O511,TEXT('Level 1'!P511,"  mm-dd-yyyy"),";"," ",'Level 1'!Q511,'Level 1'!R511,"  ",'Level 1'!T511," ","Payment "," ",'Level 1'!U511,"  ",'Level 1'!V511,"  ",'Level 1'!W511,"  ",'Level 1'!X511,"  ",'Level 1'!Z511, "  ",'Level 1'!AA511, " ","Insurance: ",'Level 1'!A511)</f>
        <v>Detail: Note  Q1  01-00-1900; Q2   Payment  Q4    Q5    Additional Notes:   Insurance: DPOW-CCHP</v>
      </c>
      <c r="C511" s="60" t="str">
        <f>'Level 1'!Y511</f>
        <v>Action</v>
      </c>
      <c r="D511" s="44" t="str">
        <f>VLOOKUP(C511,Table2[#All],3,FALSE)</f>
        <v>What we need from you/Reason</v>
      </c>
      <c r="E511" s="75" t="s">
        <v>199</v>
      </c>
      <c r="F511" s="96"/>
      <c r="G511" s="97"/>
    </row>
    <row r="512" spans="1:7" ht="42" x14ac:dyDescent="0.25">
      <c r="A512" s="43" t="str">
        <f>CONCATENATE("Pt Id:",'Level 1'!E512," ","Pt Name: ",'Level 1'!F512," ","DOS: ", TEXT('Level 1'!H512,"mm-dd-yyyy"),"  "," Amnt: ","$",'Level 1'!J512,"  ", 'Level 1'!N512)</f>
        <v>Pt Id:7904 Pt Name: Butterfield, Ryelund DOS: 10-28-2021   Amnt: $1216  Note</v>
      </c>
      <c r="B512" s="43" t="str">
        <f>CONCATENATE("Detail: ",'Level 1'!N512,"  ",'Level 1'!O512,TEXT('Level 1'!P512,"  mm-dd-yyyy"),";"," ",'Level 1'!Q512,'Level 1'!R512,"  ",'Level 1'!T512," ","Payment "," ",'Level 1'!U512,"  ",'Level 1'!V512,"  ",'Level 1'!W512,"  ",'Level 1'!X512,"  ",'Level 1'!Z512, "  ",'Level 1'!AA512, " ","Insurance: ",'Level 1'!A512)</f>
        <v>Detail: Note  Q1  01-00-1900; Q2   Payment  Q4    Q5    Additional Notes:   Insurance: DPOW-CCHP</v>
      </c>
      <c r="C512" s="60" t="str">
        <f>'Level 1'!Y512</f>
        <v>Action</v>
      </c>
      <c r="D512" s="44" t="str">
        <f>VLOOKUP(C512,Table2[#All],3,FALSE)</f>
        <v>What we need from you/Reason</v>
      </c>
      <c r="E512" s="75" t="s">
        <v>199</v>
      </c>
      <c r="F512" s="96"/>
      <c r="G512" s="97"/>
    </row>
    <row r="513" spans="1:7" ht="42" x14ac:dyDescent="0.25">
      <c r="A513" s="43" t="str">
        <f>CONCATENATE("Pt Id:",'Level 1'!E513," ","Pt Name: ",'Level 1'!F513," ","DOS: ", TEXT('Level 1'!H513,"mm-dd-yyyy"),"  "," Amnt: ","$",'Level 1'!J513,"  ", 'Level 1'!N513)</f>
        <v>Pt Id:8323 Pt Name: Calderon Padill, Mara DOS: 10-28-2021   Amnt: $175.2  Note</v>
      </c>
      <c r="B513" s="43" t="str">
        <f>CONCATENATE("Detail: ",'Level 1'!N513,"  ",'Level 1'!O513,TEXT('Level 1'!P513,"  mm-dd-yyyy"),";"," ",'Level 1'!Q513,'Level 1'!R513,"  ",'Level 1'!T513," ","Payment "," ",'Level 1'!U513,"  ",'Level 1'!V513,"  ",'Level 1'!W513,"  ",'Level 1'!X513,"  ",'Level 1'!Z513, "  ",'Level 1'!AA513, " ","Insurance: ",'Level 1'!A513)</f>
        <v>Detail: Note  Q1  01-00-1900; Q2   Payment  Q4    Q5    Additional Notes:   Insurance: DPOW-CCHP</v>
      </c>
      <c r="C513" s="60" t="str">
        <f>'Level 1'!Y513</f>
        <v>Action</v>
      </c>
      <c r="D513" s="44" t="str">
        <f>VLOOKUP(C513,Table2[#All],3,FALSE)</f>
        <v>What we need from you/Reason</v>
      </c>
      <c r="E513" s="75" t="s">
        <v>199</v>
      </c>
      <c r="F513" s="96"/>
      <c r="G513" s="97"/>
    </row>
    <row r="514" spans="1:7" ht="21" x14ac:dyDescent="0.25">
      <c r="A514" s="43" t="str">
        <f>CONCATENATE("Pt Id:",'Level 1'!E514," ","Pt Name: ",'Level 1'!F514," ","DOS: ", TEXT('Level 1'!H514,"mm-dd-yyyy"),"  "," Amnt: ","$",'Level 1'!J514,"  ", 'Level 1'!N514)</f>
        <v>Pt Id:8286 Pt Name: Chiappe , Alyssa  DOS: 11-01-2021   Amnt: $61.2  Note</v>
      </c>
      <c r="B514" s="43" t="str">
        <f>CONCATENATE("Detail: ",'Level 1'!N514,"  ",'Level 1'!O514,TEXT('Level 1'!P514,"  mm-dd-yyyy"),";"," ",'Level 1'!Q514,'Level 1'!R514,"  ",'Level 1'!T514," ","Payment "," ",'Level 1'!U514,"  ",'Level 1'!V514,"  ",'Level 1'!W514,"  ",'Level 1'!X514,"  ",'Level 1'!Z514, "  ",'Level 1'!AA514, " ","Insurance: ",'Level 1'!A514)</f>
        <v>Detail: Note  Q1  01-00-1900; Q2   Payment  Q4    Q5    Additional Notes:   Insurance: DPOW-CCHP</v>
      </c>
      <c r="C514" s="60" t="str">
        <f>'Level 1'!Y514</f>
        <v>Action</v>
      </c>
      <c r="D514" s="44" t="str">
        <f>VLOOKUP(C514,Table2[#All],3,FALSE)</f>
        <v>What we need from you/Reason</v>
      </c>
      <c r="E514" s="75" t="s">
        <v>199</v>
      </c>
      <c r="F514" s="96"/>
      <c r="G514" s="97"/>
    </row>
    <row r="515" spans="1:7" ht="21" x14ac:dyDescent="0.25">
      <c r="A515" s="43" t="str">
        <f>CONCATENATE("Pt Id:",'Level 1'!E515," ","Pt Name: ",'Level 1'!F515," ","DOS: ", TEXT('Level 1'!H515,"mm-dd-yyyy"),"  "," Amnt: ","$",'Level 1'!J515,"  ", 'Level 1'!N515)</f>
        <v>Pt Id:6367 Pt Name: Asala, Lacianna  DOS: 11-01-2021   Amnt: $474.4  Note</v>
      </c>
      <c r="B515" s="43" t="str">
        <f>CONCATENATE("Detail: ",'Level 1'!N515,"  ",'Level 1'!O515,TEXT('Level 1'!P515,"  mm-dd-yyyy"),";"," ",'Level 1'!Q515,'Level 1'!R515,"  ",'Level 1'!T515," ","Payment "," ",'Level 1'!U515,"  ",'Level 1'!V515,"  ",'Level 1'!W515,"  ",'Level 1'!X515,"  ",'Level 1'!Z515, "  ",'Level 1'!AA515, " ","Insurance: ",'Level 1'!A515)</f>
        <v>Detail: Note  Q1  01-00-1900; Q2   Payment  Q4    Q5    Additional Notes:   Insurance: DPOW-CCHP</v>
      </c>
      <c r="C515" s="60" t="str">
        <f>'Level 1'!Y515</f>
        <v>Action</v>
      </c>
      <c r="D515" s="44" t="str">
        <f>VLOOKUP(C515,Table2[#All],3,FALSE)</f>
        <v>What we need from you/Reason</v>
      </c>
      <c r="E515" s="75" t="s">
        <v>199</v>
      </c>
      <c r="F515" s="96"/>
      <c r="G515" s="97"/>
    </row>
    <row r="516" spans="1:7" ht="21" x14ac:dyDescent="0.25">
      <c r="A516" s="43" t="str">
        <f>CONCATENATE("Pt Id:",'Level 1'!E516," ","Pt Name: ",'Level 1'!F516," ","DOS: ", TEXT('Level 1'!H516,"mm-dd-yyyy"),"  "," Amnt: ","$",'Level 1'!J516,"  ", 'Level 1'!N516)</f>
        <v>Pt Id:1627 Pt Name: Augustus, Tahjaie DOS: 10-27-2021   Amnt: $138  Note</v>
      </c>
      <c r="B516" s="43" t="str">
        <f>CONCATENATE("Detail: ",'Level 1'!N516,"  ",'Level 1'!O516,TEXT('Level 1'!P516,"  mm-dd-yyyy"),";"," ",'Level 1'!Q516,'Level 1'!R516,"  ",'Level 1'!T516," ","Payment "," ",'Level 1'!U516,"  ",'Level 1'!V516,"  ",'Level 1'!W516,"  ",'Level 1'!X516,"  ",'Level 1'!Z516, "  ",'Level 1'!AA516, " ","Insurance: ",'Level 1'!A516)</f>
        <v>Detail: Note  Q1  01-00-1900; Q2   Payment  Q4    Q5    Additional Notes:   Insurance: DPOW-CCHP</v>
      </c>
      <c r="C516" s="60" t="str">
        <f>'Level 1'!Y516</f>
        <v>Action</v>
      </c>
      <c r="D516" s="44" t="str">
        <f>VLOOKUP(C516,Table2[#All],3,FALSE)</f>
        <v>What we need from you/Reason</v>
      </c>
      <c r="E516" s="75" t="s">
        <v>199</v>
      </c>
      <c r="F516" s="96"/>
      <c r="G516" s="97"/>
    </row>
    <row r="517" spans="1:7" ht="21" x14ac:dyDescent="0.25">
      <c r="A517" s="43" t="str">
        <f>CONCATENATE("Pt Id:",'Level 1'!E517," ","Pt Name: ",'Level 1'!F517," ","DOS: ", TEXT('Level 1'!H517,"mm-dd-yyyy"),"  "," Amnt: ","$",'Level 1'!J517,"  ", 'Level 1'!N517)</f>
        <v>Pt Id:6136 Pt Name: Mather, Jade DOS: 10-26-2021   Amnt: $266  Note</v>
      </c>
      <c r="B517" s="43" t="str">
        <f>CONCATENATE("Detail: ",'Level 1'!N517,"  ",'Level 1'!O517,TEXT('Level 1'!P517,"  mm-dd-yyyy"),";"," ",'Level 1'!Q517,'Level 1'!R517,"  ",'Level 1'!T517," ","Payment "," ",'Level 1'!U517,"  ",'Level 1'!V517,"  ",'Level 1'!W517,"  ",'Level 1'!X517,"  ",'Level 1'!Z517, "  ",'Level 1'!AA517, " ","Insurance: ",'Level 1'!A517)</f>
        <v>Detail: Note  Q1  01-00-1900; Q2   Payment  Q4    Q5    Additional Notes:   Insurance: DPOW-CCHP</v>
      </c>
      <c r="C517" s="60" t="str">
        <f>'Level 1'!Y517</f>
        <v>Action</v>
      </c>
      <c r="D517" s="44" t="str">
        <f>VLOOKUP(C517,Table2[#All],3,FALSE)</f>
        <v>What we need from you/Reason</v>
      </c>
      <c r="E517" s="75" t="s">
        <v>199</v>
      </c>
      <c r="F517" s="96"/>
      <c r="G517" s="97"/>
    </row>
    <row r="518" spans="1:7" ht="42" x14ac:dyDescent="0.25">
      <c r="A518" s="43" t="str">
        <f>CONCATENATE("Pt Id:",'Level 1'!E518," ","Pt Name: ",'Level 1'!F518," ","DOS: ", TEXT('Level 1'!H518,"mm-dd-yyyy"),"  "," Amnt: ","$",'Level 1'!J518,"  ", 'Level 1'!N518)</f>
        <v>Pt Id:7904 Pt Name: Butterfield, Ryelund DOS: 10-26-2021   Amnt: $863.2  Note</v>
      </c>
      <c r="B518" s="43" t="str">
        <f>CONCATENATE("Detail: ",'Level 1'!N518,"  ",'Level 1'!O518,TEXT('Level 1'!P518,"  mm-dd-yyyy"),";"," ",'Level 1'!Q518,'Level 1'!R518,"  ",'Level 1'!T518," ","Payment "," ",'Level 1'!U518,"  ",'Level 1'!V518,"  ",'Level 1'!W518,"  ",'Level 1'!X518,"  ",'Level 1'!Z518, "  ",'Level 1'!AA518, " ","Insurance: ",'Level 1'!A518)</f>
        <v>Detail: Note  Q1  01-00-1900; Q2   Payment  Q4    Q5    Additional Notes:   Insurance: DPOW-CCHP</v>
      </c>
      <c r="C518" s="60" t="str">
        <f>'Level 1'!Y518</f>
        <v>Action</v>
      </c>
      <c r="D518" s="44" t="str">
        <f>VLOOKUP(C518,Table2[#All],3,FALSE)</f>
        <v>What we need from you/Reason</v>
      </c>
      <c r="E518" s="75" t="s">
        <v>199</v>
      </c>
      <c r="F518" s="96"/>
      <c r="G518" s="97"/>
    </row>
    <row r="519" spans="1:7" ht="21" x14ac:dyDescent="0.25">
      <c r="A519" s="43" t="str">
        <f>CONCATENATE("Pt Id:",'Level 1'!E519," ","Pt Name: ",'Level 1'!F519," ","DOS: ", TEXT('Level 1'!H519,"mm-dd-yyyy"),"  "," Amnt: ","$",'Level 1'!J519,"  ", 'Level 1'!N519)</f>
        <v>Pt Id:6501 Pt Name: Mccoy , Rhyan  DOS: 10-23-2021   Amnt: $396  Note</v>
      </c>
      <c r="B519" s="43" t="str">
        <f>CONCATENATE("Detail: ",'Level 1'!N519,"  ",'Level 1'!O519,TEXT('Level 1'!P519,"  mm-dd-yyyy"),";"," ",'Level 1'!Q519,'Level 1'!R519,"  ",'Level 1'!T519," ","Payment "," ",'Level 1'!U519,"  ",'Level 1'!V519,"  ",'Level 1'!W519,"  ",'Level 1'!X519,"  ",'Level 1'!Z519, "  ",'Level 1'!AA519, " ","Insurance: ",'Level 1'!A519)</f>
        <v>Detail: Note  Q1  01-00-1900; Q2   Payment  Q4    Q5    Additional Notes:   Insurance: DPOW-CCHP</v>
      </c>
      <c r="C519" s="60" t="str">
        <f>'Level 1'!Y519</f>
        <v>Action</v>
      </c>
      <c r="D519" s="44" t="str">
        <f>VLOOKUP(C519,Table2[#All],3,FALSE)</f>
        <v>What we need from you/Reason</v>
      </c>
      <c r="E519" s="75" t="s">
        <v>199</v>
      </c>
      <c r="F519" s="96"/>
      <c r="G519" s="97"/>
    </row>
    <row r="520" spans="1:7" ht="42" x14ac:dyDescent="0.25">
      <c r="A520" s="43" t="str">
        <f>CONCATENATE("Pt Id:",'Level 1'!E520," ","Pt Name: ",'Level 1'!F520," ","DOS: ", TEXT('Level 1'!H520,"mm-dd-yyyy"),"  "," Amnt: ","$",'Level 1'!J520,"  ", 'Level 1'!N520)</f>
        <v>Pt Id:698 Pt Name: NESBY , TANISHA DOS: 10-23-2021   Amnt: $249.2  Note</v>
      </c>
      <c r="B520" s="43" t="str">
        <f>CONCATENATE("Detail: ",'Level 1'!N520,"  ",'Level 1'!O520,TEXT('Level 1'!P520,"  mm-dd-yyyy"),";"," ",'Level 1'!Q520,'Level 1'!R520,"  ",'Level 1'!T520," ","Payment "," ",'Level 1'!U520,"  ",'Level 1'!V520,"  ",'Level 1'!W520,"  ",'Level 1'!X520,"  ",'Level 1'!Z520, "  ",'Level 1'!AA520, " ","Insurance: ",'Level 1'!A520)</f>
        <v>Detail: Note  Q1  01-00-1900; Q2   Payment  Q4    Q5    Additional Notes:   Insurance: DPOW-CCHP</v>
      </c>
      <c r="C520" s="60" t="str">
        <f>'Level 1'!Y520</f>
        <v>Action</v>
      </c>
      <c r="D520" s="44" t="str">
        <f>VLOOKUP(C520,Table2[#All],3,FALSE)</f>
        <v>What we need from you/Reason</v>
      </c>
      <c r="E520" s="75" t="s">
        <v>199</v>
      </c>
      <c r="F520" s="96"/>
      <c r="G520" s="97"/>
    </row>
    <row r="521" spans="1:7" ht="21" x14ac:dyDescent="0.25">
      <c r="A521" s="43" t="str">
        <f>CONCATENATE("Pt Id:",'Level 1'!E521," ","Pt Name: ",'Level 1'!F521," ","DOS: ", TEXT('Level 1'!H521,"mm-dd-yyyy"),"  "," Amnt: ","$",'Level 1'!J521,"  ", 'Level 1'!N521)</f>
        <v>Pt Id:5257 Pt Name: Hay, Theodore D DOS: 10-23-2021   Amnt: $594.4  Note</v>
      </c>
      <c r="B521" s="43" t="str">
        <f>CONCATENATE("Detail: ",'Level 1'!N521,"  ",'Level 1'!O521,TEXT('Level 1'!P521,"  mm-dd-yyyy"),";"," ",'Level 1'!Q521,'Level 1'!R521,"  ",'Level 1'!T521," ","Payment "," ",'Level 1'!U521,"  ",'Level 1'!V521,"  ",'Level 1'!W521,"  ",'Level 1'!X521,"  ",'Level 1'!Z521, "  ",'Level 1'!AA521, " ","Insurance: ",'Level 1'!A521)</f>
        <v>Detail: Note  Q1  01-00-1900; Q2   Payment  Q4    Q5    Additional Notes:   Insurance: DPOW-CCHP</v>
      </c>
      <c r="C521" s="60" t="str">
        <f>'Level 1'!Y521</f>
        <v>Action</v>
      </c>
      <c r="D521" s="44" t="str">
        <f>VLOOKUP(C521,Table2[#All],3,FALSE)</f>
        <v>What we need from you/Reason</v>
      </c>
      <c r="E521" s="75" t="s">
        <v>199</v>
      </c>
      <c r="F521" s="96"/>
      <c r="G521" s="97"/>
    </row>
    <row r="522" spans="1:7" ht="21" x14ac:dyDescent="0.25">
      <c r="A522" s="43" t="str">
        <f>CONCATENATE("Pt Id:",'Level 1'!E522," ","Pt Name: ",'Level 1'!F522," ","DOS: ", TEXT('Level 1'!H522,"mm-dd-yyyy"),"  "," Amnt: ","$",'Level 1'!J522,"  ", 'Level 1'!N522)</f>
        <v>Pt Id:7874 Pt Name: Valle , Angel  DOS: 10-23-2021   Amnt: $278.4  Note</v>
      </c>
      <c r="B522" s="43" t="str">
        <f>CONCATENATE("Detail: ",'Level 1'!N522,"  ",'Level 1'!O522,TEXT('Level 1'!P522,"  mm-dd-yyyy"),";"," ",'Level 1'!Q522,'Level 1'!R522,"  ",'Level 1'!T522," ","Payment "," ",'Level 1'!U522,"  ",'Level 1'!V522,"  ",'Level 1'!W522,"  ",'Level 1'!X522,"  ",'Level 1'!Z522, "  ",'Level 1'!AA522, " ","Insurance: ",'Level 1'!A522)</f>
        <v>Detail: Note  Q1  01-00-1900; Q2   Payment  Q4    Q5    Additional Notes:   Insurance: DPOW-CCHP</v>
      </c>
      <c r="C522" s="60" t="str">
        <f>'Level 1'!Y522</f>
        <v>Action</v>
      </c>
      <c r="D522" s="44" t="str">
        <f>VLOOKUP(C522,Table2[#All],3,FALSE)</f>
        <v>What we need from you/Reason</v>
      </c>
      <c r="E522" s="75" t="s">
        <v>199</v>
      </c>
      <c r="F522" s="96"/>
      <c r="G522" s="97"/>
    </row>
    <row r="523" spans="1:7" ht="21" x14ac:dyDescent="0.25">
      <c r="A523" s="43" t="str">
        <f>CONCATENATE("Pt Id:",'Level 1'!E523," ","Pt Name: ",'Level 1'!F523," ","DOS: ", TEXT('Level 1'!H523,"mm-dd-yyyy"),"  "," Amnt: ","$",'Level 1'!J523,"  ", 'Level 1'!N523)</f>
        <v>Pt Id:8118 Pt Name: Gonzales, Monica  DOS: 10-23-2021   Amnt: $114  Note</v>
      </c>
      <c r="B523" s="43" t="str">
        <f>CONCATENATE("Detail: ",'Level 1'!N523,"  ",'Level 1'!O523,TEXT('Level 1'!P523,"  mm-dd-yyyy"),";"," ",'Level 1'!Q523,'Level 1'!R523,"  ",'Level 1'!T523," ","Payment "," ",'Level 1'!U523,"  ",'Level 1'!V523,"  ",'Level 1'!W523,"  ",'Level 1'!X523,"  ",'Level 1'!Z523, "  ",'Level 1'!AA523, " ","Insurance: ",'Level 1'!A523)</f>
        <v>Detail: Note  Q1  01-00-1900; Q2   Payment  Q4    Q5    Additional Notes:   Insurance: DPOW-CCHP</v>
      </c>
      <c r="C523" s="60" t="str">
        <f>'Level 1'!Y523</f>
        <v>Action</v>
      </c>
      <c r="D523" s="44" t="str">
        <f>VLOOKUP(C523,Table2[#All],3,FALSE)</f>
        <v>What we need from you/Reason</v>
      </c>
      <c r="E523" s="75" t="s">
        <v>199</v>
      </c>
      <c r="F523" s="96"/>
      <c r="G523" s="97"/>
    </row>
    <row r="524" spans="1:7" ht="42" x14ac:dyDescent="0.25">
      <c r="A524" s="43" t="str">
        <f>CONCATENATE("Pt Id:",'Level 1'!E524," ","Pt Name: ",'Level 1'!F524," ","DOS: ", TEXT('Level 1'!H524,"mm-dd-yyyy"),"  "," Amnt: ","$",'Level 1'!J524,"  ", 'Level 1'!N524)</f>
        <v>Pt Id:8045 Pt Name: Rembalski, Yamilet DOS: 10-23-2021   Amnt: $205.2  Note</v>
      </c>
      <c r="B524" s="43" t="str">
        <f>CONCATENATE("Detail: ",'Level 1'!N524,"  ",'Level 1'!O524,TEXT('Level 1'!P524,"  mm-dd-yyyy"),";"," ",'Level 1'!Q524,'Level 1'!R524,"  ",'Level 1'!T524," ","Payment "," ",'Level 1'!U524,"  ",'Level 1'!V524,"  ",'Level 1'!W524,"  ",'Level 1'!X524,"  ",'Level 1'!Z524, "  ",'Level 1'!AA524, " ","Insurance: ",'Level 1'!A524)</f>
        <v>Detail: Note  Q1  01-00-1900; Q2   Payment  Q4    Q5    Additional Notes:   Insurance: DPOW-CCHP</v>
      </c>
      <c r="C524" s="60" t="str">
        <f>'Level 1'!Y524</f>
        <v>Action</v>
      </c>
      <c r="D524" s="44" t="str">
        <f>VLOOKUP(C524,Table2[#All],3,FALSE)</f>
        <v>What we need from you/Reason</v>
      </c>
      <c r="E524" s="75" t="s">
        <v>199</v>
      </c>
      <c r="F524" s="96"/>
      <c r="G524" s="97"/>
    </row>
    <row r="525" spans="1:7" ht="42" x14ac:dyDescent="0.25">
      <c r="A525" s="43" t="str">
        <f>CONCATENATE("Pt Id:",'Level 1'!E525," ","Pt Name: ",'Level 1'!F525," ","DOS: ", TEXT('Level 1'!H525,"mm-dd-yyyy"),"  "," Amnt: ","$",'Level 1'!J525,"  ", 'Level 1'!N525)</f>
        <v>Pt Id:7746 Pt Name: Guadalupe Febre, Jesus DOS: 10-23-2021   Amnt: $316  Note</v>
      </c>
      <c r="B525" s="43" t="str">
        <f>CONCATENATE("Detail: ",'Level 1'!N525,"  ",'Level 1'!O525,TEXT('Level 1'!P525,"  mm-dd-yyyy"),";"," ",'Level 1'!Q525,'Level 1'!R525,"  ",'Level 1'!T525," ","Payment "," ",'Level 1'!U525,"  ",'Level 1'!V525,"  ",'Level 1'!W525,"  ",'Level 1'!X525,"  ",'Level 1'!Z525, "  ",'Level 1'!AA525, " ","Insurance: ",'Level 1'!A525)</f>
        <v>Detail: Note  Q1  01-00-1900; Q2   Payment  Q4    Q5    Additional Notes:   Insurance: DPOW-CCHP</v>
      </c>
      <c r="C525" s="60" t="str">
        <f>'Level 1'!Y525</f>
        <v>Action</v>
      </c>
      <c r="D525" s="44" t="str">
        <f>VLOOKUP(C525,Table2[#All],3,FALSE)</f>
        <v>What we need from you/Reason</v>
      </c>
      <c r="E525" s="75" t="s">
        <v>199</v>
      </c>
      <c r="F525" s="96"/>
      <c r="G525" s="97"/>
    </row>
    <row r="526" spans="1:7" ht="21" x14ac:dyDescent="0.25">
      <c r="A526" s="43" t="str">
        <f>CONCATENATE("Pt Id:",'Level 1'!E526," ","Pt Name: ",'Level 1'!F526," ","DOS: ", TEXT('Level 1'!H526,"mm-dd-yyyy"),"  "," Amnt: ","$",'Level 1'!J526,"  ", 'Level 1'!N526)</f>
        <v>Pt Id:3707 Pt Name: LENTINI, SONJA  DOS: 10-22-2021   Amnt: $88.8  Note</v>
      </c>
      <c r="B526" s="43" t="str">
        <f>CONCATENATE("Detail: ",'Level 1'!N526,"  ",'Level 1'!O526,TEXT('Level 1'!P526,"  mm-dd-yyyy"),";"," ",'Level 1'!Q526,'Level 1'!R526,"  ",'Level 1'!T526," ","Payment "," ",'Level 1'!U526,"  ",'Level 1'!V526,"  ",'Level 1'!W526,"  ",'Level 1'!X526,"  ",'Level 1'!Z526, "  ",'Level 1'!AA526, " ","Insurance: ",'Level 1'!A526)</f>
        <v>Detail: Note  Q1  01-00-1900; Q2   Payment  Q4    Q5    Additional Notes:   Insurance: DPOW-CCHP</v>
      </c>
      <c r="C526" s="60" t="str">
        <f>'Level 1'!Y526</f>
        <v>Action</v>
      </c>
      <c r="D526" s="44" t="str">
        <f>VLOOKUP(C526,Table2[#All],3,FALSE)</f>
        <v>What we need from you/Reason</v>
      </c>
      <c r="E526" s="75" t="s">
        <v>199</v>
      </c>
      <c r="F526" s="96"/>
      <c r="G526" s="97"/>
    </row>
    <row r="527" spans="1:7" ht="42" x14ac:dyDescent="0.25">
      <c r="A527" s="43" t="str">
        <f>CONCATENATE("Pt Id:",'Level 1'!E527," ","Pt Name: ",'Level 1'!F527," ","DOS: ", TEXT('Level 1'!H527,"mm-dd-yyyy"),"  "," Amnt: ","$",'Level 1'!J527,"  ", 'Level 1'!N527)</f>
        <v>Pt Id:6881 Pt Name: Espino Avalos, Alexander DOS: 10-22-2021   Amnt: $424.4  Note</v>
      </c>
      <c r="B527" s="43" t="str">
        <f>CONCATENATE("Detail: ",'Level 1'!N527,"  ",'Level 1'!O527,TEXT('Level 1'!P527,"  mm-dd-yyyy"),";"," ",'Level 1'!Q527,'Level 1'!R527,"  ",'Level 1'!T527," ","Payment "," ",'Level 1'!U527,"  ",'Level 1'!V527,"  ",'Level 1'!W527,"  ",'Level 1'!X527,"  ",'Level 1'!Z527, "  ",'Level 1'!AA527, " ","Insurance: ",'Level 1'!A527)</f>
        <v>Detail: Note  Q1  01-00-1900; Q2   Payment  Q4    Q5    Additional Notes:   Insurance: DPOW-CCHP</v>
      </c>
      <c r="C527" s="60" t="str">
        <f>'Level 1'!Y527</f>
        <v>Action</v>
      </c>
      <c r="D527" s="44" t="str">
        <f>VLOOKUP(C527,Table2[#All],3,FALSE)</f>
        <v>What we need from you/Reason</v>
      </c>
      <c r="E527" s="75" t="s">
        <v>199</v>
      </c>
      <c r="F527" s="96"/>
      <c r="G527" s="97"/>
    </row>
    <row r="528" spans="1:7" ht="21" x14ac:dyDescent="0.25">
      <c r="A528" s="43" t="str">
        <f>CONCATENATE("Pt Id:",'Level 1'!E528," ","Pt Name: ",'Level 1'!F528," ","DOS: ", TEXT('Level 1'!H528,"mm-dd-yyyy"),"  "," Amnt: ","$",'Level 1'!J528,"  ", 'Level 1'!N528)</f>
        <v>Pt Id:474 Pt Name: Podoba, Sheri DOS: 10-26-2021   Amnt: $266  Note</v>
      </c>
      <c r="B528" s="43" t="str">
        <f>CONCATENATE("Detail: ",'Level 1'!N528,"  ",'Level 1'!O528,TEXT('Level 1'!P528,"  mm-dd-yyyy"),";"," ",'Level 1'!Q528,'Level 1'!R528,"  ",'Level 1'!T528," ","Payment "," ",'Level 1'!U528,"  ",'Level 1'!V528,"  ",'Level 1'!W528,"  ",'Level 1'!X528,"  ",'Level 1'!Z528, "  ",'Level 1'!AA528, " ","Insurance: ",'Level 1'!A528)</f>
        <v>Detail: Note  Q1  01-00-1900; Q2   Payment  Q4    Q5    Additional Notes:   Insurance: DPOW-CCHP</v>
      </c>
      <c r="C528" s="60" t="str">
        <f>'Level 1'!Y528</f>
        <v>Action</v>
      </c>
      <c r="D528" s="44" t="str">
        <f>VLOOKUP(C528,Table2[#All],3,FALSE)</f>
        <v>What we need from you/Reason</v>
      </c>
      <c r="E528" s="75" t="s">
        <v>199</v>
      </c>
      <c r="F528" s="96"/>
      <c r="G528" s="97"/>
    </row>
    <row r="529" spans="1:7" ht="21" x14ac:dyDescent="0.25">
      <c r="A529" s="43" t="str">
        <f>CONCATENATE("Pt Id:",'Level 1'!E529," ","Pt Name: ",'Level 1'!F529," ","DOS: ", TEXT('Level 1'!H529,"mm-dd-yyyy"),"  "," Amnt: ","$",'Level 1'!J529,"  ", 'Level 1'!N529)</f>
        <v>Pt Id:8275 Pt Name: Quiroz , Nolen  DOS: 10-21-2021   Amnt: $470  Note</v>
      </c>
      <c r="B529" s="43" t="str">
        <f>CONCATENATE("Detail: ",'Level 1'!N529,"  ",'Level 1'!O529,TEXT('Level 1'!P529,"  mm-dd-yyyy"),";"," ",'Level 1'!Q529,'Level 1'!R529,"  ",'Level 1'!T529," ","Payment "," ",'Level 1'!U529,"  ",'Level 1'!V529,"  ",'Level 1'!W529,"  ",'Level 1'!X529,"  ",'Level 1'!Z529, "  ",'Level 1'!AA529, " ","Insurance: ",'Level 1'!A529)</f>
        <v>Detail: Note  Q1  01-00-1900; Q2   Payment  Q4    Q5    Additional Notes:   Insurance: DPOW-CCHP</v>
      </c>
      <c r="C529" s="60" t="str">
        <f>'Level 1'!Y529</f>
        <v>Action</v>
      </c>
      <c r="D529" s="44" t="str">
        <f>VLOOKUP(C529,Table2[#All],3,FALSE)</f>
        <v>What we need from you/Reason</v>
      </c>
      <c r="E529" s="75" t="s">
        <v>199</v>
      </c>
      <c r="F529" s="96"/>
      <c r="G529" s="97"/>
    </row>
    <row r="530" spans="1:7" ht="21" x14ac:dyDescent="0.25">
      <c r="A530" s="43" t="str">
        <f>CONCATENATE("Pt Id:",'Level 1'!E530," ","Pt Name: ",'Level 1'!F530," ","DOS: ", TEXT('Level 1'!H530,"mm-dd-yyyy"),"  "," Amnt: ","$",'Level 1'!J530,"  ", 'Level 1'!N530)</f>
        <v>Pt Id:7833 Pt Name: Candelaria, Jariel  DOS: 10-20-2021   Amnt: $432  Note</v>
      </c>
      <c r="B530" s="43" t="str">
        <f>CONCATENATE("Detail: ",'Level 1'!N530,"  ",'Level 1'!O530,TEXT('Level 1'!P530,"  mm-dd-yyyy"),";"," ",'Level 1'!Q530,'Level 1'!R530,"  ",'Level 1'!T530," ","Payment "," ",'Level 1'!U530,"  ",'Level 1'!V530,"  ",'Level 1'!W530,"  ",'Level 1'!X530,"  ",'Level 1'!Z530, "  ",'Level 1'!AA530, " ","Insurance: ",'Level 1'!A530)</f>
        <v>Detail: Note  Q1  01-00-1900; Q2   Payment  Q4    Q5    Additional Notes:   Insurance: DPOW-CCHP</v>
      </c>
      <c r="C530" s="60" t="str">
        <f>'Level 1'!Y530</f>
        <v>Action</v>
      </c>
      <c r="D530" s="44" t="str">
        <f>VLOOKUP(C530,Table2[#All],3,FALSE)</f>
        <v>What we need from you/Reason</v>
      </c>
      <c r="E530" s="75" t="s">
        <v>199</v>
      </c>
      <c r="F530" s="96"/>
      <c r="G530" s="97"/>
    </row>
    <row r="531" spans="1:7" ht="21" x14ac:dyDescent="0.25">
      <c r="A531" s="43" t="str">
        <f>CONCATENATE("Pt Id:",'Level 1'!E531," ","Pt Name: ",'Level 1'!F531," ","DOS: ", TEXT('Level 1'!H531,"mm-dd-yyyy"),"  "," Amnt: ","$",'Level 1'!J531,"  ", 'Level 1'!N531)</f>
        <v>Pt Id:8218 Pt Name: Uribe , Jose  DOS: 10-21-2021   Amnt: $332.4  Note</v>
      </c>
      <c r="B531" s="43" t="str">
        <f>CONCATENATE("Detail: ",'Level 1'!N531,"  ",'Level 1'!O531,TEXT('Level 1'!P531,"  mm-dd-yyyy"),";"," ",'Level 1'!Q531,'Level 1'!R531,"  ",'Level 1'!T531," ","Payment "," ",'Level 1'!U531,"  ",'Level 1'!V531,"  ",'Level 1'!W531,"  ",'Level 1'!X531,"  ",'Level 1'!Z531, "  ",'Level 1'!AA531, " ","Insurance: ",'Level 1'!A531)</f>
        <v>Detail: Note  Q1  01-00-1900; Q2   Payment  Q4    Q5    Additional Notes:   Insurance: DPOW-CCHP</v>
      </c>
      <c r="C531" s="60" t="str">
        <f>'Level 1'!Y531</f>
        <v>Action</v>
      </c>
      <c r="D531" s="44" t="str">
        <f>VLOOKUP(C531,Table2[#All],3,FALSE)</f>
        <v>What we need from you/Reason</v>
      </c>
      <c r="E531" s="75" t="s">
        <v>199</v>
      </c>
      <c r="F531" s="96"/>
      <c r="G531" s="97"/>
    </row>
    <row r="532" spans="1:7" ht="21" x14ac:dyDescent="0.25">
      <c r="A532" s="43" t="str">
        <f>CONCATENATE("Pt Id:",'Level 1'!E532," ","Pt Name: ",'Level 1'!F532," ","DOS: ", TEXT('Level 1'!H532,"mm-dd-yyyy"),"  "," Amnt: ","$",'Level 1'!J532,"  ", 'Level 1'!N532)</f>
        <v>Pt Id:6022 Pt Name: Smith, Chazay DOS: 10-21-2021   Amnt: $360  Note</v>
      </c>
      <c r="B532" s="43" t="str">
        <f>CONCATENATE("Detail: ",'Level 1'!N532,"  ",'Level 1'!O532,TEXT('Level 1'!P532,"  mm-dd-yyyy"),";"," ",'Level 1'!Q532,'Level 1'!R532,"  ",'Level 1'!T532," ","Payment "," ",'Level 1'!U532,"  ",'Level 1'!V532,"  ",'Level 1'!W532,"  ",'Level 1'!X532,"  ",'Level 1'!Z532, "  ",'Level 1'!AA532, " ","Insurance: ",'Level 1'!A532)</f>
        <v>Detail: Note  Q1  01-00-1900; Q2   Payment  Q4    Q5    Additional Notes:   Insurance: DPOW-CCHP</v>
      </c>
      <c r="C532" s="60" t="str">
        <f>'Level 1'!Y532</f>
        <v>Action</v>
      </c>
      <c r="D532" s="44" t="str">
        <f>VLOOKUP(C532,Table2[#All],3,FALSE)</f>
        <v>What we need from you/Reason</v>
      </c>
      <c r="E532" s="75" t="s">
        <v>199</v>
      </c>
      <c r="F532" s="96"/>
      <c r="G532" s="97"/>
    </row>
    <row r="533" spans="1:7" ht="42" x14ac:dyDescent="0.25">
      <c r="A533" s="43" t="str">
        <f>CONCATENATE("Pt Id:",'Level 1'!E533," ","Pt Name: ",'Level 1'!F533," ","DOS: ", TEXT('Level 1'!H533,"mm-dd-yyyy"),"  "," Amnt: ","$",'Level 1'!J533,"  ", 'Level 1'!N533)</f>
        <v>Pt Id:7697 Pt Name: Lawreszuk, Krystian DOS: 10-20-2021   Amnt: $268.8  Note</v>
      </c>
      <c r="B533" s="43" t="str">
        <f>CONCATENATE("Detail: ",'Level 1'!N533,"  ",'Level 1'!O533,TEXT('Level 1'!P533,"  mm-dd-yyyy"),";"," ",'Level 1'!Q533,'Level 1'!R533,"  ",'Level 1'!T533," ","Payment "," ",'Level 1'!U533,"  ",'Level 1'!V533,"  ",'Level 1'!W533,"  ",'Level 1'!X533,"  ",'Level 1'!Z533, "  ",'Level 1'!AA533, " ","Insurance: ",'Level 1'!A533)</f>
        <v>Detail: Note  Q1  01-00-1900; Q2   Payment  Q4    Q5    Additional Notes:   Insurance: DPOW-CCHP</v>
      </c>
      <c r="C533" s="60" t="str">
        <f>'Level 1'!Y533</f>
        <v>Action</v>
      </c>
      <c r="D533" s="44" t="str">
        <f>VLOOKUP(C533,Table2[#All],3,FALSE)</f>
        <v>What we need from you/Reason</v>
      </c>
      <c r="E533" s="75" t="s">
        <v>199</v>
      </c>
      <c r="F533" s="96"/>
      <c r="G533" s="97"/>
    </row>
    <row r="534" spans="1:7" ht="42" x14ac:dyDescent="0.25">
      <c r="A534" s="43" t="str">
        <f>CONCATENATE("Pt Id:",'Level 1'!E534," ","Pt Name: ",'Level 1'!F534," ","DOS: ", TEXT('Level 1'!H534,"mm-dd-yyyy"),"  "," Amnt: ","$",'Level 1'!J534,"  ", 'Level 1'!N534)</f>
        <v>Pt Id:6765 Pt Name: Wierzchowski, Stella  DOS: 10-20-2021   Amnt: $227.6  Note</v>
      </c>
      <c r="B534" s="43" t="str">
        <f>CONCATENATE("Detail: ",'Level 1'!N534,"  ",'Level 1'!O534,TEXT('Level 1'!P534,"  mm-dd-yyyy"),";"," ",'Level 1'!Q534,'Level 1'!R534,"  ",'Level 1'!T534," ","Payment "," ",'Level 1'!U534,"  ",'Level 1'!V534,"  ",'Level 1'!W534,"  ",'Level 1'!X534,"  ",'Level 1'!Z534, "  ",'Level 1'!AA534, " ","Insurance: ",'Level 1'!A534)</f>
        <v>Detail: Note  Q1  01-00-1900; Q2   Payment  Q4    Q5    Additional Notes:   Insurance: DPOW-CCHP</v>
      </c>
      <c r="C534" s="60" t="str">
        <f>'Level 1'!Y534</f>
        <v>Action</v>
      </c>
      <c r="D534" s="44" t="str">
        <f>VLOOKUP(C534,Table2[#All],3,FALSE)</f>
        <v>What we need from you/Reason</v>
      </c>
      <c r="E534" s="75" t="s">
        <v>199</v>
      </c>
      <c r="F534" s="96"/>
      <c r="G534" s="97"/>
    </row>
    <row r="535" spans="1:7" ht="21" x14ac:dyDescent="0.25">
      <c r="A535" s="43" t="str">
        <f>CONCATENATE("Pt Id:",'Level 1'!E535," ","Pt Name: ",'Level 1'!F535," ","DOS: ", TEXT('Level 1'!H535,"mm-dd-yyyy"),"  "," Amnt: ","$",'Level 1'!J535,"  ", 'Level 1'!N535)</f>
        <v>Pt Id:4989 Pt Name: THLADI , MAH DOS: 10-19-2021   Amnt: $349.2  Note</v>
      </c>
      <c r="B535" s="43" t="str">
        <f>CONCATENATE("Detail: ",'Level 1'!N535,"  ",'Level 1'!O535,TEXT('Level 1'!P535,"  mm-dd-yyyy"),";"," ",'Level 1'!Q535,'Level 1'!R535,"  ",'Level 1'!T535," ","Payment "," ",'Level 1'!U535,"  ",'Level 1'!V535,"  ",'Level 1'!W535,"  ",'Level 1'!X535,"  ",'Level 1'!Z535, "  ",'Level 1'!AA535, " ","Insurance: ",'Level 1'!A535)</f>
        <v>Detail: Note  Q1  01-00-1900; Q2   Payment  Q4    Q5    Additional Notes:   Insurance: DPOW-CCHP</v>
      </c>
      <c r="C535" s="60" t="str">
        <f>'Level 1'!Y535</f>
        <v>Action</v>
      </c>
      <c r="D535" s="44" t="str">
        <f>VLOOKUP(C535,Table2[#All],3,FALSE)</f>
        <v>What we need from you/Reason</v>
      </c>
      <c r="E535" s="75" t="s">
        <v>199</v>
      </c>
      <c r="F535" s="96"/>
      <c r="G535" s="97"/>
    </row>
    <row r="536" spans="1:7" ht="21" x14ac:dyDescent="0.25">
      <c r="A536" s="43" t="str">
        <f>CONCATENATE("Pt Id:",'Level 1'!E536," ","Pt Name: ",'Level 1'!F536," ","DOS: ", TEXT('Level 1'!H536,"mm-dd-yyyy"),"  "," Amnt: ","$",'Level 1'!J536,"  ", 'Level 1'!N536)</f>
        <v>Pt Id:8121 Pt Name: Gonzales, Cristina DOS: 10-19-2021   Amnt: $612  Note</v>
      </c>
      <c r="B536" s="43" t="str">
        <f>CONCATENATE("Detail: ",'Level 1'!N536,"  ",'Level 1'!O536,TEXT('Level 1'!P536,"  mm-dd-yyyy"),";"," ",'Level 1'!Q536,'Level 1'!R536,"  ",'Level 1'!T536," ","Payment "," ",'Level 1'!U536,"  ",'Level 1'!V536,"  ",'Level 1'!W536,"  ",'Level 1'!X536,"  ",'Level 1'!Z536, "  ",'Level 1'!AA536, " ","Insurance: ",'Level 1'!A536)</f>
        <v>Detail: Note  Q1  01-00-1900; Q2   Payment  Q4    Q5    Additional Notes:   Insurance: DPOW-CCHP</v>
      </c>
      <c r="C536" s="60" t="str">
        <f>'Level 1'!Y536</f>
        <v>Action</v>
      </c>
      <c r="D536" s="44" t="str">
        <f>VLOOKUP(C536,Table2[#All],3,FALSE)</f>
        <v>What we need from you/Reason</v>
      </c>
      <c r="E536" s="75" t="s">
        <v>199</v>
      </c>
      <c r="F536" s="96"/>
      <c r="G536" s="97"/>
    </row>
    <row r="537" spans="1:7" ht="21" x14ac:dyDescent="0.25">
      <c r="A537" s="43" t="str">
        <f>CONCATENATE("Pt Id:",'Level 1'!E537," ","Pt Name: ",'Level 1'!F537," ","DOS: ", TEXT('Level 1'!H537,"mm-dd-yyyy"),"  "," Amnt: ","$",'Level 1'!J537,"  ", 'Level 1'!N537)</f>
        <v>Pt Id:7896 Pt Name: Peyton, Skylar  DOS: 09-09-2021   Amnt: $256.4  Note</v>
      </c>
      <c r="B537" s="43" t="str">
        <f>CONCATENATE("Detail: ",'Level 1'!N537,"  ",'Level 1'!O537,TEXT('Level 1'!P537,"  mm-dd-yyyy"),";"," ",'Level 1'!Q537,'Level 1'!R537,"  ",'Level 1'!T537," ","Payment "," ",'Level 1'!U537,"  ",'Level 1'!V537,"  ",'Level 1'!W537,"  ",'Level 1'!X537,"  ",'Level 1'!Z537, "  ",'Level 1'!AA537, " ","Insurance: ",'Level 1'!A537)</f>
        <v>Detail: Note  Q1  01-00-1900; Q2   Payment  Q4    Q5    Additional Notes:   Insurance: DPOW-CCHP</v>
      </c>
      <c r="C537" s="60" t="str">
        <f>'Level 1'!Y537</f>
        <v>Action</v>
      </c>
      <c r="D537" s="44" t="str">
        <f>VLOOKUP(C537,Table2[#All],3,FALSE)</f>
        <v>What we need from you/Reason</v>
      </c>
      <c r="E537" s="75" t="s">
        <v>199</v>
      </c>
      <c r="F537" s="96"/>
      <c r="G537" s="97"/>
    </row>
    <row r="538" spans="1:7" ht="21" x14ac:dyDescent="0.25">
      <c r="A538" s="43" t="str">
        <f>CONCATENATE("Pt Id:",'Level 1'!E538," ","Pt Name: ",'Level 1'!F538," ","DOS: ", TEXT('Level 1'!H538,"mm-dd-yyyy"),"  "," Amnt: ","$",'Level 1'!J538,"  ", 'Level 1'!N538)</f>
        <v>Pt Id:36 Pt Name: Vanegas, Arely DOS: 09-09-2021   Amnt: $662.4  Note</v>
      </c>
      <c r="B538" s="43" t="str">
        <f>CONCATENATE("Detail: ",'Level 1'!N538,"  ",'Level 1'!O538,TEXT('Level 1'!P538,"  mm-dd-yyyy"),";"," ",'Level 1'!Q538,'Level 1'!R538,"  ",'Level 1'!T538," ","Payment "," ",'Level 1'!U538,"  ",'Level 1'!V538,"  ",'Level 1'!W538,"  ",'Level 1'!X538,"  ",'Level 1'!Z538, "  ",'Level 1'!AA538, " ","Insurance: ",'Level 1'!A538)</f>
        <v>Detail: Note  Q1  01-00-1900; Q2   Payment  Q4    Q5    Additional Notes:   Insurance: DPOW-CCHP</v>
      </c>
      <c r="C538" s="60" t="str">
        <f>'Level 1'!Y538</f>
        <v>Action</v>
      </c>
      <c r="D538" s="44" t="str">
        <f>VLOOKUP(C538,Table2[#All],3,FALSE)</f>
        <v>What we need from you/Reason</v>
      </c>
      <c r="E538" s="75" t="s">
        <v>199</v>
      </c>
      <c r="F538" s="96"/>
      <c r="G538" s="97"/>
    </row>
    <row r="539" spans="1:7" ht="21" x14ac:dyDescent="0.25">
      <c r="A539" s="43" t="str">
        <f>CONCATENATE("Pt Id:",'Level 1'!E539," ","Pt Name: ",'Level 1'!F539," ","DOS: ", TEXT('Level 1'!H539,"mm-dd-yyyy"),"  "," Amnt: ","$",'Level 1'!J539,"  ", 'Level 1'!N539)</f>
        <v>Pt Id:7765 Pt Name: Garcia, Alejandra DOS: 10-18-2021   Amnt: $159.6  Note</v>
      </c>
      <c r="B539" s="43" t="str">
        <f>CONCATENATE("Detail: ",'Level 1'!N539,"  ",'Level 1'!O539,TEXT('Level 1'!P539,"  mm-dd-yyyy"),";"," ",'Level 1'!Q539,'Level 1'!R539,"  ",'Level 1'!T539," ","Payment "," ",'Level 1'!U539,"  ",'Level 1'!V539,"  ",'Level 1'!W539,"  ",'Level 1'!X539,"  ",'Level 1'!Z539, "  ",'Level 1'!AA539, " ","Insurance: ",'Level 1'!A539)</f>
        <v>Detail: Note  Q1  01-00-1900; Q2   Payment  Q4    Q5    Additional Notes:   Insurance: DPOW-CCHP</v>
      </c>
      <c r="C539" s="60" t="str">
        <f>'Level 1'!Y539</f>
        <v>Action</v>
      </c>
      <c r="D539" s="44" t="str">
        <f>VLOOKUP(C539,Table2[#All],3,FALSE)</f>
        <v>What we need from you/Reason</v>
      </c>
      <c r="E539" s="75" t="s">
        <v>199</v>
      </c>
      <c r="F539" s="96"/>
      <c r="G539" s="97"/>
    </row>
    <row r="540" spans="1:7" ht="21" x14ac:dyDescent="0.25">
      <c r="A540" s="43" t="str">
        <f>CONCATENATE("Pt Id:",'Level 1'!E540," ","Pt Name: ",'Level 1'!F540," ","DOS: ", TEXT('Level 1'!H540,"mm-dd-yyyy"),"  "," Amnt: ","$",'Level 1'!J540,"  ", 'Level 1'!N540)</f>
        <v>Pt Id:1434 Pt Name: Bentley, Jessica DOS: 10-18-2021   Amnt: $1670.4  Note</v>
      </c>
      <c r="B540" s="43" t="str">
        <f>CONCATENATE("Detail: ",'Level 1'!N540,"  ",'Level 1'!O540,TEXT('Level 1'!P540,"  mm-dd-yyyy"),";"," ",'Level 1'!Q540,'Level 1'!R540,"  ",'Level 1'!T540," ","Payment "," ",'Level 1'!U540,"  ",'Level 1'!V540,"  ",'Level 1'!W540,"  ",'Level 1'!X540,"  ",'Level 1'!Z540, "  ",'Level 1'!AA540, " ","Insurance: ",'Level 1'!A540)</f>
        <v>Detail: Note  Q1  01-00-1900; Q2   Payment  Q4    Q5    Additional Notes:   Insurance: DPOW-CCHP</v>
      </c>
      <c r="C540" s="60" t="str">
        <f>'Level 1'!Y540</f>
        <v>Action</v>
      </c>
      <c r="D540" s="44" t="str">
        <f>VLOOKUP(C540,Table2[#All],3,FALSE)</f>
        <v>What we need from you/Reason</v>
      </c>
      <c r="E540" s="75" t="s">
        <v>199</v>
      </c>
      <c r="F540" s="96"/>
      <c r="G540" s="97"/>
    </row>
    <row r="541" spans="1:7" ht="21" x14ac:dyDescent="0.25">
      <c r="A541" s="43" t="str">
        <f>CONCATENATE("Pt Id:",'Level 1'!E541," ","Pt Name: ",'Level 1'!F541," ","DOS: ", TEXT('Level 1'!H541,"mm-dd-yyyy"),"  "," Amnt: ","$",'Level 1'!J541,"  ", 'Level 1'!N541)</f>
        <v>Pt Id:8027 Pt Name: Fudeh , Saleh DOS: 10-18-2021   Amnt: $782.8  Note</v>
      </c>
      <c r="B541" s="43" t="str">
        <f>CONCATENATE("Detail: ",'Level 1'!N541,"  ",'Level 1'!O541,TEXT('Level 1'!P541,"  mm-dd-yyyy"),";"," ",'Level 1'!Q541,'Level 1'!R541,"  ",'Level 1'!T541," ","Payment "," ",'Level 1'!U541,"  ",'Level 1'!V541,"  ",'Level 1'!W541,"  ",'Level 1'!X541,"  ",'Level 1'!Z541, "  ",'Level 1'!AA541, " ","Insurance: ",'Level 1'!A541)</f>
        <v>Detail: Note  Q1  01-00-1900; Q2   Payment  Q4    Q5    Additional Notes:   Insurance: DPOW-CCHP</v>
      </c>
      <c r="C541" s="60" t="str">
        <f>'Level 1'!Y541</f>
        <v>Action</v>
      </c>
      <c r="D541" s="44" t="str">
        <f>VLOOKUP(C541,Table2[#All],3,FALSE)</f>
        <v>What we need from you/Reason</v>
      </c>
      <c r="E541" s="75" t="s">
        <v>199</v>
      </c>
      <c r="F541" s="96"/>
      <c r="G541" s="97"/>
    </row>
    <row r="542" spans="1:7" ht="42" x14ac:dyDescent="0.25">
      <c r="A542" s="43" t="str">
        <f>CONCATENATE("Pt Id:",'Level 1'!E542," ","Pt Name: ",'Level 1'!F542," ","DOS: ", TEXT('Level 1'!H542,"mm-dd-yyyy"),"  "," Amnt: ","$",'Level 1'!J542,"  ", 'Level 1'!N542)</f>
        <v>Pt Id:8227 Pt Name: Santiago Cervan, Alondra  DOS: 10-15-2021   Amnt: $850  Note</v>
      </c>
      <c r="B542" s="43" t="str">
        <f>CONCATENATE("Detail: ",'Level 1'!N542,"  ",'Level 1'!O542,TEXT('Level 1'!P542,"  mm-dd-yyyy"),";"," ",'Level 1'!Q542,'Level 1'!R542,"  ",'Level 1'!T542," ","Payment "," ",'Level 1'!U542,"  ",'Level 1'!V542,"  ",'Level 1'!W542,"  ",'Level 1'!X542,"  ",'Level 1'!Z542, "  ",'Level 1'!AA542, " ","Insurance: ",'Level 1'!A542)</f>
        <v>Detail: Note  Q1  01-00-1900; Q2   Payment  Q4    Q5    Additional Notes:   Insurance: DPOW-CCHP</v>
      </c>
      <c r="C542" s="60" t="str">
        <f>'Level 1'!Y542</f>
        <v>Action</v>
      </c>
      <c r="D542" s="44" t="str">
        <f>VLOOKUP(C542,Table2[#All],3,FALSE)</f>
        <v>What we need from you/Reason</v>
      </c>
      <c r="E542" s="75" t="s">
        <v>199</v>
      </c>
      <c r="F542" s="96"/>
      <c r="G542" s="97"/>
    </row>
    <row r="543" spans="1:7" ht="21" x14ac:dyDescent="0.25">
      <c r="A543" s="43" t="str">
        <f>CONCATENATE("Pt Id:",'Level 1'!E543," ","Pt Name: ",'Level 1'!F543," ","DOS: ", TEXT('Level 1'!H543,"mm-dd-yyyy"),"  "," Amnt: ","$",'Level 1'!J543,"  ", 'Level 1'!N543)</f>
        <v>Pt Id:124 Pt Name: Zwickey, Sara DOS: 10-15-2021   Amnt: $646.8  Note</v>
      </c>
      <c r="B543" s="43" t="str">
        <f>CONCATENATE("Detail: ",'Level 1'!N543,"  ",'Level 1'!O543,TEXT('Level 1'!P543,"  mm-dd-yyyy"),";"," ",'Level 1'!Q543,'Level 1'!R543,"  ",'Level 1'!T543," ","Payment "," ",'Level 1'!U543,"  ",'Level 1'!V543,"  ",'Level 1'!W543,"  ",'Level 1'!X543,"  ",'Level 1'!Z543, "  ",'Level 1'!AA543, " ","Insurance: ",'Level 1'!A543)</f>
        <v>Detail: Note  Q1  01-00-1900; Q2   Payment  Q4    Q5    Additional Notes:   Insurance: DPOW-CCHP</v>
      </c>
      <c r="C543" s="60" t="str">
        <f>'Level 1'!Y543</f>
        <v>Action</v>
      </c>
      <c r="D543" s="44" t="str">
        <f>VLOOKUP(C543,Table2[#All],3,FALSE)</f>
        <v>What we need from you/Reason</v>
      </c>
      <c r="E543" s="75" t="s">
        <v>199</v>
      </c>
      <c r="F543" s="96"/>
      <c r="G543" s="97"/>
    </row>
    <row r="544" spans="1:7" ht="42" x14ac:dyDescent="0.25">
      <c r="A544" s="43" t="str">
        <f>CONCATENATE("Pt Id:",'Level 1'!E544," ","Pt Name: ",'Level 1'!F544," ","DOS: ", TEXT('Level 1'!H544,"mm-dd-yyyy"),"  "," Amnt: ","$",'Level 1'!J544,"  ", 'Level 1'!N544)</f>
        <v>Pt Id:3848 Pt Name: ALFOQAHA, KARAM DOS: 10-14-2021   Amnt: $182.8  Note</v>
      </c>
      <c r="B544" s="43" t="str">
        <f>CONCATENATE("Detail: ",'Level 1'!N544,"  ",'Level 1'!O544,TEXT('Level 1'!P544,"  mm-dd-yyyy"),";"," ",'Level 1'!Q544,'Level 1'!R544,"  ",'Level 1'!T544," ","Payment "," ",'Level 1'!U544,"  ",'Level 1'!V544,"  ",'Level 1'!W544,"  ",'Level 1'!X544,"  ",'Level 1'!Z544, "  ",'Level 1'!AA544, " ","Insurance: ",'Level 1'!A544)</f>
        <v>Detail: Note  Q1  01-00-1900; Q2   Payment  Q4    Q5    Additional Notes:   Insurance: DPOW-CCHP</v>
      </c>
      <c r="C544" s="60" t="str">
        <f>'Level 1'!Y544</f>
        <v>Action</v>
      </c>
      <c r="D544" s="44" t="str">
        <f>VLOOKUP(C544,Table2[#All],3,FALSE)</f>
        <v>What we need from you/Reason</v>
      </c>
      <c r="E544" s="75" t="s">
        <v>199</v>
      </c>
      <c r="F544" s="96"/>
      <c r="G544" s="97"/>
    </row>
    <row r="545" spans="1:7" ht="21" x14ac:dyDescent="0.25">
      <c r="A545" s="43" t="str">
        <f>CONCATENATE("Pt Id:",'Level 1'!E545," ","Pt Name: ",'Level 1'!F545," ","DOS: ", TEXT('Level 1'!H545,"mm-dd-yyyy"),"  "," Amnt: ","$",'Level 1'!J545,"  ", 'Level 1'!N545)</f>
        <v>Pt Id:8207 Pt Name: Lopez, Christian DOS: 10-14-2021   Amnt: $253.2  Note</v>
      </c>
      <c r="B545" s="43" t="str">
        <f>CONCATENATE("Detail: ",'Level 1'!N545,"  ",'Level 1'!O545,TEXT('Level 1'!P545,"  mm-dd-yyyy"),";"," ",'Level 1'!Q545,'Level 1'!R545,"  ",'Level 1'!T545," ","Payment "," ",'Level 1'!U545,"  ",'Level 1'!V545,"  ",'Level 1'!W545,"  ",'Level 1'!X545,"  ",'Level 1'!Z545, "  ",'Level 1'!AA545, " ","Insurance: ",'Level 1'!A545)</f>
        <v>Detail: Note  Q1  01-00-1900; Q2   Payment  Q4    Q5    Additional Notes:   Insurance: DPOW-CCHP</v>
      </c>
      <c r="C545" s="60" t="str">
        <f>'Level 1'!Y545</f>
        <v>Action</v>
      </c>
      <c r="D545" s="44" t="str">
        <f>VLOOKUP(C545,Table2[#All],3,FALSE)</f>
        <v>What we need from you/Reason</v>
      </c>
      <c r="E545" s="75" t="s">
        <v>199</v>
      </c>
      <c r="F545" s="96"/>
      <c r="G545" s="97"/>
    </row>
    <row r="546" spans="1:7" ht="21" x14ac:dyDescent="0.25">
      <c r="A546" s="43" t="str">
        <f>CONCATENATE("Pt Id:",'Level 1'!E546," ","Pt Name: ",'Level 1'!F546," ","DOS: ", TEXT('Level 1'!H546,"mm-dd-yyyy"),"  "," Amnt: ","$",'Level 1'!J546,"  ", 'Level 1'!N546)</f>
        <v>Pt Id:4772 Pt Name: Hamed , Malik  DOS: 10-13-2021   Amnt: $227.6  Note</v>
      </c>
      <c r="B546" s="43" t="str">
        <f>CONCATENATE("Detail: ",'Level 1'!N546,"  ",'Level 1'!O546,TEXT('Level 1'!P546,"  mm-dd-yyyy"),";"," ",'Level 1'!Q546,'Level 1'!R546,"  ",'Level 1'!T546," ","Payment "," ",'Level 1'!U546,"  ",'Level 1'!V546,"  ",'Level 1'!W546,"  ",'Level 1'!X546,"  ",'Level 1'!Z546, "  ",'Level 1'!AA546, " ","Insurance: ",'Level 1'!A546)</f>
        <v>Detail: Note  Q1  01-00-1900; Q2   Payment  Q4    Q5    Additional Notes:   Insurance: DPOW-CCHP</v>
      </c>
      <c r="C546" s="60" t="str">
        <f>'Level 1'!Y546</f>
        <v>Action</v>
      </c>
      <c r="D546" s="44" t="str">
        <f>VLOOKUP(C546,Table2[#All],3,FALSE)</f>
        <v>What we need from you/Reason</v>
      </c>
      <c r="E546" s="75" t="s">
        <v>199</v>
      </c>
      <c r="F546" s="96"/>
      <c r="G546" s="97"/>
    </row>
    <row r="547" spans="1:7" ht="21" x14ac:dyDescent="0.25">
      <c r="A547" s="43" t="str">
        <f>CONCATENATE("Pt Id:",'Level 1'!E547," ","Pt Name: ",'Level 1'!F547," ","DOS: ", TEXT('Level 1'!H547,"mm-dd-yyyy"),"  "," Amnt: ","$",'Level 1'!J547,"  ", 'Level 1'!N547)</f>
        <v>Pt Id:8219 Pt Name: Nyun , Aung  DOS: 10-13-2021   Amnt: $486  Note</v>
      </c>
      <c r="B547" s="43" t="str">
        <f>CONCATENATE("Detail: ",'Level 1'!N547,"  ",'Level 1'!O547,TEXT('Level 1'!P547,"  mm-dd-yyyy"),";"," ",'Level 1'!Q547,'Level 1'!R547,"  ",'Level 1'!T547," ","Payment "," ",'Level 1'!U547,"  ",'Level 1'!V547,"  ",'Level 1'!W547,"  ",'Level 1'!X547,"  ",'Level 1'!Z547, "  ",'Level 1'!AA547, " ","Insurance: ",'Level 1'!A547)</f>
        <v>Detail: Note  Q1  01-00-1900; Q2   Payment  Q4    Q5    Additional Notes:   Insurance: DPOW-CCHP</v>
      </c>
      <c r="C547" s="60" t="str">
        <f>'Level 1'!Y547</f>
        <v>Action</v>
      </c>
      <c r="D547" s="44" t="str">
        <f>VLOOKUP(C547,Table2[#All],3,FALSE)</f>
        <v>What we need from you/Reason</v>
      </c>
      <c r="E547" s="75" t="s">
        <v>199</v>
      </c>
      <c r="F547" s="96"/>
      <c r="G547" s="97"/>
    </row>
    <row r="548" spans="1:7" ht="21" x14ac:dyDescent="0.25">
      <c r="A548" s="43" t="str">
        <f>CONCATENATE("Pt Id:",'Level 1'!E548," ","Pt Name: ",'Level 1'!F548," ","DOS: ", TEXT('Level 1'!H548,"mm-dd-yyyy"),"  "," Amnt: ","$",'Level 1'!J548,"  ", 'Level 1'!N548)</f>
        <v>Pt Id:8039 Pt Name: Kindred, Latesha DOS: 10-13-2021   Amnt: $506.4  Note</v>
      </c>
      <c r="B548" s="43" t="str">
        <f>CONCATENATE("Detail: ",'Level 1'!N548,"  ",'Level 1'!O548,TEXT('Level 1'!P548,"  mm-dd-yyyy"),";"," ",'Level 1'!Q548,'Level 1'!R548,"  ",'Level 1'!T548," ","Payment "," ",'Level 1'!U548,"  ",'Level 1'!V548,"  ",'Level 1'!W548,"  ",'Level 1'!X548,"  ",'Level 1'!Z548, "  ",'Level 1'!AA548, " ","Insurance: ",'Level 1'!A548)</f>
        <v>Detail: Note  Q1  01-00-1900; Q2   Payment  Q4    Q5    Additional Notes:   Insurance: DPOW-CCHP</v>
      </c>
      <c r="C548" s="60" t="str">
        <f>'Level 1'!Y548</f>
        <v>Action</v>
      </c>
      <c r="D548" s="44" t="str">
        <f>VLOOKUP(C548,Table2[#All],3,FALSE)</f>
        <v>What we need from you/Reason</v>
      </c>
      <c r="E548" s="75" t="s">
        <v>199</v>
      </c>
      <c r="F548" s="96"/>
      <c r="G548" s="97"/>
    </row>
    <row r="549" spans="1:7" ht="21" x14ac:dyDescent="0.25">
      <c r="A549" s="43" t="str">
        <f>CONCATENATE("Pt Id:",'Level 1'!E549," ","Pt Name: ",'Level 1'!F549," ","DOS: ", TEXT('Level 1'!H549,"mm-dd-yyyy"),"  "," Amnt: ","$",'Level 1'!J549,"  ", 'Level 1'!N549)</f>
        <v>Pt Id:1093 Pt Name: Hamed, Salma DOS: 10-13-2021   Amnt: $227.6  Note</v>
      </c>
      <c r="B549" s="43" t="str">
        <f>CONCATENATE("Detail: ",'Level 1'!N549,"  ",'Level 1'!O549,TEXT('Level 1'!P549,"  mm-dd-yyyy"),";"," ",'Level 1'!Q549,'Level 1'!R549,"  ",'Level 1'!T549," ","Payment "," ",'Level 1'!U549,"  ",'Level 1'!V549,"  ",'Level 1'!W549,"  ",'Level 1'!X549,"  ",'Level 1'!Z549, "  ",'Level 1'!AA549, " ","Insurance: ",'Level 1'!A549)</f>
        <v>Detail: Note  Q1  01-00-1900; Q2   Payment  Q4    Q5    Additional Notes:   Insurance: DPOW-CCHP</v>
      </c>
      <c r="C549" s="60" t="str">
        <f>'Level 1'!Y549</f>
        <v>Action</v>
      </c>
      <c r="D549" s="44" t="str">
        <f>VLOOKUP(C549,Table2[#All],3,FALSE)</f>
        <v>What we need from you/Reason</v>
      </c>
      <c r="E549" s="75" t="s">
        <v>199</v>
      </c>
      <c r="F549" s="96"/>
      <c r="G549" s="97"/>
    </row>
    <row r="550" spans="1:7" ht="21" x14ac:dyDescent="0.25">
      <c r="A550" s="43" t="str">
        <f>CONCATENATE("Pt Id:",'Level 1'!E550," ","Pt Name: ",'Level 1'!F550," ","DOS: ", TEXT('Level 1'!H550,"mm-dd-yyyy"),"  "," Amnt: ","$",'Level 1'!J550,"  ", 'Level 1'!N550)</f>
        <v>Pt Id:8214 Pt Name: Villa, Jaquelin  DOS: 10-13-2021   Amnt: $332.4  Note</v>
      </c>
      <c r="B550" s="43" t="str">
        <f>CONCATENATE("Detail: ",'Level 1'!N550,"  ",'Level 1'!O550,TEXT('Level 1'!P550,"  mm-dd-yyyy"),";"," ",'Level 1'!Q550,'Level 1'!R550,"  ",'Level 1'!T550," ","Payment "," ",'Level 1'!U550,"  ",'Level 1'!V550,"  ",'Level 1'!W550,"  ",'Level 1'!X550,"  ",'Level 1'!Z550, "  ",'Level 1'!AA550, " ","Insurance: ",'Level 1'!A550)</f>
        <v>Detail: Note  Q1  01-00-1900; Q2   Payment  Q4    Q5    Additional Notes:   Insurance: DPOW-CCHP</v>
      </c>
      <c r="C550" s="60" t="str">
        <f>'Level 1'!Y550</f>
        <v>Action</v>
      </c>
      <c r="D550" s="44" t="str">
        <f>VLOOKUP(C550,Table2[#All],3,FALSE)</f>
        <v>What we need from you/Reason</v>
      </c>
      <c r="E550" s="75" t="s">
        <v>199</v>
      </c>
      <c r="F550" s="96"/>
      <c r="G550" s="97"/>
    </row>
    <row r="551" spans="1:7" ht="21" x14ac:dyDescent="0.25">
      <c r="A551" s="43" t="str">
        <f>CONCATENATE("Pt Id:",'Level 1'!E551," ","Pt Name: ",'Level 1'!F551," ","DOS: ", TEXT('Level 1'!H551,"mm-dd-yyyy"),"  "," Amnt: ","$",'Level 1'!J551,"  ", 'Level 1'!N551)</f>
        <v>Pt Id:2358 Pt Name: Murphy, Carter DOS: 09-13-2021   Amnt: $244.4  Note</v>
      </c>
      <c r="B551" s="43" t="str">
        <f>CONCATENATE("Detail: ",'Level 1'!N551,"  ",'Level 1'!O551,TEXT('Level 1'!P551,"  mm-dd-yyyy"),";"," ",'Level 1'!Q551,'Level 1'!R551,"  ",'Level 1'!T551," ","Payment "," ",'Level 1'!U551,"  ",'Level 1'!V551,"  ",'Level 1'!W551,"  ",'Level 1'!X551,"  ",'Level 1'!Z551, "  ",'Level 1'!AA551, " ","Insurance: ",'Level 1'!A551)</f>
        <v>Detail: Note  Q1  01-00-1900; Q2   Payment  Q4    Q5    Additional Notes:   Insurance: DPOW-CCHP</v>
      </c>
      <c r="C551" s="60" t="str">
        <f>'Level 1'!Y551</f>
        <v>Action</v>
      </c>
      <c r="D551" s="44" t="str">
        <f>VLOOKUP(C551,Table2[#All],3,FALSE)</f>
        <v>What we need from you/Reason</v>
      </c>
      <c r="E551" s="75" t="s">
        <v>199</v>
      </c>
      <c r="F551" s="96"/>
      <c r="G551" s="97"/>
    </row>
    <row r="552" spans="1:7" ht="21" x14ac:dyDescent="0.25">
      <c r="A552" s="43" t="str">
        <f>CONCATENATE("Pt Id:",'Level 1'!E552," ","Pt Name: ",'Level 1'!F552," ","DOS: ", TEXT('Level 1'!H552,"mm-dd-yyyy"),"  "," Amnt: ","$",'Level 1'!J552,"  ", 'Level 1'!N552)</f>
        <v>Pt Id:8207 Pt Name: Lopez, Christian DOS: 10-12-2021   Amnt: $451.2  Note</v>
      </c>
      <c r="B552" s="43" t="str">
        <f>CONCATENATE("Detail: ",'Level 1'!N552,"  ",'Level 1'!O552,TEXT('Level 1'!P552,"  mm-dd-yyyy"),";"," ",'Level 1'!Q552,'Level 1'!R552,"  ",'Level 1'!T552," ","Payment "," ",'Level 1'!U552,"  ",'Level 1'!V552,"  ",'Level 1'!W552,"  ",'Level 1'!X552,"  ",'Level 1'!Z552, "  ",'Level 1'!AA552, " ","Insurance: ",'Level 1'!A552)</f>
        <v>Detail: Note  Q1  01-00-1900; Q2   Payment  Q4    Q5    Additional Notes:   Insurance: DPOW-CCHP</v>
      </c>
      <c r="C552" s="60" t="str">
        <f>'Level 1'!Y552</f>
        <v>Action</v>
      </c>
      <c r="D552" s="44" t="str">
        <f>VLOOKUP(C552,Table2[#All],3,FALSE)</f>
        <v>What we need from you/Reason</v>
      </c>
      <c r="E552" s="75" t="s">
        <v>199</v>
      </c>
      <c r="F552" s="96"/>
      <c r="G552" s="97"/>
    </row>
    <row r="553" spans="1:7" ht="21" x14ac:dyDescent="0.25">
      <c r="A553" s="43" t="str">
        <f>CONCATENATE("Pt Id:",'Level 1'!E553," ","Pt Name: ",'Level 1'!F553," ","DOS: ", TEXT('Level 1'!H553,"mm-dd-yyyy"),"  "," Amnt: ","$",'Level 1'!J553,"  ", 'Level 1'!N553)</f>
        <v>Pt Id:6238 Pt Name: Mayer, Derrick DOS: 10-08-2021   Amnt: $266  Note</v>
      </c>
      <c r="B553" s="43" t="str">
        <f>CONCATENATE("Detail: ",'Level 1'!N553,"  ",'Level 1'!O553,TEXT('Level 1'!P553,"  mm-dd-yyyy"),";"," ",'Level 1'!Q553,'Level 1'!R553,"  ",'Level 1'!T553," ","Payment "," ",'Level 1'!U553,"  ",'Level 1'!V553,"  ",'Level 1'!W553,"  ",'Level 1'!X553,"  ",'Level 1'!Z553, "  ",'Level 1'!AA553, " ","Insurance: ",'Level 1'!A553)</f>
        <v>Detail: Note  Q1  01-00-1900; Q2   Payment  Q4    Q5    Additional Notes:   Insurance: DPOW-CCHP</v>
      </c>
      <c r="C553" s="60" t="str">
        <f>'Level 1'!Y553</f>
        <v>Action</v>
      </c>
      <c r="D553" s="44" t="str">
        <f>VLOOKUP(C553,Table2[#All],3,FALSE)</f>
        <v>What we need from you/Reason</v>
      </c>
      <c r="E553" s="75" t="s">
        <v>199</v>
      </c>
      <c r="F553" s="96"/>
      <c r="G553" s="97"/>
    </row>
    <row r="554" spans="1:7" ht="21" x14ac:dyDescent="0.25">
      <c r="A554" s="43" t="str">
        <f>CONCATENATE("Pt Id:",'Level 1'!E554," ","Pt Name: ",'Level 1'!F554," ","DOS: ", TEXT('Level 1'!H554,"mm-dd-yyyy"),"  "," Amnt: ","$",'Level 1'!J554,"  ", 'Level 1'!N554)</f>
        <v>Pt Id:6237 Pt Name: Mayer, Errick  DOS: 10-08-2021   Amnt: $266  Note</v>
      </c>
      <c r="B554" s="43" t="str">
        <f>CONCATENATE("Detail: ",'Level 1'!N554,"  ",'Level 1'!O554,TEXT('Level 1'!P554,"  mm-dd-yyyy"),";"," ",'Level 1'!Q554,'Level 1'!R554,"  ",'Level 1'!T554," ","Payment "," ",'Level 1'!U554,"  ",'Level 1'!V554,"  ",'Level 1'!W554,"  ",'Level 1'!X554,"  ",'Level 1'!Z554, "  ",'Level 1'!AA554, " ","Insurance: ",'Level 1'!A554)</f>
        <v>Detail: Note  Q1  01-00-1900; Q2   Payment  Q4    Q5    Additional Notes:   Insurance: DPOW-CCHP</v>
      </c>
      <c r="C554" s="60" t="str">
        <f>'Level 1'!Y554</f>
        <v>Action</v>
      </c>
      <c r="D554" s="44" t="str">
        <f>VLOOKUP(C554,Table2[#All],3,FALSE)</f>
        <v>What we need from you/Reason</v>
      </c>
      <c r="E554" s="75" t="s">
        <v>199</v>
      </c>
      <c r="F554" s="96"/>
      <c r="G554" s="97"/>
    </row>
    <row r="555" spans="1:7" ht="21" x14ac:dyDescent="0.25">
      <c r="A555" s="43" t="str">
        <f>CONCATENATE("Pt Id:",'Level 1'!E555," ","Pt Name: ",'Level 1'!F555," ","DOS: ", TEXT('Level 1'!H555,"mm-dd-yyyy"),"  "," Amnt: ","$",'Level 1'!J555,"  ", 'Level 1'!N555)</f>
        <v>Pt Id:6236 Pt Name: Mayer, Devon DOS: 10-08-2021   Amnt: $266  Note</v>
      </c>
      <c r="B555" s="43" t="str">
        <f>CONCATENATE("Detail: ",'Level 1'!N555,"  ",'Level 1'!O555,TEXT('Level 1'!P555,"  mm-dd-yyyy"),";"," ",'Level 1'!Q555,'Level 1'!R555,"  ",'Level 1'!T555," ","Payment "," ",'Level 1'!U555,"  ",'Level 1'!V555,"  ",'Level 1'!W555,"  ",'Level 1'!X555,"  ",'Level 1'!Z555, "  ",'Level 1'!AA555, " ","Insurance: ",'Level 1'!A555)</f>
        <v>Detail: Note  Q1  01-00-1900; Q2   Payment  Q4    Q5    Additional Notes:   Insurance: DPOW-CCHP</v>
      </c>
      <c r="C555" s="60" t="str">
        <f>'Level 1'!Y555</f>
        <v>Action</v>
      </c>
      <c r="D555" s="44" t="str">
        <f>VLOOKUP(C555,Table2[#All],3,FALSE)</f>
        <v>What we need from you/Reason</v>
      </c>
      <c r="E555" s="75" t="s">
        <v>199</v>
      </c>
      <c r="F555" s="96"/>
      <c r="G555" s="97"/>
    </row>
    <row r="556" spans="1:7" ht="21" x14ac:dyDescent="0.25">
      <c r="A556" s="43" t="str">
        <f>CONCATENATE("Pt Id:",'Level 1'!E556," ","Pt Name: ",'Level 1'!F556," ","DOS: ", TEXT('Level 1'!H556,"mm-dd-yyyy"),"  "," Amnt: ","$",'Level 1'!J556,"  ", 'Level 1'!N556)</f>
        <v>Pt Id:6830 Pt Name: Hlim , Thiang DOS: 10-08-2021   Amnt: $244.8  Note</v>
      </c>
      <c r="B556" s="43" t="str">
        <f>CONCATENATE("Detail: ",'Level 1'!N556,"  ",'Level 1'!O556,TEXT('Level 1'!P556,"  mm-dd-yyyy"),";"," ",'Level 1'!Q556,'Level 1'!R556,"  ",'Level 1'!T556," ","Payment "," ",'Level 1'!U556,"  ",'Level 1'!V556,"  ",'Level 1'!W556,"  ",'Level 1'!X556,"  ",'Level 1'!Z556, "  ",'Level 1'!AA556, " ","Insurance: ",'Level 1'!A556)</f>
        <v>Detail: Note  Q1  01-00-1900; Q2   Payment  Q4    Q5    Additional Notes:   Insurance: DPOW-CCHP</v>
      </c>
      <c r="C556" s="60" t="str">
        <f>'Level 1'!Y556</f>
        <v>Action</v>
      </c>
      <c r="D556" s="44" t="str">
        <f>VLOOKUP(C556,Table2[#All],3,FALSE)</f>
        <v>What we need from you/Reason</v>
      </c>
      <c r="E556" s="75" t="s">
        <v>199</v>
      </c>
      <c r="F556" s="96"/>
      <c r="G556" s="97"/>
    </row>
    <row r="557" spans="1:7" ht="42" x14ac:dyDescent="0.25">
      <c r="A557" s="43" t="str">
        <f>CONCATENATE("Pt Id:",'Level 1'!E557," ","Pt Name: ",'Level 1'!F557," ","DOS: ", TEXT('Level 1'!H557,"mm-dd-yyyy"),"  "," Amnt: ","$",'Level 1'!J557,"  ", 'Level 1'!N557)</f>
        <v>Pt Id:7680 Pt Name: Peterson, Angelina DOS: 10-08-2021   Amnt: $332.4  Note</v>
      </c>
      <c r="B557" s="43" t="str">
        <f>CONCATENATE("Detail: ",'Level 1'!N557,"  ",'Level 1'!O557,TEXT('Level 1'!P557,"  mm-dd-yyyy"),";"," ",'Level 1'!Q557,'Level 1'!R557,"  ",'Level 1'!T557," ","Payment "," ",'Level 1'!U557,"  ",'Level 1'!V557,"  ",'Level 1'!W557,"  ",'Level 1'!X557,"  ",'Level 1'!Z557, "  ",'Level 1'!AA557, " ","Insurance: ",'Level 1'!A557)</f>
        <v>Detail: Note  Q1  01-00-1900; Q2   Payment  Q4    Q5    Additional Notes:   Insurance: DPOW-CCHP</v>
      </c>
      <c r="C557" s="60" t="str">
        <f>'Level 1'!Y557</f>
        <v>Action</v>
      </c>
      <c r="D557" s="44" t="str">
        <f>VLOOKUP(C557,Table2[#All],3,FALSE)</f>
        <v>What we need from you/Reason</v>
      </c>
      <c r="E557" s="75" t="s">
        <v>199</v>
      </c>
      <c r="F557" s="96"/>
      <c r="G557" s="97"/>
    </row>
    <row r="558" spans="1:7" ht="21" x14ac:dyDescent="0.25">
      <c r="A558" s="43" t="str">
        <f>CONCATENATE("Pt Id:",'Level 1'!E558," ","Pt Name: ",'Level 1'!F558," ","DOS: ", TEXT('Level 1'!H558,"mm-dd-yyyy"),"  "," Amnt: ","$",'Level 1'!J558,"  ", 'Level 1'!N558)</f>
        <v>Pt Id:7842 Pt Name: Wilson, Garrett DOS: 10-07-2021   Amnt: $374.4  Note</v>
      </c>
      <c r="B558" s="43" t="str">
        <f>CONCATENATE("Detail: ",'Level 1'!N558,"  ",'Level 1'!O558,TEXT('Level 1'!P558,"  mm-dd-yyyy"),";"," ",'Level 1'!Q558,'Level 1'!R558,"  ",'Level 1'!T558," ","Payment "," ",'Level 1'!U558,"  ",'Level 1'!V558,"  ",'Level 1'!W558,"  ",'Level 1'!X558,"  ",'Level 1'!Z558, "  ",'Level 1'!AA558, " ","Insurance: ",'Level 1'!A558)</f>
        <v>Detail: Note  Q1  01-00-1900; Q2   Payment  Q4    Q5    Additional Notes:   Insurance: DPOW-CCHP</v>
      </c>
      <c r="C558" s="60" t="str">
        <f>'Level 1'!Y558</f>
        <v>Action</v>
      </c>
      <c r="D558" s="44" t="str">
        <f>VLOOKUP(C558,Table2[#All],3,FALSE)</f>
        <v>What we need from you/Reason</v>
      </c>
      <c r="E558" s="75" t="s">
        <v>199</v>
      </c>
      <c r="F558" s="96"/>
      <c r="G558" s="97"/>
    </row>
    <row r="559" spans="1:7" ht="21" x14ac:dyDescent="0.25">
      <c r="A559" s="43" t="str">
        <f>CONCATENATE("Pt Id:",'Level 1'!E559," ","Pt Name: ",'Level 1'!F559," ","DOS: ", TEXT('Level 1'!H559,"mm-dd-yyyy"),"  "," Amnt: ","$",'Level 1'!J559,"  ", 'Level 1'!N559)</f>
        <v>Pt Id:5147 Pt Name: Penkalski , Angela  DOS: 10-06-2021   Amnt: $114  Note</v>
      </c>
      <c r="B559" s="43" t="str">
        <f>CONCATENATE("Detail: ",'Level 1'!N559,"  ",'Level 1'!O559,TEXT('Level 1'!P559,"  mm-dd-yyyy"),";"," ",'Level 1'!Q559,'Level 1'!R559,"  ",'Level 1'!T559," ","Payment "," ",'Level 1'!U559,"  ",'Level 1'!V559,"  ",'Level 1'!W559,"  ",'Level 1'!X559,"  ",'Level 1'!Z559, "  ",'Level 1'!AA559, " ","Insurance: ",'Level 1'!A559)</f>
        <v>Detail: Note  Q1  01-00-1900; Q2   Payment  Q4    Q5    Additional Notes:   Insurance: DPOW-CCHP</v>
      </c>
      <c r="C559" s="60" t="str">
        <f>'Level 1'!Y559</f>
        <v>Action</v>
      </c>
      <c r="D559" s="44" t="str">
        <f>VLOOKUP(C559,Table2[#All],3,FALSE)</f>
        <v>What we need from you/Reason</v>
      </c>
      <c r="E559" s="75" t="s">
        <v>199</v>
      </c>
      <c r="F559" s="96"/>
      <c r="G559" s="97"/>
    </row>
    <row r="560" spans="1:7" ht="21" x14ac:dyDescent="0.25">
      <c r="A560" s="43" t="str">
        <f>CONCATENATE("Pt Id:",'Level 1'!E560," ","Pt Name: ",'Level 1'!F560," ","DOS: ", TEXT('Level 1'!H560,"mm-dd-yyyy"),"  "," Amnt: ","$",'Level 1'!J560,"  ", 'Level 1'!N560)</f>
        <v>Pt Id:4841 Pt Name: Nunez, Jose DOS: 09-30-2021   Amnt: $250.8  Note</v>
      </c>
      <c r="B560" s="43" t="str">
        <f>CONCATENATE("Detail: ",'Level 1'!N560,"  ",'Level 1'!O560,TEXT('Level 1'!P560,"  mm-dd-yyyy"),";"," ",'Level 1'!Q560,'Level 1'!R560,"  ",'Level 1'!T560," ","Payment "," ",'Level 1'!U560,"  ",'Level 1'!V560,"  ",'Level 1'!W560,"  ",'Level 1'!X560,"  ",'Level 1'!Z560, "  ",'Level 1'!AA560, " ","Insurance: ",'Level 1'!A560)</f>
        <v>Detail: Note  Q1  01-00-1900; Q2   Payment  Q4    Q5    Additional Notes:   Insurance: DPOW-CCHP</v>
      </c>
      <c r="C560" s="60" t="str">
        <f>'Level 1'!Y560</f>
        <v>Action</v>
      </c>
      <c r="D560" s="44" t="str">
        <f>VLOOKUP(C560,Table2[#All],3,FALSE)</f>
        <v>What we need from you/Reason</v>
      </c>
      <c r="E560" s="75" t="s">
        <v>199</v>
      </c>
      <c r="F560" s="96"/>
      <c r="G560" s="97"/>
    </row>
    <row r="561" spans="1:7" ht="21" x14ac:dyDescent="0.25">
      <c r="A561" s="43" t="str">
        <f>CONCATENATE("Pt Id:",'Level 1'!E561," ","Pt Name: ",'Level 1'!F561," ","DOS: ", TEXT('Level 1'!H561,"mm-dd-yyyy"),"  "," Amnt: ","$",'Level 1'!J561,"  ", 'Level 1'!N561)</f>
        <v>Pt Id:36 Pt Name: Vanegas, Arely DOS: 09-28-2021   Amnt: $520  Note</v>
      </c>
      <c r="B561" s="43" t="str">
        <f>CONCATENATE("Detail: ",'Level 1'!N561,"  ",'Level 1'!O561,TEXT('Level 1'!P561,"  mm-dd-yyyy"),";"," ",'Level 1'!Q561,'Level 1'!R561,"  ",'Level 1'!T561," ","Payment "," ",'Level 1'!U561,"  ",'Level 1'!V561,"  ",'Level 1'!W561,"  ",'Level 1'!X561,"  ",'Level 1'!Z561, "  ",'Level 1'!AA561, " ","Insurance: ",'Level 1'!A561)</f>
        <v>Detail: Note  Q1  01-00-1900; Q2   Payment  Q4    Q5    Additional Notes:   Insurance: DPOW-CCHP</v>
      </c>
      <c r="C561" s="60" t="str">
        <f>'Level 1'!Y561</f>
        <v>Action</v>
      </c>
      <c r="D561" s="44" t="str">
        <f>VLOOKUP(C561,Table2[#All],3,FALSE)</f>
        <v>What we need from you/Reason</v>
      </c>
      <c r="E561" s="75" t="s">
        <v>199</v>
      </c>
      <c r="F561" s="96"/>
      <c r="G561" s="97"/>
    </row>
    <row r="562" spans="1:7" ht="21" x14ac:dyDescent="0.25">
      <c r="A562" s="43" t="str">
        <f>CONCATENATE("Pt Id:",'Level 1'!E562," ","Pt Name: ",'Level 1'!F562," ","DOS: ", TEXT('Level 1'!H562,"mm-dd-yyyy"),"  "," Amnt: ","$",'Level 1'!J562,"  ", 'Level 1'!N562)</f>
        <v>Pt Id:4538 Pt Name: Mitchell, Damiya  DOS: 09-24-2021   Amnt: $466.8  Note</v>
      </c>
      <c r="B562" s="43" t="str">
        <f>CONCATENATE("Detail: ",'Level 1'!N562,"  ",'Level 1'!O562,TEXT('Level 1'!P562,"  mm-dd-yyyy"),";"," ",'Level 1'!Q562,'Level 1'!R562,"  ",'Level 1'!T562," ","Payment "," ",'Level 1'!U562,"  ",'Level 1'!V562,"  ",'Level 1'!W562,"  ",'Level 1'!X562,"  ",'Level 1'!Z562, "  ",'Level 1'!AA562, " ","Insurance: ",'Level 1'!A562)</f>
        <v>Detail: Note  Q1  01-00-1900; Q2   Payment  Q4    Q5    Additional Notes:   Insurance: DPOW-CCHP</v>
      </c>
      <c r="C562" s="60" t="str">
        <f>'Level 1'!Y562</f>
        <v>Action</v>
      </c>
      <c r="D562" s="44" t="str">
        <f>VLOOKUP(C562,Table2[#All],3,FALSE)</f>
        <v>What we need from you/Reason</v>
      </c>
      <c r="E562" s="75" t="s">
        <v>199</v>
      </c>
      <c r="F562" s="96"/>
      <c r="G562" s="97"/>
    </row>
    <row r="563" spans="1:7" ht="21" x14ac:dyDescent="0.25">
      <c r="A563" s="43" t="str">
        <f>CONCATENATE("Pt Id:",'Level 1'!E563," ","Pt Name: ",'Level 1'!F563," ","DOS: ", TEXT('Level 1'!H563,"mm-dd-yyyy"),"  "," Amnt: ","$",'Level 1'!J563,"  ", 'Level 1'!N563)</f>
        <v>Pt Id:7281 Pt Name: Mcclendon, Kayla DOS: 09-08-2021   Amnt: $170.4  Note</v>
      </c>
      <c r="B563" s="43" t="str">
        <f>CONCATENATE("Detail: ",'Level 1'!N563,"  ",'Level 1'!O563,TEXT('Level 1'!P563,"  mm-dd-yyyy"),";"," ",'Level 1'!Q563,'Level 1'!R563,"  ",'Level 1'!T563," ","Payment "," ",'Level 1'!U563,"  ",'Level 1'!V563,"  ",'Level 1'!W563,"  ",'Level 1'!X563,"  ",'Level 1'!Z563, "  ",'Level 1'!AA563, " ","Insurance: ",'Level 1'!A563)</f>
        <v>Detail: Note  Q1  01-00-1900; Q2   Payment  Q4    Q5    Additional Notes:   Insurance: DPOW-CCHP</v>
      </c>
      <c r="C563" s="60" t="str">
        <f>'Level 1'!Y563</f>
        <v>Action</v>
      </c>
      <c r="D563" s="44" t="str">
        <f>VLOOKUP(C563,Table2[#All],3,FALSE)</f>
        <v>What we need from you/Reason</v>
      </c>
      <c r="E563" s="75" t="s">
        <v>199</v>
      </c>
      <c r="F563" s="96"/>
      <c r="G563" s="97"/>
    </row>
    <row r="564" spans="1:7" ht="21" x14ac:dyDescent="0.25">
      <c r="A564" s="43" t="str">
        <f>CONCATENATE("Pt Id:",'Level 1'!E564," ","Pt Name: ",'Level 1'!F564," ","DOS: ", TEXT('Level 1'!H564,"mm-dd-yyyy"),"  "," Amnt: ","$",'Level 1'!J564,"  ", 'Level 1'!N564)</f>
        <v>Pt Id:6163 Pt Name: Ramirez, Liliana  DOS: 09-18-2021   Amnt: $266  Note</v>
      </c>
      <c r="B564" s="43" t="str">
        <f>CONCATENATE("Detail: ",'Level 1'!N564,"  ",'Level 1'!O564,TEXT('Level 1'!P564,"  mm-dd-yyyy"),";"," ",'Level 1'!Q564,'Level 1'!R564,"  ",'Level 1'!T564," ","Payment "," ",'Level 1'!U564,"  ",'Level 1'!V564,"  ",'Level 1'!W564,"  ",'Level 1'!X564,"  ",'Level 1'!Z564, "  ",'Level 1'!AA564, " ","Insurance: ",'Level 1'!A564)</f>
        <v>Detail: Note  Q1  01-00-1900; Q2   Payment  Q4    Q5    Additional Notes:   Insurance: DPOW-CCHP</v>
      </c>
      <c r="C564" s="60" t="str">
        <f>'Level 1'!Y564</f>
        <v>Action</v>
      </c>
      <c r="D564" s="44" t="str">
        <f>VLOOKUP(C564,Table2[#All],3,FALSE)</f>
        <v>What we need from you/Reason</v>
      </c>
      <c r="E564" s="75" t="s">
        <v>199</v>
      </c>
      <c r="F564" s="96"/>
      <c r="G564" s="97"/>
    </row>
    <row r="565" spans="1:7" ht="21" x14ac:dyDescent="0.25">
      <c r="A565" s="43" t="str">
        <f>CONCATENATE("Pt Id:",'Level 1'!E565," ","Pt Name: ",'Level 1'!F565," ","DOS: ", TEXT('Level 1'!H565,"mm-dd-yyyy"),"  "," Amnt: ","$",'Level 1'!J565,"  ", 'Level 1'!N565)</f>
        <v>Pt Id:6867 Pt Name: Edwards, Shania  DOS: 09-17-2021   Amnt: $218.4  Note</v>
      </c>
      <c r="B565" s="43" t="str">
        <f>CONCATENATE("Detail: ",'Level 1'!N565,"  ",'Level 1'!O565,TEXT('Level 1'!P565,"  mm-dd-yyyy"),";"," ",'Level 1'!Q565,'Level 1'!R565,"  ",'Level 1'!T565," ","Payment "," ",'Level 1'!U565,"  ",'Level 1'!V565,"  ",'Level 1'!W565,"  ",'Level 1'!X565,"  ",'Level 1'!Z565, "  ",'Level 1'!AA565, " ","Insurance: ",'Level 1'!A565)</f>
        <v>Detail: Note  Q1  01-00-1900; Q2   Payment  Q4    Q5    Additional Notes:   Insurance: DPOW-CCHP</v>
      </c>
      <c r="C565" s="60" t="str">
        <f>'Level 1'!Y565</f>
        <v>Action</v>
      </c>
      <c r="D565" s="44" t="str">
        <f>VLOOKUP(C565,Table2[#All],3,FALSE)</f>
        <v>What we need from you/Reason</v>
      </c>
      <c r="E565" s="75" t="s">
        <v>199</v>
      </c>
      <c r="F565" s="96"/>
      <c r="G565" s="97"/>
    </row>
    <row r="566" spans="1:7" ht="42" x14ac:dyDescent="0.25">
      <c r="A566" s="43" t="str">
        <f>CONCATENATE("Pt Id:",'Level 1'!E566," ","Pt Name: ",'Level 1'!F566," ","DOS: ", TEXT('Level 1'!H566,"mm-dd-yyyy"),"  "," Amnt: ","$",'Level 1'!J566,"  ", 'Level 1'!N566)</f>
        <v>Pt Id:7983 Pt Name: Sconzert , Jennifer DOS: 09-17-2021   Amnt: $302.4  Note</v>
      </c>
      <c r="B566" s="43" t="str">
        <f>CONCATENATE("Detail: ",'Level 1'!N566,"  ",'Level 1'!O566,TEXT('Level 1'!P566,"  mm-dd-yyyy"),";"," ",'Level 1'!Q566,'Level 1'!R566,"  ",'Level 1'!T566," ","Payment "," ",'Level 1'!U566,"  ",'Level 1'!V566,"  ",'Level 1'!W566,"  ",'Level 1'!X566,"  ",'Level 1'!Z566, "  ",'Level 1'!AA566, " ","Insurance: ",'Level 1'!A566)</f>
        <v>Detail: Note  Q1  01-00-1900; Q2   Payment  Q4    Q5    Additional Notes:   Insurance: DPOW-CCHP</v>
      </c>
      <c r="C566" s="60" t="str">
        <f>'Level 1'!Y566</f>
        <v>Action</v>
      </c>
      <c r="D566" s="44" t="str">
        <f>VLOOKUP(C566,Table2[#All],3,FALSE)</f>
        <v>What we need from you/Reason</v>
      </c>
      <c r="E566" s="75" t="s">
        <v>199</v>
      </c>
      <c r="F566" s="96"/>
      <c r="G566" s="97"/>
    </row>
    <row r="567" spans="1:7" ht="21" x14ac:dyDescent="0.25">
      <c r="A567" s="43" t="str">
        <f>CONCATENATE("Pt Id:",'Level 1'!E567," ","Pt Name: ",'Level 1'!F567," ","DOS: ", TEXT('Level 1'!H567,"mm-dd-yyyy"),"  "," Amnt: ","$",'Level 1'!J567,"  ", 'Level 1'!N567)</f>
        <v>Pt Id:7981 Pt Name: Sconzert, Jada DOS: 09-16-2021   Amnt: $507.6  Note</v>
      </c>
      <c r="B567" s="43" t="str">
        <f>CONCATENATE("Detail: ",'Level 1'!N567,"  ",'Level 1'!O567,TEXT('Level 1'!P567,"  mm-dd-yyyy"),";"," ",'Level 1'!Q567,'Level 1'!R567,"  ",'Level 1'!T567," ","Payment "," ",'Level 1'!U567,"  ",'Level 1'!V567,"  ",'Level 1'!W567,"  ",'Level 1'!X567,"  ",'Level 1'!Z567, "  ",'Level 1'!AA567, " ","Insurance: ",'Level 1'!A567)</f>
        <v>Detail: Note  Q1  01-00-1900; Q2   Payment  Q4    Q5    Additional Notes:   Insurance: DPOW-CCHP</v>
      </c>
      <c r="C567" s="60" t="str">
        <f>'Level 1'!Y567</f>
        <v>Action</v>
      </c>
      <c r="D567" s="44" t="str">
        <f>VLOOKUP(C567,Table2[#All],3,FALSE)</f>
        <v>What we need from you/Reason</v>
      </c>
      <c r="E567" s="75" t="s">
        <v>199</v>
      </c>
      <c r="F567" s="96"/>
      <c r="G567" s="97"/>
    </row>
    <row r="568" spans="1:7" ht="21" x14ac:dyDescent="0.25">
      <c r="A568" s="43" t="str">
        <f>CONCATENATE("Pt Id:",'Level 1'!E568," ","Pt Name: ",'Level 1'!F568," ","DOS: ", TEXT('Level 1'!H568,"mm-dd-yyyy"),"  "," Amnt: ","$",'Level 1'!J568,"  ", 'Level 1'!N568)</f>
        <v>Pt Id:7478 Pt Name: Wallace , Abel  DOS: 09-15-2021   Amnt: $432  Note</v>
      </c>
      <c r="B568" s="43" t="str">
        <f>CONCATENATE("Detail: ",'Level 1'!N568,"  ",'Level 1'!O568,TEXT('Level 1'!P568,"  mm-dd-yyyy"),";"," ",'Level 1'!Q568,'Level 1'!R568,"  ",'Level 1'!T568," ","Payment "," ",'Level 1'!U568,"  ",'Level 1'!V568,"  ",'Level 1'!W568,"  ",'Level 1'!X568,"  ",'Level 1'!Z568, "  ",'Level 1'!AA568, " ","Insurance: ",'Level 1'!A568)</f>
        <v>Detail: Note  Q1  01-00-1900; Q2   Payment  Q4    Q5    Additional Notes:   Insurance: DPOW-CCHP</v>
      </c>
      <c r="C568" s="60" t="str">
        <f>'Level 1'!Y568</f>
        <v>Action</v>
      </c>
      <c r="D568" s="44" t="str">
        <f>VLOOKUP(C568,Table2[#All],3,FALSE)</f>
        <v>What we need from you/Reason</v>
      </c>
      <c r="E568" s="75" t="s">
        <v>199</v>
      </c>
      <c r="F568" s="96"/>
      <c r="G568" s="97"/>
    </row>
    <row r="569" spans="1:7" ht="21" x14ac:dyDescent="0.25">
      <c r="A569" s="43" t="str">
        <f>CONCATENATE("Pt Id:",'Level 1'!E569," ","Pt Name: ",'Level 1'!F569," ","DOS: ", TEXT('Level 1'!H569,"mm-dd-yyyy"),"  "," Amnt: ","$",'Level 1'!J569,"  ", 'Level 1'!N569)</f>
        <v>Pt Id:1191 Pt Name: Copado, Carina DOS: 09-14-2021   Amnt: $1006.8  Note</v>
      </c>
      <c r="B569" s="43" t="str">
        <f>CONCATENATE("Detail: ",'Level 1'!N569,"  ",'Level 1'!O569,TEXT('Level 1'!P569,"  mm-dd-yyyy"),";"," ",'Level 1'!Q569,'Level 1'!R569,"  ",'Level 1'!T569," ","Payment "," ",'Level 1'!U569,"  ",'Level 1'!V569,"  ",'Level 1'!W569,"  ",'Level 1'!X569,"  ",'Level 1'!Z569, "  ",'Level 1'!AA569, " ","Insurance: ",'Level 1'!A569)</f>
        <v>Detail: Note  Q1  01-00-1900; Q2   Payment  Q4    Q5    Additional Notes:   Insurance: DPOW-CCHP</v>
      </c>
      <c r="C569" s="60" t="str">
        <f>'Level 1'!Y569</f>
        <v>Action</v>
      </c>
      <c r="D569" s="44" t="str">
        <f>VLOOKUP(C569,Table2[#All],3,FALSE)</f>
        <v>What we need from you/Reason</v>
      </c>
      <c r="E569" s="75" t="s">
        <v>199</v>
      </c>
      <c r="F569" s="96"/>
      <c r="G569" s="97"/>
    </row>
    <row r="570" spans="1:7" ht="21" x14ac:dyDescent="0.25">
      <c r="A570" s="43" t="str">
        <f>CONCATENATE("Pt Id:",'Level 1'!E570," ","Pt Name: ",'Level 1'!F570," ","DOS: ", TEXT('Level 1'!H570,"mm-dd-yyyy"),"  "," Amnt: ","$",'Level 1'!J570,"  ", 'Level 1'!N570)</f>
        <v>Pt Id:7624 Pt Name: Benitez, Bianca DOS: 09-13-2021   Amnt: $216  Note</v>
      </c>
      <c r="B570" s="43" t="str">
        <f>CONCATENATE("Detail: ",'Level 1'!N570,"  ",'Level 1'!O570,TEXT('Level 1'!P570,"  mm-dd-yyyy"),";"," ",'Level 1'!Q570,'Level 1'!R570,"  ",'Level 1'!T570," ","Payment "," ",'Level 1'!U570,"  ",'Level 1'!V570,"  ",'Level 1'!W570,"  ",'Level 1'!X570,"  ",'Level 1'!Z570, "  ",'Level 1'!AA570, " ","Insurance: ",'Level 1'!A570)</f>
        <v>Detail: Note  Q1  01-00-1900; Q2   Payment  Q4    Q5    Additional Notes:   Insurance: DPOW-CCHP</v>
      </c>
      <c r="C570" s="60" t="str">
        <f>'Level 1'!Y570</f>
        <v>Action</v>
      </c>
      <c r="D570" s="44" t="str">
        <f>VLOOKUP(C570,Table2[#All],3,FALSE)</f>
        <v>What we need from you/Reason</v>
      </c>
      <c r="E570" s="75" t="s">
        <v>199</v>
      </c>
      <c r="F570" s="96"/>
      <c r="G570" s="97"/>
    </row>
    <row r="571" spans="1:7" ht="21" x14ac:dyDescent="0.25">
      <c r="A571" s="43" t="str">
        <f>CONCATENATE("Pt Id:",'Level 1'!E571," ","Pt Name: ",'Level 1'!F571," ","DOS: ", TEXT('Level 1'!H571,"mm-dd-yyyy"),"  "," Amnt: ","$",'Level 1'!J571,"  ", 'Level 1'!N571)</f>
        <v>Pt Id:1191 Pt Name: Copado, Carina DOS: 09-08-2021   Amnt: $266  Note</v>
      </c>
      <c r="B571" s="43" t="str">
        <f>CONCATENATE("Detail: ",'Level 1'!N571,"  ",'Level 1'!O571,TEXT('Level 1'!P571,"  mm-dd-yyyy"),";"," ",'Level 1'!Q571,'Level 1'!R571,"  ",'Level 1'!T571," ","Payment "," ",'Level 1'!U571,"  ",'Level 1'!V571,"  ",'Level 1'!W571,"  ",'Level 1'!X571,"  ",'Level 1'!Z571, "  ",'Level 1'!AA571, " ","Insurance: ",'Level 1'!A571)</f>
        <v>Detail: Note  Q1  01-00-1900; Q2   Payment  Q4    Q5    Additional Notes:   Insurance: DPOW-CCHP</v>
      </c>
      <c r="C571" s="60" t="str">
        <f>'Level 1'!Y571</f>
        <v>Action</v>
      </c>
      <c r="D571" s="44" t="str">
        <f>VLOOKUP(C571,Table2[#All],3,FALSE)</f>
        <v>What we need from you/Reason</v>
      </c>
      <c r="E571" s="75" t="s">
        <v>199</v>
      </c>
      <c r="F571" s="96"/>
      <c r="G571" s="97"/>
    </row>
    <row r="572" spans="1:7" ht="21" x14ac:dyDescent="0.25">
      <c r="A572" s="43" t="str">
        <f>CONCATENATE("Pt Id:",'Level 1'!E572," ","Pt Name: ",'Level 1'!F572," ","DOS: ", TEXT('Level 1'!H572,"mm-dd-yyyy"),"  "," Amnt: ","$",'Level 1'!J572,"  ", 'Level 1'!N572)</f>
        <v>Pt Id:7885 Pt Name: Leahy, Seth  DOS: 09-08-2021   Amnt: $186  Note</v>
      </c>
      <c r="B572" s="43" t="str">
        <f>CONCATENATE("Detail: ",'Level 1'!N572,"  ",'Level 1'!O572,TEXT('Level 1'!P572,"  mm-dd-yyyy"),";"," ",'Level 1'!Q572,'Level 1'!R572,"  ",'Level 1'!T572," ","Payment "," ",'Level 1'!U572,"  ",'Level 1'!V572,"  ",'Level 1'!W572,"  ",'Level 1'!X572,"  ",'Level 1'!Z572, "  ",'Level 1'!AA572, " ","Insurance: ",'Level 1'!A572)</f>
        <v>Detail: Note  Q1  01-00-1900; Q2   Payment  Q4    Q5    Additional Notes:   Insurance: DPOW-CCHP</v>
      </c>
      <c r="C572" s="60" t="str">
        <f>'Level 1'!Y572</f>
        <v>Action</v>
      </c>
      <c r="D572" s="44" t="str">
        <f>VLOOKUP(C572,Table2[#All],3,FALSE)</f>
        <v>What we need from you/Reason</v>
      </c>
      <c r="E572" s="75" t="s">
        <v>199</v>
      </c>
      <c r="F572" s="96"/>
      <c r="G572" s="97"/>
    </row>
    <row r="573" spans="1:7" ht="42" x14ac:dyDescent="0.25">
      <c r="A573" s="43" t="str">
        <f>CONCATENATE("Pt Id:",'Level 1'!E573," ","Pt Name: ",'Level 1'!F573," ","DOS: ", TEXT('Level 1'!H573,"mm-dd-yyyy"),"  "," Amnt: ","$",'Level 1'!J573,"  ", 'Level 1'!N573)</f>
        <v>Pt Id:7828 Pt Name: Penkalski, Autumn  DOS: 09-08-2021   Amnt: $453.2  Note</v>
      </c>
      <c r="B573" s="43" t="str">
        <f>CONCATENATE("Detail: ",'Level 1'!N573,"  ",'Level 1'!O573,TEXT('Level 1'!P573,"  mm-dd-yyyy"),";"," ",'Level 1'!Q573,'Level 1'!R573,"  ",'Level 1'!T573," ","Payment "," ",'Level 1'!U573,"  ",'Level 1'!V573,"  ",'Level 1'!W573,"  ",'Level 1'!X573,"  ",'Level 1'!Z573, "  ",'Level 1'!AA573, " ","Insurance: ",'Level 1'!A573)</f>
        <v>Detail: Note  Q1  01-00-1900; Q2   Payment  Q4    Q5    Additional Notes:   Insurance: DPOW-CCHP</v>
      </c>
      <c r="C573" s="60" t="str">
        <f>'Level 1'!Y573</f>
        <v>Action</v>
      </c>
      <c r="D573" s="44" t="str">
        <f>VLOOKUP(C573,Table2[#All],3,FALSE)</f>
        <v>What we need from you/Reason</v>
      </c>
      <c r="E573" s="75" t="s">
        <v>199</v>
      </c>
      <c r="F573" s="96"/>
      <c r="G573" s="97"/>
    </row>
    <row r="574" spans="1:7" ht="21" x14ac:dyDescent="0.25">
      <c r="A574" s="43" t="str">
        <f>CONCATENATE("Pt Id:",'Level 1'!E574," ","Pt Name: ",'Level 1'!F574," ","DOS: ", TEXT('Level 1'!H574,"mm-dd-yyyy"),"  "," Amnt: ","$",'Level 1'!J574,"  ", 'Level 1'!N574)</f>
        <v>Pt Id:7846 Pt Name: Tipton, Calarey DOS: 09-07-2021   Amnt: $846  Note</v>
      </c>
      <c r="B574" s="43" t="str">
        <f>CONCATENATE("Detail: ",'Level 1'!N574,"  ",'Level 1'!O574,TEXT('Level 1'!P574,"  mm-dd-yyyy"),";"," ",'Level 1'!Q574,'Level 1'!R574,"  ",'Level 1'!T574," ","Payment "," ",'Level 1'!U574,"  ",'Level 1'!V574,"  ",'Level 1'!W574,"  ",'Level 1'!X574,"  ",'Level 1'!Z574, "  ",'Level 1'!AA574, " ","Insurance: ",'Level 1'!A574)</f>
        <v>Detail: Note  Q1  01-00-1900; Q2   Payment  Q4    Q5    Additional Notes:   Insurance: DPOW-CCHP</v>
      </c>
      <c r="C574" s="60" t="str">
        <f>'Level 1'!Y574</f>
        <v>Action</v>
      </c>
      <c r="D574" s="44" t="str">
        <f>VLOOKUP(C574,Table2[#All],3,FALSE)</f>
        <v>What we need from you/Reason</v>
      </c>
      <c r="E574" s="75" t="s">
        <v>199</v>
      </c>
      <c r="F574" s="96"/>
      <c r="G574" s="97"/>
    </row>
    <row r="575" spans="1:7" ht="21" x14ac:dyDescent="0.25">
      <c r="A575" s="43" t="str">
        <f>CONCATENATE("Pt Id:",'Level 1'!E575," ","Pt Name: ",'Level 1'!F575," ","DOS: ", TEXT('Level 1'!H575,"mm-dd-yyyy"),"  "," Amnt: ","$",'Level 1'!J575,"  ", 'Level 1'!N575)</f>
        <v>Pt Id:7846 Pt Name: Tipton, Calarey DOS: 09-07-2021   Amnt: $453.2  Note</v>
      </c>
      <c r="B575" s="43" t="str">
        <f>CONCATENATE("Detail: ",'Level 1'!N575,"  ",'Level 1'!O575,TEXT('Level 1'!P575,"  mm-dd-yyyy"),";"," ",'Level 1'!Q575,'Level 1'!R575,"  ",'Level 1'!T575," ","Payment "," ",'Level 1'!U575,"  ",'Level 1'!V575,"  ",'Level 1'!W575,"  ",'Level 1'!X575,"  ",'Level 1'!Z575, "  ",'Level 1'!AA575, " ","Insurance: ",'Level 1'!A575)</f>
        <v>Detail: Note  Q1  01-00-1900; Q2   Payment  Q4    Q5    Additional Notes:   Insurance: DPOW-CCHP</v>
      </c>
      <c r="C575" s="60" t="str">
        <f>'Level 1'!Y575</f>
        <v>Action</v>
      </c>
      <c r="D575" s="44" t="str">
        <f>VLOOKUP(C575,Table2[#All],3,FALSE)</f>
        <v>What we need from you/Reason</v>
      </c>
      <c r="E575" s="75" t="s">
        <v>199</v>
      </c>
      <c r="F575" s="96"/>
      <c r="G575" s="97"/>
    </row>
    <row r="576" spans="1:7" ht="21" x14ac:dyDescent="0.25">
      <c r="A576" s="43" t="str">
        <f>CONCATENATE("Pt Id:",'Level 1'!E576," ","Pt Name: ",'Level 1'!F576," ","DOS: ", TEXT('Level 1'!H576,"mm-dd-yyyy"),"  "," Amnt: ","$",'Level 1'!J576,"  ", 'Level 1'!N576)</f>
        <v>Pt Id:6368 Pt Name: Keller , Nathan  DOS: 09-03-2021   Amnt: $316  Note</v>
      </c>
      <c r="B576" s="43" t="str">
        <f>CONCATENATE("Detail: ",'Level 1'!N576,"  ",'Level 1'!O576,TEXT('Level 1'!P576,"  mm-dd-yyyy"),";"," ",'Level 1'!Q576,'Level 1'!R576,"  ",'Level 1'!T576," ","Payment "," ",'Level 1'!U576,"  ",'Level 1'!V576,"  ",'Level 1'!W576,"  ",'Level 1'!X576,"  ",'Level 1'!Z576, "  ",'Level 1'!AA576, " ","Insurance: ",'Level 1'!A576)</f>
        <v>Detail: Note  Q1  01-00-1900; Q2   Payment  Q4    Q5    Additional Notes:   Insurance: DPOW-CCHP</v>
      </c>
      <c r="C576" s="60" t="str">
        <f>'Level 1'!Y576</f>
        <v>Action</v>
      </c>
      <c r="D576" s="44" t="str">
        <f>VLOOKUP(C576,Table2[#All],3,FALSE)</f>
        <v>What we need from you/Reason</v>
      </c>
      <c r="E576" s="75" t="s">
        <v>199</v>
      </c>
      <c r="F576" s="96"/>
      <c r="G576" s="97"/>
    </row>
    <row r="577" spans="1:7" ht="21" x14ac:dyDescent="0.25">
      <c r="A577" s="43" t="str">
        <f>CONCATENATE("Pt Id:",'Level 1'!E577," ","Pt Name: ",'Level 1'!F577," ","DOS: ", TEXT('Level 1'!H577,"mm-dd-yyyy"),"  "," Amnt: ","$",'Level 1'!J577,"  ", 'Level 1'!N577)</f>
        <v>Pt Id:5670 Pt Name: Brown , Shirley  DOS: 08-31-2021   Amnt: $61.2  Note</v>
      </c>
      <c r="B577" s="43" t="str">
        <f>CONCATENATE("Detail: ",'Level 1'!N577,"  ",'Level 1'!O577,TEXT('Level 1'!P577,"  mm-dd-yyyy"),";"," ",'Level 1'!Q577,'Level 1'!R577,"  ",'Level 1'!T577," ","Payment "," ",'Level 1'!U577,"  ",'Level 1'!V577,"  ",'Level 1'!W577,"  ",'Level 1'!X577,"  ",'Level 1'!Z577, "  ",'Level 1'!AA577, " ","Insurance: ",'Level 1'!A577)</f>
        <v>Detail: Note  Q1  01-00-1900; Q2   Payment  Q4    Q5    Additional Notes:   Insurance: DPOW-CCHP</v>
      </c>
      <c r="C577" s="60" t="str">
        <f>'Level 1'!Y577</f>
        <v>Action</v>
      </c>
      <c r="D577" s="44" t="str">
        <f>VLOOKUP(C577,Table2[#All],3,FALSE)</f>
        <v>What we need from you/Reason</v>
      </c>
      <c r="E577" s="75" t="s">
        <v>199</v>
      </c>
      <c r="F577" s="96"/>
      <c r="G577" s="97"/>
    </row>
    <row r="578" spans="1:7" ht="21" x14ac:dyDescent="0.25">
      <c r="A578" s="43" t="str">
        <f>CONCATENATE("Pt Id:",'Level 1'!E578," ","Pt Name: ",'Level 1'!F578," ","DOS: ", TEXT('Level 1'!H578,"mm-dd-yyyy"),"  "," Amnt: ","$",'Level 1'!J578,"  ", 'Level 1'!N578)</f>
        <v>Pt Id:4621 Pt Name: Mueller , Aubrey  DOS: 08-27-2021   Amnt: $196.8  Note</v>
      </c>
      <c r="B578" s="43" t="str">
        <f>CONCATENATE("Detail: ",'Level 1'!N578,"  ",'Level 1'!O578,TEXT('Level 1'!P578,"  mm-dd-yyyy"),";"," ",'Level 1'!Q578,'Level 1'!R578,"  ",'Level 1'!T578," ","Payment "," ",'Level 1'!U578,"  ",'Level 1'!V578,"  ",'Level 1'!W578,"  ",'Level 1'!X578,"  ",'Level 1'!Z578, "  ",'Level 1'!AA578, " ","Insurance: ",'Level 1'!A578)</f>
        <v>Detail: Note  Q1  01-00-1900; Q2   Payment  Q4    Q5    Additional Notes:   Insurance: DPOW-CCHP</v>
      </c>
      <c r="C578" s="60" t="str">
        <f>'Level 1'!Y578</f>
        <v>Action</v>
      </c>
      <c r="D578" s="44" t="str">
        <f>VLOOKUP(C578,Table2[#All],3,FALSE)</f>
        <v>What we need from you/Reason</v>
      </c>
      <c r="E578" s="75" t="s">
        <v>199</v>
      </c>
      <c r="F578" s="96"/>
      <c r="G578" s="97"/>
    </row>
    <row r="579" spans="1:7" ht="42" x14ac:dyDescent="0.25">
      <c r="A579" s="43" t="str">
        <f>CONCATENATE("Pt Id:",'Level 1'!E579," ","Pt Name: ",'Level 1'!F579," ","DOS: ", TEXT('Level 1'!H579,"mm-dd-yyyy"),"  "," Amnt: ","$",'Level 1'!J579,"  ", 'Level 1'!N579)</f>
        <v>Pt Id:797 Pt Name: Petersen, Christian  DOS: 08-26-2021   Amnt: $278.4  Note</v>
      </c>
      <c r="B579" s="43" t="str">
        <f>CONCATENATE("Detail: ",'Level 1'!N579,"  ",'Level 1'!O579,TEXT('Level 1'!P579,"  mm-dd-yyyy"),";"," ",'Level 1'!Q579,'Level 1'!R579,"  ",'Level 1'!T579," ","Payment "," ",'Level 1'!U579,"  ",'Level 1'!V579,"  ",'Level 1'!W579,"  ",'Level 1'!X579,"  ",'Level 1'!Z579, "  ",'Level 1'!AA579, " ","Insurance: ",'Level 1'!A579)</f>
        <v>Detail: Note  Q1  01-00-1900; Q2   Payment  Q4    Q5    Additional Notes:   Insurance: DPOW-CCHP</v>
      </c>
      <c r="C579" s="60" t="str">
        <f>'Level 1'!Y579</f>
        <v>Action</v>
      </c>
      <c r="D579" s="44" t="str">
        <f>VLOOKUP(C579,Table2[#All],3,FALSE)</f>
        <v>What we need from you/Reason</v>
      </c>
      <c r="E579" s="75" t="s">
        <v>199</v>
      </c>
      <c r="F579" s="96"/>
      <c r="G579" s="97"/>
    </row>
    <row r="580" spans="1:7" ht="21" x14ac:dyDescent="0.25">
      <c r="A580" s="43" t="str">
        <f>CONCATENATE("Pt Id:",'Level 1'!E580," ","Pt Name: ",'Level 1'!F580," ","DOS: ", TEXT('Level 1'!H580,"mm-dd-yyyy"),"  "," Amnt: ","$",'Level 1'!J580,"  ", 'Level 1'!N580)</f>
        <v>Pt Id:4622 Pt Name: Mueller , Abigail DOS: 08-25-2021   Amnt: $180  Note</v>
      </c>
      <c r="B580" s="43" t="str">
        <f>CONCATENATE("Detail: ",'Level 1'!N580,"  ",'Level 1'!O580,TEXT('Level 1'!P580,"  mm-dd-yyyy"),";"," ",'Level 1'!Q580,'Level 1'!R580,"  ",'Level 1'!T580," ","Payment "," ",'Level 1'!U580,"  ",'Level 1'!V580,"  ",'Level 1'!W580,"  ",'Level 1'!X580,"  ",'Level 1'!Z580, "  ",'Level 1'!AA580, " ","Insurance: ",'Level 1'!A580)</f>
        <v>Detail: Note  Q1  01-00-1900; Q2   Payment  Q4    Q5    Additional Notes:   Insurance: DPOW-CCHP</v>
      </c>
      <c r="C580" s="60" t="str">
        <f>'Level 1'!Y580</f>
        <v>Action</v>
      </c>
      <c r="D580" s="44" t="str">
        <f>VLOOKUP(C580,Table2[#All],3,FALSE)</f>
        <v>What we need from you/Reason</v>
      </c>
      <c r="E580" s="75" t="s">
        <v>199</v>
      </c>
      <c r="F580" s="96"/>
      <c r="G580" s="97"/>
    </row>
    <row r="581" spans="1:7" ht="21" x14ac:dyDescent="0.25">
      <c r="A581" s="43" t="str">
        <f>CONCATENATE("Pt Id:",'Level 1'!E581," ","Pt Name: ",'Level 1'!F581," ","DOS: ", TEXT('Level 1'!H581,"mm-dd-yyyy"),"  "," Amnt: ","$",'Level 1'!J581,"  ", 'Level 1'!N581)</f>
        <v>Pt Id:7478 Pt Name: Wallace , Abel  DOS: 08-23-2021   Amnt: $432  Note</v>
      </c>
      <c r="B581" s="43" t="str">
        <f>CONCATENATE("Detail: ",'Level 1'!N581,"  ",'Level 1'!O581,TEXT('Level 1'!P581,"  mm-dd-yyyy"),";"," ",'Level 1'!Q581,'Level 1'!R581,"  ",'Level 1'!T581," ","Payment "," ",'Level 1'!U581,"  ",'Level 1'!V581,"  ",'Level 1'!W581,"  ",'Level 1'!X581,"  ",'Level 1'!Z581, "  ",'Level 1'!AA581, " ","Insurance: ",'Level 1'!A581)</f>
        <v>Detail: Note  Q1  01-00-1900; Q2   Payment  Q4    Q5    Additional Notes:   Insurance: DPOW-CCHP</v>
      </c>
      <c r="C581" s="60" t="str">
        <f>'Level 1'!Y581</f>
        <v>Action</v>
      </c>
      <c r="D581" s="44" t="str">
        <f>VLOOKUP(C581,Table2[#All],3,FALSE)</f>
        <v>What we need from you/Reason</v>
      </c>
      <c r="E581" s="75" t="s">
        <v>199</v>
      </c>
      <c r="F581" s="96"/>
      <c r="G581" s="97"/>
    </row>
    <row r="582" spans="1:7" ht="42" x14ac:dyDescent="0.25">
      <c r="A582" s="43" t="str">
        <f>CONCATENATE("Pt Id:",'Level 1'!E582," ","Pt Name: ",'Level 1'!F582," ","DOS: ", TEXT('Level 1'!H582,"mm-dd-yyyy"),"  "," Amnt: ","$",'Level 1'!J582,"  ", 'Level 1'!N582)</f>
        <v>Pt Id:4266 Pt Name: BARRERA, NATALIE DOS: 08-02-2021   Amnt: $216  Note</v>
      </c>
      <c r="B582" s="43" t="str">
        <f>CONCATENATE("Detail: ",'Level 1'!N582,"  ",'Level 1'!O582,TEXT('Level 1'!P582,"  mm-dd-yyyy"),";"," ",'Level 1'!Q582,'Level 1'!R582,"  ",'Level 1'!T582," ","Payment "," ",'Level 1'!U582,"  ",'Level 1'!V582,"  ",'Level 1'!W582,"  ",'Level 1'!X582,"  ",'Level 1'!Z582, "  ",'Level 1'!AA582, " ","Insurance: ",'Level 1'!A582)</f>
        <v>Detail: Note  Q1  01-00-1900; Q2   Payment  Q4    Q5    Additional Notes:   Insurance: DPOW-CCHP</v>
      </c>
      <c r="C582" s="60" t="str">
        <f>'Level 1'!Y582</f>
        <v>Action</v>
      </c>
      <c r="D582" s="44" t="str">
        <f>VLOOKUP(C582,Table2[#All],3,FALSE)</f>
        <v>What we need from you/Reason</v>
      </c>
      <c r="E582" s="75" t="s">
        <v>199</v>
      </c>
      <c r="F582" s="96"/>
      <c r="G582" s="97"/>
    </row>
    <row r="583" spans="1:7" ht="42" x14ac:dyDescent="0.25">
      <c r="A583" s="43" t="str">
        <f>CONCATENATE("Pt Id:",'Level 1'!E583," ","Pt Name: ",'Level 1'!F583," ","DOS: ", TEXT('Level 1'!H583,"mm-dd-yyyy"),"  "," Amnt: ","$",'Level 1'!J583,"  ", 'Level 1'!N583)</f>
        <v>Pt Id:7394 Pt Name: Sang Nai , Ah Pong  DOS: 07-30-2021   Amnt: $540  Note</v>
      </c>
      <c r="B583" s="43" t="str">
        <f>CONCATENATE("Detail: ",'Level 1'!N583,"  ",'Level 1'!O583,TEXT('Level 1'!P583,"  mm-dd-yyyy"),";"," ",'Level 1'!Q583,'Level 1'!R583,"  ",'Level 1'!T583," ","Payment "," ",'Level 1'!U583,"  ",'Level 1'!V583,"  ",'Level 1'!W583,"  ",'Level 1'!X583,"  ",'Level 1'!Z583, "  ",'Level 1'!AA583, " ","Insurance: ",'Level 1'!A583)</f>
        <v>Detail: Note  Q1  01-00-1900; Q2   Payment  Q4    Q5    Additional Notes:   Insurance: DPOW-CCHP</v>
      </c>
      <c r="C583" s="60" t="str">
        <f>'Level 1'!Y583</f>
        <v>Action</v>
      </c>
      <c r="D583" s="44" t="str">
        <f>VLOOKUP(C583,Table2[#All],3,FALSE)</f>
        <v>What we need from you/Reason</v>
      </c>
      <c r="E583" s="75" t="s">
        <v>199</v>
      </c>
      <c r="F583" s="96"/>
      <c r="G583" s="97"/>
    </row>
    <row r="584" spans="1:7" ht="42" x14ac:dyDescent="0.25">
      <c r="A584" s="43" t="str">
        <f>CONCATENATE("Pt Id:",'Level 1'!E584," ","Pt Name: ",'Level 1'!F584," ","DOS: ", TEXT('Level 1'!H584,"mm-dd-yyyy"),"  "," Amnt: ","$",'Level 1'!J584,"  ", 'Level 1'!N584)</f>
        <v>Pt Id:3817 Pt Name: ST. ONGE, MEGHAN  DOS: 07-30-2021   Amnt: $61.2  Note</v>
      </c>
      <c r="B584" s="43" t="str">
        <f>CONCATENATE("Detail: ",'Level 1'!N584,"  ",'Level 1'!O584,TEXT('Level 1'!P584,"  mm-dd-yyyy"),";"," ",'Level 1'!Q584,'Level 1'!R584,"  ",'Level 1'!T584," ","Payment "," ",'Level 1'!U584,"  ",'Level 1'!V584,"  ",'Level 1'!W584,"  ",'Level 1'!X584,"  ",'Level 1'!Z584, "  ",'Level 1'!AA584, " ","Insurance: ",'Level 1'!A584)</f>
        <v>Detail: Note  Q1  01-00-1900; Q2   Payment  Q4    Q5    Additional Notes:   Insurance: DPOW-CCHP</v>
      </c>
      <c r="C584" s="60" t="str">
        <f>'Level 1'!Y584</f>
        <v>Action</v>
      </c>
      <c r="D584" s="44" t="str">
        <f>VLOOKUP(C584,Table2[#All],3,FALSE)</f>
        <v>What we need from you/Reason</v>
      </c>
      <c r="E584" s="75" t="s">
        <v>199</v>
      </c>
      <c r="F584" s="96"/>
      <c r="G584" s="97"/>
    </row>
    <row r="585" spans="1:7" ht="21" x14ac:dyDescent="0.25">
      <c r="A585" s="43" t="str">
        <f>CONCATENATE("Pt Id:",'Level 1'!E585," ","Pt Name: ",'Level 1'!F585," ","DOS: ", TEXT('Level 1'!H585,"mm-dd-yyyy"),"  "," Amnt: ","$",'Level 1'!J585,"  ", 'Level 1'!N585)</f>
        <v>Pt Id:7240 Pt Name: Mahmood , Rehan  DOS: 07-29-2021   Amnt: $162  Note</v>
      </c>
      <c r="B585" s="43" t="str">
        <f>CONCATENATE("Detail: ",'Level 1'!N585,"  ",'Level 1'!O585,TEXT('Level 1'!P585,"  mm-dd-yyyy"),";"," ",'Level 1'!Q585,'Level 1'!R585,"  ",'Level 1'!T585," ","Payment "," ",'Level 1'!U585,"  ",'Level 1'!V585,"  ",'Level 1'!W585,"  ",'Level 1'!X585,"  ",'Level 1'!Z585, "  ",'Level 1'!AA585, " ","Insurance: ",'Level 1'!A585)</f>
        <v>Detail: Note  Q1  01-00-1900; Q2   Payment  Q4    Q5    Additional Notes:   Insurance: DPOW-CCHP</v>
      </c>
      <c r="C585" s="60" t="str">
        <f>'Level 1'!Y585</f>
        <v>Action</v>
      </c>
      <c r="D585" s="44" t="str">
        <f>VLOOKUP(C585,Table2[#All],3,FALSE)</f>
        <v>What we need from you/Reason</v>
      </c>
      <c r="E585" s="75" t="s">
        <v>199</v>
      </c>
      <c r="F585" s="96"/>
      <c r="G585" s="97"/>
    </row>
    <row r="586" spans="1:7" ht="42" x14ac:dyDescent="0.25">
      <c r="A586" s="43" t="str">
        <f>CONCATENATE("Pt Id:",'Level 1'!E586," ","Pt Name: ",'Level 1'!F586," ","DOS: ", TEXT('Level 1'!H586,"mm-dd-yyyy"),"  "," Amnt: ","$",'Level 1'!J586,"  ", 'Level 1'!N586)</f>
        <v>Pt Id:6108 Pt Name: Fowler, Samantha  DOS: 07-19-2021   Amnt: $333.6  Note</v>
      </c>
      <c r="B586" s="43" t="str">
        <f>CONCATENATE("Detail: ",'Level 1'!N586,"  ",'Level 1'!O586,TEXT('Level 1'!P586,"  mm-dd-yyyy"),";"," ",'Level 1'!Q586,'Level 1'!R586,"  ",'Level 1'!T586," ","Payment "," ",'Level 1'!U586,"  ",'Level 1'!V586,"  ",'Level 1'!W586,"  ",'Level 1'!X586,"  ",'Level 1'!Z586, "  ",'Level 1'!AA586, " ","Insurance: ",'Level 1'!A586)</f>
        <v>Detail: Note  Q1  01-00-1900; Q2   Payment  Q4    Q5    Additional Notes:   Insurance: DPOW-CCHP</v>
      </c>
      <c r="C586" s="60" t="str">
        <f>'Level 1'!Y586</f>
        <v>Action</v>
      </c>
      <c r="D586" s="44" t="str">
        <f>VLOOKUP(C586,Table2[#All],3,FALSE)</f>
        <v>What we need from you/Reason</v>
      </c>
      <c r="E586" s="75" t="s">
        <v>199</v>
      </c>
      <c r="F586" s="96"/>
      <c r="G586" s="97"/>
    </row>
    <row r="587" spans="1:7" ht="21" x14ac:dyDescent="0.25">
      <c r="A587" s="43" t="str">
        <f>CONCATENATE("Pt Id:",'Level 1'!E587," ","Pt Name: ",'Level 1'!F587," ","DOS: ", TEXT('Level 1'!H587,"mm-dd-yyyy"),"  "," Amnt: ","$",'Level 1'!J587,"  ", 'Level 1'!N587)</f>
        <v>Pt Id:7032 Pt Name: Cruz , Uriel DOS: 06-08-2021   Amnt: $408  Note</v>
      </c>
      <c r="B587" s="43" t="str">
        <f>CONCATENATE("Detail: ",'Level 1'!N587,"  ",'Level 1'!O587,TEXT('Level 1'!P587,"  mm-dd-yyyy"),";"," ",'Level 1'!Q587,'Level 1'!R587,"  ",'Level 1'!T587," ","Payment "," ",'Level 1'!U587,"  ",'Level 1'!V587,"  ",'Level 1'!W587,"  ",'Level 1'!X587,"  ",'Level 1'!Z587, "  ",'Level 1'!AA587, " ","Insurance: ",'Level 1'!A587)</f>
        <v>Detail: Note  Q1  01-00-1900; Q2   Payment  Q4    Q5    Additional Notes:   Insurance: DPOW-CCHP</v>
      </c>
      <c r="C587" s="60" t="str">
        <f>'Level 1'!Y587</f>
        <v>Action</v>
      </c>
      <c r="D587" s="44" t="str">
        <f>VLOOKUP(C587,Table2[#All],3,FALSE)</f>
        <v>What we need from you/Reason</v>
      </c>
      <c r="E587" s="75" t="s">
        <v>199</v>
      </c>
      <c r="F587" s="96"/>
      <c r="G587" s="97"/>
    </row>
    <row r="588" spans="1:7" ht="21" x14ac:dyDescent="0.25">
      <c r="A588" s="43" t="str">
        <f>CONCATENATE("Pt Id:",'Level 1'!E588," ","Pt Name: ",'Level 1'!F588," ","DOS: ", TEXT('Level 1'!H588,"mm-dd-yyyy"),"  "," Amnt: ","$",'Level 1'!J588,"  ", 'Level 1'!N588)</f>
        <v>Pt Id:7032 Pt Name: Cruz , Uriel DOS: 06-10-2021   Amnt: $204  Note</v>
      </c>
      <c r="B588" s="43" t="str">
        <f>CONCATENATE("Detail: ",'Level 1'!N588,"  ",'Level 1'!O588,TEXT('Level 1'!P588,"  mm-dd-yyyy"),";"," ",'Level 1'!Q588,'Level 1'!R588,"  ",'Level 1'!T588," ","Payment "," ",'Level 1'!U588,"  ",'Level 1'!V588,"  ",'Level 1'!W588,"  ",'Level 1'!X588,"  ",'Level 1'!Z588, "  ",'Level 1'!AA588, " ","Insurance: ",'Level 1'!A588)</f>
        <v>Detail: Note  Q1  01-00-1900; Q2   Payment  Q4    Q5    Additional Notes:   Insurance: DPOW-CCHP</v>
      </c>
      <c r="C588" s="60" t="str">
        <f>'Level 1'!Y588</f>
        <v>Action</v>
      </c>
      <c r="D588" s="44" t="str">
        <f>VLOOKUP(C588,Table2[#All],3,FALSE)</f>
        <v>What we need from you/Reason</v>
      </c>
      <c r="E588" s="75" t="s">
        <v>199</v>
      </c>
      <c r="F588" s="96"/>
      <c r="G588" s="97"/>
    </row>
    <row r="589" spans="1:7" ht="42" x14ac:dyDescent="0.25">
      <c r="A589" s="43" t="str">
        <f>CONCATENATE("Pt Id:",'Level 1'!E589," ","Pt Name: ",'Level 1'!F589," ","DOS: ", TEXT('Level 1'!H589,"mm-dd-yyyy"),"  "," Amnt: ","$",'Level 1'!J589,"  ", 'Level 1'!N589)</f>
        <v>Pt Id:7360 Pt Name: Rivera Pacheco, Ayden DOS: 06-17-2021   Amnt: $487.2  Note</v>
      </c>
      <c r="B589" s="43" t="str">
        <f>CONCATENATE("Detail: ",'Level 1'!N589,"  ",'Level 1'!O589,TEXT('Level 1'!P589,"  mm-dd-yyyy"),";"," ",'Level 1'!Q589,'Level 1'!R589,"  ",'Level 1'!T589," ","Payment "," ",'Level 1'!U589,"  ",'Level 1'!V589,"  ",'Level 1'!W589,"  ",'Level 1'!X589,"  ",'Level 1'!Z589, "  ",'Level 1'!AA589, " ","Insurance: ",'Level 1'!A589)</f>
        <v>Detail: Note  Q1  01-00-1900; Q2   Payment  Q4    Q5    Additional Notes:   Insurance: DPOW-CCHP</v>
      </c>
      <c r="C589" s="60" t="str">
        <f>'Level 1'!Y589</f>
        <v>Action</v>
      </c>
      <c r="D589" s="44" t="str">
        <f>VLOOKUP(C589,Table2[#All],3,FALSE)</f>
        <v>What we need from you/Reason</v>
      </c>
      <c r="E589" s="75" t="s">
        <v>199</v>
      </c>
      <c r="F589" s="96"/>
      <c r="G589" s="97"/>
    </row>
    <row r="590" spans="1:7" ht="42" x14ac:dyDescent="0.25">
      <c r="A590" s="43" t="str">
        <f>CONCATENATE("Pt Id:",'Level 1'!E590," ","Pt Name: ",'Level 1'!F590," ","DOS: ", TEXT('Level 1'!H590,"mm-dd-yyyy"),"  "," Amnt: ","$",'Level 1'!J590,"  ", 'Level 1'!N590)</f>
        <v>Pt Id:7360 Pt Name: Rivera Pacheco, Ayden DOS: 06-16-2021   Amnt: $134.4  Note</v>
      </c>
      <c r="B590" s="43" t="str">
        <f>CONCATENATE("Detail: ",'Level 1'!N590,"  ",'Level 1'!O590,TEXT('Level 1'!P590,"  mm-dd-yyyy"),";"," ",'Level 1'!Q590,'Level 1'!R590,"  ",'Level 1'!T590," ","Payment "," ",'Level 1'!U590,"  ",'Level 1'!V590,"  ",'Level 1'!W590,"  ",'Level 1'!X590,"  ",'Level 1'!Z590, "  ",'Level 1'!AA590, " ","Insurance: ",'Level 1'!A590)</f>
        <v>Detail: Note  Q1  01-00-1900; Q2   Payment  Q4    Q5    Additional Notes:   Insurance: DPOW-CCHP</v>
      </c>
      <c r="C590" s="60" t="str">
        <f>'Level 1'!Y590</f>
        <v>Action</v>
      </c>
      <c r="D590" s="44" t="str">
        <f>VLOOKUP(C590,Table2[#All],3,FALSE)</f>
        <v>What we need from you/Reason</v>
      </c>
      <c r="E590" s="75" t="s">
        <v>199</v>
      </c>
      <c r="F590" s="96"/>
      <c r="G590" s="97"/>
    </row>
    <row r="591" spans="1:7" ht="21" x14ac:dyDescent="0.25">
      <c r="A591" s="43" t="str">
        <f>CONCATENATE("Pt Id:",'Level 1'!E591," ","Pt Name: ",'Level 1'!F591," ","DOS: ", TEXT('Level 1'!H591,"mm-dd-yyyy"),"  "," Amnt: ","$",'Level 1'!J591,"  ", 'Level 1'!N591)</f>
        <v>Pt Id:7292 Pt Name: Hensley, David  DOS: 06-16-2021   Amnt: $374.4  Note</v>
      </c>
      <c r="B591" s="43" t="str">
        <f>CONCATENATE("Detail: ",'Level 1'!N591,"  ",'Level 1'!O591,TEXT('Level 1'!P591,"  mm-dd-yyyy"),";"," ",'Level 1'!Q591,'Level 1'!R591,"  ",'Level 1'!T591," ","Payment "," ",'Level 1'!U591,"  ",'Level 1'!V591,"  ",'Level 1'!W591,"  ",'Level 1'!X591,"  ",'Level 1'!Z591, "  ",'Level 1'!AA591, " ","Insurance: ",'Level 1'!A591)</f>
        <v>Detail: Note  Q1  01-00-1900; Q2   Payment  Q4    Q5    Additional Notes:   Insurance: DPOW-CCHP</v>
      </c>
      <c r="C591" s="60" t="str">
        <f>'Level 1'!Y591</f>
        <v>Action</v>
      </c>
      <c r="D591" s="44" t="str">
        <f>VLOOKUP(C591,Table2[#All],3,FALSE)</f>
        <v>What we need from you/Reason</v>
      </c>
      <c r="E591" s="75" t="s">
        <v>199</v>
      </c>
      <c r="F591" s="96"/>
      <c r="G591" s="97"/>
    </row>
    <row r="592" spans="1:7" ht="21" x14ac:dyDescent="0.25">
      <c r="A592" s="43" t="str">
        <f>CONCATENATE("Pt Id:",'Level 1'!E592," ","Pt Name: ",'Level 1'!F592," ","DOS: ", TEXT('Level 1'!H592,"mm-dd-yyyy"),"  "," Amnt: ","$",'Level 1'!J592,"  ", 'Level 1'!N592)</f>
        <v>Pt Id:7292 Pt Name: Hensley, David  DOS: 06-15-2021   Amnt: $204  Note</v>
      </c>
      <c r="B592" s="43" t="str">
        <f>CONCATENATE("Detail: ",'Level 1'!N592,"  ",'Level 1'!O592,TEXT('Level 1'!P592,"  mm-dd-yyyy"),";"," ",'Level 1'!Q592,'Level 1'!R592,"  ",'Level 1'!T592," ","Payment "," ",'Level 1'!U592,"  ",'Level 1'!V592,"  ",'Level 1'!W592,"  ",'Level 1'!X592,"  ",'Level 1'!Z592, "  ",'Level 1'!AA592, " ","Insurance: ",'Level 1'!A592)</f>
        <v>Detail: Note  Q1  01-00-1900; Q2   Payment  Q4    Q5    Additional Notes:   Insurance: DPOW-CCHP</v>
      </c>
      <c r="C592" s="60" t="str">
        <f>'Level 1'!Y592</f>
        <v>Action</v>
      </c>
      <c r="D592" s="44" t="str">
        <f>VLOOKUP(C592,Table2[#All],3,FALSE)</f>
        <v>What we need from you/Reason</v>
      </c>
      <c r="E592" s="75" t="s">
        <v>199</v>
      </c>
      <c r="F592" s="96"/>
      <c r="G592" s="97"/>
    </row>
    <row r="593" spans="1:7" ht="21" x14ac:dyDescent="0.25">
      <c r="A593" s="43" t="str">
        <f>CONCATENATE("Pt Id:",'Level 1'!E593," ","Pt Name: ",'Level 1'!F593," ","DOS: ", TEXT('Level 1'!H593,"mm-dd-yyyy"),"  "," Amnt: ","$",'Level 1'!J593,"  ", 'Level 1'!N593)</f>
        <v>Pt Id:1084 Pt Name: Casey, Emma DOS: 06-24-2021   Amnt: $216  Note</v>
      </c>
      <c r="B593" s="43" t="str">
        <f>CONCATENATE("Detail: ",'Level 1'!N593,"  ",'Level 1'!O593,TEXT('Level 1'!P593,"  mm-dd-yyyy"),";"," ",'Level 1'!Q593,'Level 1'!R593,"  ",'Level 1'!T593," ","Payment "," ",'Level 1'!U593,"  ",'Level 1'!V593,"  ",'Level 1'!W593,"  ",'Level 1'!X593,"  ",'Level 1'!Z593, "  ",'Level 1'!AA593, " ","Insurance: ",'Level 1'!A593)</f>
        <v>Detail: Note  Q1  01-00-1900; Q2   Payment  Q4    Q5    Additional Notes:   Insurance: DPOW-CCHP</v>
      </c>
      <c r="C593" s="60" t="str">
        <f>'Level 1'!Y593</f>
        <v>Action</v>
      </c>
      <c r="D593" s="44" t="str">
        <f>VLOOKUP(C593,Table2[#All],3,FALSE)</f>
        <v>What we need from you/Reason</v>
      </c>
      <c r="E593" s="75" t="s">
        <v>199</v>
      </c>
      <c r="F593" s="96"/>
      <c r="G593" s="97"/>
    </row>
    <row r="594" spans="1:7" ht="21" x14ac:dyDescent="0.25">
      <c r="A594" s="43" t="str">
        <f>CONCATENATE("Pt Id:",'Level 1'!E594," ","Pt Name: ",'Level 1'!F594," ","DOS: ", TEXT('Level 1'!H594,"mm-dd-yyyy"),"  "," Amnt: ","$",'Level 1'!J594,"  ", 'Level 1'!N594)</f>
        <v>Pt Id:1084 Pt Name: Casey, Emma DOS: 06-14-2021   Amnt: $216  Note</v>
      </c>
      <c r="B594" s="43" t="str">
        <f>CONCATENATE("Detail: ",'Level 1'!N594,"  ",'Level 1'!O594,TEXT('Level 1'!P594,"  mm-dd-yyyy"),";"," ",'Level 1'!Q594,'Level 1'!R594,"  ",'Level 1'!T594," ","Payment "," ",'Level 1'!U594,"  ",'Level 1'!V594,"  ",'Level 1'!W594,"  ",'Level 1'!X594,"  ",'Level 1'!Z594, "  ",'Level 1'!AA594, " ","Insurance: ",'Level 1'!A594)</f>
        <v>Detail: Note  Q1  01-00-1900; Q2   Payment  Q4    Q5    Additional Notes:   Insurance: DPOW-CCHP</v>
      </c>
      <c r="C594" s="60" t="str">
        <f>'Level 1'!Y594</f>
        <v>Action</v>
      </c>
      <c r="D594" s="44" t="str">
        <f>VLOOKUP(C594,Table2[#All],3,FALSE)</f>
        <v>What we need from you/Reason</v>
      </c>
      <c r="E594" s="75" t="s">
        <v>199</v>
      </c>
      <c r="F594" s="96"/>
      <c r="G594" s="97"/>
    </row>
    <row r="595" spans="1:7" ht="42" x14ac:dyDescent="0.25">
      <c r="A595" s="43" t="str">
        <f>CONCATENATE("Pt Id:",'Level 1'!E595," ","Pt Name: ",'Level 1'!F595," ","DOS: ", TEXT('Level 1'!H595,"mm-dd-yyyy"),"  "," Amnt: ","$",'Level 1'!J595,"  ", 'Level 1'!N595)</f>
        <v>Pt Id:7394 Pt Name: Sang Nai , Ah Pong  DOS: 07-14-2021   Amnt: $576  Note</v>
      </c>
      <c r="B595" s="43" t="str">
        <f>CONCATENATE("Detail: ",'Level 1'!N595,"  ",'Level 1'!O595,TEXT('Level 1'!P595,"  mm-dd-yyyy"),";"," ",'Level 1'!Q595,'Level 1'!R595,"  ",'Level 1'!T595," ","Payment "," ",'Level 1'!U595,"  ",'Level 1'!V595,"  ",'Level 1'!W595,"  ",'Level 1'!X595,"  ",'Level 1'!Z595, "  ",'Level 1'!AA595, " ","Insurance: ",'Level 1'!A595)</f>
        <v>Detail: Note  Q1  01-00-1900; Q2   Payment  Q4    Q5    Additional Notes:   Insurance: DPOW-CCHP</v>
      </c>
      <c r="C595" s="60" t="str">
        <f>'Level 1'!Y595</f>
        <v>Action</v>
      </c>
      <c r="D595" s="44" t="str">
        <f>VLOOKUP(C595,Table2[#All],3,FALSE)</f>
        <v>What we need from you/Reason</v>
      </c>
      <c r="E595" s="75" t="s">
        <v>199</v>
      </c>
      <c r="F595" s="96"/>
      <c r="G595" s="97"/>
    </row>
    <row r="596" spans="1:7" ht="21" x14ac:dyDescent="0.25">
      <c r="A596" s="43" t="str">
        <f>CONCATENATE("Pt Id:",'Level 1'!E596," ","Pt Name: ",'Level 1'!F596," ","DOS: ", TEXT('Level 1'!H596,"mm-dd-yyyy"),"  "," Amnt: ","$",'Level 1'!J596,"  ", 'Level 1'!N596)</f>
        <v>Pt Id:7281 Pt Name: Mcclendon, Kayla DOS: 06-24-2021   Amnt: $561.6  Note</v>
      </c>
      <c r="B596" s="43" t="str">
        <f>CONCATENATE("Detail: ",'Level 1'!N596,"  ",'Level 1'!O596,TEXT('Level 1'!P596,"  mm-dd-yyyy"),";"," ",'Level 1'!Q596,'Level 1'!R596,"  ",'Level 1'!T596," ","Payment "," ",'Level 1'!U596,"  ",'Level 1'!V596,"  ",'Level 1'!W596,"  ",'Level 1'!X596,"  ",'Level 1'!Z596, "  ",'Level 1'!AA596, " ","Insurance: ",'Level 1'!A596)</f>
        <v>Detail: Note  Q1  01-00-1900; Q2   Payment  Q4    Q5    Additional Notes:   Insurance: DPOW-CCHP</v>
      </c>
      <c r="C596" s="60" t="str">
        <f>'Level 1'!Y596</f>
        <v>Action</v>
      </c>
      <c r="D596" s="44" t="str">
        <f>VLOOKUP(C596,Table2[#All],3,FALSE)</f>
        <v>What we need from you/Reason</v>
      </c>
      <c r="E596" s="75" t="s">
        <v>199</v>
      </c>
      <c r="F596" s="96"/>
      <c r="G596" s="97"/>
    </row>
    <row r="597" spans="1:7" ht="21" x14ac:dyDescent="0.25">
      <c r="A597" s="43" t="str">
        <f>CONCATENATE("Pt Id:",'Level 1'!E597," ","Pt Name: ",'Level 1'!F597," ","DOS: ", TEXT('Level 1'!H597,"mm-dd-yyyy"),"  "," Amnt: ","$",'Level 1'!J597,"  ", 'Level 1'!N597)</f>
        <v>Pt Id:5670 Pt Name: Brown , Shirley  DOS: 06-24-2021   Amnt: $88.8  Note</v>
      </c>
      <c r="B597" s="43" t="str">
        <f>CONCATENATE("Detail: ",'Level 1'!N597,"  ",'Level 1'!O597,TEXT('Level 1'!P597,"  mm-dd-yyyy"),";"," ",'Level 1'!Q597,'Level 1'!R597,"  ",'Level 1'!T597," ","Payment "," ",'Level 1'!U597,"  ",'Level 1'!V597,"  ",'Level 1'!W597,"  ",'Level 1'!X597,"  ",'Level 1'!Z597, "  ",'Level 1'!AA597, " ","Insurance: ",'Level 1'!A597)</f>
        <v>Detail: Note  Q1  01-00-1900; Q2   Payment  Q4    Q5    Additional Notes:   Insurance: DPOW-CCHP</v>
      </c>
      <c r="C597" s="60" t="str">
        <f>'Level 1'!Y597</f>
        <v>Action</v>
      </c>
      <c r="D597" s="44" t="str">
        <f>VLOOKUP(C597,Table2[#All],3,FALSE)</f>
        <v>What we need from you/Reason</v>
      </c>
      <c r="E597" s="75" t="s">
        <v>199</v>
      </c>
      <c r="F597" s="96"/>
      <c r="G597" s="97"/>
    </row>
    <row r="598" spans="1:7" ht="42" x14ac:dyDescent="0.25">
      <c r="A598" s="43" t="str">
        <f>CONCATENATE("Pt Id:",'Level 1'!E598," ","Pt Name: ",'Level 1'!F598," ","DOS: ", TEXT('Level 1'!H598,"mm-dd-yyyy"),"  "," Amnt: ","$",'Level 1'!J598,"  ", 'Level 1'!N598)</f>
        <v>Pt Id:5531 Pt Name: Martinez Perez, Eliud  DOS: 06-24-2021   Amnt: $244.4  Note</v>
      </c>
      <c r="B598" s="43" t="str">
        <f>CONCATENATE("Detail: ",'Level 1'!N598,"  ",'Level 1'!O598,TEXT('Level 1'!P598,"  mm-dd-yyyy"),";"," ",'Level 1'!Q598,'Level 1'!R598,"  ",'Level 1'!T598," ","Payment "," ",'Level 1'!U598,"  ",'Level 1'!V598,"  ",'Level 1'!W598,"  ",'Level 1'!X598,"  ",'Level 1'!Z598, "  ",'Level 1'!AA598, " ","Insurance: ",'Level 1'!A598)</f>
        <v>Detail: Note  Q1  01-00-1900; Q2   Payment  Q4    Q5    Additional Notes:   Insurance: DPOW-CCHP</v>
      </c>
      <c r="C598" s="60" t="str">
        <f>'Level 1'!Y598</f>
        <v>Action</v>
      </c>
      <c r="D598" s="44" t="str">
        <f>VLOOKUP(C598,Table2[#All],3,FALSE)</f>
        <v>What we need from you/Reason</v>
      </c>
      <c r="E598" s="75" t="s">
        <v>199</v>
      </c>
      <c r="F598" s="96"/>
      <c r="G598" s="97"/>
    </row>
    <row r="599" spans="1:7" ht="42" x14ac:dyDescent="0.25">
      <c r="A599" s="43" t="str">
        <f>CONCATENATE("Pt Id:",'Level 1'!E599," ","Pt Name: ",'Level 1'!F599," ","DOS: ", TEXT('Level 1'!H599,"mm-dd-yyyy"),"  "," Amnt: ","$",'Level 1'!J599,"  ", 'Level 1'!N599)</f>
        <v>Pt Id:5532 Pt Name: Martinez Perez, Ezequiel  DOS: 06-24-2021   Amnt: $478.8  Note</v>
      </c>
      <c r="B599" s="43" t="str">
        <f>CONCATENATE("Detail: ",'Level 1'!N599,"  ",'Level 1'!O599,TEXT('Level 1'!P599,"  mm-dd-yyyy"),";"," ",'Level 1'!Q599,'Level 1'!R599,"  ",'Level 1'!T599," ","Payment "," ",'Level 1'!U599,"  ",'Level 1'!V599,"  ",'Level 1'!W599,"  ",'Level 1'!X599,"  ",'Level 1'!Z599, "  ",'Level 1'!AA599, " ","Insurance: ",'Level 1'!A599)</f>
        <v>Detail: Note  Q1  01-00-1900; Q2   Payment  Q4    Q5    Additional Notes:   Insurance: DPOW-CCHP</v>
      </c>
      <c r="C599" s="60" t="str">
        <f>'Level 1'!Y599</f>
        <v>Action</v>
      </c>
      <c r="D599" s="44" t="str">
        <f>VLOOKUP(C599,Table2[#All],3,FALSE)</f>
        <v>What we need from you/Reason</v>
      </c>
      <c r="E599" s="75" t="s">
        <v>199</v>
      </c>
      <c r="F599" s="96"/>
      <c r="G599" s="97"/>
    </row>
    <row r="600" spans="1:7" ht="21" x14ac:dyDescent="0.25">
      <c r="A600" s="43" t="str">
        <f>CONCATENATE("Pt Id:",'Level 1'!E600," ","Pt Name: ",'Level 1'!F600," ","DOS: ", TEXT('Level 1'!H600,"mm-dd-yyyy"),"  "," Amnt: ","$",'Level 1'!J600,"  ", 'Level 1'!N600)</f>
        <v>Pt Id:5101 Pt Name: Mehring , Jacob  DOS: 06-24-2021   Amnt: $244.4  Note</v>
      </c>
      <c r="B600" s="43" t="str">
        <f>CONCATENATE("Detail: ",'Level 1'!N600,"  ",'Level 1'!O600,TEXT('Level 1'!P600,"  mm-dd-yyyy"),";"," ",'Level 1'!Q600,'Level 1'!R600,"  ",'Level 1'!T600," ","Payment "," ",'Level 1'!U600,"  ",'Level 1'!V600,"  ",'Level 1'!W600,"  ",'Level 1'!X600,"  ",'Level 1'!Z600, "  ",'Level 1'!AA600, " ","Insurance: ",'Level 1'!A600)</f>
        <v>Detail: Note  Q1  01-00-1900; Q2   Payment  Q4    Q5    Additional Notes:   Insurance: DPOW-CCHP</v>
      </c>
      <c r="C600" s="60" t="str">
        <f>'Level 1'!Y600</f>
        <v>Action</v>
      </c>
      <c r="D600" s="44" t="str">
        <f>VLOOKUP(C600,Table2[#All],3,FALSE)</f>
        <v>What we need from you/Reason</v>
      </c>
      <c r="E600" s="75" t="s">
        <v>199</v>
      </c>
      <c r="F600" s="96"/>
      <c r="G600" s="97"/>
    </row>
    <row r="601" spans="1:7" ht="42" x14ac:dyDescent="0.25">
      <c r="A601" s="43" t="str">
        <f>CONCATENATE("Pt Id:",'Level 1'!E601," ","Pt Name: ",'Level 1'!F601," ","DOS: ", TEXT('Level 1'!H601,"mm-dd-yyyy"),"  "," Amnt: ","$",'Level 1'!J601,"  ", 'Level 1'!N601)</f>
        <v>Pt Id:7349 Pt Name: Osman , Mohamed Khada DOS: 06-23-2021   Amnt: $748.8  Note</v>
      </c>
      <c r="B601" s="43" t="str">
        <f>CONCATENATE("Detail: ",'Level 1'!N601,"  ",'Level 1'!O601,TEXT('Level 1'!P601,"  mm-dd-yyyy"),";"," ",'Level 1'!Q601,'Level 1'!R601,"  ",'Level 1'!T601," ","Payment "," ",'Level 1'!U601,"  ",'Level 1'!V601,"  ",'Level 1'!W601,"  ",'Level 1'!X601,"  ",'Level 1'!Z601, "  ",'Level 1'!AA601, " ","Insurance: ",'Level 1'!A601)</f>
        <v>Detail: Note  Q1  01-00-1900; Q2   Payment  Q4    Q5    Additional Notes:   Insurance: DPOW-CCHP</v>
      </c>
      <c r="C601" s="60" t="str">
        <f>'Level 1'!Y601</f>
        <v>Action</v>
      </c>
      <c r="D601" s="44" t="str">
        <f>VLOOKUP(C601,Table2[#All],3,FALSE)</f>
        <v>What we need from you/Reason</v>
      </c>
      <c r="E601" s="75" t="s">
        <v>199</v>
      </c>
      <c r="F601" s="96"/>
      <c r="G601" s="97"/>
    </row>
    <row r="602" spans="1:7" ht="21" x14ac:dyDescent="0.25">
      <c r="A602" s="43" t="str">
        <f>CONCATENATE("Pt Id:",'Level 1'!E602," ","Pt Name: ",'Level 1'!F602," ","DOS: ", TEXT('Level 1'!H602,"mm-dd-yyyy"),"  "," Amnt: ","$",'Level 1'!J602,"  ", 'Level 1'!N602)</f>
        <v>Pt Id:7242 Pt Name: ZAPOT , ALAN  DOS: 06-23-2021   Amnt: $82.8  Note</v>
      </c>
      <c r="B602" s="43" t="str">
        <f>CONCATENATE("Detail: ",'Level 1'!N602,"  ",'Level 1'!O602,TEXT('Level 1'!P602,"  mm-dd-yyyy"),";"," ",'Level 1'!Q602,'Level 1'!R602,"  ",'Level 1'!T602," ","Payment "," ",'Level 1'!U602,"  ",'Level 1'!V602,"  ",'Level 1'!W602,"  ",'Level 1'!X602,"  ",'Level 1'!Z602, "  ",'Level 1'!AA602, " ","Insurance: ",'Level 1'!A602)</f>
        <v>Detail: Note  Q1  01-00-1900; Q2   Payment  Q4    Q5    Additional Notes:   Insurance: DPOW-CCHP</v>
      </c>
      <c r="C602" s="60" t="str">
        <f>'Level 1'!Y602</f>
        <v>Action</v>
      </c>
      <c r="D602" s="44" t="str">
        <f>VLOOKUP(C602,Table2[#All],3,FALSE)</f>
        <v>What we need from you/Reason</v>
      </c>
      <c r="E602" s="75" t="s">
        <v>199</v>
      </c>
      <c r="F602" s="96"/>
      <c r="G602" s="97"/>
    </row>
    <row r="603" spans="1:7" ht="21" x14ac:dyDescent="0.25">
      <c r="A603" s="43" t="str">
        <f>CONCATENATE("Pt Id:",'Level 1'!E603," ","Pt Name: ",'Level 1'!F603," ","DOS: ", TEXT('Level 1'!H603,"mm-dd-yyyy"),"  "," Amnt: ","$",'Level 1'!J603,"  ", 'Level 1'!N603)</f>
        <v>Pt Id:7086 Pt Name: Rodriguez, Ashley DOS: 06-22-2021   Amnt: $1062  Note</v>
      </c>
      <c r="B603" s="43" t="str">
        <f>CONCATENATE("Detail: ",'Level 1'!N603,"  ",'Level 1'!O603,TEXT('Level 1'!P603,"  mm-dd-yyyy"),";"," ",'Level 1'!Q603,'Level 1'!R603,"  ",'Level 1'!T603," ","Payment "," ",'Level 1'!U603,"  ",'Level 1'!V603,"  ",'Level 1'!W603,"  ",'Level 1'!X603,"  ",'Level 1'!Z603, "  ",'Level 1'!AA603, " ","Insurance: ",'Level 1'!A603)</f>
        <v>Detail: Note  Q1  01-00-1900; Q2   Payment  Q4    Q5    Additional Notes:   Insurance: DPOW-CCHP</v>
      </c>
      <c r="C603" s="60" t="str">
        <f>'Level 1'!Y603</f>
        <v>Action</v>
      </c>
      <c r="D603" s="44" t="str">
        <f>VLOOKUP(C603,Table2[#All],3,FALSE)</f>
        <v>What we need from you/Reason</v>
      </c>
      <c r="E603" s="75" t="s">
        <v>199</v>
      </c>
      <c r="F603" s="96"/>
      <c r="G603" s="97"/>
    </row>
    <row r="604" spans="1:7" ht="21" x14ac:dyDescent="0.25">
      <c r="A604" s="43" t="str">
        <f>CONCATENATE("Pt Id:",'Level 1'!E604," ","Pt Name: ",'Level 1'!F604," ","DOS: ", TEXT('Level 1'!H604,"mm-dd-yyyy"),"  "," Amnt: ","$",'Level 1'!J604,"  ", 'Level 1'!N604)</f>
        <v>Pt Id:7376 Pt Name: Brem, Gabriella DOS: 06-22-2021   Amnt: $166.8  Note</v>
      </c>
      <c r="B604" s="43" t="str">
        <f>CONCATENATE("Detail: ",'Level 1'!N604,"  ",'Level 1'!O604,TEXT('Level 1'!P604,"  mm-dd-yyyy"),";"," ",'Level 1'!Q604,'Level 1'!R604,"  ",'Level 1'!T604," ","Payment "," ",'Level 1'!U604,"  ",'Level 1'!V604,"  ",'Level 1'!W604,"  ",'Level 1'!X604,"  ",'Level 1'!Z604, "  ",'Level 1'!AA604, " ","Insurance: ",'Level 1'!A604)</f>
        <v>Detail: Note  Q1  01-00-1900; Q2   Payment  Q4    Q5    Additional Notes:   Insurance: DPOW-CCHP</v>
      </c>
      <c r="C604" s="60" t="str">
        <f>'Level 1'!Y604</f>
        <v>Action</v>
      </c>
      <c r="D604" s="44" t="str">
        <f>VLOOKUP(C604,Table2[#All],3,FALSE)</f>
        <v>What we need from you/Reason</v>
      </c>
      <c r="E604" s="75" t="s">
        <v>199</v>
      </c>
      <c r="F604" s="96"/>
      <c r="G604" s="97"/>
    </row>
    <row r="605" spans="1:7" ht="42" x14ac:dyDescent="0.25">
      <c r="A605" s="43" t="str">
        <f>CONCATENATE("Pt Id:",'Level 1'!E605," ","Pt Name: ",'Level 1'!F605," ","DOS: ", TEXT('Level 1'!H605,"mm-dd-yyyy"),"  "," Amnt: ","$",'Level 1'!J605,"  ", 'Level 1'!N605)</f>
        <v>Pt Id:7374 Pt Name: Brem , Alexzander  DOS: 06-22-2021   Amnt: $507.6  Note</v>
      </c>
      <c r="B605" s="43" t="str">
        <f>CONCATENATE("Detail: ",'Level 1'!N605,"  ",'Level 1'!O605,TEXT('Level 1'!P605,"  mm-dd-yyyy"),";"," ",'Level 1'!Q605,'Level 1'!R605,"  ",'Level 1'!T605," ","Payment "," ",'Level 1'!U605,"  ",'Level 1'!V605,"  ",'Level 1'!W605,"  ",'Level 1'!X605,"  ",'Level 1'!Z605, "  ",'Level 1'!AA605, " ","Insurance: ",'Level 1'!A605)</f>
        <v>Detail: Note  Q1  01-00-1900; Q2   Payment  Q4    Q5    Additional Notes:   Insurance: DPOW-CCHP</v>
      </c>
      <c r="C605" s="60" t="str">
        <f>'Level 1'!Y605</f>
        <v>Action</v>
      </c>
      <c r="D605" s="44" t="str">
        <f>VLOOKUP(C605,Table2[#All],3,FALSE)</f>
        <v>What we need from you/Reason</v>
      </c>
      <c r="E605" s="75" t="s">
        <v>199</v>
      </c>
      <c r="F605" s="96"/>
      <c r="G605" s="97"/>
    </row>
    <row r="606" spans="1:7" ht="21" x14ac:dyDescent="0.25">
      <c r="A606" s="43" t="str">
        <f>CONCATENATE("Pt Id:",'Level 1'!E606," ","Pt Name: ",'Level 1'!F606," ","DOS: ", TEXT('Level 1'!H606,"mm-dd-yyyy"),"  "," Amnt: ","$",'Level 1'!J606,"  ", 'Level 1'!N606)</f>
        <v>Pt Id:1349 Pt Name: Ramirez, Wendy DOS: 06-22-2021   Amnt: $483.6  Note</v>
      </c>
      <c r="B606" s="43" t="str">
        <f>CONCATENATE("Detail: ",'Level 1'!N606,"  ",'Level 1'!O606,TEXT('Level 1'!P606,"  mm-dd-yyyy"),";"," ",'Level 1'!Q606,'Level 1'!R606,"  ",'Level 1'!T606," ","Payment "," ",'Level 1'!U606,"  ",'Level 1'!V606,"  ",'Level 1'!W606,"  ",'Level 1'!X606,"  ",'Level 1'!Z606, "  ",'Level 1'!AA606, " ","Insurance: ",'Level 1'!A606)</f>
        <v>Detail: Note  Q1  01-00-1900; Q2   Payment  Q4    Q5    Additional Notes:   Insurance: DPOW-CCHP</v>
      </c>
      <c r="C606" s="60" t="str">
        <f>'Level 1'!Y606</f>
        <v>Action</v>
      </c>
      <c r="D606" s="44" t="str">
        <f>VLOOKUP(C606,Table2[#All],3,FALSE)</f>
        <v>What we need from you/Reason</v>
      </c>
      <c r="E606" s="75" t="s">
        <v>199</v>
      </c>
      <c r="F606" s="96"/>
      <c r="G606" s="97"/>
    </row>
    <row r="607" spans="1:7" ht="21" x14ac:dyDescent="0.25">
      <c r="A607" s="43" t="str">
        <f>CONCATENATE("Pt Id:",'Level 1'!E607," ","Pt Name: ",'Level 1'!F607," ","DOS: ", TEXT('Level 1'!H607,"mm-dd-yyyy"),"  "," Amnt: ","$",'Level 1'!J607,"  ", 'Level 1'!N607)</f>
        <v>Pt Id:3959 Pt Name: Hess, Jessica DOS: 06-21-2021   Amnt: $415.2  Note</v>
      </c>
      <c r="B607" s="43" t="str">
        <f>CONCATENATE("Detail: ",'Level 1'!N607,"  ",'Level 1'!O607,TEXT('Level 1'!P607,"  mm-dd-yyyy"),";"," ",'Level 1'!Q607,'Level 1'!R607,"  ",'Level 1'!T607," ","Payment "," ",'Level 1'!U607,"  ",'Level 1'!V607,"  ",'Level 1'!W607,"  ",'Level 1'!X607,"  ",'Level 1'!Z607, "  ",'Level 1'!AA607, " ","Insurance: ",'Level 1'!A607)</f>
        <v>Detail: Note  Q1  01-00-1900; Q2   Payment  Q4    Q5    Additional Notes:   Insurance: DPOW-CCHP</v>
      </c>
      <c r="C607" s="60" t="str">
        <f>'Level 1'!Y607</f>
        <v>Action</v>
      </c>
      <c r="D607" s="44" t="str">
        <f>VLOOKUP(C607,Table2[#All],3,FALSE)</f>
        <v>What we need from you/Reason</v>
      </c>
      <c r="E607" s="75" t="s">
        <v>199</v>
      </c>
      <c r="F607" s="96"/>
      <c r="G607" s="97"/>
    </row>
    <row r="608" spans="1:7" ht="21" x14ac:dyDescent="0.25">
      <c r="A608" s="43" t="str">
        <f>CONCATENATE("Pt Id:",'Level 1'!E608," ","Pt Name: ",'Level 1'!F608," ","DOS: ", TEXT('Level 1'!H608,"mm-dd-yyyy"),"  "," Amnt: ","$",'Level 1'!J608,"  ", 'Level 1'!N608)</f>
        <v>Pt Id:5718 Pt Name: Sharma, Sunil  DOS: 06-21-2021   Amnt: $110.4  Note</v>
      </c>
      <c r="B608" s="43" t="str">
        <f>CONCATENATE("Detail: ",'Level 1'!N608,"  ",'Level 1'!O608,TEXT('Level 1'!P608,"  mm-dd-yyyy"),";"," ",'Level 1'!Q608,'Level 1'!R608,"  ",'Level 1'!T608," ","Payment "," ",'Level 1'!U608,"  ",'Level 1'!V608,"  ",'Level 1'!W608,"  ",'Level 1'!X608,"  ",'Level 1'!Z608, "  ",'Level 1'!AA608, " ","Insurance: ",'Level 1'!A608)</f>
        <v>Detail: Note  Q1  01-00-1900; Q2   Payment  Q4    Q5    Additional Notes:   Insurance: DPOW-CCHP</v>
      </c>
      <c r="C608" s="60" t="str">
        <f>'Level 1'!Y608</f>
        <v>Action</v>
      </c>
      <c r="D608" s="44" t="str">
        <f>VLOOKUP(C608,Table2[#All],3,FALSE)</f>
        <v>What we need from you/Reason</v>
      </c>
      <c r="E608" s="75" t="s">
        <v>199</v>
      </c>
      <c r="F608" s="96"/>
      <c r="G608" s="97"/>
    </row>
    <row r="609" spans="1:7" ht="21" x14ac:dyDescent="0.25">
      <c r="A609" s="43" t="str">
        <f>CONCATENATE("Pt Id:",'Level 1'!E609," ","Pt Name: ",'Level 1'!F609," ","DOS: ", TEXT('Level 1'!H609,"mm-dd-yyyy"),"  "," Amnt: ","$",'Level 1'!J609,"  ", 'Level 1'!N609)</f>
        <v>Pt Id:5670 Pt Name: Brown , Shirley  DOS: 06-21-2021   Amnt: $480  Note</v>
      </c>
      <c r="B609" s="43" t="str">
        <f>CONCATENATE("Detail: ",'Level 1'!N609,"  ",'Level 1'!O609,TEXT('Level 1'!P609,"  mm-dd-yyyy"),";"," ",'Level 1'!Q609,'Level 1'!R609,"  ",'Level 1'!T609," ","Payment "," ",'Level 1'!U609,"  ",'Level 1'!V609,"  ",'Level 1'!W609,"  ",'Level 1'!X609,"  ",'Level 1'!Z609, "  ",'Level 1'!AA609, " ","Insurance: ",'Level 1'!A609)</f>
        <v>Detail: Note  Q1  01-00-1900; Q2   Payment  Q4    Q5    Additional Notes:   Insurance: DPOW-CCHP</v>
      </c>
      <c r="C609" s="60" t="str">
        <f>'Level 1'!Y609</f>
        <v>Action</v>
      </c>
      <c r="D609" s="44" t="str">
        <f>VLOOKUP(C609,Table2[#All],3,FALSE)</f>
        <v>What we need from you/Reason</v>
      </c>
      <c r="E609" s="75" t="s">
        <v>199</v>
      </c>
      <c r="F609" s="96"/>
      <c r="G609" s="97"/>
    </row>
    <row r="610" spans="1:7" ht="42" x14ac:dyDescent="0.25">
      <c r="A610" s="43" t="str">
        <f>CONCATENATE("Pt Id:",'Level 1'!E610," ","Pt Name: ",'Level 1'!F610," ","DOS: ", TEXT('Level 1'!H610,"mm-dd-yyyy"),"  "," Amnt: ","$",'Level 1'!J610,"  ", 'Level 1'!N610)</f>
        <v>Pt Id:7356 Pt Name: Obrien , Christian DOS: 06-18-2021   Amnt: $413.2  Note</v>
      </c>
      <c r="B610" s="43" t="str">
        <f>CONCATENATE("Detail: ",'Level 1'!N610,"  ",'Level 1'!O610,TEXT('Level 1'!P610,"  mm-dd-yyyy"),";"," ",'Level 1'!Q610,'Level 1'!R610,"  ",'Level 1'!T610," ","Payment "," ",'Level 1'!U610,"  ",'Level 1'!V610,"  ",'Level 1'!W610,"  ",'Level 1'!X610,"  ",'Level 1'!Z610, "  ",'Level 1'!AA610, " ","Insurance: ",'Level 1'!A610)</f>
        <v>Detail: Note  Q1  01-00-1900; Q2   Payment  Q4    Q5    Additional Notes:   Insurance: DPOW-CCHP</v>
      </c>
      <c r="C610" s="60" t="str">
        <f>'Level 1'!Y610</f>
        <v>Action</v>
      </c>
      <c r="D610" s="44" t="str">
        <f>VLOOKUP(C610,Table2[#All],3,FALSE)</f>
        <v>What we need from you/Reason</v>
      </c>
      <c r="E610" s="75" t="s">
        <v>199</v>
      </c>
      <c r="F610" s="96"/>
      <c r="G610" s="97"/>
    </row>
    <row r="611" spans="1:7" ht="21" x14ac:dyDescent="0.25">
      <c r="A611" s="43" t="str">
        <f>CONCATENATE("Pt Id:",'Level 1'!E611," ","Pt Name: ",'Level 1'!F611," ","DOS: ", TEXT('Level 1'!H611,"mm-dd-yyyy"),"  "," Amnt: ","$",'Level 1'!J611,"  ", 'Level 1'!N611)</f>
        <v>Pt Id:7032 Pt Name: Cruz , Uriel DOS: 06-17-2021   Amnt: $566.8  Note</v>
      </c>
      <c r="B611" s="43" t="str">
        <f>CONCATENATE("Detail: ",'Level 1'!N611,"  ",'Level 1'!O611,TEXT('Level 1'!P611,"  mm-dd-yyyy"),";"," ",'Level 1'!Q611,'Level 1'!R611,"  ",'Level 1'!T611," ","Payment "," ",'Level 1'!U611,"  ",'Level 1'!V611,"  ",'Level 1'!W611,"  ",'Level 1'!X611,"  ",'Level 1'!Z611, "  ",'Level 1'!AA611, " ","Insurance: ",'Level 1'!A611)</f>
        <v>Detail: Note  Q1  01-00-1900; Q2   Payment  Q4    Q5    Additional Notes:   Insurance: DPOW-CCHP</v>
      </c>
      <c r="C611" s="60" t="str">
        <f>'Level 1'!Y611</f>
        <v>Action</v>
      </c>
      <c r="D611" s="44" t="str">
        <f>VLOOKUP(C611,Table2[#All],3,FALSE)</f>
        <v>What we need from you/Reason</v>
      </c>
      <c r="E611" s="75" t="s">
        <v>199</v>
      </c>
      <c r="F611" s="96"/>
      <c r="G611" s="97"/>
    </row>
    <row r="612" spans="1:7" ht="21" x14ac:dyDescent="0.25">
      <c r="A612" s="43" t="str">
        <f>CONCATENATE("Pt Id:",'Level 1'!E612," ","Pt Name: ",'Level 1'!F612," ","DOS: ", TEXT('Level 1'!H612,"mm-dd-yyyy"),"  "," Amnt: ","$",'Level 1'!J612,"  ", 'Level 1'!N612)</f>
        <v>Pt Id:3918 Pt Name: BURKS, JAQUALA DOS: 06-17-2021   Amnt: $480  Note</v>
      </c>
      <c r="B612" s="43" t="str">
        <f>CONCATENATE("Detail: ",'Level 1'!N612,"  ",'Level 1'!O612,TEXT('Level 1'!P612,"  mm-dd-yyyy"),";"," ",'Level 1'!Q612,'Level 1'!R612,"  ",'Level 1'!T612," ","Payment "," ",'Level 1'!U612,"  ",'Level 1'!V612,"  ",'Level 1'!W612,"  ",'Level 1'!X612,"  ",'Level 1'!Z612, "  ",'Level 1'!AA612, " ","Insurance: ",'Level 1'!A612)</f>
        <v>Detail: Note  Q1  01-00-1900; Q2   Payment  Q4    Q5    Additional Notes:   Insurance: DPOW-CCHP</v>
      </c>
      <c r="C612" s="60" t="str">
        <f>'Level 1'!Y612</f>
        <v>Action</v>
      </c>
      <c r="D612" s="44" t="str">
        <f>VLOOKUP(C612,Table2[#All],3,FALSE)</f>
        <v>What we need from you/Reason</v>
      </c>
      <c r="E612" s="75" t="s">
        <v>199</v>
      </c>
      <c r="F612" s="96"/>
      <c r="G612" s="97"/>
    </row>
    <row r="613" spans="1:7" ht="21" x14ac:dyDescent="0.25">
      <c r="A613" s="43" t="str">
        <f>CONCATENATE("Pt Id:",'Level 1'!E613," ","Pt Name: ",'Level 1'!F613," ","DOS: ", TEXT('Level 1'!H613,"mm-dd-yyyy"),"  "," Amnt: ","$",'Level 1'!J613,"  ", 'Level 1'!N613)</f>
        <v>Pt Id:5670 Pt Name: Brown , Shirley  DOS: 06-14-2021   Amnt: $480  Note</v>
      </c>
      <c r="B613" s="43" t="str">
        <f>CONCATENATE("Detail: ",'Level 1'!N613,"  ",'Level 1'!O613,TEXT('Level 1'!P613,"  mm-dd-yyyy"),";"," ",'Level 1'!Q613,'Level 1'!R613,"  ",'Level 1'!T613," ","Payment "," ",'Level 1'!U613,"  ",'Level 1'!V613,"  ",'Level 1'!W613,"  ",'Level 1'!X613,"  ",'Level 1'!Z613, "  ",'Level 1'!AA613, " ","Insurance: ",'Level 1'!A613)</f>
        <v>Detail: Note  Q1  01-00-1900; Q2   Payment  Q4    Q5    Additional Notes:   Insurance: DPOW-CCHP</v>
      </c>
      <c r="C613" s="60" t="str">
        <f>'Level 1'!Y613</f>
        <v>Action</v>
      </c>
      <c r="D613" s="44" t="str">
        <f>VLOOKUP(C613,Table2[#All],3,FALSE)</f>
        <v>What we need from you/Reason</v>
      </c>
      <c r="E613" s="75" t="s">
        <v>199</v>
      </c>
      <c r="F613" s="96"/>
      <c r="G613" s="97"/>
    </row>
    <row r="614" spans="1:7" ht="21" x14ac:dyDescent="0.25">
      <c r="A614" s="43" t="str">
        <f>CONCATENATE("Pt Id:",'Level 1'!E614," ","Pt Name: ",'Level 1'!F614," ","DOS: ", TEXT('Level 1'!H614,"mm-dd-yyyy"),"  "," Amnt: ","$",'Level 1'!J614,"  ", 'Level 1'!N614)</f>
        <v>Pt Id:7157 Pt Name: Vazquez, Iliana DOS: 06-11-2021   Amnt: $138  Note</v>
      </c>
      <c r="B614" s="43" t="str">
        <f>CONCATENATE("Detail: ",'Level 1'!N614,"  ",'Level 1'!O614,TEXT('Level 1'!P614,"  mm-dd-yyyy"),";"," ",'Level 1'!Q614,'Level 1'!R614,"  ",'Level 1'!T614," ","Payment "," ",'Level 1'!U614,"  ",'Level 1'!V614,"  ",'Level 1'!W614,"  ",'Level 1'!X614,"  ",'Level 1'!Z614, "  ",'Level 1'!AA614, " ","Insurance: ",'Level 1'!A614)</f>
        <v>Detail: Note  Q1  01-00-1900; Q2   Payment  Q4    Q5    Additional Notes:   Insurance: DPOW-CCHP</v>
      </c>
      <c r="C614" s="60" t="str">
        <f>'Level 1'!Y614</f>
        <v>Action</v>
      </c>
      <c r="D614" s="44" t="str">
        <f>VLOOKUP(C614,Table2[#All],3,FALSE)</f>
        <v>What we need from you/Reason</v>
      </c>
      <c r="E614" s="75" t="s">
        <v>199</v>
      </c>
      <c r="F614" s="96"/>
      <c r="G614" s="97"/>
    </row>
    <row r="615" spans="1:7" ht="21" x14ac:dyDescent="0.25">
      <c r="A615" s="43" t="str">
        <f>CONCATENATE("Pt Id:",'Level 1'!E615," ","Pt Name: ",'Level 1'!F615," ","DOS: ", TEXT('Level 1'!H615,"mm-dd-yyyy"),"  "," Amnt: ","$",'Level 1'!J615,"  ", 'Level 1'!N615)</f>
        <v>Pt Id:7285 Pt Name: Obaidi, Ali Hussein DOS: 06-10-2021   Amnt: $414  Note</v>
      </c>
      <c r="B615" s="43" t="str">
        <f>CONCATENATE("Detail: ",'Level 1'!N615,"  ",'Level 1'!O615,TEXT('Level 1'!P615,"  mm-dd-yyyy"),";"," ",'Level 1'!Q615,'Level 1'!R615,"  ",'Level 1'!T615," ","Payment "," ",'Level 1'!U615,"  ",'Level 1'!V615,"  ",'Level 1'!W615,"  ",'Level 1'!X615,"  ",'Level 1'!Z615, "  ",'Level 1'!AA615, " ","Insurance: ",'Level 1'!A615)</f>
        <v>Detail: Note  Q1  01-00-1900; Q2   Payment  Q4    Q5    Additional Notes:   Insurance: DPOW-CCHP</v>
      </c>
      <c r="C615" s="60" t="str">
        <f>'Level 1'!Y615</f>
        <v>Action</v>
      </c>
      <c r="D615" s="44" t="str">
        <f>VLOOKUP(C615,Table2[#All],3,FALSE)</f>
        <v>What we need from you/Reason</v>
      </c>
      <c r="E615" s="75" t="s">
        <v>199</v>
      </c>
      <c r="F615" s="96"/>
      <c r="G615" s="97"/>
    </row>
    <row r="616" spans="1:7" ht="21" x14ac:dyDescent="0.25">
      <c r="A616" s="43" t="str">
        <f>CONCATENATE("Pt Id:",'Level 1'!E616," ","Pt Name: ",'Level 1'!F616," ","DOS: ", TEXT('Level 1'!H616,"mm-dd-yyyy"),"  "," Amnt: ","$",'Level 1'!J616,"  ", 'Level 1'!N616)</f>
        <v>Pt Id:1084 Pt Name: Casey, Emma DOS: 06-10-2021   Amnt: $396  Note</v>
      </c>
      <c r="B616" s="43" t="str">
        <f>CONCATENATE("Detail: ",'Level 1'!N616,"  ",'Level 1'!O616,TEXT('Level 1'!P616,"  mm-dd-yyyy"),";"," ",'Level 1'!Q616,'Level 1'!R616,"  ",'Level 1'!T616," ","Payment "," ",'Level 1'!U616,"  ",'Level 1'!V616,"  ",'Level 1'!W616,"  ",'Level 1'!X616,"  ",'Level 1'!Z616, "  ",'Level 1'!AA616, " ","Insurance: ",'Level 1'!A616)</f>
        <v>Detail: Note  Q1  01-00-1900; Q2   Payment  Q4    Q5    Additional Notes:   Insurance: DPOW-CCHP</v>
      </c>
      <c r="C616" s="60" t="str">
        <f>'Level 1'!Y616</f>
        <v>Action</v>
      </c>
      <c r="D616" s="44" t="str">
        <f>VLOOKUP(C616,Table2[#All],3,FALSE)</f>
        <v>What we need from you/Reason</v>
      </c>
      <c r="E616" s="75" t="s">
        <v>199</v>
      </c>
      <c r="F616" s="96"/>
      <c r="G616" s="97"/>
    </row>
    <row r="617" spans="1:7" ht="42" x14ac:dyDescent="0.25">
      <c r="A617" s="43" t="str">
        <f>CONCATENATE("Pt Id:",'Level 1'!E617," ","Pt Name: ",'Level 1'!F617," ","DOS: ", TEXT('Level 1'!H617,"mm-dd-yyyy"),"  "," Amnt: ","$",'Level 1'!J617,"  ", 'Level 1'!N617)</f>
        <v>Pt Id:7192 Pt Name: Maldonado, Leslie DOS: 06-09-2021   Amnt: $437.2  Note</v>
      </c>
      <c r="B617" s="43" t="str">
        <f>CONCATENATE("Detail: ",'Level 1'!N617,"  ",'Level 1'!O617,TEXT('Level 1'!P617,"  mm-dd-yyyy"),";"," ",'Level 1'!Q617,'Level 1'!R617,"  ",'Level 1'!T617," ","Payment "," ",'Level 1'!U617,"  ",'Level 1'!V617,"  ",'Level 1'!W617,"  ",'Level 1'!X617,"  ",'Level 1'!Z617, "  ",'Level 1'!AA617, " ","Insurance: ",'Level 1'!A617)</f>
        <v>Detail: Note  Q1  01-00-1900; Q2   Payment  Q4    Q5    Additional Notes:   Insurance: DPOW-CCHP</v>
      </c>
      <c r="C617" s="60" t="str">
        <f>'Level 1'!Y617</f>
        <v>Action</v>
      </c>
      <c r="D617" s="44" t="str">
        <f>VLOOKUP(C617,Table2[#All],3,FALSE)</f>
        <v>What we need from you/Reason</v>
      </c>
      <c r="E617" s="75" t="s">
        <v>199</v>
      </c>
      <c r="F617" s="96"/>
      <c r="G617" s="97"/>
    </row>
    <row r="618" spans="1:7" ht="21" x14ac:dyDescent="0.25">
      <c r="A618" s="43" t="str">
        <f>CONCATENATE("Pt Id:",'Level 1'!E618," ","Pt Name: ",'Level 1'!F618," ","DOS: ", TEXT('Level 1'!H618,"mm-dd-yyyy"),"  "," Amnt: ","$",'Level 1'!J618,"  ", 'Level 1'!N618)</f>
        <v>Pt Id:5670 Pt Name: Brown , Shirley  DOS: 06-04-2021   Amnt: $432  Note</v>
      </c>
      <c r="B618" s="43" t="str">
        <f>CONCATENATE("Detail: ",'Level 1'!N618,"  ",'Level 1'!O618,TEXT('Level 1'!P618,"  mm-dd-yyyy"),";"," ",'Level 1'!Q618,'Level 1'!R618,"  ",'Level 1'!T618," ","Payment "," ",'Level 1'!U618,"  ",'Level 1'!V618,"  ",'Level 1'!W618,"  ",'Level 1'!X618,"  ",'Level 1'!Z618, "  ",'Level 1'!AA618, " ","Insurance: ",'Level 1'!A618)</f>
        <v>Detail: Note  Q1  01-00-1900; Q2   Payment  Q4    Q5    Additional Notes:   Insurance: DPOW-CCHP</v>
      </c>
      <c r="C618" s="60" t="str">
        <f>'Level 1'!Y618</f>
        <v>Action</v>
      </c>
      <c r="D618" s="44" t="str">
        <f>VLOOKUP(C618,Table2[#All],3,FALSE)</f>
        <v>What we need from you/Reason</v>
      </c>
      <c r="E618" s="75" t="s">
        <v>199</v>
      </c>
      <c r="F618" s="96"/>
      <c r="G618" s="97"/>
    </row>
    <row r="619" spans="1:7" ht="42" x14ac:dyDescent="0.25">
      <c r="A619" s="43" t="str">
        <f>CONCATENATE("Pt Id:",'Level 1'!E619," ","Pt Name: ",'Level 1'!F619," ","DOS: ", TEXT('Level 1'!H619,"mm-dd-yyyy"),"  "," Amnt: ","$",'Level 1'!J619,"  ", 'Level 1'!N619)</f>
        <v>Pt Id:6349 Pt Name: Olivares Camach, Sebastian  DOS: 06-04-2021   Amnt: $61.2  Note</v>
      </c>
      <c r="B619" s="43" t="str">
        <f>CONCATENATE("Detail: ",'Level 1'!N619,"  ",'Level 1'!O619,TEXT('Level 1'!P619,"  mm-dd-yyyy"),";"," ",'Level 1'!Q619,'Level 1'!R619,"  ",'Level 1'!T619," ","Payment "," ",'Level 1'!U619,"  ",'Level 1'!V619,"  ",'Level 1'!W619,"  ",'Level 1'!X619,"  ",'Level 1'!Z619, "  ",'Level 1'!AA619, " ","Insurance: ",'Level 1'!A619)</f>
        <v>Detail: Note  Q1  01-00-1900; Q2   Payment  Q4    Q5    Additional Notes:   Insurance: DPOW-CCHP</v>
      </c>
      <c r="C619" s="60" t="str">
        <f>'Level 1'!Y619</f>
        <v>Action</v>
      </c>
      <c r="D619" s="44" t="str">
        <f>VLOOKUP(C619,Table2[#All],3,FALSE)</f>
        <v>What we need from you/Reason</v>
      </c>
      <c r="E619" s="75" t="s">
        <v>199</v>
      </c>
      <c r="F619" s="96"/>
      <c r="G619" s="97"/>
    </row>
    <row r="620" spans="1:7" ht="21" x14ac:dyDescent="0.25">
      <c r="A620" s="43" t="str">
        <f>CONCATENATE("Pt Id:",'Level 1'!E620," ","Pt Name: ",'Level 1'!F620," ","DOS: ", TEXT('Level 1'!H620,"mm-dd-yyyy"),"  "," Amnt: ","$",'Level 1'!J620,"  ", 'Level 1'!N620)</f>
        <v>Pt Id:7157 Pt Name: Vazquez, Iliana DOS: 05-22-2021   Amnt: $631.2  Note</v>
      </c>
      <c r="B620" s="43" t="str">
        <f>CONCATENATE("Detail: ",'Level 1'!N620,"  ",'Level 1'!O620,TEXT('Level 1'!P620,"  mm-dd-yyyy"),";"," ",'Level 1'!Q620,'Level 1'!R620,"  ",'Level 1'!T620," ","Payment "," ",'Level 1'!U620,"  ",'Level 1'!V620,"  ",'Level 1'!W620,"  ",'Level 1'!X620,"  ",'Level 1'!Z620, "  ",'Level 1'!AA620, " ","Insurance: ",'Level 1'!A620)</f>
        <v>Detail: Note  Q1  01-00-1900; Q2   Payment  Q4    Q5    Additional Notes:   Insurance: DPOW-CCHP</v>
      </c>
      <c r="C620" s="60" t="str">
        <f>'Level 1'!Y620</f>
        <v>Action</v>
      </c>
      <c r="D620" s="44" t="str">
        <f>VLOOKUP(C620,Table2[#All],3,FALSE)</f>
        <v>What we need from you/Reason</v>
      </c>
      <c r="E620" s="75" t="s">
        <v>199</v>
      </c>
      <c r="F620" s="96"/>
      <c r="G620" s="97"/>
    </row>
    <row r="621" spans="1:7" ht="42" x14ac:dyDescent="0.25">
      <c r="A621" s="43" t="str">
        <f>CONCATENATE("Pt Id:",'Level 1'!E621," ","Pt Name: ",'Level 1'!F621," ","DOS: ", TEXT('Level 1'!H621,"mm-dd-yyyy"),"  "," Amnt: ","$",'Level 1'!J621,"  ", 'Level 1'!N621)</f>
        <v>Pt Id:7093 Pt Name: Gastaldi, Ellyianah DOS: 05-20-2021   Amnt: $166.8  Note</v>
      </c>
      <c r="B621" s="43" t="str">
        <f>CONCATENATE("Detail: ",'Level 1'!N621,"  ",'Level 1'!O621,TEXT('Level 1'!P621,"  mm-dd-yyyy"),";"," ",'Level 1'!Q621,'Level 1'!R621,"  ",'Level 1'!T621," ","Payment "," ",'Level 1'!U621,"  ",'Level 1'!V621,"  ",'Level 1'!W621,"  ",'Level 1'!X621,"  ",'Level 1'!Z621, "  ",'Level 1'!AA621, " ","Insurance: ",'Level 1'!A621)</f>
        <v>Detail: Note  Q1  01-00-1900; Q2   Payment  Q4    Q5    Additional Notes:   Insurance: DPOW-CCHP</v>
      </c>
      <c r="C621" s="60" t="str">
        <f>'Level 1'!Y621</f>
        <v>Action</v>
      </c>
      <c r="D621" s="44" t="str">
        <f>VLOOKUP(C621,Table2[#All],3,FALSE)</f>
        <v>What we need from you/Reason</v>
      </c>
      <c r="E621" s="75" t="s">
        <v>199</v>
      </c>
      <c r="F621" s="96"/>
      <c r="G621" s="97"/>
    </row>
    <row r="622" spans="1:7" ht="21" x14ac:dyDescent="0.25">
      <c r="A622" s="43" t="str">
        <f>CONCATENATE("Pt Id:",'Level 1'!E622," ","Pt Name: ",'Level 1'!F622," ","DOS: ", TEXT('Level 1'!H622,"mm-dd-yyyy"),"  "," Amnt: ","$",'Level 1'!J622,"  ", 'Level 1'!N622)</f>
        <v>Pt Id:7094 Pt Name: Gastaldi, Elliyah DOS: 05-20-2021   Amnt: $273.2  Note</v>
      </c>
      <c r="B622" s="43" t="str">
        <f>CONCATENATE("Detail: ",'Level 1'!N622,"  ",'Level 1'!O622,TEXT('Level 1'!P622,"  mm-dd-yyyy"),";"," ",'Level 1'!Q622,'Level 1'!R622,"  ",'Level 1'!T622," ","Payment "," ",'Level 1'!U622,"  ",'Level 1'!V622,"  ",'Level 1'!W622,"  ",'Level 1'!X622,"  ",'Level 1'!Z622, "  ",'Level 1'!AA622, " ","Insurance: ",'Level 1'!A622)</f>
        <v>Detail: Note  Q1  01-00-1900; Q2   Payment  Q4    Q5    Additional Notes:   Insurance: DPOW-CCHP</v>
      </c>
      <c r="C622" s="60" t="str">
        <f>'Level 1'!Y622</f>
        <v>Action</v>
      </c>
      <c r="D622" s="44" t="str">
        <f>VLOOKUP(C622,Table2[#All],3,FALSE)</f>
        <v>What we need from you/Reason</v>
      </c>
      <c r="E622" s="75" t="s">
        <v>199</v>
      </c>
      <c r="F622" s="96"/>
      <c r="G622" s="97"/>
    </row>
    <row r="623" spans="1:7" ht="42" x14ac:dyDescent="0.25">
      <c r="A623" s="43" t="str">
        <f>CONCATENATE("Pt Id:",'Level 1'!E623," ","Pt Name: ",'Level 1'!F623," ","DOS: ", TEXT('Level 1'!H623,"mm-dd-yyyy"),"  "," Amnt: ","$",'Level 1'!J623,"  ", 'Level 1'!N623)</f>
        <v>Pt Id:7118 Pt Name: Spenceer, Qu Shanda DOS: 05-19-2021   Amnt: $401.2  Note</v>
      </c>
      <c r="B623" s="43" t="str">
        <f>CONCATENATE("Detail: ",'Level 1'!N623,"  ",'Level 1'!O623,TEXT('Level 1'!P623,"  mm-dd-yyyy"),";"," ",'Level 1'!Q623,'Level 1'!R623,"  ",'Level 1'!T623," ","Payment "," ",'Level 1'!U623,"  ",'Level 1'!V623,"  ",'Level 1'!W623,"  ",'Level 1'!X623,"  ",'Level 1'!Z623, "  ",'Level 1'!AA623, " ","Insurance: ",'Level 1'!A623)</f>
        <v>Detail: Note  Q1  01-00-1900; Q2   Payment  Q4    Q5    Additional Notes:   Insurance: DPOW-CCHP</v>
      </c>
      <c r="C623" s="60" t="str">
        <f>'Level 1'!Y623</f>
        <v>Action</v>
      </c>
      <c r="D623" s="44" t="str">
        <f>VLOOKUP(C623,Table2[#All],3,FALSE)</f>
        <v>What we need from you/Reason</v>
      </c>
      <c r="E623" s="75" t="s">
        <v>199</v>
      </c>
      <c r="F623" s="96"/>
      <c r="G623" s="97"/>
    </row>
    <row r="624" spans="1:7" ht="42" x14ac:dyDescent="0.25">
      <c r="A624" s="43" t="str">
        <f>CONCATENATE("Pt Id:",'Level 1'!E624," ","Pt Name: ",'Level 1'!F624," ","DOS: ", TEXT('Level 1'!H624,"mm-dd-yyyy"),"  "," Amnt: ","$",'Level 1'!J624,"  ", 'Level 1'!N624)</f>
        <v>Pt Id:7121 Pt Name: Rubio Prieto, Maria DOS: 05-19-2021   Amnt: $332.4  Note</v>
      </c>
      <c r="B624" s="43" t="str">
        <f>CONCATENATE("Detail: ",'Level 1'!N624,"  ",'Level 1'!O624,TEXT('Level 1'!P624,"  mm-dd-yyyy"),";"," ",'Level 1'!Q624,'Level 1'!R624,"  ",'Level 1'!T624," ","Payment "," ",'Level 1'!U624,"  ",'Level 1'!V624,"  ",'Level 1'!W624,"  ",'Level 1'!X624,"  ",'Level 1'!Z624, "  ",'Level 1'!AA624, " ","Insurance: ",'Level 1'!A624)</f>
        <v>Detail: Note  Q1  01-00-1900; Q2   Payment  Q4    Q5    Additional Notes:   Insurance: DPOW-CCHP</v>
      </c>
      <c r="C624" s="60" t="str">
        <f>'Level 1'!Y624</f>
        <v>Action</v>
      </c>
      <c r="D624" s="44" t="str">
        <f>VLOOKUP(C624,Table2[#All],3,FALSE)</f>
        <v>What we need from you/Reason</v>
      </c>
      <c r="E624" s="75" t="s">
        <v>199</v>
      </c>
      <c r="F624" s="96"/>
      <c r="G624" s="97"/>
    </row>
    <row r="625" spans="1:7" ht="21" x14ac:dyDescent="0.25">
      <c r="A625" s="43" t="str">
        <f>CONCATENATE("Pt Id:",'Level 1'!E625," ","Pt Name: ",'Level 1'!F625," ","DOS: ", TEXT('Level 1'!H625,"mm-dd-yyyy"),"  "," Amnt: ","$",'Level 1'!J625,"  ", 'Level 1'!N625)</f>
        <v>Pt Id:7108 Pt Name: Degroot , Isaiah  DOS: 05-18-2021   Amnt: $166.8  Note</v>
      </c>
      <c r="B625" s="43" t="str">
        <f>CONCATENATE("Detail: ",'Level 1'!N625,"  ",'Level 1'!O625,TEXT('Level 1'!P625,"  mm-dd-yyyy"),";"," ",'Level 1'!Q625,'Level 1'!R625,"  ",'Level 1'!T625," ","Payment "," ",'Level 1'!U625,"  ",'Level 1'!V625,"  ",'Level 1'!W625,"  ",'Level 1'!X625,"  ",'Level 1'!Z625, "  ",'Level 1'!AA625, " ","Insurance: ",'Level 1'!A625)</f>
        <v>Detail: Note  Q1  01-00-1900; Q2   Payment  Q4    Q5    Additional Notes:   Insurance: DPOW-CCHP</v>
      </c>
      <c r="C625" s="60" t="str">
        <f>'Level 1'!Y625</f>
        <v>Action</v>
      </c>
      <c r="D625" s="44" t="str">
        <f>VLOOKUP(C625,Table2[#All],3,FALSE)</f>
        <v>What we need from you/Reason</v>
      </c>
      <c r="E625" s="75" t="s">
        <v>199</v>
      </c>
      <c r="F625" s="96"/>
      <c r="G625" s="97"/>
    </row>
    <row r="626" spans="1:7" ht="21" x14ac:dyDescent="0.25">
      <c r="A626" s="43" t="str">
        <f>CONCATENATE("Pt Id:",'Level 1'!E626," ","Pt Name: ",'Level 1'!F626," ","DOS: ", TEXT('Level 1'!H626,"mm-dd-yyyy"),"  "," Amnt: ","$",'Level 1'!J626,"  ", 'Level 1'!N626)</f>
        <v>Pt Id:6774 Pt Name: Ruiz , Angel  DOS: 05-18-2021   Amnt: $258.4  Note</v>
      </c>
      <c r="B626" s="43" t="str">
        <f>CONCATENATE("Detail: ",'Level 1'!N626,"  ",'Level 1'!O626,TEXT('Level 1'!P626,"  mm-dd-yyyy"),";"," ",'Level 1'!Q626,'Level 1'!R626,"  ",'Level 1'!T626," ","Payment "," ",'Level 1'!U626,"  ",'Level 1'!V626,"  ",'Level 1'!W626,"  ",'Level 1'!X626,"  ",'Level 1'!Z626, "  ",'Level 1'!AA626, " ","Insurance: ",'Level 1'!A626)</f>
        <v>Detail: Note  Q1  01-00-1900; Q2   Payment  Q4    Q5    Additional Notes:   Insurance: DPOW-CCHP</v>
      </c>
      <c r="C626" s="60" t="str">
        <f>'Level 1'!Y626</f>
        <v>Action</v>
      </c>
      <c r="D626" s="44" t="str">
        <f>VLOOKUP(C626,Table2[#All],3,FALSE)</f>
        <v>What we need from you/Reason</v>
      </c>
      <c r="E626" s="75" t="s">
        <v>199</v>
      </c>
      <c r="F626" s="96"/>
      <c r="G626" s="97"/>
    </row>
    <row r="627" spans="1:7" ht="21" x14ac:dyDescent="0.25">
      <c r="A627" s="43" t="str">
        <f>CONCATENATE("Pt Id:",'Level 1'!E627," ","Pt Name: ",'Level 1'!F627," ","DOS: ", TEXT('Level 1'!H627,"mm-dd-yyyy"),"  "," Amnt: ","$",'Level 1'!J627,"  ", 'Level 1'!N627)</f>
        <v>Pt Id:6974 Pt Name: Akhbar, Farida DOS: 05-12-2021   Amnt: $432  Note</v>
      </c>
      <c r="B627" s="43" t="str">
        <f>CONCATENATE("Detail: ",'Level 1'!N627,"  ",'Level 1'!O627,TEXT('Level 1'!P627,"  mm-dd-yyyy"),";"," ",'Level 1'!Q627,'Level 1'!R627,"  ",'Level 1'!T627," ","Payment "," ",'Level 1'!U627,"  ",'Level 1'!V627,"  ",'Level 1'!W627,"  ",'Level 1'!X627,"  ",'Level 1'!Z627, "  ",'Level 1'!AA627, " ","Insurance: ",'Level 1'!A627)</f>
        <v>Detail: Note  Q1  01-00-1900; Q2   Payment  Q4    Q5    Additional Notes:   Insurance: DPOW-CCHP</v>
      </c>
      <c r="C627" s="60" t="str">
        <f>'Level 1'!Y627</f>
        <v>Action</v>
      </c>
      <c r="D627" s="44" t="str">
        <f>VLOOKUP(C627,Table2[#All],3,FALSE)</f>
        <v>What we need from you/Reason</v>
      </c>
      <c r="E627" s="75" t="s">
        <v>199</v>
      </c>
      <c r="F627" s="96"/>
      <c r="G627" s="97"/>
    </row>
    <row r="628" spans="1:7" ht="21" x14ac:dyDescent="0.25">
      <c r="A628" s="43" t="str">
        <f>CONCATENATE("Pt Id:",'Level 1'!E628," ","Pt Name: ",'Level 1'!F628," ","DOS: ", TEXT('Level 1'!H628,"mm-dd-yyyy"),"  "," Amnt: ","$",'Level 1'!J628,"  ", 'Level 1'!N628)</f>
        <v>Pt Id:1084 Pt Name: Casey, Emma DOS: 05-11-2021   Amnt: $530.4  Note</v>
      </c>
      <c r="B628" s="43" t="str">
        <f>CONCATENATE("Detail: ",'Level 1'!N628,"  ",'Level 1'!O628,TEXT('Level 1'!P628,"  mm-dd-yyyy"),";"," ",'Level 1'!Q628,'Level 1'!R628,"  ",'Level 1'!T628," ","Payment "," ",'Level 1'!U628,"  ",'Level 1'!V628,"  ",'Level 1'!W628,"  ",'Level 1'!X628,"  ",'Level 1'!Z628, "  ",'Level 1'!AA628, " ","Insurance: ",'Level 1'!A628)</f>
        <v>Detail: Note  Q1  01-00-1900; Q2   Payment  Q4    Q5    Additional Notes:   Insurance: DPOW-CCHP</v>
      </c>
      <c r="C628" s="60" t="str">
        <f>'Level 1'!Y628</f>
        <v>Action</v>
      </c>
      <c r="D628" s="44" t="str">
        <f>VLOOKUP(C628,Table2[#All],3,FALSE)</f>
        <v>What we need from you/Reason</v>
      </c>
      <c r="E628" s="75" t="s">
        <v>199</v>
      </c>
      <c r="F628" s="96"/>
      <c r="G628" s="97"/>
    </row>
    <row r="629" spans="1:7" ht="42" x14ac:dyDescent="0.25">
      <c r="A629" s="43" t="str">
        <f>CONCATENATE("Pt Id:",'Level 1'!E629," ","Pt Name: ",'Level 1'!F629," ","DOS: ", TEXT('Level 1'!H629,"mm-dd-yyyy"),"  "," Amnt: ","$",'Level 1'!J629,"  ", 'Level 1'!N629)</f>
        <v>Pt Id:6749 Pt Name: Montanez, Maura DOS: 05-07-2021   Amnt: $285.6  Note</v>
      </c>
      <c r="B629" s="43" t="str">
        <f>CONCATENATE("Detail: ",'Level 1'!N629,"  ",'Level 1'!O629,TEXT('Level 1'!P629,"  mm-dd-yyyy"),";"," ",'Level 1'!Q629,'Level 1'!R629,"  ",'Level 1'!T629," ","Payment "," ",'Level 1'!U629,"  ",'Level 1'!V629,"  ",'Level 1'!W629,"  ",'Level 1'!X629,"  ",'Level 1'!Z629, "  ",'Level 1'!AA629, " ","Insurance: ",'Level 1'!A629)</f>
        <v>Detail: Note  Q1  01-00-1900; Q2   Payment  Q4    Q5    Additional Notes:   Insurance: DPOW-CCHP</v>
      </c>
      <c r="C629" s="60" t="str">
        <f>'Level 1'!Y629</f>
        <v>Action</v>
      </c>
      <c r="D629" s="44" t="str">
        <f>VLOOKUP(C629,Table2[#All],3,FALSE)</f>
        <v>What we need from you/Reason</v>
      </c>
      <c r="E629" s="75" t="s">
        <v>199</v>
      </c>
      <c r="F629" s="96"/>
      <c r="G629" s="97"/>
    </row>
    <row r="630" spans="1:7" ht="21" x14ac:dyDescent="0.25">
      <c r="A630" s="43" t="str">
        <f>CONCATENATE("Pt Id:",'Level 1'!E630," ","Pt Name: ",'Level 1'!F630," ","DOS: ", TEXT('Level 1'!H630,"mm-dd-yyyy"),"  "," Amnt: ","$",'Level 1'!J630,"  ", 'Level 1'!N630)</f>
        <v>Pt Id:6906 Pt Name: Fisher , Heidi DOS: 05-06-2021   Amnt: $250.8  Note</v>
      </c>
      <c r="B630" s="43" t="str">
        <f>CONCATENATE("Detail: ",'Level 1'!N630,"  ",'Level 1'!O630,TEXT('Level 1'!P630,"  mm-dd-yyyy"),";"," ",'Level 1'!Q630,'Level 1'!R630,"  ",'Level 1'!T630," ","Payment "," ",'Level 1'!U630,"  ",'Level 1'!V630,"  ",'Level 1'!W630,"  ",'Level 1'!X630,"  ",'Level 1'!Z630, "  ",'Level 1'!AA630, " ","Insurance: ",'Level 1'!A630)</f>
        <v>Detail: Note  Q1  01-00-1900; Q2   Payment  Q4    Q5    Additional Notes:   Insurance: DPOW-CCHP</v>
      </c>
      <c r="C630" s="60" t="str">
        <f>'Level 1'!Y630</f>
        <v>Action</v>
      </c>
      <c r="D630" s="44" t="str">
        <f>VLOOKUP(C630,Table2[#All],3,FALSE)</f>
        <v>What we need from you/Reason</v>
      </c>
      <c r="E630" s="75" t="s">
        <v>199</v>
      </c>
      <c r="F630" s="96"/>
      <c r="G630" s="97"/>
    </row>
    <row r="631" spans="1:7" ht="21" x14ac:dyDescent="0.25">
      <c r="A631" s="43" t="str">
        <f>CONCATENATE("Pt Id:",'Level 1'!E631," ","Pt Name: ",'Level 1'!F631," ","DOS: ", TEXT('Level 1'!H631,"mm-dd-yyyy"),"  "," Amnt: ","$",'Level 1'!J631,"  ", 'Level 1'!N631)</f>
        <v>Pt Id:6906 Pt Name: Fisher , Heidi DOS: 05-05-2021   Amnt: $495.6  Note</v>
      </c>
      <c r="B631" s="43" t="str">
        <f>CONCATENATE("Detail: ",'Level 1'!N631,"  ",'Level 1'!O631,TEXT('Level 1'!P631,"  mm-dd-yyyy"),";"," ",'Level 1'!Q631,'Level 1'!R631,"  ",'Level 1'!T631," ","Payment "," ",'Level 1'!U631,"  ",'Level 1'!V631,"  ",'Level 1'!W631,"  ",'Level 1'!X631,"  ",'Level 1'!Z631, "  ",'Level 1'!AA631, " ","Insurance: ",'Level 1'!A631)</f>
        <v>Detail: Note  Q1  01-00-1900; Q2   Payment  Q4    Q5    Additional Notes:   Insurance: DPOW-CCHP</v>
      </c>
      <c r="C631" s="60" t="str">
        <f>'Level 1'!Y631</f>
        <v>Action</v>
      </c>
      <c r="D631" s="44" t="str">
        <f>VLOOKUP(C631,Table2[#All],3,FALSE)</f>
        <v>What we need from you/Reason</v>
      </c>
      <c r="E631" s="75" t="s">
        <v>199</v>
      </c>
      <c r="F631" s="96"/>
      <c r="G631" s="97"/>
    </row>
    <row r="632" spans="1:7" ht="21" x14ac:dyDescent="0.25">
      <c r="A632" s="43" t="str">
        <f>CONCATENATE("Pt Id:",'Level 1'!E632," ","Pt Name: ",'Level 1'!F632," ","DOS: ", TEXT('Level 1'!H632,"mm-dd-yyyy"),"  "," Amnt: ","$",'Level 1'!J632,"  ", 'Level 1'!N632)</f>
        <v>Pt Id:1404 Pt Name: Frye, Ellen DOS: 05-03-2021   Amnt: $253.2  Note</v>
      </c>
      <c r="B632" s="43" t="str">
        <f>CONCATENATE("Detail: ",'Level 1'!N632,"  ",'Level 1'!O632,TEXT('Level 1'!P632,"  mm-dd-yyyy"),";"," ",'Level 1'!Q632,'Level 1'!R632,"  ",'Level 1'!T632," ","Payment "," ",'Level 1'!U632,"  ",'Level 1'!V632,"  ",'Level 1'!W632,"  ",'Level 1'!X632,"  ",'Level 1'!Z632, "  ",'Level 1'!AA632, " ","Insurance: ",'Level 1'!A632)</f>
        <v>Detail: Note  Q1  01-00-1900; Q2   Payment  Q4    Q5    Additional Notes:   Insurance: DPOW-CCHP</v>
      </c>
      <c r="C632" s="60" t="str">
        <f>'Level 1'!Y632</f>
        <v>Action</v>
      </c>
      <c r="D632" s="44" t="str">
        <f>VLOOKUP(C632,Table2[#All],3,FALSE)</f>
        <v>What we need from you/Reason</v>
      </c>
      <c r="E632" s="75" t="s">
        <v>199</v>
      </c>
      <c r="F632" s="96"/>
      <c r="G632" s="97"/>
    </row>
    <row r="633" spans="1:7" ht="42" x14ac:dyDescent="0.25">
      <c r="A633" s="43" t="str">
        <f>CONCATENATE("Pt Id:",'Level 1'!E633," ","Pt Name: ",'Level 1'!F633," ","DOS: ", TEXT('Level 1'!H633,"mm-dd-yyyy"),"  "," Amnt: ","$",'Level 1'!J633,"  ", 'Level 1'!N633)</f>
        <v>Pt Id:5531 Pt Name: Martinez Perez, Eliud  DOS: 03-20-2021   Amnt: $314.4  Note</v>
      </c>
      <c r="B633" s="43" t="str">
        <f>CONCATENATE("Detail: ",'Level 1'!N633,"  ",'Level 1'!O633,TEXT('Level 1'!P633,"  mm-dd-yyyy"),";"," ",'Level 1'!Q633,'Level 1'!R633,"  ",'Level 1'!T633," ","Payment "," ",'Level 1'!U633,"  ",'Level 1'!V633,"  ",'Level 1'!W633,"  ",'Level 1'!X633,"  ",'Level 1'!Z633, "  ",'Level 1'!AA633, " ","Insurance: ",'Level 1'!A633)</f>
        <v>Detail: Note  Q1  01-00-1900; Q2   Payment  Q4    Q5    Additional Notes:   Insurance: DPOW-CCHP</v>
      </c>
      <c r="C633" s="60" t="str">
        <f>'Level 1'!Y633</f>
        <v>Action</v>
      </c>
      <c r="D633" s="44" t="str">
        <f>VLOOKUP(C633,Table2[#All],3,FALSE)</f>
        <v>What we need from you/Reason</v>
      </c>
      <c r="E633" s="75" t="s">
        <v>199</v>
      </c>
      <c r="F633" s="96"/>
      <c r="G633" s="97"/>
    </row>
    <row r="634" spans="1:7" ht="21" x14ac:dyDescent="0.25">
      <c r="A634" s="43" t="str">
        <f>CONCATENATE("Pt Id:",'Level 1'!E634," ","Pt Name: ",'Level 1'!F634," ","DOS: ", TEXT('Level 1'!H634,"mm-dd-yyyy"),"  "," Amnt: ","$",'Level 1'!J634,"  ", 'Level 1'!N634)</f>
        <v>Pt Id:562 Pt Name: Vassh, Robert DOS: 04-28-2021   Amnt: $727.2  Note</v>
      </c>
      <c r="B634" s="43" t="str">
        <f>CONCATENATE("Detail: ",'Level 1'!N634,"  ",'Level 1'!O634,TEXT('Level 1'!P634,"  mm-dd-yyyy"),";"," ",'Level 1'!Q634,'Level 1'!R634,"  ",'Level 1'!T634," ","Payment "," ",'Level 1'!U634,"  ",'Level 1'!V634,"  ",'Level 1'!W634,"  ",'Level 1'!X634,"  ",'Level 1'!Z634, "  ",'Level 1'!AA634, " ","Insurance: ",'Level 1'!A634)</f>
        <v>Detail: Note  Q1  01-00-1900; Q2   Payment  Q4    Q5    Additional Notes:   Insurance: DPOW-CCHP</v>
      </c>
      <c r="C634" s="60" t="str">
        <f>'Level 1'!Y634</f>
        <v>Action</v>
      </c>
      <c r="D634" s="44" t="str">
        <f>VLOOKUP(C634,Table2[#All],3,FALSE)</f>
        <v>What we need from you/Reason</v>
      </c>
      <c r="E634" s="75" t="s">
        <v>199</v>
      </c>
      <c r="F634" s="96"/>
      <c r="G634" s="97"/>
    </row>
    <row r="635" spans="1:7" ht="21" x14ac:dyDescent="0.25">
      <c r="A635" s="43" t="str">
        <f>CONCATENATE("Pt Id:",'Level 1'!E635," ","Pt Name: ",'Level 1'!F635," ","DOS: ", TEXT('Level 1'!H635,"mm-dd-yyyy"),"  "," Amnt: ","$",'Level 1'!J635,"  ", 'Level 1'!N635)</f>
        <v>Pt Id:6010 Pt Name: Al Salihi, Suhad  DOS: 04-26-2021   Amnt: $516  Note</v>
      </c>
      <c r="B635" s="43" t="str">
        <f>CONCATENATE("Detail: ",'Level 1'!N635,"  ",'Level 1'!O635,TEXT('Level 1'!P635,"  mm-dd-yyyy"),";"," ",'Level 1'!Q635,'Level 1'!R635,"  ",'Level 1'!T635," ","Payment "," ",'Level 1'!U635,"  ",'Level 1'!V635,"  ",'Level 1'!W635,"  ",'Level 1'!X635,"  ",'Level 1'!Z635, "  ",'Level 1'!AA635, " ","Insurance: ",'Level 1'!A635)</f>
        <v>Detail: Note  Q1  01-00-1900; Q2   Payment  Q4    Q5    Additional Notes:   Insurance: DPOW-CCHP</v>
      </c>
      <c r="C635" s="60" t="str">
        <f>'Level 1'!Y635</f>
        <v>Action</v>
      </c>
      <c r="D635" s="44" t="str">
        <f>VLOOKUP(C635,Table2[#All],3,FALSE)</f>
        <v>What we need from you/Reason</v>
      </c>
      <c r="E635" s="75" t="s">
        <v>199</v>
      </c>
      <c r="F635" s="96"/>
      <c r="G635" s="97"/>
    </row>
    <row r="636" spans="1:7" ht="42" x14ac:dyDescent="0.25">
      <c r="A636" s="43" t="str">
        <f>CONCATENATE("Pt Id:",'Level 1'!E636," ","Pt Name: ",'Level 1'!F636," ","DOS: ", TEXT('Level 1'!H636,"mm-dd-yyyy"),"  "," Amnt: ","$",'Level 1'!J636,"  ", 'Level 1'!N636)</f>
        <v>Pt Id:6831 Pt Name: HERNANDEZ AYALA , MERARI DOS: 04-20-2021   Amnt: $378  Note</v>
      </c>
      <c r="B636" s="43" t="str">
        <f>CONCATENATE("Detail: ",'Level 1'!N636,"  ",'Level 1'!O636,TEXT('Level 1'!P636,"  mm-dd-yyyy"),";"," ",'Level 1'!Q636,'Level 1'!R636,"  ",'Level 1'!T636," ","Payment "," ",'Level 1'!U636,"  ",'Level 1'!V636,"  ",'Level 1'!W636,"  ",'Level 1'!X636,"  ",'Level 1'!Z636, "  ",'Level 1'!AA636, " ","Insurance: ",'Level 1'!A636)</f>
        <v>Detail: Note  Q1  01-00-1900; Q2   Payment  Q4    Q5    Additional Notes:   Insurance: DPOW-CCHP</v>
      </c>
      <c r="C636" s="60" t="str">
        <f>'Level 1'!Y636</f>
        <v>Action</v>
      </c>
      <c r="D636" s="44" t="str">
        <f>VLOOKUP(C636,Table2[#All],3,FALSE)</f>
        <v>What we need from you/Reason</v>
      </c>
      <c r="E636" s="75" t="s">
        <v>199</v>
      </c>
      <c r="F636" s="96"/>
      <c r="G636" s="97"/>
    </row>
    <row r="637" spans="1:7" ht="21" x14ac:dyDescent="0.25">
      <c r="A637" s="43" t="str">
        <f>CONCATENATE("Pt Id:",'Level 1'!E637," ","Pt Name: ",'Level 1'!F637," ","DOS: ", TEXT('Level 1'!H637,"mm-dd-yyyy"),"  "," Amnt: ","$",'Level 1'!J637,"  ", 'Level 1'!N637)</f>
        <v>Pt Id:6741 Pt Name: Mene, Camila DOS: 04-01-2021   Amnt: $341.2  Note</v>
      </c>
      <c r="B637" s="43" t="str">
        <f>CONCATENATE("Detail: ",'Level 1'!N637,"  ",'Level 1'!O637,TEXT('Level 1'!P637,"  mm-dd-yyyy"),";"," ",'Level 1'!Q637,'Level 1'!R637,"  ",'Level 1'!T637," ","Payment "," ",'Level 1'!U637,"  ",'Level 1'!V637,"  ",'Level 1'!W637,"  ",'Level 1'!X637,"  ",'Level 1'!Z637, "  ",'Level 1'!AA637, " ","Insurance: ",'Level 1'!A637)</f>
        <v>Detail: Note  Q1  01-00-1900; Q2   Payment  Q4    Q5    Additional Notes:   Insurance: DPOW-CCHP</v>
      </c>
      <c r="C637" s="60" t="str">
        <f>'Level 1'!Y637</f>
        <v>Action</v>
      </c>
      <c r="D637" s="44" t="str">
        <f>VLOOKUP(C637,Table2[#All],3,FALSE)</f>
        <v>What we need from you/Reason</v>
      </c>
      <c r="E637" s="75" t="s">
        <v>199</v>
      </c>
      <c r="F637" s="96"/>
      <c r="G637" s="97"/>
    </row>
    <row r="638" spans="1:7" ht="21" x14ac:dyDescent="0.25">
      <c r="A638" s="43" t="str">
        <f>CONCATENATE("Pt Id:",'Level 1'!E638," ","Pt Name: ",'Level 1'!F638," ","DOS: ", TEXT('Level 1'!H638,"mm-dd-yyyy"),"  "," Amnt: ","$",'Level 1'!J638,"  ", 'Level 1'!N638)</f>
        <v>Pt Id:5310 Pt Name: Turner, Lukas DOS: 04-12-2021   Amnt: $464  Note</v>
      </c>
      <c r="B638" s="43" t="str">
        <f>CONCATENATE("Detail: ",'Level 1'!N638,"  ",'Level 1'!O638,TEXT('Level 1'!P638,"  mm-dd-yyyy"),";"," ",'Level 1'!Q638,'Level 1'!R638,"  ",'Level 1'!T638," ","Payment "," ",'Level 1'!U638,"  ",'Level 1'!V638,"  ",'Level 1'!W638,"  ",'Level 1'!X638,"  ",'Level 1'!Z638, "  ",'Level 1'!AA638, " ","Insurance: ",'Level 1'!A638)</f>
        <v>Detail: Note  Q1  01-00-1900; Q2   Payment  Q4    Q5    Additional Notes:   Insurance: DPOW-CCHP</v>
      </c>
      <c r="C638" s="60" t="str">
        <f>'Level 1'!Y638</f>
        <v>Action</v>
      </c>
      <c r="D638" s="44" t="str">
        <f>VLOOKUP(C638,Table2[#All],3,FALSE)</f>
        <v>What we need from you/Reason</v>
      </c>
      <c r="E638" s="75" t="s">
        <v>199</v>
      </c>
      <c r="F638" s="96"/>
      <c r="G638" s="97"/>
    </row>
    <row r="639" spans="1:7" ht="42" x14ac:dyDescent="0.25">
      <c r="A639" s="43" t="str">
        <f>CONCATENATE("Pt Id:",'Level 1'!E639," ","Pt Name: ",'Level 1'!F639," ","DOS: ", TEXT('Level 1'!H639,"mm-dd-yyyy"),"  "," Amnt: ","$",'Level 1'!J639,"  ", 'Level 1'!N639)</f>
        <v>Pt Id:6833 Pt Name: York , Christopher  DOS: 04-10-2021   Amnt: $332.4  Note</v>
      </c>
      <c r="B639" s="43" t="str">
        <f>CONCATENATE("Detail: ",'Level 1'!N639,"  ",'Level 1'!O639,TEXT('Level 1'!P639,"  mm-dd-yyyy"),";"," ",'Level 1'!Q639,'Level 1'!R639,"  ",'Level 1'!T639," ","Payment "," ",'Level 1'!U639,"  ",'Level 1'!V639,"  ",'Level 1'!W639,"  ",'Level 1'!X639,"  ",'Level 1'!Z639, "  ",'Level 1'!AA639, " ","Insurance: ",'Level 1'!A639)</f>
        <v>Detail: Note  Q1  01-00-1900; Q2   Payment  Q4    Q5    Additional Notes:   Insurance: DPOW-CCHP</v>
      </c>
      <c r="C639" s="60" t="str">
        <f>'Level 1'!Y639</f>
        <v>Action</v>
      </c>
      <c r="D639" s="44" t="str">
        <f>VLOOKUP(C639,Table2[#All],3,FALSE)</f>
        <v>What we need from you/Reason</v>
      </c>
      <c r="E639" s="75" t="s">
        <v>199</v>
      </c>
      <c r="F639" s="96"/>
      <c r="G639" s="97"/>
    </row>
    <row r="640" spans="1:7" ht="21" x14ac:dyDescent="0.25">
      <c r="A640" s="43" t="str">
        <f>CONCATENATE("Pt Id:",'Level 1'!E640," ","Pt Name: ",'Level 1'!F640," ","DOS: ", TEXT('Level 1'!H640,"mm-dd-yyyy"),"  "," Amnt: ","$",'Level 1'!J640,"  ", 'Level 1'!N640)</f>
        <v>Pt Id:956 Pt Name: Piehl, Jeana DOS: 04-08-2021   Amnt: $1861.2  Note</v>
      </c>
      <c r="B640" s="43" t="str">
        <f>CONCATENATE("Detail: ",'Level 1'!N640,"  ",'Level 1'!O640,TEXT('Level 1'!P640,"  mm-dd-yyyy"),";"," ",'Level 1'!Q640,'Level 1'!R640,"  ",'Level 1'!T640," ","Payment "," ",'Level 1'!U640,"  ",'Level 1'!V640,"  ",'Level 1'!W640,"  ",'Level 1'!X640,"  ",'Level 1'!Z640, "  ",'Level 1'!AA640, " ","Insurance: ",'Level 1'!A640)</f>
        <v>Detail: Note  Q1  01-00-1900; Q2   Payment  Q4    Q5    Additional Notes:   Insurance: DPOW-CCHP</v>
      </c>
      <c r="C640" s="60" t="str">
        <f>'Level 1'!Y640</f>
        <v>Action</v>
      </c>
      <c r="D640" s="44" t="str">
        <f>VLOOKUP(C640,Table2[#All],3,FALSE)</f>
        <v>What we need from you/Reason</v>
      </c>
      <c r="E640" s="75" t="s">
        <v>199</v>
      </c>
      <c r="F640" s="96"/>
      <c r="G640" s="97"/>
    </row>
    <row r="641" spans="1:7" ht="42" x14ac:dyDescent="0.25">
      <c r="A641" s="43" t="str">
        <f>CONCATENATE("Pt Id:",'Level 1'!E641," ","Pt Name: ",'Level 1'!F641," ","DOS: ", TEXT('Level 1'!H641,"mm-dd-yyyy"),"  "," Amnt: ","$",'Level 1'!J641,"  ", 'Level 1'!N641)</f>
        <v>Pt Id:3645 Pt Name: ROMO, CRISTINA  DOS: 03-30-2021   Amnt: $1056.8  Note</v>
      </c>
      <c r="B641" s="43" t="str">
        <f>CONCATENATE("Detail: ",'Level 1'!N641,"  ",'Level 1'!O641,TEXT('Level 1'!P641,"  mm-dd-yyyy"),";"," ",'Level 1'!Q641,'Level 1'!R641,"  ",'Level 1'!T641," ","Payment "," ",'Level 1'!U641,"  ",'Level 1'!V641,"  ",'Level 1'!W641,"  ",'Level 1'!X641,"  ",'Level 1'!Z641, "  ",'Level 1'!AA641, " ","Insurance: ",'Level 1'!A641)</f>
        <v>Detail: Note  Q1  01-00-1900; Q2   Payment  Q4    Q5    Additional Notes:   Insurance: DPOW-CCHP</v>
      </c>
      <c r="C641" s="60" t="str">
        <f>'Level 1'!Y641</f>
        <v>Action</v>
      </c>
      <c r="D641" s="44" t="str">
        <f>VLOOKUP(C641,Table2[#All],3,FALSE)</f>
        <v>What we need from you/Reason</v>
      </c>
      <c r="E641" s="75" t="s">
        <v>199</v>
      </c>
      <c r="F641" s="96"/>
      <c r="G641" s="97"/>
    </row>
    <row r="642" spans="1:7" ht="42" x14ac:dyDescent="0.25">
      <c r="A642" s="43" t="str">
        <f>CONCATENATE("Pt Id:",'Level 1'!E642," ","Pt Name: ",'Level 1'!F642," ","DOS: ", TEXT('Level 1'!H642,"mm-dd-yyyy"),"  "," Amnt: ","$",'Level 1'!J642,"  ", 'Level 1'!N642)</f>
        <v>Pt Id:5643 Pt Name: Martinez Guzman , Cruz Maria DOS: 03-20-2021   Amnt: $150  Note</v>
      </c>
      <c r="B642" s="43" t="str">
        <f>CONCATENATE("Detail: ",'Level 1'!N642,"  ",'Level 1'!O642,TEXT('Level 1'!P642,"  mm-dd-yyyy"),";"," ",'Level 1'!Q642,'Level 1'!R642,"  ",'Level 1'!T642," ","Payment "," ",'Level 1'!U642,"  ",'Level 1'!V642,"  ",'Level 1'!W642,"  ",'Level 1'!X642,"  ",'Level 1'!Z642, "  ",'Level 1'!AA642, " ","Insurance: ",'Level 1'!A642)</f>
        <v>Detail: Note  Q1  01-00-1900; Q2   Payment  Q4    Q5    Additional Notes:   Insurance: DPOW-CCHP</v>
      </c>
      <c r="C642" s="60" t="str">
        <f>'Level 1'!Y642</f>
        <v>Action</v>
      </c>
      <c r="D642" s="44" t="str">
        <f>VLOOKUP(C642,Table2[#All],3,FALSE)</f>
        <v>What we need from you/Reason</v>
      </c>
      <c r="E642" s="75" t="s">
        <v>199</v>
      </c>
      <c r="F642" s="96"/>
      <c r="G642" s="97"/>
    </row>
    <row r="643" spans="1:7" ht="42" x14ac:dyDescent="0.25">
      <c r="A643" s="43" t="str">
        <f>CONCATENATE("Pt Id:",'Level 1'!E643," ","Pt Name: ",'Level 1'!F643," ","DOS: ", TEXT('Level 1'!H643,"mm-dd-yyyy"),"  "," Amnt: ","$",'Level 1'!J643,"  ", 'Level 1'!N643)</f>
        <v>Pt Id:4844 Pt Name: Sanders Jones, Kamaya  DOS: 03-18-2021   Amnt: $300  Note</v>
      </c>
      <c r="B643" s="43" t="str">
        <f>CONCATENATE("Detail: ",'Level 1'!N643,"  ",'Level 1'!O643,TEXT('Level 1'!P643,"  mm-dd-yyyy"),";"," ",'Level 1'!Q643,'Level 1'!R643,"  ",'Level 1'!T643," ","Payment "," ",'Level 1'!U643,"  ",'Level 1'!V643,"  ",'Level 1'!W643,"  ",'Level 1'!X643,"  ",'Level 1'!Z643, "  ",'Level 1'!AA643, " ","Insurance: ",'Level 1'!A643)</f>
        <v>Detail: Note  Q1  01-00-1900; Q2   Payment  Q4    Q5    Additional Notes:   Insurance: DPOW-CCHP</v>
      </c>
      <c r="C643" s="60" t="str">
        <f>'Level 1'!Y643</f>
        <v>Action</v>
      </c>
      <c r="D643" s="44" t="str">
        <f>VLOOKUP(C643,Table2[#All],3,FALSE)</f>
        <v>What we need from you/Reason</v>
      </c>
      <c r="E643" s="75" t="s">
        <v>199</v>
      </c>
      <c r="F643" s="96"/>
      <c r="G643" s="97"/>
    </row>
    <row r="644" spans="1:7" ht="42" x14ac:dyDescent="0.25">
      <c r="A644" s="43" t="str">
        <f>CONCATENATE("Pt Id:",'Level 1'!E644," ","Pt Name: ",'Level 1'!F644," ","DOS: ", TEXT('Level 1'!H644,"mm-dd-yyyy"),"  "," Amnt: ","$",'Level 1'!J644,"  ", 'Level 1'!N644)</f>
        <v>Pt Id:5700 Pt Name: Ibarra Aguilera , Ariel DOS: 03-04-2021   Amnt: $61.2  Note</v>
      </c>
      <c r="B644" s="43" t="str">
        <f>CONCATENATE("Detail: ",'Level 1'!N644,"  ",'Level 1'!O644,TEXT('Level 1'!P644,"  mm-dd-yyyy"),";"," ",'Level 1'!Q644,'Level 1'!R644,"  ",'Level 1'!T644," ","Payment "," ",'Level 1'!U644,"  ",'Level 1'!V644,"  ",'Level 1'!W644,"  ",'Level 1'!X644,"  ",'Level 1'!Z644, "  ",'Level 1'!AA644, " ","Insurance: ",'Level 1'!A644)</f>
        <v>Detail: Note  Q1  01-00-1900; Q2   Payment  Q4    Q5    Additional Notes:   Insurance: DPOW-CCHP</v>
      </c>
      <c r="C644" s="60" t="str">
        <f>'Level 1'!Y644</f>
        <v>Action</v>
      </c>
      <c r="D644" s="44" t="str">
        <f>VLOOKUP(C644,Table2[#All],3,FALSE)</f>
        <v>What we need from you/Reason</v>
      </c>
      <c r="E644" s="75" t="s">
        <v>199</v>
      </c>
      <c r="F644" s="96"/>
      <c r="G644" s="97"/>
    </row>
    <row r="645" spans="1:7" ht="42" x14ac:dyDescent="0.25">
      <c r="A645" s="43" t="str">
        <f>CONCATENATE("Pt Id:",'Level 1'!E645," ","Pt Name: ",'Level 1'!F645," ","DOS: ", TEXT('Level 1'!H645,"mm-dd-yyyy"),"  "," Amnt: ","$",'Level 1'!J645,"  ", 'Level 1'!N645)</f>
        <v>Pt Id:4844 Pt Name: Sanders Jones, Kamaya  DOS: 02-27-2021   Amnt: $300  Note</v>
      </c>
      <c r="B645" s="43" t="str">
        <f>CONCATENATE("Detail: ",'Level 1'!N645,"  ",'Level 1'!O645,TEXT('Level 1'!P645,"  mm-dd-yyyy"),";"," ",'Level 1'!Q645,'Level 1'!R645,"  ",'Level 1'!T645," ","Payment "," ",'Level 1'!U645,"  ",'Level 1'!V645,"  ",'Level 1'!W645,"  ",'Level 1'!X645,"  ",'Level 1'!Z645, "  ",'Level 1'!AA645, " ","Insurance: ",'Level 1'!A645)</f>
        <v>Detail: Note  Q1  01-00-1900; Q2   Payment  Q4    Q5    Additional Notes:   Insurance: DPOW-CCHP</v>
      </c>
      <c r="C645" s="60" t="str">
        <f>'Level 1'!Y645</f>
        <v>Action</v>
      </c>
      <c r="D645" s="44" t="str">
        <f>VLOOKUP(C645,Table2[#All],3,FALSE)</f>
        <v>What we need from you/Reason</v>
      </c>
      <c r="E645" s="75" t="s">
        <v>199</v>
      </c>
      <c r="F645" s="96"/>
      <c r="G645" s="97"/>
    </row>
    <row r="646" spans="1:7" ht="21" x14ac:dyDescent="0.25">
      <c r="A646" s="43" t="str">
        <f>CONCATENATE("Pt Id:",'Level 1'!E646," ","Pt Name: ",'Level 1'!F646," ","DOS: ", TEXT('Level 1'!H646,"mm-dd-yyyy"),"  "," Amnt: ","$",'Level 1'!J646,"  ", 'Level 1'!N646)</f>
        <v>Pt Id:4843 Pt Name: York, Harper  DOS: 02-27-2021   Amnt: $227.6  Note</v>
      </c>
      <c r="B646" s="43" t="str">
        <f>CONCATENATE("Detail: ",'Level 1'!N646,"  ",'Level 1'!O646,TEXT('Level 1'!P646,"  mm-dd-yyyy"),";"," ",'Level 1'!Q646,'Level 1'!R646,"  ",'Level 1'!T646," ","Payment "," ",'Level 1'!U646,"  ",'Level 1'!V646,"  ",'Level 1'!W646,"  ",'Level 1'!X646,"  ",'Level 1'!Z646, "  ",'Level 1'!AA646, " ","Insurance: ",'Level 1'!A646)</f>
        <v>Detail: Note  Q1  01-00-1900; Q2   Payment  Q4    Q5    Additional Notes:   Insurance: DPOW-CCHP</v>
      </c>
      <c r="C646" s="60" t="str">
        <f>'Level 1'!Y646</f>
        <v>Action</v>
      </c>
      <c r="D646" s="44" t="str">
        <f>VLOOKUP(C646,Table2[#All],3,FALSE)</f>
        <v>What we need from you/Reason</v>
      </c>
      <c r="E646" s="75" t="s">
        <v>199</v>
      </c>
      <c r="F646" s="96"/>
      <c r="G646" s="97"/>
    </row>
    <row r="647" spans="1:7" ht="21" x14ac:dyDescent="0.25">
      <c r="A647" s="43" t="str">
        <f>CONCATENATE("Pt Id:",'Level 1'!E647," ","Pt Name: ",'Level 1'!F647," ","DOS: ", TEXT('Level 1'!H647,"mm-dd-yyyy"),"  "," Amnt: ","$",'Level 1'!J647,"  ", 'Level 1'!N647)</f>
        <v>Pt Id:2932 Pt Name: Torrez, Gabriel DOS: 02-25-2021   Amnt: $1032  Note</v>
      </c>
      <c r="B647" s="43" t="str">
        <f>CONCATENATE("Detail: ",'Level 1'!N647,"  ",'Level 1'!O647,TEXT('Level 1'!P647,"  mm-dd-yyyy"),";"," ",'Level 1'!Q647,'Level 1'!R647,"  ",'Level 1'!T647," ","Payment "," ",'Level 1'!U647,"  ",'Level 1'!V647,"  ",'Level 1'!W647,"  ",'Level 1'!X647,"  ",'Level 1'!Z647, "  ",'Level 1'!AA647, " ","Insurance: ",'Level 1'!A647)</f>
        <v>Detail: Note  Q1  01-00-1900; Q2   Payment  Q4    Q5    Additional Notes:   Insurance: DPOW-CCHP</v>
      </c>
      <c r="C647" s="60" t="str">
        <f>'Level 1'!Y647</f>
        <v>Action</v>
      </c>
      <c r="D647" s="44" t="str">
        <f>VLOOKUP(C647,Table2[#All],3,FALSE)</f>
        <v>What we need from you/Reason</v>
      </c>
      <c r="E647" s="75" t="s">
        <v>199</v>
      </c>
      <c r="F647" s="96"/>
      <c r="G647" s="97"/>
    </row>
    <row r="648" spans="1:7" ht="21" x14ac:dyDescent="0.25">
      <c r="A648" s="43" t="str">
        <f>CONCATENATE("Pt Id:",'Level 1'!E648," ","Pt Name: ",'Level 1'!F648," ","DOS: ", TEXT('Level 1'!H648,"mm-dd-yyyy"),"  "," Amnt: ","$",'Level 1'!J648,"  ", 'Level 1'!N648)</f>
        <v>Pt Id:1745 Pt Name: Breis, Brian DOS: 02-22-2021   Amnt: $329.6  Note</v>
      </c>
      <c r="B648" s="43" t="str">
        <f>CONCATENATE("Detail: ",'Level 1'!N648,"  ",'Level 1'!O648,TEXT('Level 1'!P648,"  mm-dd-yyyy"),";"," ",'Level 1'!Q648,'Level 1'!R648,"  ",'Level 1'!T648," ","Payment "," ",'Level 1'!U648,"  ",'Level 1'!V648,"  ",'Level 1'!W648,"  ",'Level 1'!X648,"  ",'Level 1'!Z648, "  ",'Level 1'!AA648, " ","Insurance: ",'Level 1'!A648)</f>
        <v>Detail: Note  Q1  01-00-1900; Q2   Payment  Q4    Q5    Additional Notes:   Insurance: DPOW-CCHP</v>
      </c>
      <c r="C648" s="60" t="str">
        <f>'Level 1'!Y648</f>
        <v>Action</v>
      </c>
      <c r="D648" s="44" t="str">
        <f>VLOOKUP(C648,Table2[#All],3,FALSE)</f>
        <v>What we need from you/Reason</v>
      </c>
      <c r="E648" s="75" t="s">
        <v>199</v>
      </c>
      <c r="F648" s="96"/>
      <c r="G648" s="97"/>
    </row>
    <row r="649" spans="1:7" ht="42" x14ac:dyDescent="0.25">
      <c r="A649" s="43" t="str">
        <f>CONCATENATE("Pt Id:",'Level 1'!E649," ","Pt Name: ",'Level 1'!F649," ","DOS: ", TEXT('Level 1'!H649,"mm-dd-yyyy"),"  "," Amnt: ","$",'Level 1'!J649,"  ", 'Level 1'!N649)</f>
        <v>Pt Id:6353 Pt Name: Jensen Wright , Heather Ann DOS: 02-15-2021   Amnt: $226.8  Note</v>
      </c>
      <c r="B649" s="43" t="str">
        <f>CONCATENATE("Detail: ",'Level 1'!N649,"  ",'Level 1'!O649,TEXT('Level 1'!P649,"  mm-dd-yyyy"),";"," ",'Level 1'!Q649,'Level 1'!R649,"  ",'Level 1'!T649," ","Payment "," ",'Level 1'!U649,"  ",'Level 1'!V649,"  ",'Level 1'!W649,"  ",'Level 1'!X649,"  ",'Level 1'!Z649, "  ",'Level 1'!AA649, " ","Insurance: ",'Level 1'!A649)</f>
        <v>Detail: Note  Q1  01-00-1900; Q2   Payment  Q4    Q5    Additional Notes:   Insurance: DPOW-CCHP</v>
      </c>
      <c r="C649" s="60" t="str">
        <f>'Level 1'!Y649</f>
        <v>Action</v>
      </c>
      <c r="D649" s="44" t="str">
        <f>VLOOKUP(C649,Table2[#All],3,FALSE)</f>
        <v>What we need from you/Reason</v>
      </c>
      <c r="E649" s="75" t="s">
        <v>199</v>
      </c>
      <c r="F649" s="96"/>
      <c r="G649" s="97"/>
    </row>
    <row r="650" spans="1:7" ht="21" x14ac:dyDescent="0.25">
      <c r="A650" s="43" t="str">
        <f>CONCATENATE("Pt Id:",'Level 1'!E650," ","Pt Name: ",'Level 1'!F650," ","DOS: ", TEXT('Level 1'!H650,"mm-dd-yyyy"),"  "," Amnt: ","$",'Level 1'!J650,"  ", 'Level 1'!N650)</f>
        <v>Pt Id:6010 Pt Name: Al Salihi, Suhad  DOS: 02-08-2021   Amnt: $376.4  Note</v>
      </c>
      <c r="B650" s="43" t="str">
        <f>CONCATENATE("Detail: ",'Level 1'!N650,"  ",'Level 1'!O650,TEXT('Level 1'!P650,"  mm-dd-yyyy"),";"," ",'Level 1'!Q650,'Level 1'!R650,"  ",'Level 1'!T650," ","Payment "," ",'Level 1'!U650,"  ",'Level 1'!V650,"  ",'Level 1'!W650,"  ",'Level 1'!X650,"  ",'Level 1'!Z650, "  ",'Level 1'!AA650, " ","Insurance: ",'Level 1'!A650)</f>
        <v>Detail: Note  Q1  01-00-1900; Q2   Payment  Q4    Q5    Additional Notes:   Insurance: DPOW-CCHP</v>
      </c>
      <c r="C650" s="60" t="str">
        <f>'Level 1'!Y650</f>
        <v>Action</v>
      </c>
      <c r="D650" s="44" t="str">
        <f>VLOOKUP(C650,Table2[#All],3,FALSE)</f>
        <v>What we need from you/Reason</v>
      </c>
      <c r="E650" s="75" t="s">
        <v>199</v>
      </c>
      <c r="F650" s="96"/>
      <c r="G650" s="97"/>
    </row>
    <row r="651" spans="1:7" ht="21" x14ac:dyDescent="0.25">
      <c r="A651" s="43" t="str">
        <f>CONCATENATE("Pt Id:",'Level 1'!E651," ","Pt Name: ",'Level 1'!F651," ","DOS: ", TEXT('Level 1'!H651,"mm-dd-yyyy"),"  "," Amnt: ","$",'Level 1'!J651,"  ", 'Level 1'!N651)</f>
        <v>Pt Id:5848 Pt Name: Abdi, Faiza DOS: 02-04-2021   Amnt: $82.8  Note</v>
      </c>
      <c r="B651" s="43" t="str">
        <f>CONCATENATE("Detail: ",'Level 1'!N651,"  ",'Level 1'!O651,TEXT('Level 1'!P651,"  mm-dd-yyyy"),";"," ",'Level 1'!Q651,'Level 1'!R651,"  ",'Level 1'!T651," ","Payment "," ",'Level 1'!U651,"  ",'Level 1'!V651,"  ",'Level 1'!W651,"  ",'Level 1'!X651,"  ",'Level 1'!Z651, "  ",'Level 1'!AA651, " ","Insurance: ",'Level 1'!A651)</f>
        <v>Detail: Note  Q1  01-00-1900; Q2   Payment  Q4    Q5    Additional Notes:   Insurance: DPOW-CCHP</v>
      </c>
      <c r="C651" s="60" t="str">
        <f>'Level 1'!Y651</f>
        <v>Action</v>
      </c>
      <c r="D651" s="44" t="str">
        <f>VLOOKUP(C651,Table2[#All],3,FALSE)</f>
        <v>What we need from you/Reason</v>
      </c>
      <c r="E651" s="75" t="s">
        <v>199</v>
      </c>
      <c r="F651" s="96"/>
      <c r="G651" s="97"/>
    </row>
    <row r="652" spans="1:7" ht="21" x14ac:dyDescent="0.25">
      <c r="A652" s="43" t="str">
        <f>CONCATENATE("Pt Id:",'Level 1'!E652," ","Pt Name: ",'Level 1'!F652," ","DOS: ", TEXT('Level 1'!H652,"mm-dd-yyyy"),"  "," Amnt: ","$",'Level 1'!J652,"  ", 'Level 1'!N652)</f>
        <v>Pt Id:1627 Pt Name: Augustus, Tahjaie DOS: 02-01-2021   Amnt: $612  Note</v>
      </c>
      <c r="B652" s="43" t="str">
        <f>CONCATENATE("Detail: ",'Level 1'!N652,"  ",'Level 1'!O652,TEXT('Level 1'!P652,"  mm-dd-yyyy"),";"," ",'Level 1'!Q652,'Level 1'!R652,"  ",'Level 1'!T652," ","Payment "," ",'Level 1'!U652,"  ",'Level 1'!V652,"  ",'Level 1'!W652,"  ",'Level 1'!X652,"  ",'Level 1'!Z652, "  ",'Level 1'!AA652, " ","Insurance: ",'Level 1'!A652)</f>
        <v>Detail: Note  Q1  01-00-1900; Q2   Payment  Q4    Q5    Additional Notes:   Insurance: DPOW-CCHP</v>
      </c>
      <c r="C652" s="60" t="str">
        <f>'Level 1'!Y652</f>
        <v>Action</v>
      </c>
      <c r="D652" s="44" t="str">
        <f>VLOOKUP(C652,Table2[#All],3,FALSE)</f>
        <v>What we need from you/Reason</v>
      </c>
      <c r="E652" s="75" t="s">
        <v>199</v>
      </c>
      <c r="F652" s="96"/>
      <c r="G652" s="97"/>
    </row>
    <row r="653" spans="1:7" ht="42" x14ac:dyDescent="0.25">
      <c r="A653" s="43" t="str">
        <f>CONCATENATE("Pt Id:",'Level 1'!E653," ","Pt Name: ",'Level 1'!F653," ","DOS: ", TEXT('Level 1'!H653,"mm-dd-yyyy"),"  "," Amnt: ","$",'Level 1'!J653,"  ", 'Level 1'!N653)</f>
        <v>Pt Id:6146 Pt Name: Abrego Melendre, Adriana  DOS: 01-29-2021   Amnt: $302.4  Note</v>
      </c>
      <c r="B653" s="43" t="str">
        <f>CONCATENATE("Detail: ",'Level 1'!N653,"  ",'Level 1'!O653,TEXT('Level 1'!P653,"  mm-dd-yyyy"),";"," ",'Level 1'!Q653,'Level 1'!R653,"  ",'Level 1'!T653," ","Payment "," ",'Level 1'!U653,"  ",'Level 1'!V653,"  ",'Level 1'!W653,"  ",'Level 1'!X653,"  ",'Level 1'!Z653, "  ",'Level 1'!AA653, " ","Insurance: ",'Level 1'!A653)</f>
        <v>Detail: Note  Q1  01-00-1900; Q2   Payment  Q4    Q5    Additional Notes:   Insurance: DPOW-CCHP</v>
      </c>
      <c r="C653" s="60" t="str">
        <f>'Level 1'!Y653</f>
        <v>Action</v>
      </c>
      <c r="D653" s="44" t="str">
        <f>VLOOKUP(C653,Table2[#All],3,FALSE)</f>
        <v>What we need from you/Reason</v>
      </c>
      <c r="E653" s="75" t="s">
        <v>199</v>
      </c>
      <c r="F653" s="96"/>
      <c r="G653" s="97"/>
    </row>
    <row r="654" spans="1:7" ht="21" x14ac:dyDescent="0.25">
      <c r="A654" s="43" t="str">
        <f>CONCATENATE("Pt Id:",'Level 1'!E654," ","Pt Name: ",'Level 1'!F654," ","DOS: ", TEXT('Level 1'!H654,"mm-dd-yyyy"),"  "," Amnt: ","$",'Level 1'!J654,"  ", 'Level 1'!N654)</f>
        <v>Pt Id:6007 Pt Name: Elder , Brooks  DOS: 01-20-2021   Amnt: $532  Note</v>
      </c>
      <c r="B654" s="43" t="str">
        <f>CONCATENATE("Detail: ",'Level 1'!N654,"  ",'Level 1'!O654,TEXT('Level 1'!P654,"  mm-dd-yyyy"),";"," ",'Level 1'!Q654,'Level 1'!R654,"  ",'Level 1'!T654," ","Payment "," ",'Level 1'!U654,"  ",'Level 1'!V654,"  ",'Level 1'!W654,"  ",'Level 1'!X654,"  ",'Level 1'!Z654, "  ",'Level 1'!AA654, " ","Insurance: ",'Level 1'!A654)</f>
        <v>Detail: Note  Q1  01-00-1900; Q2   Payment  Q4    Q5    Additional Notes:   Insurance: DPOW-CCHP</v>
      </c>
      <c r="C654" s="60" t="str">
        <f>'Level 1'!Y654</f>
        <v>Action</v>
      </c>
      <c r="D654" s="44" t="str">
        <f>VLOOKUP(C654,Table2[#All],3,FALSE)</f>
        <v>What we need from you/Reason</v>
      </c>
      <c r="E654" s="75" t="s">
        <v>199</v>
      </c>
      <c r="F654" s="96"/>
      <c r="G654" s="97"/>
    </row>
    <row r="655" spans="1:7" ht="21" x14ac:dyDescent="0.25">
      <c r="A655" s="43" t="str">
        <f>CONCATENATE("Pt Id:",'Level 1'!E655," ","Pt Name: ",'Level 1'!F655," ","DOS: ", TEXT('Level 1'!H655,"mm-dd-yyyy"),"  "," Amnt: ","$",'Level 1'!J655,"  ", 'Level 1'!N655)</f>
        <v>Pt Id:1188 Pt Name: Gonzalez, Sophia DOS: 01-12-2021   Amnt: $403.2  Note</v>
      </c>
      <c r="B655" s="43" t="str">
        <f>CONCATENATE("Detail: ",'Level 1'!N655,"  ",'Level 1'!O655,TEXT('Level 1'!P655,"  mm-dd-yyyy"),";"," ",'Level 1'!Q655,'Level 1'!R655,"  ",'Level 1'!T655," ","Payment "," ",'Level 1'!U655,"  ",'Level 1'!V655,"  ",'Level 1'!W655,"  ",'Level 1'!X655,"  ",'Level 1'!Z655, "  ",'Level 1'!AA655, " ","Insurance: ",'Level 1'!A655)</f>
        <v>Detail: Note  Q1  01-00-1900; Q2   Payment  Q4    Q5    Additional Notes:   Insurance: DPOW-CCHP</v>
      </c>
      <c r="C655" s="60" t="str">
        <f>'Level 1'!Y655</f>
        <v>Action</v>
      </c>
      <c r="D655" s="44" t="str">
        <f>VLOOKUP(C655,Table2[#All],3,FALSE)</f>
        <v>What we need from you/Reason</v>
      </c>
      <c r="E655" s="75" t="s">
        <v>199</v>
      </c>
      <c r="F655" s="96"/>
      <c r="G655" s="97"/>
    </row>
    <row r="656" spans="1:7" ht="42" x14ac:dyDescent="0.25">
      <c r="A656" s="43" t="str">
        <f>CONCATENATE("Pt Id:",'Level 1'!E656," ","Pt Name: ",'Level 1'!F656," ","DOS: ", TEXT('Level 1'!H656,"mm-dd-yyyy"),"  "," Amnt: ","$",'Level 1'!J656,"  ", 'Level 1'!N656)</f>
        <v>Pt Id:3477 Pt Name: ORTEGA TREJO, ALVARO DOS: 01-09-2020   Amnt: $216  Note</v>
      </c>
      <c r="B656" s="43" t="str">
        <f>CONCATENATE("Detail: ",'Level 1'!N656,"  ",'Level 1'!O656,TEXT('Level 1'!P656,"  mm-dd-yyyy"),";"," ",'Level 1'!Q656,'Level 1'!R656,"  ",'Level 1'!T656," ","Payment "," ",'Level 1'!U656,"  ",'Level 1'!V656,"  ",'Level 1'!W656,"  ",'Level 1'!X656,"  ",'Level 1'!Z656, "  ",'Level 1'!AA656, " ","Insurance: ",'Level 1'!A656)</f>
        <v>Detail: Note  Q1  01-00-1900; Q2   Payment  Q4    Q5    Additional Notes:   Insurance: DPOW-CCHP</v>
      </c>
      <c r="C656" s="60" t="str">
        <f>'Level 1'!Y656</f>
        <v>Action</v>
      </c>
      <c r="D656" s="44" t="str">
        <f>VLOOKUP(C656,Table2[#All],3,FALSE)</f>
        <v>What we need from you/Reason</v>
      </c>
      <c r="E656" s="75" t="s">
        <v>199</v>
      </c>
      <c r="F656" s="96"/>
      <c r="G656" s="97"/>
    </row>
    <row r="657" spans="1:7" ht="42" x14ac:dyDescent="0.25">
      <c r="A657" s="43" t="str">
        <f>CONCATENATE("Pt Id:",'Level 1'!E657," ","Pt Name: ",'Level 1'!F657," ","DOS: ", TEXT('Level 1'!H657,"mm-dd-yyyy"),"  "," Amnt: ","$",'Level 1'!J657,"  ", 'Level 1'!N657)</f>
        <v>Pt Id:4414 Pt Name: Galaviz Rueda, Ximena DOS: 01-04-2021   Amnt: $102  Note</v>
      </c>
      <c r="B657" s="43" t="str">
        <f>CONCATENATE("Detail: ",'Level 1'!N657,"  ",'Level 1'!O657,TEXT('Level 1'!P657,"  mm-dd-yyyy"),";"," ",'Level 1'!Q657,'Level 1'!R657,"  ",'Level 1'!T657," ","Payment "," ",'Level 1'!U657,"  ",'Level 1'!V657,"  ",'Level 1'!W657,"  ",'Level 1'!X657,"  ",'Level 1'!Z657, "  ",'Level 1'!AA657, " ","Insurance: ",'Level 1'!A657)</f>
        <v>Detail: Note  Q1  01-00-1900; Q2   Payment  Q4    Q5    Additional Notes:   Insurance: DPOW-CCHP</v>
      </c>
      <c r="C657" s="60" t="str">
        <f>'Level 1'!Y657</f>
        <v>Action</v>
      </c>
      <c r="D657" s="44" t="str">
        <f>VLOOKUP(C657,Table2[#All],3,FALSE)</f>
        <v>What we need from you/Reason</v>
      </c>
      <c r="E657" s="75" t="s">
        <v>199</v>
      </c>
      <c r="F657" s="96"/>
      <c r="G657" s="97"/>
    </row>
    <row r="658" spans="1:7" ht="42" x14ac:dyDescent="0.25">
      <c r="A658" s="43" t="str">
        <f>CONCATENATE("Pt Id:",'Level 1'!E658," ","Pt Name: ",'Level 1'!F658," ","DOS: ", TEXT('Level 1'!H658,"mm-dd-yyyy"),"  "," Amnt: ","$",'Level 1'!J658,"  ", 'Level 1'!N658)</f>
        <v>Pt Id:4500 Pt Name: Knilans , Joseph  DOS: 12-31-2020   Amnt: $2313.6  Note</v>
      </c>
      <c r="B658" s="43" t="str">
        <f>CONCATENATE("Detail: ",'Level 1'!N658,"  ",'Level 1'!O658,TEXT('Level 1'!P658,"  mm-dd-yyyy"),";"," ",'Level 1'!Q658,'Level 1'!R658,"  ",'Level 1'!T658," ","Payment "," ",'Level 1'!U658,"  ",'Level 1'!V658,"  ",'Level 1'!W658,"  ",'Level 1'!X658,"  ",'Level 1'!Z658, "  ",'Level 1'!AA658, " ","Insurance: ",'Level 1'!A658)</f>
        <v>Detail: Note  Q1  01-00-1900; Q2   Payment  Q4    Q5    Additional Notes:   Insurance: DPOW-CCHP</v>
      </c>
      <c r="C658" s="60" t="str">
        <f>'Level 1'!Y658</f>
        <v>Action</v>
      </c>
      <c r="D658" s="44" t="str">
        <f>VLOOKUP(C658,Table2[#All],3,FALSE)</f>
        <v>What we need from you/Reason</v>
      </c>
      <c r="E658" s="75" t="s">
        <v>199</v>
      </c>
      <c r="F658" s="96"/>
      <c r="G658" s="97"/>
    </row>
    <row r="659" spans="1:7" ht="21" x14ac:dyDescent="0.25">
      <c r="A659" s="43" t="str">
        <f>CONCATENATE("Pt Id:",'Level 1'!E659," ","Pt Name: ",'Level 1'!F659," ","DOS: ", TEXT('Level 1'!H659,"mm-dd-yyyy"),"  "," Amnt: ","$",'Level 1'!J659,"  ", 'Level 1'!N659)</f>
        <v>Pt Id:2028 Pt Name: Fattah, Nizar DOS: 12-30-2020   Amnt: $1062  Note</v>
      </c>
      <c r="B659" s="43" t="str">
        <f>CONCATENATE("Detail: ",'Level 1'!N659,"  ",'Level 1'!O659,TEXT('Level 1'!P659,"  mm-dd-yyyy"),";"," ",'Level 1'!Q659,'Level 1'!R659,"  ",'Level 1'!T659," ","Payment "," ",'Level 1'!U659,"  ",'Level 1'!V659,"  ",'Level 1'!W659,"  ",'Level 1'!X659,"  ",'Level 1'!Z659, "  ",'Level 1'!AA659, " ","Insurance: ",'Level 1'!A659)</f>
        <v>Detail: Note  Q1  01-00-1900; Q2   Payment  Q4    Q5    Additional Notes:   Insurance: DPOW-CCHP</v>
      </c>
      <c r="C659" s="60" t="str">
        <f>'Level 1'!Y659</f>
        <v>Action</v>
      </c>
      <c r="D659" s="44" t="str">
        <f>VLOOKUP(C659,Table2[#All],3,FALSE)</f>
        <v>What we need from you/Reason</v>
      </c>
      <c r="E659" s="75" t="s">
        <v>199</v>
      </c>
      <c r="F659" s="96"/>
      <c r="G659" s="97"/>
    </row>
    <row r="660" spans="1:7" ht="21" x14ac:dyDescent="0.25">
      <c r="A660" s="43" t="str">
        <f>CONCATENATE("Pt Id:",'Level 1'!E660," ","Pt Name: ",'Level 1'!F660," ","DOS: ", TEXT('Level 1'!H660,"mm-dd-yyyy"),"  "," Amnt: ","$",'Level 1'!J660,"  ", 'Level 1'!N660)</f>
        <v>Pt Id:1992 Pt Name: Pilot, Heather DOS: 12-29-2020   Amnt: $379.2  Note</v>
      </c>
      <c r="B660" s="43" t="str">
        <f>CONCATENATE("Detail: ",'Level 1'!N660,"  ",'Level 1'!O660,TEXT('Level 1'!P660,"  mm-dd-yyyy"),";"," ",'Level 1'!Q660,'Level 1'!R660,"  ",'Level 1'!T660," ","Payment "," ",'Level 1'!U660,"  ",'Level 1'!V660,"  ",'Level 1'!W660,"  ",'Level 1'!X660,"  ",'Level 1'!Z660, "  ",'Level 1'!AA660, " ","Insurance: ",'Level 1'!A660)</f>
        <v>Detail: Note  Q1  01-00-1900; Q2   Payment  Q4    Q5    Additional Notes:   Insurance: DPOW-CCHP</v>
      </c>
      <c r="C660" s="60" t="str">
        <f>'Level 1'!Y660</f>
        <v>Action</v>
      </c>
      <c r="D660" s="44" t="str">
        <f>VLOOKUP(C660,Table2[#All],3,FALSE)</f>
        <v>What we need from you/Reason</v>
      </c>
      <c r="E660" s="75" t="s">
        <v>199</v>
      </c>
      <c r="F660" s="96"/>
      <c r="G660" s="97"/>
    </row>
    <row r="661" spans="1:7" ht="42" x14ac:dyDescent="0.25">
      <c r="A661" s="43" t="str">
        <f>CONCATENATE("Pt Id:",'Level 1'!E661," ","Pt Name: ",'Level 1'!F661," ","DOS: ", TEXT('Level 1'!H661,"mm-dd-yyyy"),"  "," Amnt: ","$",'Level 1'!J661,"  ", 'Level 1'!N661)</f>
        <v>Pt Id:5201 Pt Name: De La Torre , Eduardo  DOS: 12-21-2020   Amnt: $860.4  Note</v>
      </c>
      <c r="B661" s="43" t="str">
        <f>CONCATENATE("Detail: ",'Level 1'!N661,"  ",'Level 1'!O661,TEXT('Level 1'!P661,"  mm-dd-yyyy"),";"," ",'Level 1'!Q661,'Level 1'!R661,"  ",'Level 1'!T661," ","Payment "," ",'Level 1'!U661,"  ",'Level 1'!V661,"  ",'Level 1'!W661,"  ",'Level 1'!X661,"  ",'Level 1'!Z661, "  ",'Level 1'!AA661, " ","Insurance: ",'Level 1'!A661)</f>
        <v>Detail: Note  Q1  01-00-1900; Q2   Payment  Q4    Q5    Additional Notes:   Insurance: DPOW-CCHP</v>
      </c>
      <c r="C661" s="60" t="str">
        <f>'Level 1'!Y661</f>
        <v>Action</v>
      </c>
      <c r="D661" s="44" t="str">
        <f>VLOOKUP(C661,Table2[#All],3,FALSE)</f>
        <v>What we need from you/Reason</v>
      </c>
      <c r="E661" s="75" t="s">
        <v>199</v>
      </c>
      <c r="F661" s="96"/>
      <c r="G661" s="97"/>
    </row>
    <row r="662" spans="1:7" ht="21" x14ac:dyDescent="0.25">
      <c r="A662" s="43" t="str">
        <f>CONCATENATE("Pt Id:",'Level 1'!E662," ","Pt Name: ",'Level 1'!F662," ","DOS: ", TEXT('Level 1'!H662,"mm-dd-yyyy"),"  "," Amnt: ","$",'Level 1'!J662,"  ", 'Level 1'!N662)</f>
        <v>Pt Id:2028 Pt Name: Fattah, Nizar DOS: 12-19-2020   Amnt: $92.4  Note</v>
      </c>
      <c r="B662" s="43" t="str">
        <f>CONCATENATE("Detail: ",'Level 1'!N662,"  ",'Level 1'!O662,TEXT('Level 1'!P662,"  mm-dd-yyyy"),";"," ",'Level 1'!Q662,'Level 1'!R662,"  ",'Level 1'!T662," ","Payment "," ",'Level 1'!U662,"  ",'Level 1'!V662,"  ",'Level 1'!W662,"  ",'Level 1'!X662,"  ",'Level 1'!Z662, "  ",'Level 1'!AA662, " ","Insurance: ",'Level 1'!A662)</f>
        <v>Detail: Note  Q1  01-00-1900; Q2   Payment  Q4    Q5    Additional Notes:   Insurance: DPOW-CCHP</v>
      </c>
      <c r="C662" s="60" t="str">
        <f>'Level 1'!Y662</f>
        <v>Action</v>
      </c>
      <c r="D662" s="44" t="str">
        <f>VLOOKUP(C662,Table2[#All],3,FALSE)</f>
        <v>What we need from you/Reason</v>
      </c>
      <c r="E662" s="75" t="s">
        <v>199</v>
      </c>
      <c r="F662" s="96"/>
      <c r="G662" s="97"/>
    </row>
    <row r="663" spans="1:7" ht="21" x14ac:dyDescent="0.25">
      <c r="A663" s="43" t="str">
        <f>CONCATENATE("Pt Id:",'Level 1'!E663," ","Pt Name: ",'Level 1'!F663," ","DOS: ", TEXT('Level 1'!H663,"mm-dd-yyyy"),"  "," Amnt: ","$",'Level 1'!J663,"  ", 'Level 1'!N663)</f>
        <v>Pt Id:5063 Pt Name: Evans , Brady  DOS: 12-18-2020   Amnt: $294.8  Note</v>
      </c>
      <c r="B663" s="43" t="str">
        <f>CONCATENATE("Detail: ",'Level 1'!N663,"  ",'Level 1'!O663,TEXT('Level 1'!P663,"  mm-dd-yyyy"),";"," ",'Level 1'!Q663,'Level 1'!R663,"  ",'Level 1'!T663," ","Payment "," ",'Level 1'!U663,"  ",'Level 1'!V663,"  ",'Level 1'!W663,"  ",'Level 1'!X663,"  ",'Level 1'!Z663, "  ",'Level 1'!AA663, " ","Insurance: ",'Level 1'!A663)</f>
        <v>Detail: Note  Q1  01-00-1900; Q2   Payment  Q4    Q5    Additional Notes:   Insurance: DPOW-CCHP</v>
      </c>
      <c r="C663" s="60" t="str">
        <f>'Level 1'!Y663</f>
        <v>Action</v>
      </c>
      <c r="D663" s="44" t="str">
        <f>VLOOKUP(C663,Table2[#All],3,FALSE)</f>
        <v>What we need from you/Reason</v>
      </c>
      <c r="E663" s="75" t="s">
        <v>199</v>
      </c>
      <c r="F663" s="96"/>
      <c r="G663" s="97"/>
    </row>
    <row r="664" spans="1:7" ht="21" x14ac:dyDescent="0.25">
      <c r="A664" s="43" t="str">
        <f>CONCATENATE("Pt Id:",'Level 1'!E664," ","Pt Name: ",'Level 1'!F664," ","DOS: ", TEXT('Level 1'!H664,"mm-dd-yyyy"),"  "," Amnt: ","$",'Level 1'!J664,"  ", 'Level 1'!N664)</f>
        <v>Pt Id:5175 Pt Name: Rosado , Natalia  DOS: 12-14-2020   Amnt: $99.6  Note</v>
      </c>
      <c r="B664" s="43" t="str">
        <f>CONCATENATE("Detail: ",'Level 1'!N664,"  ",'Level 1'!O664,TEXT('Level 1'!P664,"  mm-dd-yyyy"),";"," ",'Level 1'!Q664,'Level 1'!R664,"  ",'Level 1'!T664," ","Payment "," ",'Level 1'!U664,"  ",'Level 1'!V664,"  ",'Level 1'!W664,"  ",'Level 1'!X664,"  ",'Level 1'!Z664, "  ",'Level 1'!AA664, " ","Insurance: ",'Level 1'!A664)</f>
        <v>Detail: Note  Q1  01-00-1900; Q2   Payment  Q4    Q5    Additional Notes:   Insurance: DPOW-CCHP</v>
      </c>
      <c r="C664" s="60" t="str">
        <f>'Level 1'!Y664</f>
        <v>Action</v>
      </c>
      <c r="D664" s="44" t="str">
        <f>VLOOKUP(C664,Table2[#All],3,FALSE)</f>
        <v>What we need from you/Reason</v>
      </c>
      <c r="E664" s="75" t="s">
        <v>199</v>
      </c>
      <c r="F664" s="96"/>
      <c r="G664" s="97"/>
    </row>
    <row r="665" spans="1:7" ht="21" x14ac:dyDescent="0.25">
      <c r="A665" s="43" t="str">
        <f>CONCATENATE("Pt Id:",'Level 1'!E665," ","Pt Name: ",'Level 1'!F665," ","DOS: ", TEXT('Level 1'!H665,"mm-dd-yyyy"),"  "," Amnt: ","$",'Level 1'!J665,"  ", 'Level 1'!N665)</f>
        <v>Pt Id:5819 Pt Name: Dolley, Tiffany DOS: 12-09-2020   Amnt: $558  Note</v>
      </c>
      <c r="B665" s="43" t="str">
        <f>CONCATENATE("Detail: ",'Level 1'!N665,"  ",'Level 1'!O665,TEXT('Level 1'!P665,"  mm-dd-yyyy"),";"," ",'Level 1'!Q665,'Level 1'!R665,"  ",'Level 1'!T665," ","Payment "," ",'Level 1'!U665,"  ",'Level 1'!V665,"  ",'Level 1'!W665,"  ",'Level 1'!X665,"  ",'Level 1'!Z665, "  ",'Level 1'!AA665, " ","Insurance: ",'Level 1'!A665)</f>
        <v>Detail: Note  Q1  01-00-1900; Q2   Payment  Q4    Q5    Additional Notes:   Insurance: DPOW-CCHP</v>
      </c>
      <c r="C665" s="60" t="str">
        <f>'Level 1'!Y665</f>
        <v>Action</v>
      </c>
      <c r="D665" s="44" t="str">
        <f>VLOOKUP(C665,Table2[#All],3,FALSE)</f>
        <v>What we need from you/Reason</v>
      </c>
      <c r="E665" s="75" t="s">
        <v>199</v>
      </c>
      <c r="F665" s="96"/>
      <c r="G665" s="97"/>
    </row>
    <row r="666" spans="1:7" ht="21" x14ac:dyDescent="0.25">
      <c r="A666" s="43" t="str">
        <f>CONCATENATE("Pt Id:",'Level 1'!E666," ","Pt Name: ",'Level 1'!F666," ","DOS: ", TEXT('Level 1'!H666,"mm-dd-yyyy"),"  "," Amnt: ","$",'Level 1'!J666,"  ", 'Level 1'!N666)</f>
        <v>Pt Id:5818 Pt Name: Dolley, Michael DOS: 12-09-2020   Amnt: $378  Note</v>
      </c>
      <c r="B666" s="43" t="str">
        <f>CONCATENATE("Detail: ",'Level 1'!N666,"  ",'Level 1'!O666,TEXT('Level 1'!P666,"  mm-dd-yyyy"),";"," ",'Level 1'!Q666,'Level 1'!R666,"  ",'Level 1'!T666," ","Payment "," ",'Level 1'!U666,"  ",'Level 1'!V666,"  ",'Level 1'!W666,"  ",'Level 1'!X666,"  ",'Level 1'!Z666, "  ",'Level 1'!AA666, " ","Insurance: ",'Level 1'!A666)</f>
        <v>Detail: Note  Q1  01-00-1900; Q2   Payment  Q4    Q5    Additional Notes:   Insurance: DPOW-CCHP</v>
      </c>
      <c r="C666" s="60" t="str">
        <f>'Level 1'!Y666</f>
        <v>Action</v>
      </c>
      <c r="D666" s="44" t="str">
        <f>VLOOKUP(C666,Table2[#All],3,FALSE)</f>
        <v>What we need from you/Reason</v>
      </c>
      <c r="E666" s="75" t="s">
        <v>199</v>
      </c>
      <c r="F666" s="96"/>
      <c r="G666" s="97"/>
    </row>
    <row r="667" spans="1:7" ht="21" x14ac:dyDescent="0.25">
      <c r="A667" s="43" t="str">
        <f>CONCATENATE("Pt Id:",'Level 1'!E667," ","Pt Name: ",'Level 1'!F667," ","DOS: ", TEXT('Level 1'!H667,"mm-dd-yyyy"),"  "," Amnt: ","$",'Level 1'!J667,"  ", 'Level 1'!N667)</f>
        <v>Pt Id:4841 Pt Name: Nunez, Jose DOS: 12-05-2020   Amnt: $480  Note</v>
      </c>
      <c r="B667" s="43" t="str">
        <f>CONCATENATE("Detail: ",'Level 1'!N667,"  ",'Level 1'!O667,TEXT('Level 1'!P667,"  mm-dd-yyyy"),";"," ",'Level 1'!Q667,'Level 1'!R667,"  ",'Level 1'!T667," ","Payment "," ",'Level 1'!U667,"  ",'Level 1'!V667,"  ",'Level 1'!W667,"  ",'Level 1'!X667,"  ",'Level 1'!Z667, "  ",'Level 1'!AA667, " ","Insurance: ",'Level 1'!A667)</f>
        <v>Detail: Note  Q1  01-00-1900; Q2   Payment  Q4    Q5    Additional Notes:   Insurance: DPOW-CCHP</v>
      </c>
      <c r="C667" s="60" t="str">
        <f>'Level 1'!Y667</f>
        <v>Action</v>
      </c>
      <c r="D667" s="44" t="str">
        <f>VLOOKUP(C667,Table2[#All],3,FALSE)</f>
        <v>What we need from you/Reason</v>
      </c>
      <c r="E667" s="75" t="s">
        <v>199</v>
      </c>
      <c r="F667" s="96"/>
      <c r="G667" s="97"/>
    </row>
    <row r="668" spans="1:7" ht="21" x14ac:dyDescent="0.25">
      <c r="A668" s="43" t="str">
        <f>CONCATENATE("Pt Id:",'Level 1'!E668," ","Pt Name: ",'Level 1'!F668," ","DOS: ", TEXT('Level 1'!H668,"mm-dd-yyyy"),"  "," Amnt: ","$",'Level 1'!J668,"  ", 'Level 1'!N668)</f>
        <v>Pt Id:3546 Pt Name: Lentini, Randy DOS: 11-24-2020   Amnt: $80.4  Note</v>
      </c>
      <c r="B668" s="43" t="str">
        <f>CONCATENATE("Detail: ",'Level 1'!N668,"  ",'Level 1'!O668,TEXT('Level 1'!P668,"  mm-dd-yyyy"),";"," ",'Level 1'!Q668,'Level 1'!R668,"  ",'Level 1'!T668," ","Payment "," ",'Level 1'!U668,"  ",'Level 1'!V668,"  ",'Level 1'!W668,"  ",'Level 1'!X668,"  ",'Level 1'!Z668, "  ",'Level 1'!AA668, " ","Insurance: ",'Level 1'!A668)</f>
        <v>Detail: Note  Q1  01-00-1900; Q2   Payment  Q4    Q5    Additional Notes:   Insurance: DPOW-CCHP</v>
      </c>
      <c r="C668" s="60" t="str">
        <f>'Level 1'!Y668</f>
        <v>Action</v>
      </c>
      <c r="D668" s="44" t="str">
        <f>VLOOKUP(C668,Table2[#All],3,FALSE)</f>
        <v>What we need from you/Reason</v>
      </c>
      <c r="E668" s="75" t="s">
        <v>199</v>
      </c>
      <c r="F668" s="96"/>
      <c r="G668" s="97"/>
    </row>
    <row r="669" spans="1:7" ht="21" x14ac:dyDescent="0.25">
      <c r="A669" s="43" t="str">
        <f>CONCATENATE("Pt Id:",'Level 1'!E669," ","Pt Name: ",'Level 1'!F669," ","DOS: ", TEXT('Level 1'!H669,"mm-dd-yyyy"),"  "," Amnt: ","$",'Level 1'!J669,"  ", 'Level 1'!N669)</f>
        <v>Pt Id:2825 Pt Name: Peeples, Michele DOS: 11-17-2020   Amnt: $396  Note</v>
      </c>
      <c r="B669" s="43" t="str">
        <f>CONCATENATE("Detail: ",'Level 1'!N669,"  ",'Level 1'!O669,TEXT('Level 1'!P669,"  mm-dd-yyyy"),";"," ",'Level 1'!Q669,'Level 1'!R669,"  ",'Level 1'!T669," ","Payment "," ",'Level 1'!U669,"  ",'Level 1'!V669,"  ",'Level 1'!W669,"  ",'Level 1'!X669,"  ",'Level 1'!Z669, "  ",'Level 1'!AA669, " ","Insurance: ",'Level 1'!A669)</f>
        <v>Detail: Note  Q1  01-00-1900; Q2   Payment  Q4    Q5    Additional Notes:   Insurance: DPOW-CCHP</v>
      </c>
      <c r="C669" s="60" t="str">
        <f>'Level 1'!Y669</f>
        <v>Action</v>
      </c>
      <c r="D669" s="44" t="str">
        <f>VLOOKUP(C669,Table2[#All],3,FALSE)</f>
        <v>What we need from you/Reason</v>
      </c>
      <c r="E669" s="75" t="s">
        <v>199</v>
      </c>
      <c r="F669" s="96"/>
      <c r="G669" s="97"/>
    </row>
    <row r="670" spans="1:7" ht="21" x14ac:dyDescent="0.25">
      <c r="A670" s="43" t="str">
        <f>CONCATENATE("Pt Id:",'Level 1'!E670," ","Pt Name: ",'Level 1'!F670," ","DOS: ", TEXT('Level 1'!H670,"mm-dd-yyyy"),"  "," Amnt: ","$",'Level 1'!J670,"  ", 'Level 1'!N670)</f>
        <v>Pt Id:4841 Pt Name: Nunez, Jose DOS: 11-16-2020   Amnt: $480  Note</v>
      </c>
      <c r="B670" s="43" t="str">
        <f>CONCATENATE("Detail: ",'Level 1'!N670,"  ",'Level 1'!O670,TEXT('Level 1'!P670,"  mm-dd-yyyy"),";"," ",'Level 1'!Q670,'Level 1'!R670,"  ",'Level 1'!T670," ","Payment "," ",'Level 1'!U670,"  ",'Level 1'!V670,"  ",'Level 1'!W670,"  ",'Level 1'!X670,"  ",'Level 1'!Z670, "  ",'Level 1'!AA670, " ","Insurance: ",'Level 1'!A670)</f>
        <v>Detail: Note  Q1  01-00-1900; Q2   Payment  Q4    Q5    Additional Notes:   Insurance: DPOW-CCHP</v>
      </c>
      <c r="C670" s="60" t="str">
        <f>'Level 1'!Y670</f>
        <v>Action</v>
      </c>
      <c r="D670" s="44" t="str">
        <f>VLOOKUP(C670,Table2[#All],3,FALSE)</f>
        <v>What we need from you/Reason</v>
      </c>
      <c r="E670" s="75" t="s">
        <v>199</v>
      </c>
      <c r="F670" s="96"/>
      <c r="G670" s="97"/>
    </row>
    <row r="671" spans="1:7" ht="21" x14ac:dyDescent="0.25">
      <c r="A671" s="43" t="str">
        <f>CONCATENATE("Pt Id:",'Level 1'!E671," ","Pt Name: ",'Level 1'!F671," ","DOS: ", TEXT('Level 1'!H671,"mm-dd-yyyy"),"  "," Amnt: ","$",'Level 1'!J671,"  ", 'Level 1'!N671)</f>
        <v>Pt Id:1662 Pt Name: Mullen, Lakeasha DOS: 07-22-2020   Amnt: $67.6  Note</v>
      </c>
      <c r="B671" s="43" t="str">
        <f>CONCATENATE("Detail: ",'Level 1'!N671,"  ",'Level 1'!O671,TEXT('Level 1'!P671,"  mm-dd-yyyy"),";"," ",'Level 1'!Q671,'Level 1'!R671,"  ",'Level 1'!T671," ","Payment "," ",'Level 1'!U671,"  ",'Level 1'!V671,"  ",'Level 1'!W671,"  ",'Level 1'!X671,"  ",'Level 1'!Z671, "  ",'Level 1'!AA671, " ","Insurance: ",'Level 1'!A671)</f>
        <v>Detail: Note  Q1  01-00-1900; Q2   Payment  Q4    Q5    Additional Notes:   Insurance: DPOW-CCHP</v>
      </c>
      <c r="C671" s="60" t="str">
        <f>'Level 1'!Y671</f>
        <v>Action</v>
      </c>
      <c r="D671" s="44" t="str">
        <f>VLOOKUP(C671,Table2[#All],3,FALSE)</f>
        <v>What we need from you/Reason</v>
      </c>
      <c r="E671" s="75" t="s">
        <v>199</v>
      </c>
      <c r="F671" s="96"/>
      <c r="G671" s="97"/>
    </row>
    <row r="672" spans="1:7" ht="42" x14ac:dyDescent="0.25">
      <c r="A672" s="43" t="str">
        <f>CONCATENATE("Pt Id:",'Level 1'!E672," ","Pt Name: ",'Level 1'!F672," ","DOS: ", TEXT('Level 1'!H672,"mm-dd-yyyy"),"  "," Amnt: ","$",'Level 1'!J672,"  ", 'Level 1'!N672)</f>
        <v>Pt Id:5258 Pt Name: Gutierrez Perez , Wendy  DOS: 10-01-2020   Amnt: $895.2  Note</v>
      </c>
      <c r="B672" s="43" t="str">
        <f>CONCATENATE("Detail: ",'Level 1'!N672,"  ",'Level 1'!O672,TEXT('Level 1'!P672,"  mm-dd-yyyy"),";"," ",'Level 1'!Q672,'Level 1'!R672,"  ",'Level 1'!T672," ","Payment "," ",'Level 1'!U672,"  ",'Level 1'!V672,"  ",'Level 1'!W672,"  ",'Level 1'!X672,"  ",'Level 1'!Z672, "  ",'Level 1'!AA672, " ","Insurance: ",'Level 1'!A672)</f>
        <v>Detail: Note  Q1  01-00-1900; Q2   Payment  Q4    Q5    Additional Notes:   Insurance: DPOW-CCHP</v>
      </c>
      <c r="C672" s="60" t="str">
        <f>'Level 1'!Y672</f>
        <v>Action</v>
      </c>
      <c r="D672" s="44" t="str">
        <f>VLOOKUP(C672,Table2[#All],3,FALSE)</f>
        <v>What we need from you/Reason</v>
      </c>
      <c r="E672" s="75" t="s">
        <v>199</v>
      </c>
      <c r="F672" s="96"/>
      <c r="G672" s="97"/>
    </row>
    <row r="673" spans="1:7" ht="21" x14ac:dyDescent="0.25">
      <c r="A673" s="43" t="str">
        <f>CONCATENATE("Pt Id:",'Level 1'!E673," ","Pt Name: ",'Level 1'!F673," ","DOS: ", TEXT('Level 1'!H673,"mm-dd-yyyy"),"  "," Amnt: ","$",'Level 1'!J673,"  ", 'Level 1'!N673)</f>
        <v>Pt Id:5205 Pt Name: Abuyyash , Noor DOS: 09-30-2020   Amnt: $399.6  Note</v>
      </c>
      <c r="B673" s="43" t="str">
        <f>CONCATENATE("Detail: ",'Level 1'!N673,"  ",'Level 1'!O673,TEXT('Level 1'!P673,"  mm-dd-yyyy"),";"," ",'Level 1'!Q673,'Level 1'!R673,"  ",'Level 1'!T673," ","Payment "," ",'Level 1'!U673,"  ",'Level 1'!V673,"  ",'Level 1'!W673,"  ",'Level 1'!X673,"  ",'Level 1'!Z673, "  ",'Level 1'!AA673, " ","Insurance: ",'Level 1'!A673)</f>
        <v>Detail: Note  Q1  01-00-1900; Q2   Payment  Q4    Q5    Additional Notes:   Insurance: DPOW-CCHP</v>
      </c>
      <c r="C673" s="60" t="str">
        <f>'Level 1'!Y673</f>
        <v>Action</v>
      </c>
      <c r="D673" s="44" t="str">
        <f>VLOOKUP(C673,Table2[#All],3,FALSE)</f>
        <v>What we need from you/Reason</v>
      </c>
      <c r="E673" s="75" t="s">
        <v>199</v>
      </c>
      <c r="F673" s="96"/>
      <c r="G673" s="97"/>
    </row>
    <row r="674" spans="1:7" ht="21" x14ac:dyDescent="0.25">
      <c r="A674" s="43" t="str">
        <f>CONCATENATE("Pt Id:",'Level 1'!E674," ","Pt Name: ",'Level 1'!F674," ","DOS: ", TEXT('Level 1'!H674,"mm-dd-yyyy"),"  "," Amnt: ","$",'Level 1'!J674,"  ", 'Level 1'!N674)</f>
        <v>Pt Id:4401 Pt Name: Hoffmann, Tyler  DOS: 07-01-2020   Amnt: $674.8  Note</v>
      </c>
      <c r="B674" s="43" t="str">
        <f>CONCATENATE("Detail: ",'Level 1'!N674,"  ",'Level 1'!O674,TEXT('Level 1'!P674,"  mm-dd-yyyy"),";"," ",'Level 1'!Q674,'Level 1'!R674,"  ",'Level 1'!T674," ","Payment "," ",'Level 1'!U674,"  ",'Level 1'!V674,"  ",'Level 1'!W674,"  ",'Level 1'!X674,"  ",'Level 1'!Z674, "  ",'Level 1'!AA674, " ","Insurance: ",'Level 1'!A674)</f>
        <v>Detail: Note  Q1  01-00-1900; Q2   Payment  Q4    Q5    Additional Notes:   Insurance: DPOW-CCHP</v>
      </c>
      <c r="C674" s="60" t="str">
        <f>'Level 1'!Y674</f>
        <v>Action</v>
      </c>
      <c r="D674" s="44" t="str">
        <f>VLOOKUP(C674,Table2[#All],3,FALSE)</f>
        <v>What we need from you/Reason</v>
      </c>
      <c r="E674" s="75" t="s">
        <v>199</v>
      </c>
      <c r="F674" s="96"/>
      <c r="G674" s="97"/>
    </row>
    <row r="675" spans="1:7" ht="42" x14ac:dyDescent="0.25">
      <c r="A675" s="43" t="str">
        <f>CONCATENATE("Pt Id:",'Level 1'!E675," ","Pt Name: ",'Level 1'!F675," ","DOS: ", TEXT('Level 1'!H675,"mm-dd-yyyy"),"  "," Amnt: ","$",'Level 1'!J675,"  ", 'Level 1'!N675)</f>
        <v>Pt Id:3547 Pt Name: HERNANDEZ PEREZ, JAASIEL DOS: 06-18-2020   Amnt: $202.8  Note</v>
      </c>
      <c r="B675" s="43" t="str">
        <f>CONCATENATE("Detail: ",'Level 1'!N675,"  ",'Level 1'!O675,TEXT('Level 1'!P675,"  mm-dd-yyyy"),";"," ",'Level 1'!Q675,'Level 1'!R675,"  ",'Level 1'!T675," ","Payment "," ",'Level 1'!U675,"  ",'Level 1'!V675,"  ",'Level 1'!W675,"  ",'Level 1'!X675,"  ",'Level 1'!Z675, "  ",'Level 1'!AA675, " ","Insurance: ",'Level 1'!A675)</f>
        <v>Detail: Note  Q1  01-00-1900; Q2   Payment  Q4    Q5    Additional Notes:   Insurance: DPOW-CCHP</v>
      </c>
      <c r="C675" s="60" t="str">
        <f>'Level 1'!Y675</f>
        <v>Action</v>
      </c>
      <c r="D675" s="44" t="str">
        <f>VLOOKUP(C675,Table2[#All],3,FALSE)</f>
        <v>What we need from you/Reason</v>
      </c>
      <c r="E675" s="75" t="s">
        <v>199</v>
      </c>
      <c r="F675" s="96"/>
      <c r="G675" s="97"/>
    </row>
    <row r="676" spans="1:7" ht="21" x14ac:dyDescent="0.25">
      <c r="A676" s="43" t="str">
        <f>CONCATENATE("Pt Id:",'Level 1'!E676," ","Pt Name: ",'Level 1'!F676," ","DOS: ", TEXT('Level 1'!H676,"mm-dd-yyyy"),"  "," Amnt: ","$",'Level 1'!J676,"  ", 'Level 1'!N676)</f>
        <v>Pt Id:3955 Pt Name: D PE , WAHI DOS: 06-17-2020   Amnt: $922.8  Note</v>
      </c>
      <c r="B676" s="43" t="str">
        <f>CONCATENATE("Detail: ",'Level 1'!N676,"  ",'Level 1'!O676,TEXT('Level 1'!P676,"  mm-dd-yyyy"),";"," ",'Level 1'!Q676,'Level 1'!R676,"  ",'Level 1'!T676," ","Payment "," ",'Level 1'!U676,"  ",'Level 1'!V676,"  ",'Level 1'!W676,"  ",'Level 1'!X676,"  ",'Level 1'!Z676, "  ",'Level 1'!AA676, " ","Insurance: ",'Level 1'!A676)</f>
        <v>Detail: Note  Q1  01-00-1900; Q2   Payment  Q4    Q5    Additional Notes:   Insurance: DPOW-CCHP</v>
      </c>
      <c r="C676" s="60" t="str">
        <f>'Level 1'!Y676</f>
        <v>Action</v>
      </c>
      <c r="D676" s="44" t="str">
        <f>VLOOKUP(C676,Table2[#All],3,FALSE)</f>
        <v>What we need from you/Reason</v>
      </c>
      <c r="E676" s="75" t="s">
        <v>199</v>
      </c>
      <c r="F676" s="96"/>
      <c r="G676" s="97"/>
    </row>
    <row r="677" spans="1:7" ht="21" x14ac:dyDescent="0.25">
      <c r="A677" s="43" t="str">
        <f>CONCATENATE("Pt Id:",'Level 1'!E677," ","Pt Name: ",'Level 1'!F677," ","DOS: ", TEXT('Level 1'!H677,"mm-dd-yyyy"),"  "," Amnt: ","$",'Level 1'!J677,"  ", 'Level 1'!N677)</f>
        <v>Pt Id:4319 Pt Name: Ziemianin, Karson DOS: 06-17-2020   Amnt: $72  Note</v>
      </c>
      <c r="B677" s="43" t="str">
        <f>CONCATENATE("Detail: ",'Level 1'!N677,"  ",'Level 1'!O677,TEXT('Level 1'!P677,"  mm-dd-yyyy"),";"," ",'Level 1'!Q677,'Level 1'!R677,"  ",'Level 1'!T677," ","Payment "," ",'Level 1'!U677,"  ",'Level 1'!V677,"  ",'Level 1'!W677,"  ",'Level 1'!X677,"  ",'Level 1'!Z677, "  ",'Level 1'!AA677, " ","Insurance: ",'Level 1'!A677)</f>
        <v>Detail: Note  Q1  01-00-1900; Q2   Payment  Q4    Q5    Additional Notes:   Insurance: DPOW-CCHP</v>
      </c>
      <c r="C677" s="60" t="str">
        <f>'Level 1'!Y677</f>
        <v>Action</v>
      </c>
      <c r="D677" s="44" t="str">
        <f>VLOOKUP(C677,Table2[#All],3,FALSE)</f>
        <v>What we need from you/Reason</v>
      </c>
      <c r="E677" s="75" t="s">
        <v>199</v>
      </c>
      <c r="F677" s="96"/>
      <c r="G677" s="97"/>
    </row>
    <row r="678" spans="1:7" ht="42" x14ac:dyDescent="0.25">
      <c r="A678" s="43" t="str">
        <f>CONCATENATE("Pt Id:",'Level 1'!E678," ","Pt Name: ",'Level 1'!F678," ","DOS: ", TEXT('Level 1'!H678,"mm-dd-yyyy"),"  "," Amnt: ","$",'Level 1'!J678,"  ", 'Level 1'!N678)</f>
        <v>Pt Id:4304 Pt Name: Romero, Christian  DOS: 06-17-2020   Amnt: $364.8  Note</v>
      </c>
      <c r="B678" s="43" t="str">
        <f>CONCATENATE("Detail: ",'Level 1'!N678,"  ",'Level 1'!O678,TEXT('Level 1'!P678,"  mm-dd-yyyy"),";"," ",'Level 1'!Q678,'Level 1'!R678,"  ",'Level 1'!T678," ","Payment "," ",'Level 1'!U678,"  ",'Level 1'!V678,"  ",'Level 1'!W678,"  ",'Level 1'!X678,"  ",'Level 1'!Z678, "  ",'Level 1'!AA678, " ","Insurance: ",'Level 1'!A678)</f>
        <v>Detail: Note  Q1  01-00-1900; Q2   Payment  Q4    Q5    Additional Notes:   Insurance: DPOW-CCHP</v>
      </c>
      <c r="C678" s="60" t="str">
        <f>'Level 1'!Y678</f>
        <v>Action</v>
      </c>
      <c r="D678" s="44" t="str">
        <f>VLOOKUP(C678,Table2[#All],3,FALSE)</f>
        <v>What we need from you/Reason</v>
      </c>
      <c r="E678" s="75" t="s">
        <v>199</v>
      </c>
      <c r="F678" s="96"/>
      <c r="G678" s="97"/>
    </row>
    <row r="679" spans="1:7" ht="21" x14ac:dyDescent="0.25">
      <c r="A679" s="43" t="str">
        <f>CONCATENATE("Pt Id:",'Level 1'!E679," ","Pt Name: ",'Level 1'!F679," ","DOS: ", TEXT('Level 1'!H679,"mm-dd-yyyy"),"  "," Amnt: ","$",'Level 1'!J679,"  ", 'Level 1'!N679)</f>
        <v>Pt Id:4272 Pt Name: Gutierrez, Dalilah DOS: 06-17-2020   Amnt: $599.8  Note</v>
      </c>
      <c r="B679" s="43" t="str">
        <f>CONCATENATE("Detail: ",'Level 1'!N679,"  ",'Level 1'!O679,TEXT('Level 1'!P679,"  mm-dd-yyyy"),";"," ",'Level 1'!Q679,'Level 1'!R679,"  ",'Level 1'!T679," ","Payment "," ",'Level 1'!U679,"  ",'Level 1'!V679,"  ",'Level 1'!W679,"  ",'Level 1'!X679,"  ",'Level 1'!Z679, "  ",'Level 1'!AA679, " ","Insurance: ",'Level 1'!A679)</f>
        <v>Detail: Note  Q1  01-00-1900; Q2   Payment  Q4    Q5    Additional Notes:   Insurance: DPOW-CCHP</v>
      </c>
      <c r="C679" s="60" t="str">
        <f>'Level 1'!Y679</f>
        <v>Action</v>
      </c>
      <c r="D679" s="44" t="str">
        <f>VLOOKUP(C679,Table2[#All],3,FALSE)</f>
        <v>What we need from you/Reason</v>
      </c>
      <c r="E679" s="75" t="s">
        <v>199</v>
      </c>
      <c r="F679" s="96"/>
      <c r="G679" s="97"/>
    </row>
    <row r="680" spans="1:7" ht="42" x14ac:dyDescent="0.25">
      <c r="A680" s="43" t="str">
        <f>CONCATENATE("Pt Id:",'Level 1'!E680," ","Pt Name: ",'Level 1'!F680," ","DOS: ", TEXT('Level 1'!H680,"mm-dd-yyyy"),"  "," Amnt: ","$",'Level 1'!J680,"  ", 'Level 1'!N680)</f>
        <v>Pt Id:1199 Pt Name: Martinez Lopez , Daniel  DOS: 06-15-2020   Amnt: $410.4  Note</v>
      </c>
      <c r="B680" s="43" t="str">
        <f>CONCATENATE("Detail: ",'Level 1'!N680,"  ",'Level 1'!O680,TEXT('Level 1'!P680,"  mm-dd-yyyy"),";"," ",'Level 1'!Q680,'Level 1'!R680,"  ",'Level 1'!T680," ","Payment "," ",'Level 1'!U680,"  ",'Level 1'!V680,"  ",'Level 1'!W680,"  ",'Level 1'!X680,"  ",'Level 1'!Z680, "  ",'Level 1'!AA680, " ","Insurance: ",'Level 1'!A680)</f>
        <v>Detail: Note  Q1  01-00-1900; Q2   Payment  Q4    Q5    Additional Notes:   Insurance: DPOW-CCHP</v>
      </c>
      <c r="C680" s="60" t="str">
        <f>'Level 1'!Y680</f>
        <v>Action</v>
      </c>
      <c r="D680" s="44" t="str">
        <f>VLOOKUP(C680,Table2[#All],3,FALSE)</f>
        <v>What we need from you/Reason</v>
      </c>
      <c r="E680" s="75" t="s">
        <v>199</v>
      </c>
      <c r="F680" s="96"/>
      <c r="G680" s="97"/>
    </row>
    <row r="681" spans="1:7" ht="42" x14ac:dyDescent="0.25">
      <c r="A681" s="43" t="str">
        <f>CONCATENATE("Pt Id:",'Level 1'!E681," ","Pt Name: ",'Level 1'!F681," ","DOS: ", TEXT('Level 1'!H681,"mm-dd-yyyy"),"  "," Amnt: ","$",'Level 1'!J681,"  ", 'Level 1'!N681)</f>
        <v>Pt Id:3547 Pt Name: HERNANDEZ PEREZ, JAASIEL DOS: 06-15-2020   Amnt: $498.8  Note</v>
      </c>
      <c r="B681" s="43" t="str">
        <f>CONCATENATE("Detail: ",'Level 1'!N681,"  ",'Level 1'!O681,TEXT('Level 1'!P681,"  mm-dd-yyyy"),";"," ",'Level 1'!Q681,'Level 1'!R681,"  ",'Level 1'!T681," ","Payment "," ",'Level 1'!U681,"  ",'Level 1'!V681,"  ",'Level 1'!W681,"  ",'Level 1'!X681,"  ",'Level 1'!Z681, "  ",'Level 1'!AA681, " ","Insurance: ",'Level 1'!A681)</f>
        <v>Detail: Note  Q1  01-00-1900; Q2   Payment  Q4    Q5    Additional Notes:   Insurance: DPOW-CCHP</v>
      </c>
      <c r="C681" s="60" t="str">
        <f>'Level 1'!Y681</f>
        <v>Action</v>
      </c>
      <c r="D681" s="44" t="str">
        <f>VLOOKUP(C681,Table2[#All],3,FALSE)</f>
        <v>What we need from you/Reason</v>
      </c>
      <c r="E681" s="75" t="s">
        <v>199</v>
      </c>
      <c r="F681" s="96"/>
      <c r="G681" s="97"/>
    </row>
    <row r="682" spans="1:7" ht="21" x14ac:dyDescent="0.25">
      <c r="A682" s="43" t="str">
        <f>CONCATENATE("Pt Id:",'Level 1'!E682," ","Pt Name: ",'Level 1'!F682," ","DOS: ", TEXT('Level 1'!H682,"mm-dd-yyyy"),"  "," Amnt: ","$",'Level 1'!J682,"  ", 'Level 1'!N682)</f>
        <v>Pt Id:3469 Pt Name: Ryan , Reeve DOS: 01-20-2020   Amnt: $27.6  Note</v>
      </c>
      <c r="B682" s="43" t="str">
        <f>CONCATENATE("Detail: ",'Level 1'!N682,"  ",'Level 1'!O682,TEXT('Level 1'!P682,"  mm-dd-yyyy"),";"," ",'Level 1'!Q682,'Level 1'!R682,"  ",'Level 1'!T682," ","Payment "," ",'Level 1'!U682,"  ",'Level 1'!V682,"  ",'Level 1'!W682,"  ",'Level 1'!X682,"  ",'Level 1'!Z682, "  ",'Level 1'!AA682, " ","Insurance: ",'Level 1'!A682)</f>
        <v>Detail: Note  Q1  01-00-1900; Q2   Payment  Q4    Q5    Additional Notes:   Insurance: DPOW-CCHP</v>
      </c>
      <c r="C682" s="60" t="str">
        <f>'Level 1'!Y682</f>
        <v>Action</v>
      </c>
      <c r="D682" s="44" t="str">
        <f>VLOOKUP(C682,Table2[#All],3,FALSE)</f>
        <v>What we need from you/Reason</v>
      </c>
      <c r="E682" s="75" t="s">
        <v>199</v>
      </c>
      <c r="F682" s="96"/>
      <c r="G682" s="97"/>
    </row>
    <row r="683" spans="1:7" ht="21" x14ac:dyDescent="0.25">
      <c r="A683" s="43" t="str">
        <f>CONCATENATE("Pt Id:",'Level 1'!E683," ","Pt Name: ",'Level 1'!F683," ","DOS: ", TEXT('Level 1'!H683,"mm-dd-yyyy"),"  "," Amnt: ","$",'Level 1'!J683,"  ", 'Level 1'!N683)</f>
        <v>Pt Id:3469 Pt Name: Ryan , Reeve DOS: 01-02-2020   Amnt: $104  Note</v>
      </c>
      <c r="B683" s="43" t="str">
        <f>CONCATENATE("Detail: ",'Level 1'!N683,"  ",'Level 1'!O683,TEXT('Level 1'!P683,"  mm-dd-yyyy"),";"," ",'Level 1'!Q683,'Level 1'!R683,"  ",'Level 1'!T683," ","Payment "," ",'Level 1'!U683,"  ",'Level 1'!V683,"  ",'Level 1'!W683,"  ",'Level 1'!X683,"  ",'Level 1'!Z683, "  ",'Level 1'!AA683, " ","Insurance: ",'Level 1'!A683)</f>
        <v>Detail: Note  Q1  01-00-1900; Q2   Payment  Q4    Q5    Additional Notes:   Insurance: DPOW-CCHP</v>
      </c>
      <c r="C683" s="60" t="str">
        <f>'Level 1'!Y683</f>
        <v>Action</v>
      </c>
      <c r="D683" s="44" t="str">
        <f>VLOOKUP(C683,Table2[#All],3,FALSE)</f>
        <v>What we need from you/Reason</v>
      </c>
      <c r="E683" s="75" t="s">
        <v>199</v>
      </c>
      <c r="F683" s="96"/>
      <c r="G683" s="97"/>
    </row>
    <row r="684" spans="1:7" ht="42" x14ac:dyDescent="0.25">
      <c r="A684" s="43" t="str">
        <f>CONCATENATE("Pt Id:",'Level 1'!E684," ","Pt Name: ",'Level 1'!F684," ","DOS: ", TEXT('Level 1'!H684,"mm-dd-yyyy"),"  "," Amnt: ","$",'Level 1'!J684,"  ", 'Level 1'!N684)</f>
        <v>Pt Id:3503 Pt Name: LANIER, MADALYNN DOS: 01-09-2020   Amnt: $166.8  Note</v>
      </c>
      <c r="B684" s="43" t="str">
        <f>CONCATENATE("Detail: ",'Level 1'!N684,"  ",'Level 1'!O684,TEXT('Level 1'!P684,"  mm-dd-yyyy"),";"," ",'Level 1'!Q684,'Level 1'!R684,"  ",'Level 1'!T684," ","Payment "," ",'Level 1'!U684,"  ",'Level 1'!V684,"  ",'Level 1'!W684,"  ",'Level 1'!X684,"  ",'Level 1'!Z684, "  ",'Level 1'!AA684, " ","Insurance: ",'Level 1'!A684)</f>
        <v>Detail: Note  Q1  01-00-1900; Q2   Payment  Q4    Q5    Additional Notes:   Insurance: DPOW-CCHP</v>
      </c>
      <c r="C684" s="60" t="str">
        <f>'Level 1'!Y684</f>
        <v>Action</v>
      </c>
      <c r="D684" s="44" t="str">
        <f>VLOOKUP(C684,Table2[#All],3,FALSE)</f>
        <v>What we need from you/Reason</v>
      </c>
      <c r="E684" s="75" t="s">
        <v>199</v>
      </c>
      <c r="F684" s="96"/>
      <c r="G684" s="97"/>
    </row>
    <row r="685" spans="1:7" ht="21" x14ac:dyDescent="0.25">
      <c r="A685" s="43" t="str">
        <f>CONCATENATE("Pt Id:",'Level 1'!E685," ","Pt Name: ",'Level 1'!F685," ","DOS: ", TEXT('Level 1'!H685,"mm-dd-yyyy"),"  "," Amnt: ","$",'Level 1'!J685,"  ", 'Level 1'!N685)</f>
        <v>Pt Id:570 Pt Name: Rabe , Julia DOS: 01-09-2020   Amnt: $138  Note</v>
      </c>
      <c r="B685" s="43" t="str">
        <f>CONCATENATE("Detail: ",'Level 1'!N685,"  ",'Level 1'!O685,TEXT('Level 1'!P685,"  mm-dd-yyyy"),";"," ",'Level 1'!Q685,'Level 1'!R685,"  ",'Level 1'!T685," ","Payment "," ",'Level 1'!U685,"  ",'Level 1'!V685,"  ",'Level 1'!W685,"  ",'Level 1'!X685,"  ",'Level 1'!Z685, "  ",'Level 1'!AA685, " ","Insurance: ",'Level 1'!A685)</f>
        <v>Detail: Note  Q1  01-00-1900; Q2   Payment  Q4    Q5    Additional Notes:   Insurance: DPOW-CCHP</v>
      </c>
      <c r="C685" s="60" t="str">
        <f>'Level 1'!Y685</f>
        <v>Action</v>
      </c>
      <c r="D685" s="44" t="str">
        <f>VLOOKUP(C685,Table2[#All],3,FALSE)</f>
        <v>What we need from you/Reason</v>
      </c>
      <c r="E685" s="75" t="s">
        <v>199</v>
      </c>
      <c r="F685" s="96"/>
      <c r="G685" s="97"/>
    </row>
    <row r="686" spans="1:7" ht="21" x14ac:dyDescent="0.25">
      <c r="A686" s="43" t="str">
        <f>CONCATENATE("Pt Id:",'Level 1'!E686," ","Pt Name: ",'Level 1'!F686," ","DOS: ", TEXT('Level 1'!H686,"mm-dd-yyyy"),"  "," Amnt: ","$",'Level 1'!J686,"  ", 'Level 1'!N686)</f>
        <v>Pt Id:79 Pt Name: Navarrette , Alyson  DOS: 01-02-2020   Amnt: $375.2  Note</v>
      </c>
      <c r="B686" s="43" t="str">
        <f>CONCATENATE("Detail: ",'Level 1'!N686,"  ",'Level 1'!O686,TEXT('Level 1'!P686,"  mm-dd-yyyy"),";"," ",'Level 1'!Q686,'Level 1'!R686,"  ",'Level 1'!T686," ","Payment "," ",'Level 1'!U686,"  ",'Level 1'!V686,"  ",'Level 1'!W686,"  ",'Level 1'!X686,"  ",'Level 1'!Z686, "  ",'Level 1'!AA686, " ","Insurance: ",'Level 1'!A686)</f>
        <v>Detail: Note  Q1  01-00-1900; Q2   Payment  Q4    Q5    Additional Notes:   Insurance: DPOW-CCHP</v>
      </c>
      <c r="C686" s="60" t="str">
        <f>'Level 1'!Y686</f>
        <v>Action</v>
      </c>
      <c r="D686" s="44" t="str">
        <f>VLOOKUP(C686,Table2[#All],3,FALSE)</f>
        <v>What we need from you/Reason</v>
      </c>
      <c r="E686" s="75" t="s">
        <v>199</v>
      </c>
      <c r="F686" s="96"/>
      <c r="G686" s="97"/>
    </row>
    <row r="687" spans="1:7" ht="21" x14ac:dyDescent="0.25">
      <c r="A687" s="43" t="str">
        <f>CONCATENATE("Pt Id:",'Level 1'!E687," ","Pt Name: ",'Level 1'!F687," ","DOS: ", TEXT('Level 1'!H687,"mm-dd-yyyy"),"  "," Amnt: ","$",'Level 1'!J687,"  ", 'Level 1'!N687)</f>
        <v>Pt Id:1264 Pt Name: Navarrete, Jade DOS: 01-02-2020   Amnt: $166.8  Note</v>
      </c>
      <c r="B687" s="43" t="str">
        <f>CONCATENATE("Detail: ",'Level 1'!N687,"  ",'Level 1'!O687,TEXT('Level 1'!P687,"  mm-dd-yyyy"),";"," ",'Level 1'!Q687,'Level 1'!R687,"  ",'Level 1'!T687," ","Payment "," ",'Level 1'!U687,"  ",'Level 1'!V687,"  ",'Level 1'!W687,"  ",'Level 1'!X687,"  ",'Level 1'!Z687, "  ",'Level 1'!AA687, " ","Insurance: ",'Level 1'!A687)</f>
        <v>Detail: Note  Q1  01-00-1900; Q2   Payment  Q4    Q5    Additional Notes:   Insurance: DPOW-CCHP</v>
      </c>
      <c r="C687" s="60" t="str">
        <f>'Level 1'!Y687</f>
        <v>Action</v>
      </c>
      <c r="D687" s="44" t="str">
        <f>VLOOKUP(C687,Table2[#All],3,FALSE)</f>
        <v>What we need from you/Reason</v>
      </c>
      <c r="E687" s="75" t="s">
        <v>199</v>
      </c>
      <c r="F687" s="96"/>
      <c r="G687" s="97"/>
    </row>
    <row r="688" spans="1:7" ht="21" x14ac:dyDescent="0.25">
      <c r="A688" s="43" t="str">
        <f>CONCATENATE("Pt Id:",'Level 1'!E688," ","Pt Name: ",'Level 1'!F688," ","DOS: ", TEXT('Level 1'!H688,"mm-dd-yyyy"),"  "," Amnt: ","$",'Level 1'!J688,"  ", 'Level 1'!N688)</f>
        <v>Pt Id:131 Pt Name: Navarrete, Jacob DOS: 01-02-2020   Amnt: $326  Note</v>
      </c>
      <c r="B688" s="43" t="str">
        <f>CONCATENATE("Detail: ",'Level 1'!N688,"  ",'Level 1'!O688,TEXT('Level 1'!P688,"  mm-dd-yyyy"),";"," ",'Level 1'!Q688,'Level 1'!R688,"  ",'Level 1'!T688," ","Payment "," ",'Level 1'!U688,"  ",'Level 1'!V688,"  ",'Level 1'!W688,"  ",'Level 1'!X688,"  ",'Level 1'!Z688, "  ",'Level 1'!AA688, " ","Insurance: ",'Level 1'!A688)</f>
        <v>Detail: Note  Q1  01-00-1900; Q2   Payment  Q4    Q5    Additional Notes:   Insurance: DPOW-CCHP</v>
      </c>
      <c r="C688" s="60" t="str">
        <f>'Level 1'!Y688</f>
        <v>Action</v>
      </c>
      <c r="D688" s="44" t="str">
        <f>VLOOKUP(C688,Table2[#All],3,FALSE)</f>
        <v>What we need from you/Reason</v>
      </c>
      <c r="E688" s="75" t="s">
        <v>199</v>
      </c>
      <c r="F688" s="96"/>
      <c r="G688" s="97"/>
    </row>
    <row r="689" spans="1:7" ht="21" x14ac:dyDescent="0.25">
      <c r="A689" s="43" t="str">
        <f>CONCATENATE("Pt Id:",'Level 1'!E689," ","Pt Name: ",'Level 1'!F689," ","DOS: ", TEXT('Level 1'!H689,"mm-dd-yyyy"),"  "," Amnt: ","$",'Level 1'!J689,"  ", 'Level 1'!N689)</f>
        <v>Pt Id:3218 Pt Name: Esparza , Crystal  DOS: 12-14-2019   Amnt: $273.2  Note</v>
      </c>
      <c r="B689" s="43" t="str">
        <f>CONCATENATE("Detail: ",'Level 1'!N689,"  ",'Level 1'!O689,TEXT('Level 1'!P689,"  mm-dd-yyyy"),";"," ",'Level 1'!Q689,'Level 1'!R689,"  ",'Level 1'!T689," ","Payment "," ",'Level 1'!U689,"  ",'Level 1'!V689,"  ",'Level 1'!W689,"  ",'Level 1'!X689,"  ",'Level 1'!Z689, "  ",'Level 1'!AA689, " ","Insurance: ",'Level 1'!A689)</f>
        <v>Detail: Note  Q1  01-00-1900; Q2   Payment  Q4    Q5    Additional Notes:   Insurance: DPOW-CCHP</v>
      </c>
      <c r="C689" s="60" t="str">
        <f>'Level 1'!Y689</f>
        <v>Action</v>
      </c>
      <c r="D689" s="44" t="str">
        <f>VLOOKUP(C689,Table2[#All],3,FALSE)</f>
        <v>What we need from you/Reason</v>
      </c>
      <c r="E689" s="75" t="s">
        <v>199</v>
      </c>
      <c r="F689" s="96"/>
      <c r="G689" s="97"/>
    </row>
    <row r="690" spans="1:7" ht="21" x14ac:dyDescent="0.25">
      <c r="A690" s="43" t="str">
        <f>CONCATENATE("Pt Id:",'Level 1'!E690," ","Pt Name: ",'Level 1'!F690," ","DOS: ", TEXT('Level 1'!H690,"mm-dd-yyyy"),"  "," Amnt: ","$",'Level 1'!J690,"  ", 'Level 1'!N690)</f>
        <v>Pt Id:3269 Pt Name: Esparza , Zenia  DOS: 12-11-2019   Amnt: $266  Note</v>
      </c>
      <c r="B690" s="43" t="str">
        <f>CONCATENATE("Detail: ",'Level 1'!N690,"  ",'Level 1'!O690,TEXT('Level 1'!P690,"  mm-dd-yyyy"),";"," ",'Level 1'!Q690,'Level 1'!R690,"  ",'Level 1'!T690," ","Payment "," ",'Level 1'!U690,"  ",'Level 1'!V690,"  ",'Level 1'!W690,"  ",'Level 1'!X690,"  ",'Level 1'!Z690, "  ",'Level 1'!AA690, " ","Insurance: ",'Level 1'!A690)</f>
        <v>Detail: Note  Q1  01-00-1900; Q2   Payment  Q4    Q5    Additional Notes:   Insurance: DPOW-CCHP</v>
      </c>
      <c r="C690" s="60" t="str">
        <f>'Level 1'!Y690</f>
        <v>Action</v>
      </c>
      <c r="D690" s="44" t="str">
        <f>VLOOKUP(C690,Table2[#All],3,FALSE)</f>
        <v>What we need from you/Reason</v>
      </c>
      <c r="E690" s="75" t="s">
        <v>199</v>
      </c>
      <c r="F690" s="96"/>
      <c r="G690" s="97"/>
    </row>
    <row r="691" spans="1:7" ht="42" x14ac:dyDescent="0.25">
      <c r="A691" s="43" t="str">
        <f>CONCATENATE("Pt Id:",'Level 1'!E691," ","Pt Name: ",'Level 1'!F691," ","DOS: ", TEXT('Level 1'!H691,"mm-dd-yyyy"),"  "," Amnt: ","$",'Level 1'!J691,"  ", 'Level 1'!N691)</f>
        <v>Pt Id:2188 Pt Name: Porter , Marqwan  DOS: 08-08-2019   Amnt: $166.8  Note</v>
      </c>
      <c r="B691" s="43" t="str">
        <f>CONCATENATE("Detail: ",'Level 1'!N691,"  ",'Level 1'!O691,TEXT('Level 1'!P691,"  mm-dd-yyyy"),";"," ",'Level 1'!Q691,'Level 1'!R691,"  ",'Level 1'!T691," ","Payment "," ",'Level 1'!U691,"  ",'Level 1'!V691,"  ",'Level 1'!W691,"  ",'Level 1'!X691,"  ",'Level 1'!Z691, "  ",'Level 1'!AA691, " ","Insurance: ",'Level 1'!A691)</f>
        <v>Detail: Note  Q1  01-00-1900; Q2   Payment  Q4    Q5    Additional Notes:   Insurance: DPOW-CCHP</v>
      </c>
      <c r="C691" s="60" t="str">
        <f>'Level 1'!Y691</f>
        <v>Action</v>
      </c>
      <c r="D691" s="44" t="str">
        <f>VLOOKUP(C691,Table2[#All],3,FALSE)</f>
        <v>What we need from you/Reason</v>
      </c>
      <c r="E691" s="75" t="s">
        <v>199</v>
      </c>
      <c r="F691" s="96"/>
      <c r="G691" s="97"/>
    </row>
    <row r="692" spans="1:7" ht="42" x14ac:dyDescent="0.25">
      <c r="A692" s="43" t="str">
        <f>CONCATENATE("Pt Id:",'Level 1'!E692," ","Pt Name: ",'Level 1'!F692," ","DOS: ", TEXT('Level 1'!H692,"mm-dd-yyyy"),"  "," Amnt: ","$",'Level 1'!J692,"  ", 'Level 1'!N692)</f>
        <v>Pt Id:1610 Pt Name: BENTLEY, CHARLES DOS: 06-05-2019   Amnt: $414  Note</v>
      </c>
      <c r="B692" s="43" t="str">
        <f>CONCATENATE("Detail: ",'Level 1'!N692,"  ",'Level 1'!O692,TEXT('Level 1'!P692,"  mm-dd-yyyy"),";"," ",'Level 1'!Q692,'Level 1'!R692,"  ",'Level 1'!T692," ","Payment "," ",'Level 1'!U692,"  ",'Level 1'!V692,"  ",'Level 1'!W692,"  ",'Level 1'!X692,"  ",'Level 1'!Z692, "  ",'Level 1'!AA692, " ","Insurance: ",'Level 1'!A692)</f>
        <v>Detail: Note  Q1  01-00-1900; Q2   Payment  Q4    Q5    Additional Notes:   Insurance: DPOW-CCHP</v>
      </c>
      <c r="C692" s="60" t="str">
        <f>'Level 1'!Y692</f>
        <v>Action</v>
      </c>
      <c r="D692" s="44" t="str">
        <f>VLOOKUP(C692,Table2[#All],3,FALSE)</f>
        <v>What we need from you/Reason</v>
      </c>
      <c r="E692" s="75" t="s">
        <v>199</v>
      </c>
      <c r="F692" s="96"/>
      <c r="G692" s="97"/>
    </row>
    <row r="693" spans="1:7" ht="21" x14ac:dyDescent="0.25">
      <c r="A693" s="43" t="str">
        <f>CONCATENATE("Pt Id:",'Level 1'!E693," ","Pt Name: ",'Level 1'!F693," ","DOS: ", TEXT('Level 1'!H693,"mm-dd-yyyy"),"  "," Amnt: ","$",'Level 1'!J693,"  ", 'Level 1'!N693)</f>
        <v>Pt Id:716 Pt Name: Townsend, Londyn DOS: 04-16-2019   Amnt: $88.8  Note</v>
      </c>
      <c r="B693" s="43" t="str">
        <f>CONCATENATE("Detail: ",'Level 1'!N693,"  ",'Level 1'!O693,TEXT('Level 1'!P693,"  mm-dd-yyyy"),";"," ",'Level 1'!Q693,'Level 1'!R693,"  ",'Level 1'!T693," ","Payment "," ",'Level 1'!U693,"  ",'Level 1'!V693,"  ",'Level 1'!W693,"  ",'Level 1'!X693,"  ",'Level 1'!Z693, "  ",'Level 1'!AA693, " ","Insurance: ",'Level 1'!A693)</f>
        <v>Detail: Note  Q1  01-00-1900; Q2   Payment  Q4    Q5    Additional Notes:   Insurance: DPOW-CCHP</v>
      </c>
      <c r="C693" s="60" t="str">
        <f>'Level 1'!Y693</f>
        <v>Action</v>
      </c>
      <c r="D693" s="44" t="str">
        <f>VLOOKUP(C693,Table2[#All],3,FALSE)</f>
        <v>What we need from you/Reason</v>
      </c>
      <c r="E693" s="75" t="s">
        <v>199</v>
      </c>
      <c r="F693" s="96"/>
      <c r="G693" s="97"/>
    </row>
    <row r="694" spans="1:7" ht="42" x14ac:dyDescent="0.25">
      <c r="A694" s="43" t="str">
        <f>CONCATENATE("Pt Id:",'Level 1'!E694," ","Pt Name: ",'Level 1'!F694," ","DOS: ", TEXT('Level 1'!H694,"mm-dd-yyyy"),"  "," Amnt: ","$",'Level 1'!J694,"  ", 'Level 1'!N694)</f>
        <v>Pt Id:7330 Pt Name: Lebron Correa, Yahir DOS: 04-01-2022   Amnt: $992.4  Note</v>
      </c>
      <c r="B694" s="43" t="str">
        <f>CONCATENATE("Detail: ",'Level 1'!N694,"  ",'Level 1'!O694,TEXT('Level 1'!P694,"  mm-dd-yyyy"),";"," ",'Level 1'!Q694,'Level 1'!R694,"  ",'Level 1'!T694," ","Payment "," ",'Level 1'!U694,"  ",'Level 1'!V694,"  ",'Level 1'!W694,"  ",'Level 1'!X694,"  ",'Level 1'!Z694, "  ",'Level 1'!AA694, " ","Insurance: ",'Level 1'!A694)</f>
        <v>Detail: Note  Q1  01-00-1900; Q2   Payment  Q4    Q5    Additional Notes:   Insurance: Forward Health</v>
      </c>
      <c r="C694" s="60" t="str">
        <f>'Level 1'!Y694</f>
        <v>Action</v>
      </c>
      <c r="D694" s="44" t="str">
        <f>VLOOKUP(C694,Table2[#All],3,FALSE)</f>
        <v>What we need from you/Reason</v>
      </c>
      <c r="E694" s="75" t="s">
        <v>199</v>
      </c>
      <c r="F694" s="96"/>
      <c r="G694" s="97"/>
    </row>
    <row r="695" spans="1:7" ht="42" x14ac:dyDescent="0.25">
      <c r="A695" s="43" t="str">
        <f>CONCATENATE("Pt Id:",'Level 1'!E695," ","Pt Name: ",'Level 1'!F695," ","DOS: ", TEXT('Level 1'!H695,"mm-dd-yyyy"),"  "," Amnt: ","$",'Level 1'!J695,"  ", 'Level 1'!N695)</f>
        <v>Pt Id:9307 Pt Name: Lagerman , Harper  DOS: 04-01-2022   Amnt: $808.8  Note</v>
      </c>
      <c r="B695" s="43" t="str">
        <f>CONCATENATE("Detail: ",'Level 1'!N695,"  ",'Level 1'!O695,TEXT('Level 1'!P695,"  mm-dd-yyyy"),";"," ",'Level 1'!Q695,'Level 1'!R695,"  ",'Level 1'!T695," ","Payment "," ",'Level 1'!U695,"  ",'Level 1'!V695,"  ",'Level 1'!W695,"  ",'Level 1'!X695,"  ",'Level 1'!Z695, "  ",'Level 1'!AA695, " ","Insurance: ",'Level 1'!A695)</f>
        <v>Detail: Note  Q1  01-00-1900; Q2   Payment  Q4    Q5    Additional Notes:   Insurance: Forward Health</v>
      </c>
      <c r="C695" s="60" t="str">
        <f>'Level 1'!Y695</f>
        <v>Action</v>
      </c>
      <c r="D695" s="44" t="str">
        <f>VLOOKUP(C695,Table2[#All],3,FALSE)</f>
        <v>What we need from you/Reason</v>
      </c>
      <c r="E695" s="75" t="s">
        <v>199</v>
      </c>
      <c r="F695" s="96"/>
      <c r="G695" s="97"/>
    </row>
    <row r="696" spans="1:7" ht="21" x14ac:dyDescent="0.25">
      <c r="A696" s="43" t="str">
        <f>CONCATENATE("Pt Id:",'Level 1'!E696," ","Pt Name: ",'Level 1'!F696," ","DOS: ", TEXT('Level 1'!H696,"mm-dd-yyyy"),"  "," Amnt: ","$",'Level 1'!J696,"  ", 'Level 1'!N696)</f>
        <v>Pt Id:1347 Pt Name: Brooks, Lucia  DOS: 04-01-2022   Amnt: $266  Note</v>
      </c>
      <c r="B696" s="43" t="str">
        <f>CONCATENATE("Detail: ",'Level 1'!N696,"  ",'Level 1'!O696,TEXT('Level 1'!P696,"  mm-dd-yyyy"),";"," ",'Level 1'!Q696,'Level 1'!R696,"  ",'Level 1'!T696," ","Payment "," ",'Level 1'!U696,"  ",'Level 1'!V696,"  ",'Level 1'!W696,"  ",'Level 1'!X696,"  ",'Level 1'!Z696, "  ",'Level 1'!AA696, " ","Insurance: ",'Level 1'!A696)</f>
        <v>Detail: Note  Q1  01-00-1900; Q2   Payment  Q4    Q5    Additional Notes:   Insurance: Forward Health</v>
      </c>
      <c r="C696" s="60" t="str">
        <f>'Level 1'!Y696</f>
        <v>Action</v>
      </c>
      <c r="D696" s="44" t="str">
        <f>VLOOKUP(C696,Table2[#All],3,FALSE)</f>
        <v>What we need from you/Reason</v>
      </c>
      <c r="E696" s="75" t="s">
        <v>199</v>
      </c>
      <c r="F696" s="96"/>
      <c r="G696" s="97"/>
    </row>
    <row r="697" spans="1:7" ht="21" x14ac:dyDescent="0.25">
      <c r="A697" s="43" t="str">
        <f>CONCATENATE("Pt Id:",'Level 1'!E697," ","Pt Name: ",'Level 1'!F697," ","DOS: ", TEXT('Level 1'!H697,"mm-dd-yyyy"),"  "," Amnt: ","$",'Level 1'!J697,"  ", 'Level 1'!N697)</f>
        <v>Pt Id:9158 Pt Name: Fleming , Glenn DOS: 03-31-2022   Amnt: $2019.6  Note</v>
      </c>
      <c r="B697" s="43" t="str">
        <f>CONCATENATE("Detail: ",'Level 1'!N697,"  ",'Level 1'!O697,TEXT('Level 1'!P697,"  mm-dd-yyyy"),";"," ",'Level 1'!Q697,'Level 1'!R697,"  ",'Level 1'!T697," ","Payment "," ",'Level 1'!U697,"  ",'Level 1'!V697,"  ",'Level 1'!W697,"  ",'Level 1'!X697,"  ",'Level 1'!Z697, "  ",'Level 1'!AA697, " ","Insurance: ",'Level 1'!A697)</f>
        <v>Detail: Note  Q1  01-00-1900; Q2   Payment  Q4    Q5    Additional Notes:   Insurance: Forward Health</v>
      </c>
      <c r="C697" s="60" t="str">
        <f>'Level 1'!Y697</f>
        <v>Action</v>
      </c>
      <c r="D697" s="44" t="str">
        <f>VLOOKUP(C697,Table2[#All],3,FALSE)</f>
        <v>What we need from you/Reason</v>
      </c>
      <c r="E697" s="75" t="s">
        <v>199</v>
      </c>
      <c r="F697" s="96"/>
      <c r="G697" s="97"/>
    </row>
    <row r="698" spans="1:7" ht="21" x14ac:dyDescent="0.25">
      <c r="A698" s="43" t="str">
        <f>CONCATENATE("Pt Id:",'Level 1'!E698," ","Pt Name: ",'Level 1'!F698," ","DOS: ", TEXT('Level 1'!H698,"mm-dd-yyyy"),"  "," Amnt: ","$",'Level 1'!J698,"  ", 'Level 1'!N698)</f>
        <v>Pt Id:9331 Pt Name: Lewis, Tye DOS: 03-31-2022   Amnt: $348  Note</v>
      </c>
      <c r="B698" s="43" t="str">
        <f>CONCATENATE("Detail: ",'Level 1'!N698,"  ",'Level 1'!O698,TEXT('Level 1'!P698,"  mm-dd-yyyy"),";"," ",'Level 1'!Q698,'Level 1'!R698,"  ",'Level 1'!T698," ","Payment "," ",'Level 1'!U698,"  ",'Level 1'!V698,"  ",'Level 1'!W698,"  ",'Level 1'!X698,"  ",'Level 1'!Z698, "  ",'Level 1'!AA698, " ","Insurance: ",'Level 1'!A698)</f>
        <v>Detail: Note  Q1  01-00-1900; Q2   Payment  Q4    Q5    Additional Notes:   Insurance: Forward Health</v>
      </c>
      <c r="C698" s="60" t="str">
        <f>'Level 1'!Y698</f>
        <v>Action</v>
      </c>
      <c r="D698" s="44" t="str">
        <f>VLOOKUP(C698,Table2[#All],3,FALSE)</f>
        <v>What we need from you/Reason</v>
      </c>
      <c r="E698" s="75" t="s">
        <v>199</v>
      </c>
      <c r="F698" s="96"/>
      <c r="G698" s="97"/>
    </row>
    <row r="699" spans="1:7" ht="21" x14ac:dyDescent="0.25">
      <c r="A699" s="43" t="str">
        <f>CONCATENATE("Pt Id:",'Level 1'!E699," ","Pt Name: ",'Level 1'!F699," ","DOS: ", TEXT('Level 1'!H699,"mm-dd-yyyy"),"  "," Amnt: ","$",'Level 1'!J699,"  ", 'Level 1'!N699)</f>
        <v>Pt Id:9405 Pt Name: Mc`Allister, Mary DOS: 03-30-2022   Amnt: $226.8  Note</v>
      </c>
      <c r="B699" s="43" t="str">
        <f>CONCATENATE("Detail: ",'Level 1'!N699,"  ",'Level 1'!O699,TEXT('Level 1'!P699,"  mm-dd-yyyy"),";"," ",'Level 1'!Q699,'Level 1'!R699,"  ",'Level 1'!T699," ","Payment "," ",'Level 1'!U699,"  ",'Level 1'!V699,"  ",'Level 1'!W699,"  ",'Level 1'!X699,"  ",'Level 1'!Z699, "  ",'Level 1'!AA699, " ","Insurance: ",'Level 1'!A699)</f>
        <v>Detail: Note  Q1  01-00-1900; Q2   Payment  Q4    Q5    Additional Notes:   Insurance: Forward Health</v>
      </c>
      <c r="C699" s="60" t="str">
        <f>'Level 1'!Y699</f>
        <v>Action</v>
      </c>
      <c r="D699" s="44" t="str">
        <f>VLOOKUP(C699,Table2[#All],3,FALSE)</f>
        <v>What we need from you/Reason</v>
      </c>
      <c r="E699" s="75" t="s">
        <v>199</v>
      </c>
      <c r="F699" s="96"/>
      <c r="G699" s="97"/>
    </row>
    <row r="700" spans="1:7" ht="21" x14ac:dyDescent="0.25">
      <c r="A700" s="43" t="str">
        <f>CONCATENATE("Pt Id:",'Level 1'!E700," ","Pt Name: ",'Level 1'!F700," ","DOS: ", TEXT('Level 1'!H700,"mm-dd-yyyy"),"  "," Amnt: ","$",'Level 1'!J700,"  ", 'Level 1'!N700)</f>
        <v>Pt Id:9019 Pt Name: Kearney, Troy  DOS: 03-30-2022   Amnt: $253.2  Note</v>
      </c>
      <c r="B700" s="43" t="str">
        <f>CONCATENATE("Detail: ",'Level 1'!N700,"  ",'Level 1'!O700,TEXT('Level 1'!P700,"  mm-dd-yyyy"),";"," ",'Level 1'!Q700,'Level 1'!R700,"  ",'Level 1'!T700," ","Payment "," ",'Level 1'!U700,"  ",'Level 1'!V700,"  ",'Level 1'!W700,"  ",'Level 1'!X700,"  ",'Level 1'!Z700, "  ",'Level 1'!AA700, " ","Insurance: ",'Level 1'!A700)</f>
        <v>Detail: Note  Q1  01-00-1900; Q2   Payment  Q4    Q5    Additional Notes:   Insurance: Forward Health</v>
      </c>
      <c r="C700" s="60" t="str">
        <f>'Level 1'!Y700</f>
        <v>Action</v>
      </c>
      <c r="D700" s="44" t="str">
        <f>VLOOKUP(C700,Table2[#All],3,FALSE)</f>
        <v>What we need from you/Reason</v>
      </c>
      <c r="E700" s="75" t="s">
        <v>199</v>
      </c>
      <c r="F700" s="96"/>
      <c r="G700" s="97"/>
    </row>
    <row r="701" spans="1:7" ht="21" x14ac:dyDescent="0.25">
      <c r="A701" s="43" t="str">
        <f>CONCATENATE("Pt Id:",'Level 1'!E701," ","Pt Name: ",'Level 1'!F701," ","DOS: ", TEXT('Level 1'!H701,"mm-dd-yyyy"),"  "," Amnt: ","$",'Level 1'!J701,"  ", 'Level 1'!N701)</f>
        <v>Pt Id:8563 Pt Name: Flores, Raul  DOS: 03-30-2022   Amnt: $480  Note</v>
      </c>
      <c r="B701" s="43" t="str">
        <f>CONCATENATE("Detail: ",'Level 1'!N701,"  ",'Level 1'!O701,TEXT('Level 1'!P701,"  mm-dd-yyyy"),";"," ",'Level 1'!Q701,'Level 1'!R701,"  ",'Level 1'!T701," ","Payment "," ",'Level 1'!U701,"  ",'Level 1'!V701,"  ",'Level 1'!W701,"  ",'Level 1'!X701,"  ",'Level 1'!Z701, "  ",'Level 1'!AA701, " ","Insurance: ",'Level 1'!A701)</f>
        <v>Detail: Note  Q1  01-00-1900; Q2   Payment  Q4    Q5    Additional Notes:   Insurance: Forward Health</v>
      </c>
      <c r="C701" s="60" t="str">
        <f>'Level 1'!Y701</f>
        <v>Action</v>
      </c>
      <c r="D701" s="44" t="str">
        <f>VLOOKUP(C701,Table2[#All],3,FALSE)</f>
        <v>What we need from you/Reason</v>
      </c>
      <c r="E701" s="75" t="s">
        <v>199</v>
      </c>
      <c r="F701" s="96"/>
      <c r="G701" s="97"/>
    </row>
    <row r="702" spans="1:7" ht="21" x14ac:dyDescent="0.25">
      <c r="A702" s="43" t="str">
        <f>CONCATENATE("Pt Id:",'Level 1'!E702," ","Pt Name: ",'Level 1'!F702," ","DOS: ", TEXT('Level 1'!H702,"mm-dd-yyyy"),"  "," Amnt: ","$",'Level 1'!J702,"  ", 'Level 1'!N702)</f>
        <v>Pt Id:7815 Pt Name: Trapp, Kimberly  DOS: 03-29-2022   Amnt: $250.8  Note</v>
      </c>
      <c r="B702" s="43" t="str">
        <f>CONCATENATE("Detail: ",'Level 1'!N702,"  ",'Level 1'!O702,TEXT('Level 1'!P702,"  mm-dd-yyyy"),";"," ",'Level 1'!Q702,'Level 1'!R702,"  ",'Level 1'!T702," ","Payment "," ",'Level 1'!U702,"  ",'Level 1'!V702,"  ",'Level 1'!W702,"  ",'Level 1'!X702,"  ",'Level 1'!Z702, "  ",'Level 1'!AA702, " ","Insurance: ",'Level 1'!A702)</f>
        <v>Detail: Note  Q1  01-00-1900; Q2   Payment  Q4    Q5    Additional Notes:   Insurance: Forward Health</v>
      </c>
      <c r="C702" s="60" t="str">
        <f>'Level 1'!Y702</f>
        <v>Action</v>
      </c>
      <c r="D702" s="44" t="str">
        <f>VLOOKUP(C702,Table2[#All],3,FALSE)</f>
        <v>What we need from you/Reason</v>
      </c>
      <c r="E702" s="75" t="s">
        <v>199</v>
      </c>
      <c r="F702" s="96"/>
      <c r="G702" s="97"/>
    </row>
    <row r="703" spans="1:7" ht="21" x14ac:dyDescent="0.25">
      <c r="A703" s="43" t="str">
        <f>CONCATENATE("Pt Id:",'Level 1'!E703," ","Pt Name: ",'Level 1'!F703," ","DOS: ", TEXT('Level 1'!H703,"mm-dd-yyyy"),"  "," Amnt: ","$",'Level 1'!J703,"  ", 'Level 1'!N703)</f>
        <v>Pt Id:2686 Pt Name: Ruiz , Helen  DOS: 03-29-2022   Amnt: $966  Note</v>
      </c>
      <c r="B703" s="43" t="str">
        <f>CONCATENATE("Detail: ",'Level 1'!N703,"  ",'Level 1'!O703,TEXT('Level 1'!P703,"  mm-dd-yyyy"),";"," ",'Level 1'!Q703,'Level 1'!R703,"  ",'Level 1'!T703," ","Payment "," ",'Level 1'!U703,"  ",'Level 1'!V703,"  ",'Level 1'!W703,"  ",'Level 1'!X703,"  ",'Level 1'!Z703, "  ",'Level 1'!AA703, " ","Insurance: ",'Level 1'!A703)</f>
        <v>Detail: Note  Q1  01-00-1900; Q2   Payment  Q4    Q5    Additional Notes:   Insurance: Forward Health</v>
      </c>
      <c r="C703" s="60" t="str">
        <f>'Level 1'!Y703</f>
        <v>Action</v>
      </c>
      <c r="D703" s="44" t="str">
        <f>VLOOKUP(C703,Table2[#All],3,FALSE)</f>
        <v>What we need from you/Reason</v>
      </c>
      <c r="E703" s="75" t="s">
        <v>199</v>
      </c>
      <c r="F703" s="96"/>
      <c r="G703" s="97"/>
    </row>
    <row r="704" spans="1:7" ht="21" x14ac:dyDescent="0.25">
      <c r="A704" s="43" t="str">
        <f>CONCATENATE("Pt Id:",'Level 1'!E704," ","Pt Name: ",'Level 1'!F704," ","DOS: ", TEXT('Level 1'!H704,"mm-dd-yyyy"),"  "," Amnt: ","$",'Level 1'!J704,"  ", 'Level 1'!N704)</f>
        <v>Pt Id:9267 Pt Name: Tercher , James DOS: 03-29-2022   Amnt: $162  Note</v>
      </c>
      <c r="B704" s="43" t="str">
        <f>CONCATENATE("Detail: ",'Level 1'!N704,"  ",'Level 1'!O704,TEXT('Level 1'!P704,"  mm-dd-yyyy"),";"," ",'Level 1'!Q704,'Level 1'!R704,"  ",'Level 1'!T704," ","Payment "," ",'Level 1'!U704,"  ",'Level 1'!V704,"  ",'Level 1'!W704,"  ",'Level 1'!X704,"  ",'Level 1'!Z704, "  ",'Level 1'!AA704, " ","Insurance: ",'Level 1'!A704)</f>
        <v>Detail: Note  Q1  01-00-1900; Q2   Payment  Q4    Q5    Additional Notes:   Insurance: Forward Health</v>
      </c>
      <c r="C704" s="60" t="str">
        <f>'Level 1'!Y704</f>
        <v>Action</v>
      </c>
      <c r="D704" s="44" t="str">
        <f>VLOOKUP(C704,Table2[#All],3,FALSE)</f>
        <v>What we need from you/Reason</v>
      </c>
      <c r="E704" s="75" t="s">
        <v>199</v>
      </c>
      <c r="F704" s="96"/>
      <c r="G704" s="97"/>
    </row>
    <row r="705" spans="1:7" ht="42" x14ac:dyDescent="0.25">
      <c r="A705" s="43" t="str">
        <f>CONCATENATE("Pt Id:",'Level 1'!E705," ","Pt Name: ",'Level 1'!F705," ","DOS: ", TEXT('Level 1'!H705,"mm-dd-yyyy"),"  "," Amnt: ","$",'Level 1'!J705,"  ", 'Level 1'!N705)</f>
        <v>Pt Id:4419 Pt Name: Cervantes, Caress  DOS: 03-29-2022   Amnt: $259.2  Note</v>
      </c>
      <c r="B705" s="43" t="str">
        <f>CONCATENATE("Detail: ",'Level 1'!N705,"  ",'Level 1'!O705,TEXT('Level 1'!P705,"  mm-dd-yyyy"),";"," ",'Level 1'!Q705,'Level 1'!R705,"  ",'Level 1'!T705," ","Payment "," ",'Level 1'!U705,"  ",'Level 1'!V705,"  ",'Level 1'!W705,"  ",'Level 1'!X705,"  ",'Level 1'!Z705, "  ",'Level 1'!AA705, " ","Insurance: ",'Level 1'!A705)</f>
        <v>Detail: Note  Q1  01-00-1900; Q2   Payment  Q4    Q5    Additional Notes:   Insurance: Forward Health</v>
      </c>
      <c r="C705" s="60" t="str">
        <f>'Level 1'!Y705</f>
        <v>Action</v>
      </c>
      <c r="D705" s="44" t="str">
        <f>VLOOKUP(C705,Table2[#All],3,FALSE)</f>
        <v>What we need from you/Reason</v>
      </c>
      <c r="E705" s="75" t="s">
        <v>199</v>
      </c>
      <c r="F705" s="96"/>
      <c r="G705" s="97"/>
    </row>
    <row r="706" spans="1:7" ht="21" x14ac:dyDescent="0.25">
      <c r="A706" s="43" t="str">
        <f>CONCATENATE("Pt Id:",'Level 1'!E706," ","Pt Name: ",'Level 1'!F706," ","DOS: ", TEXT('Level 1'!H706,"mm-dd-yyyy"),"  "," Amnt: ","$",'Level 1'!J706,"  ", 'Level 1'!N706)</f>
        <v>Pt Id:1460 Pt Name: Vasey, Ayden DOS: 03-29-2022   Amnt: $227.6  Note</v>
      </c>
      <c r="B706" s="43" t="str">
        <f>CONCATENATE("Detail: ",'Level 1'!N706,"  ",'Level 1'!O706,TEXT('Level 1'!P706,"  mm-dd-yyyy"),";"," ",'Level 1'!Q706,'Level 1'!R706,"  ",'Level 1'!T706," ","Payment "," ",'Level 1'!U706,"  ",'Level 1'!V706,"  ",'Level 1'!W706,"  ",'Level 1'!X706,"  ",'Level 1'!Z706, "  ",'Level 1'!AA706, " ","Insurance: ",'Level 1'!A706)</f>
        <v>Detail: Note  Q1  01-00-1900; Q2   Payment  Q4    Q5    Additional Notes:   Insurance: Forward Health</v>
      </c>
      <c r="C706" s="60" t="str">
        <f>'Level 1'!Y706</f>
        <v>Action</v>
      </c>
      <c r="D706" s="44" t="str">
        <f>VLOOKUP(C706,Table2[#All],3,FALSE)</f>
        <v>What we need from you/Reason</v>
      </c>
      <c r="E706" s="75" t="s">
        <v>199</v>
      </c>
      <c r="F706" s="96"/>
      <c r="G706" s="97"/>
    </row>
    <row r="707" spans="1:7" ht="21" x14ac:dyDescent="0.25">
      <c r="A707" s="43" t="str">
        <f>CONCATENATE("Pt Id:",'Level 1'!E707," ","Pt Name: ",'Level 1'!F707," ","DOS: ", TEXT('Level 1'!H707,"mm-dd-yyyy"),"  "," Amnt: ","$",'Level 1'!J707,"  ", 'Level 1'!N707)</f>
        <v>Pt Id:9328 Pt Name: Popp, Kimberly  DOS: 03-29-2022   Amnt: $564  Note</v>
      </c>
      <c r="B707" s="43" t="str">
        <f>CONCATENATE("Detail: ",'Level 1'!N707,"  ",'Level 1'!O707,TEXT('Level 1'!P707,"  mm-dd-yyyy"),";"," ",'Level 1'!Q707,'Level 1'!R707,"  ",'Level 1'!T707," ","Payment "," ",'Level 1'!U707,"  ",'Level 1'!V707,"  ",'Level 1'!W707,"  ",'Level 1'!X707,"  ",'Level 1'!Z707, "  ",'Level 1'!AA707, " ","Insurance: ",'Level 1'!A707)</f>
        <v>Detail: Note  Q1  01-00-1900; Q2   Payment  Q4    Q5    Additional Notes:   Insurance: Forward Health</v>
      </c>
      <c r="C707" s="60" t="str">
        <f>'Level 1'!Y707</f>
        <v>Action</v>
      </c>
      <c r="D707" s="44" t="str">
        <f>VLOOKUP(C707,Table2[#All],3,FALSE)</f>
        <v>What we need from you/Reason</v>
      </c>
      <c r="E707" s="75" t="s">
        <v>199</v>
      </c>
      <c r="F707" s="96"/>
      <c r="G707" s="97"/>
    </row>
    <row r="708" spans="1:7" ht="21" x14ac:dyDescent="0.25">
      <c r="A708" s="43" t="str">
        <f>CONCATENATE("Pt Id:",'Level 1'!E708," ","Pt Name: ",'Level 1'!F708," ","DOS: ", TEXT('Level 1'!H708,"mm-dd-yyyy"),"  "," Amnt: ","$",'Level 1'!J708,"  ", 'Level 1'!N708)</f>
        <v>Pt Id:8064 Pt Name: Weiss, Bonnie  DOS: 03-01-2022   Amnt: $1312.8  Note</v>
      </c>
      <c r="B708" s="43" t="str">
        <f>CONCATENATE("Detail: ",'Level 1'!N708,"  ",'Level 1'!O708,TEXT('Level 1'!P708,"  mm-dd-yyyy"),";"," ",'Level 1'!Q708,'Level 1'!R708,"  ",'Level 1'!T708," ","Payment "," ",'Level 1'!U708,"  ",'Level 1'!V708,"  ",'Level 1'!W708,"  ",'Level 1'!X708,"  ",'Level 1'!Z708, "  ",'Level 1'!AA708, " ","Insurance: ",'Level 1'!A708)</f>
        <v>Detail: Note  Q1  01-00-1900; Q2   Payment  Q4    Q5    Additional Notes:   Insurance: Forward Health</v>
      </c>
      <c r="C708" s="60" t="str">
        <f>'Level 1'!Y708</f>
        <v>Action</v>
      </c>
      <c r="D708" s="44" t="str">
        <f>VLOOKUP(C708,Table2[#All],3,FALSE)</f>
        <v>What we need from you/Reason</v>
      </c>
      <c r="E708" s="75" t="s">
        <v>199</v>
      </c>
      <c r="F708" s="96"/>
      <c r="G708" s="97"/>
    </row>
    <row r="709" spans="1:7" ht="21" x14ac:dyDescent="0.25">
      <c r="A709" s="43" t="str">
        <f>CONCATENATE("Pt Id:",'Level 1'!E709," ","Pt Name: ",'Level 1'!F709," ","DOS: ", TEXT('Level 1'!H709,"mm-dd-yyyy"),"  "," Amnt: ","$",'Level 1'!J709,"  ", 'Level 1'!N709)</f>
        <v>Pt Id:8006 Pt Name: Kemp, Isaiah  DOS: 03-28-2022   Amnt: $191.6  Note</v>
      </c>
      <c r="B709" s="43" t="str">
        <f>CONCATENATE("Detail: ",'Level 1'!N709,"  ",'Level 1'!O709,TEXT('Level 1'!P709,"  mm-dd-yyyy"),";"," ",'Level 1'!Q709,'Level 1'!R709,"  ",'Level 1'!T709," ","Payment "," ",'Level 1'!U709,"  ",'Level 1'!V709,"  ",'Level 1'!W709,"  ",'Level 1'!X709,"  ",'Level 1'!Z709, "  ",'Level 1'!AA709, " ","Insurance: ",'Level 1'!A709)</f>
        <v>Detail: Note  Q1  01-00-1900; Q2   Payment  Q4    Q5    Additional Notes:   Insurance: Forward Health</v>
      </c>
      <c r="C709" s="60" t="str">
        <f>'Level 1'!Y709</f>
        <v>Action</v>
      </c>
      <c r="D709" s="44" t="str">
        <f>VLOOKUP(C709,Table2[#All],3,FALSE)</f>
        <v>What we need from you/Reason</v>
      </c>
      <c r="E709" s="75" t="s">
        <v>199</v>
      </c>
      <c r="F709" s="96"/>
      <c r="G709" s="97"/>
    </row>
    <row r="710" spans="1:7" ht="21" x14ac:dyDescent="0.25">
      <c r="A710" s="43" t="str">
        <f>CONCATENATE("Pt Id:",'Level 1'!E710," ","Pt Name: ",'Level 1'!F710," ","DOS: ", TEXT('Level 1'!H710,"mm-dd-yyyy"),"  "," Amnt: ","$",'Level 1'!J710,"  ", 'Level 1'!N710)</f>
        <v>Pt Id:9279 Pt Name: Valle Teron , Luis  DOS: 03-25-2022   Amnt: $492  Note</v>
      </c>
      <c r="B710" s="43" t="str">
        <f>CONCATENATE("Detail: ",'Level 1'!N710,"  ",'Level 1'!O710,TEXT('Level 1'!P710,"  mm-dd-yyyy"),";"," ",'Level 1'!Q710,'Level 1'!R710,"  ",'Level 1'!T710," ","Payment "," ",'Level 1'!U710,"  ",'Level 1'!V710,"  ",'Level 1'!W710,"  ",'Level 1'!X710,"  ",'Level 1'!Z710, "  ",'Level 1'!AA710, " ","Insurance: ",'Level 1'!A710)</f>
        <v>Detail: Note  Q1  01-00-1900; Q2   Payment  Q4    Q5    Additional Notes:   Insurance: Forward Health</v>
      </c>
      <c r="C710" s="60" t="str">
        <f>'Level 1'!Y710</f>
        <v>Action</v>
      </c>
      <c r="D710" s="44" t="str">
        <f>VLOOKUP(C710,Table2[#All],3,FALSE)</f>
        <v>What we need from you/Reason</v>
      </c>
      <c r="E710" s="75" t="s">
        <v>199</v>
      </c>
      <c r="F710" s="96"/>
      <c r="G710" s="97"/>
    </row>
    <row r="711" spans="1:7" ht="42" x14ac:dyDescent="0.25">
      <c r="A711" s="43" t="str">
        <f>CONCATENATE("Pt Id:",'Level 1'!E711," ","Pt Name: ",'Level 1'!F711," ","DOS: ", TEXT('Level 1'!H711,"mm-dd-yyyy"),"  "," Amnt: ","$",'Level 1'!J711,"  ", 'Level 1'!N711)</f>
        <v>Pt Id:9261 Pt Name: Jacobsen , Makayla DOS: 03-16-2022   Amnt: $61.2  Note</v>
      </c>
      <c r="B711" s="43" t="str">
        <f>CONCATENATE("Detail: ",'Level 1'!N711,"  ",'Level 1'!O711,TEXT('Level 1'!P711,"  mm-dd-yyyy"),";"," ",'Level 1'!Q711,'Level 1'!R711,"  ",'Level 1'!T711," ","Payment "," ",'Level 1'!U711,"  ",'Level 1'!V711,"  ",'Level 1'!W711,"  ",'Level 1'!X711,"  ",'Level 1'!Z711, "  ",'Level 1'!AA711, " ","Insurance: ",'Level 1'!A711)</f>
        <v>Detail: Note  Q1  01-00-1900; Q2   Payment  Q4    Q5    Additional Notes:   Insurance: Forward Health</v>
      </c>
      <c r="C711" s="60" t="str">
        <f>'Level 1'!Y711</f>
        <v>Action</v>
      </c>
      <c r="D711" s="44" t="str">
        <f>VLOOKUP(C711,Table2[#All],3,FALSE)</f>
        <v>What we need from you/Reason</v>
      </c>
      <c r="E711" s="75" t="s">
        <v>199</v>
      </c>
      <c r="F711" s="96"/>
      <c r="G711" s="97"/>
    </row>
    <row r="712" spans="1:7" ht="21" x14ac:dyDescent="0.25">
      <c r="A712" s="43" t="str">
        <f>CONCATENATE("Pt Id:",'Level 1'!E712," ","Pt Name: ",'Level 1'!F712," ","DOS: ", TEXT('Level 1'!H712,"mm-dd-yyyy"),"  "," Amnt: ","$",'Level 1'!J712,"  ", 'Level 1'!N712)</f>
        <v>Pt Id:9340 Pt Name: Taylor , Natalie  DOS: 03-23-2022   Amnt: $186  Note</v>
      </c>
      <c r="B712" s="43" t="str">
        <f>CONCATENATE("Detail: ",'Level 1'!N712,"  ",'Level 1'!O712,TEXT('Level 1'!P712,"  mm-dd-yyyy"),";"," ",'Level 1'!Q712,'Level 1'!R712,"  ",'Level 1'!T712," ","Payment "," ",'Level 1'!U712,"  ",'Level 1'!V712,"  ",'Level 1'!W712,"  ",'Level 1'!X712,"  ",'Level 1'!Z712, "  ",'Level 1'!AA712, " ","Insurance: ",'Level 1'!A712)</f>
        <v>Detail: Note  Q1  01-00-1900; Q2   Payment  Q4    Q5    Additional Notes:   Insurance: Forward Health</v>
      </c>
      <c r="C712" s="60" t="str">
        <f>'Level 1'!Y712</f>
        <v>Action</v>
      </c>
      <c r="D712" s="44" t="str">
        <f>VLOOKUP(C712,Table2[#All],3,FALSE)</f>
        <v>What we need from you/Reason</v>
      </c>
      <c r="E712" s="75" t="s">
        <v>199</v>
      </c>
      <c r="F712" s="96"/>
      <c r="G712" s="97"/>
    </row>
    <row r="713" spans="1:7" ht="21" x14ac:dyDescent="0.25">
      <c r="A713" s="43" t="str">
        <f>CONCATENATE("Pt Id:",'Level 1'!E713," ","Pt Name: ",'Level 1'!F713," ","DOS: ", TEXT('Level 1'!H713,"mm-dd-yyyy"),"  "," Amnt: ","$",'Level 1'!J713,"  ", 'Level 1'!N713)</f>
        <v>Pt Id:9343 Pt Name: Porter, Tobarus DOS: 03-23-2022   Amnt: $88.8  Note</v>
      </c>
      <c r="B713" s="43" t="str">
        <f>CONCATENATE("Detail: ",'Level 1'!N713,"  ",'Level 1'!O713,TEXT('Level 1'!P713,"  mm-dd-yyyy"),";"," ",'Level 1'!Q713,'Level 1'!R713,"  ",'Level 1'!T713," ","Payment "," ",'Level 1'!U713,"  ",'Level 1'!V713,"  ",'Level 1'!W713,"  ",'Level 1'!X713,"  ",'Level 1'!Z713, "  ",'Level 1'!AA713, " ","Insurance: ",'Level 1'!A713)</f>
        <v>Detail: Note  Q1  01-00-1900; Q2   Payment  Q4    Q5    Additional Notes:   Insurance: Forward Health</v>
      </c>
      <c r="C713" s="60" t="str">
        <f>'Level 1'!Y713</f>
        <v>Action</v>
      </c>
      <c r="D713" s="44" t="str">
        <f>VLOOKUP(C713,Table2[#All],3,FALSE)</f>
        <v>What we need from you/Reason</v>
      </c>
      <c r="E713" s="75" t="s">
        <v>199</v>
      </c>
      <c r="F713" s="96"/>
      <c r="G713" s="97"/>
    </row>
    <row r="714" spans="1:7" ht="21" x14ac:dyDescent="0.25">
      <c r="A714" s="43" t="str">
        <f>CONCATENATE("Pt Id:",'Level 1'!E714," ","Pt Name: ",'Level 1'!F714," ","DOS: ", TEXT('Level 1'!H714,"mm-dd-yyyy"),"  "," Amnt: ","$",'Level 1'!J714,"  ", 'Level 1'!N714)</f>
        <v>Pt Id:9309 Pt Name: Tyler, Aria DOS: 03-23-2022   Amnt: $432  Note</v>
      </c>
      <c r="B714" s="43" t="str">
        <f>CONCATENATE("Detail: ",'Level 1'!N714,"  ",'Level 1'!O714,TEXT('Level 1'!P714,"  mm-dd-yyyy"),";"," ",'Level 1'!Q714,'Level 1'!R714,"  ",'Level 1'!T714," ","Payment "," ",'Level 1'!U714,"  ",'Level 1'!V714,"  ",'Level 1'!W714,"  ",'Level 1'!X714,"  ",'Level 1'!Z714, "  ",'Level 1'!AA714, " ","Insurance: ",'Level 1'!A714)</f>
        <v>Detail: Note  Q1  01-00-1900; Q2   Payment  Q4    Q5    Additional Notes:   Insurance: Forward Health</v>
      </c>
      <c r="C714" s="60" t="str">
        <f>'Level 1'!Y714</f>
        <v>Action</v>
      </c>
      <c r="D714" s="44" t="str">
        <f>VLOOKUP(C714,Table2[#All],3,FALSE)</f>
        <v>What we need from you/Reason</v>
      </c>
      <c r="E714" s="75" t="s">
        <v>199</v>
      </c>
      <c r="F714" s="96"/>
      <c r="G714" s="97"/>
    </row>
    <row r="715" spans="1:7" ht="21" x14ac:dyDescent="0.25">
      <c r="A715" s="43" t="str">
        <f>CONCATENATE("Pt Id:",'Level 1'!E715," ","Pt Name: ",'Level 1'!F715," ","DOS: ", TEXT('Level 1'!H715,"mm-dd-yyyy"),"  "," Amnt: ","$",'Level 1'!J715,"  ", 'Level 1'!N715)</f>
        <v>Pt Id:9308 Pt Name: Taylor , Adrian  DOS: 03-23-2022   Amnt: $708  Note</v>
      </c>
      <c r="B715" s="43" t="str">
        <f>CONCATENATE("Detail: ",'Level 1'!N715,"  ",'Level 1'!O715,TEXT('Level 1'!P715,"  mm-dd-yyyy"),";"," ",'Level 1'!Q715,'Level 1'!R715,"  ",'Level 1'!T715," ","Payment "," ",'Level 1'!U715,"  ",'Level 1'!V715,"  ",'Level 1'!W715,"  ",'Level 1'!X715,"  ",'Level 1'!Z715, "  ",'Level 1'!AA715, " ","Insurance: ",'Level 1'!A715)</f>
        <v>Detail: Note  Q1  01-00-1900; Q2   Payment  Q4    Q5    Additional Notes:   Insurance: Forward Health</v>
      </c>
      <c r="C715" s="60" t="str">
        <f>'Level 1'!Y715</f>
        <v>Action</v>
      </c>
      <c r="D715" s="44" t="str">
        <f>VLOOKUP(C715,Table2[#All],3,FALSE)</f>
        <v>What we need from you/Reason</v>
      </c>
      <c r="E715" s="75" t="s">
        <v>199</v>
      </c>
      <c r="F715" s="96"/>
      <c r="G715" s="97"/>
    </row>
    <row r="716" spans="1:7" ht="21" x14ac:dyDescent="0.25">
      <c r="A716" s="43" t="str">
        <f>CONCATENATE("Pt Id:",'Level 1'!E716," ","Pt Name: ",'Level 1'!F716," ","DOS: ", TEXT('Level 1'!H716,"mm-dd-yyyy"),"  "," Amnt: ","$",'Level 1'!J716,"  ", 'Level 1'!N716)</f>
        <v>Pt Id:9121 Pt Name: Ahrens , Carrie  DOS: 03-22-2022   Amnt: $116.4  Note</v>
      </c>
      <c r="B716" s="43" t="str">
        <f>CONCATENATE("Detail: ",'Level 1'!N716,"  ",'Level 1'!O716,TEXT('Level 1'!P716,"  mm-dd-yyyy"),";"," ",'Level 1'!Q716,'Level 1'!R716,"  ",'Level 1'!T716," ","Payment "," ",'Level 1'!U716,"  ",'Level 1'!V716,"  ",'Level 1'!W716,"  ",'Level 1'!X716,"  ",'Level 1'!Z716, "  ",'Level 1'!AA716, " ","Insurance: ",'Level 1'!A716)</f>
        <v>Detail: Note  Q1  01-00-1900; Q2   Payment  Q4    Q5    Additional Notes:   Insurance: Forward Health</v>
      </c>
      <c r="C716" s="60" t="str">
        <f>'Level 1'!Y716</f>
        <v>Action</v>
      </c>
      <c r="D716" s="44" t="str">
        <f>VLOOKUP(C716,Table2[#All],3,FALSE)</f>
        <v>What we need from you/Reason</v>
      </c>
      <c r="E716" s="75" t="s">
        <v>199</v>
      </c>
      <c r="F716" s="96"/>
      <c r="G716" s="97"/>
    </row>
    <row r="717" spans="1:7" ht="21" x14ac:dyDescent="0.25">
      <c r="A717" s="43" t="str">
        <f>CONCATENATE("Pt Id:",'Level 1'!E717," ","Pt Name: ",'Level 1'!F717," ","DOS: ", TEXT('Level 1'!H717,"mm-dd-yyyy"),"  "," Amnt: ","$",'Level 1'!J717,"  ", 'Level 1'!N717)</f>
        <v>Pt Id:7045 Pt Name: Lopez, Linda DOS: 03-22-2022   Amnt: $727.2  Note</v>
      </c>
      <c r="B717" s="43" t="str">
        <f>CONCATENATE("Detail: ",'Level 1'!N717,"  ",'Level 1'!O717,TEXT('Level 1'!P717,"  mm-dd-yyyy"),";"," ",'Level 1'!Q717,'Level 1'!R717,"  ",'Level 1'!T717," ","Payment "," ",'Level 1'!U717,"  ",'Level 1'!V717,"  ",'Level 1'!W717,"  ",'Level 1'!X717,"  ",'Level 1'!Z717, "  ",'Level 1'!AA717, " ","Insurance: ",'Level 1'!A717)</f>
        <v>Detail: Note  Q1  01-00-1900; Q2   Payment  Q4    Q5    Additional Notes:   Insurance: Forward Health</v>
      </c>
      <c r="C717" s="60" t="str">
        <f>'Level 1'!Y717</f>
        <v>Action</v>
      </c>
      <c r="D717" s="44" t="str">
        <f>VLOOKUP(C717,Table2[#All],3,FALSE)</f>
        <v>What we need from you/Reason</v>
      </c>
      <c r="E717" s="75" t="s">
        <v>199</v>
      </c>
      <c r="F717" s="96"/>
      <c r="G717" s="97"/>
    </row>
    <row r="718" spans="1:7" ht="21" x14ac:dyDescent="0.25">
      <c r="A718" s="43" t="str">
        <f>CONCATENATE("Pt Id:",'Level 1'!E718," ","Pt Name: ",'Level 1'!F718," ","DOS: ", TEXT('Level 1'!H718,"mm-dd-yyyy"),"  "," Amnt: ","$",'Level 1'!J718,"  ", 'Level 1'!N718)</f>
        <v>Pt Id:8959 Pt Name: Mobley , Rosie  DOS: 03-22-2022   Amnt: $138  Note</v>
      </c>
      <c r="B718" s="43" t="str">
        <f>CONCATENATE("Detail: ",'Level 1'!N718,"  ",'Level 1'!O718,TEXT('Level 1'!P718,"  mm-dd-yyyy"),";"," ",'Level 1'!Q718,'Level 1'!R718,"  ",'Level 1'!T718," ","Payment "," ",'Level 1'!U718,"  ",'Level 1'!V718,"  ",'Level 1'!W718,"  ",'Level 1'!X718,"  ",'Level 1'!Z718, "  ",'Level 1'!AA718, " ","Insurance: ",'Level 1'!A718)</f>
        <v>Detail: Note  Q1  01-00-1900; Q2   Payment  Q4    Q5    Additional Notes:   Insurance: Forward Health</v>
      </c>
      <c r="C718" s="60" t="str">
        <f>'Level 1'!Y718</f>
        <v>Action</v>
      </c>
      <c r="D718" s="44" t="str">
        <f>VLOOKUP(C718,Table2[#All],3,FALSE)</f>
        <v>What we need from you/Reason</v>
      </c>
      <c r="E718" s="75" t="s">
        <v>199</v>
      </c>
      <c r="F718" s="96"/>
      <c r="G718" s="97"/>
    </row>
    <row r="719" spans="1:7" ht="42" x14ac:dyDescent="0.25">
      <c r="A719" s="43" t="str">
        <f>CONCATENATE("Pt Id:",'Level 1'!E719," ","Pt Name: ",'Level 1'!F719," ","DOS: ", TEXT('Level 1'!H719,"mm-dd-yyyy"),"  "," Amnt: ","$",'Level 1'!J719,"  ", 'Level 1'!N719)</f>
        <v>Pt Id:9277 Pt Name: Abdul Majid , Abdulrashi DOS: 03-22-2022   Amnt: $276  Note</v>
      </c>
      <c r="B719" s="43" t="str">
        <f>CONCATENATE("Detail: ",'Level 1'!N719,"  ",'Level 1'!O719,TEXT('Level 1'!P719,"  mm-dd-yyyy"),";"," ",'Level 1'!Q719,'Level 1'!R719,"  ",'Level 1'!T719," ","Payment "," ",'Level 1'!U719,"  ",'Level 1'!V719,"  ",'Level 1'!W719,"  ",'Level 1'!X719,"  ",'Level 1'!Z719, "  ",'Level 1'!AA719, " ","Insurance: ",'Level 1'!A719)</f>
        <v>Detail: Note  Q1  01-00-1900; Q2   Payment  Q4    Q5    Additional Notes:   Insurance: Forward Health</v>
      </c>
      <c r="C719" s="60" t="str">
        <f>'Level 1'!Y719</f>
        <v>Action</v>
      </c>
      <c r="D719" s="44" t="str">
        <f>VLOOKUP(C719,Table2[#All],3,FALSE)</f>
        <v>What we need from you/Reason</v>
      </c>
      <c r="E719" s="75" t="s">
        <v>199</v>
      </c>
      <c r="F719" s="96"/>
      <c r="G719" s="97"/>
    </row>
    <row r="720" spans="1:7" ht="21" x14ac:dyDescent="0.25">
      <c r="A720" s="43" t="str">
        <f>CONCATENATE("Pt Id:",'Level 1'!E720," ","Pt Name: ",'Level 1'!F720," ","DOS: ", TEXT('Level 1'!H720,"mm-dd-yyyy"),"  "," Amnt: ","$",'Level 1'!J720,"  ", 'Level 1'!N720)</f>
        <v>Pt Id:9321 Pt Name: Dhami, Usha DOS: 03-22-2022   Amnt: $302.4  Note</v>
      </c>
      <c r="B720" s="43" t="str">
        <f>CONCATENATE("Detail: ",'Level 1'!N720,"  ",'Level 1'!O720,TEXT('Level 1'!P720,"  mm-dd-yyyy"),";"," ",'Level 1'!Q720,'Level 1'!R720,"  ",'Level 1'!T720," ","Payment "," ",'Level 1'!U720,"  ",'Level 1'!V720,"  ",'Level 1'!W720,"  ",'Level 1'!X720,"  ",'Level 1'!Z720, "  ",'Level 1'!AA720, " ","Insurance: ",'Level 1'!A720)</f>
        <v>Detail: Note  Q1  01-00-1900; Q2   Payment  Q4    Q5    Additional Notes:   Insurance: Forward Health</v>
      </c>
      <c r="C720" s="60" t="str">
        <f>'Level 1'!Y720</f>
        <v>Action</v>
      </c>
      <c r="D720" s="44" t="str">
        <f>VLOOKUP(C720,Table2[#All],3,FALSE)</f>
        <v>What we need from you/Reason</v>
      </c>
      <c r="E720" s="75" t="s">
        <v>199</v>
      </c>
      <c r="F720" s="96"/>
      <c r="G720" s="97"/>
    </row>
    <row r="721" spans="1:7" ht="21" x14ac:dyDescent="0.25">
      <c r="A721" s="43" t="str">
        <f>CONCATENATE("Pt Id:",'Level 1'!E721," ","Pt Name: ",'Level 1'!F721," ","DOS: ", TEXT('Level 1'!H721,"mm-dd-yyyy"),"  "," Amnt: ","$",'Level 1'!J721,"  ", 'Level 1'!N721)</f>
        <v>Pt Id:2288 Pt Name: Haupt , Breanna DOS: 03-22-2022   Amnt: $986  Note</v>
      </c>
      <c r="B721" s="43" t="str">
        <f>CONCATENATE("Detail: ",'Level 1'!N721,"  ",'Level 1'!O721,TEXT('Level 1'!P721,"  mm-dd-yyyy"),";"," ",'Level 1'!Q721,'Level 1'!R721,"  ",'Level 1'!T721," ","Payment "," ",'Level 1'!U721,"  ",'Level 1'!V721,"  ",'Level 1'!W721,"  ",'Level 1'!X721,"  ",'Level 1'!Z721, "  ",'Level 1'!AA721, " ","Insurance: ",'Level 1'!A721)</f>
        <v>Detail: Note  Q1  01-00-1900; Q2   Payment  Q4    Q5    Additional Notes:   Insurance: Forward Health</v>
      </c>
      <c r="C721" s="60" t="str">
        <f>'Level 1'!Y721</f>
        <v>Action</v>
      </c>
      <c r="D721" s="44" t="str">
        <f>VLOOKUP(C721,Table2[#All],3,FALSE)</f>
        <v>What we need from you/Reason</v>
      </c>
      <c r="E721" s="75" t="s">
        <v>199</v>
      </c>
      <c r="F721" s="96"/>
      <c r="G721" s="97"/>
    </row>
    <row r="722" spans="1:7" ht="21" x14ac:dyDescent="0.25">
      <c r="A722" s="43" t="str">
        <f>CONCATENATE("Pt Id:",'Level 1'!E722," ","Pt Name: ",'Level 1'!F722," ","DOS: ", TEXT('Level 1'!H722,"mm-dd-yyyy"),"  "," Amnt: ","$",'Level 1'!J722,"  ", 'Level 1'!N722)</f>
        <v>Pt Id:7974 Pt Name: Nevius, Logan DOS: 03-22-2022   Amnt: $227.6  Note</v>
      </c>
      <c r="B722" s="43" t="str">
        <f>CONCATENATE("Detail: ",'Level 1'!N722,"  ",'Level 1'!O722,TEXT('Level 1'!P722,"  mm-dd-yyyy"),";"," ",'Level 1'!Q722,'Level 1'!R722,"  ",'Level 1'!T722," ","Payment "," ",'Level 1'!U722,"  ",'Level 1'!V722,"  ",'Level 1'!W722,"  ",'Level 1'!X722,"  ",'Level 1'!Z722, "  ",'Level 1'!AA722, " ","Insurance: ",'Level 1'!A722)</f>
        <v>Detail: Note  Q1  01-00-1900; Q2   Payment  Q4    Q5    Additional Notes:   Insurance: Forward Health</v>
      </c>
      <c r="C722" s="60" t="str">
        <f>'Level 1'!Y722</f>
        <v>Action</v>
      </c>
      <c r="D722" s="44" t="str">
        <f>VLOOKUP(C722,Table2[#All],3,FALSE)</f>
        <v>What we need from you/Reason</v>
      </c>
      <c r="E722" s="75" t="s">
        <v>199</v>
      </c>
      <c r="F722" s="96"/>
      <c r="G722" s="97"/>
    </row>
    <row r="723" spans="1:7" ht="21" x14ac:dyDescent="0.25">
      <c r="A723" s="43" t="str">
        <f>CONCATENATE("Pt Id:",'Level 1'!E723," ","Pt Name: ",'Level 1'!F723," ","DOS: ", TEXT('Level 1'!H723,"mm-dd-yyyy"),"  "," Amnt: ","$",'Level 1'!J723,"  ", 'Level 1'!N723)</f>
        <v>Pt Id:9317 Pt Name: Griffin , Jade DOS: 03-22-2022   Amnt: $428.4  Note</v>
      </c>
      <c r="B723" s="43" t="str">
        <f>CONCATENATE("Detail: ",'Level 1'!N723,"  ",'Level 1'!O723,TEXT('Level 1'!P723,"  mm-dd-yyyy"),";"," ",'Level 1'!Q723,'Level 1'!R723,"  ",'Level 1'!T723," ","Payment "," ",'Level 1'!U723,"  ",'Level 1'!V723,"  ",'Level 1'!W723,"  ",'Level 1'!X723,"  ",'Level 1'!Z723, "  ",'Level 1'!AA723, " ","Insurance: ",'Level 1'!A723)</f>
        <v>Detail: Note  Q1  01-00-1900; Q2   Payment  Q4    Q5    Additional Notes:   Insurance: Forward Health</v>
      </c>
      <c r="C723" s="60" t="str">
        <f>'Level 1'!Y723</f>
        <v>Action</v>
      </c>
      <c r="D723" s="44" t="str">
        <f>VLOOKUP(C723,Table2[#All],3,FALSE)</f>
        <v>What we need from you/Reason</v>
      </c>
      <c r="E723" s="75" t="s">
        <v>199</v>
      </c>
      <c r="F723" s="96"/>
      <c r="G723" s="97"/>
    </row>
    <row r="724" spans="1:7" ht="21" x14ac:dyDescent="0.25">
      <c r="A724" s="43" t="str">
        <f>CONCATENATE("Pt Id:",'Level 1'!E724," ","Pt Name: ",'Level 1'!F724," ","DOS: ", TEXT('Level 1'!H724,"mm-dd-yyyy"),"  "," Amnt: ","$",'Level 1'!J724,"  ", 'Level 1'!N724)</f>
        <v>Pt Id:8563 Pt Name: Flores, Raul  DOS: 03-21-2022   Amnt: $480  Note</v>
      </c>
      <c r="B724" s="43" t="str">
        <f>CONCATENATE("Detail: ",'Level 1'!N724,"  ",'Level 1'!O724,TEXT('Level 1'!P724,"  mm-dd-yyyy"),";"," ",'Level 1'!Q724,'Level 1'!R724,"  ",'Level 1'!T724," ","Payment "," ",'Level 1'!U724,"  ",'Level 1'!V724,"  ",'Level 1'!W724,"  ",'Level 1'!X724,"  ",'Level 1'!Z724, "  ",'Level 1'!AA724, " ","Insurance: ",'Level 1'!A724)</f>
        <v>Detail: Note  Q1  01-00-1900; Q2   Payment  Q4    Q5    Additional Notes:   Insurance: Forward Health</v>
      </c>
      <c r="C724" s="60" t="str">
        <f>'Level 1'!Y724</f>
        <v>Action</v>
      </c>
      <c r="D724" s="44" t="str">
        <f>VLOOKUP(C724,Table2[#All],3,FALSE)</f>
        <v>What we need from you/Reason</v>
      </c>
      <c r="E724" s="75" t="s">
        <v>199</v>
      </c>
      <c r="F724" s="96"/>
      <c r="G724" s="97"/>
    </row>
    <row r="725" spans="1:7" ht="21" x14ac:dyDescent="0.25">
      <c r="A725" s="43" t="str">
        <f>CONCATENATE("Pt Id:",'Level 1'!E725," ","Pt Name: ",'Level 1'!F725," ","DOS: ", TEXT('Level 1'!H725,"mm-dd-yyyy"),"  "," Amnt: ","$",'Level 1'!J725,"  ", 'Level 1'!N725)</f>
        <v>Pt Id:9309 Pt Name: Tyler, Aria DOS: 03-21-2022   Amnt: $354.8  Note</v>
      </c>
      <c r="B725" s="43" t="str">
        <f>CONCATENATE("Detail: ",'Level 1'!N725,"  ",'Level 1'!O725,TEXT('Level 1'!P725,"  mm-dd-yyyy"),";"," ",'Level 1'!Q725,'Level 1'!R725,"  ",'Level 1'!T725," ","Payment "," ",'Level 1'!U725,"  ",'Level 1'!V725,"  ",'Level 1'!W725,"  ",'Level 1'!X725,"  ",'Level 1'!Z725, "  ",'Level 1'!AA725, " ","Insurance: ",'Level 1'!A725)</f>
        <v>Detail: Note  Q1  01-00-1900; Q2   Payment  Q4    Q5    Additional Notes:   Insurance: Forward Health</v>
      </c>
      <c r="C725" s="60" t="str">
        <f>'Level 1'!Y725</f>
        <v>Action</v>
      </c>
      <c r="D725" s="44" t="str">
        <f>VLOOKUP(C725,Table2[#All],3,FALSE)</f>
        <v>What we need from you/Reason</v>
      </c>
      <c r="E725" s="75" t="s">
        <v>199</v>
      </c>
      <c r="F725" s="96"/>
      <c r="G725" s="97"/>
    </row>
    <row r="726" spans="1:7" ht="21" x14ac:dyDescent="0.25">
      <c r="A726" s="43" t="str">
        <f>CONCATENATE("Pt Id:",'Level 1'!E726," ","Pt Name: ",'Level 1'!F726," ","DOS: ", TEXT('Level 1'!H726,"mm-dd-yyyy"),"  "," Amnt: ","$",'Level 1'!J726,"  ", 'Level 1'!N726)</f>
        <v>Pt Id:9308 Pt Name: Taylor , Adrian  DOS: 03-21-2022   Amnt: $256.4  Note</v>
      </c>
      <c r="B726" s="43" t="str">
        <f>CONCATENATE("Detail: ",'Level 1'!N726,"  ",'Level 1'!O726,TEXT('Level 1'!P726,"  mm-dd-yyyy"),";"," ",'Level 1'!Q726,'Level 1'!R726,"  ",'Level 1'!T726," ","Payment "," ",'Level 1'!U726,"  ",'Level 1'!V726,"  ",'Level 1'!W726,"  ",'Level 1'!X726,"  ",'Level 1'!Z726, "  ",'Level 1'!AA726, " ","Insurance: ",'Level 1'!A726)</f>
        <v>Detail: Note  Q1  01-00-1900; Q2   Payment  Q4    Q5    Additional Notes:   Insurance: Forward Health</v>
      </c>
      <c r="C726" s="60" t="str">
        <f>'Level 1'!Y726</f>
        <v>Action</v>
      </c>
      <c r="D726" s="44" t="str">
        <f>VLOOKUP(C726,Table2[#All],3,FALSE)</f>
        <v>What we need from you/Reason</v>
      </c>
      <c r="E726" s="75" t="s">
        <v>199</v>
      </c>
      <c r="F726" s="96"/>
      <c r="G726" s="97"/>
    </row>
    <row r="727" spans="1:7" ht="42" x14ac:dyDescent="0.25">
      <c r="A727" s="43" t="str">
        <f>CONCATENATE("Pt Id:",'Level 1'!E727," ","Pt Name: ",'Level 1'!F727," ","DOS: ", TEXT('Level 1'!H727,"mm-dd-yyyy"),"  "," Amnt: ","$",'Level 1'!J727,"  ", 'Level 1'!N727)</f>
        <v>Pt Id:6013 Pt Name: GUZMAN, KEELY  DOS: 03-19-2022   Amnt: $226.8  Note</v>
      </c>
      <c r="B727" s="43" t="str">
        <f>CONCATENATE("Detail: ",'Level 1'!N727,"  ",'Level 1'!O727,TEXT('Level 1'!P727,"  mm-dd-yyyy"),";"," ",'Level 1'!Q727,'Level 1'!R727,"  ",'Level 1'!T727," ","Payment "," ",'Level 1'!U727,"  ",'Level 1'!V727,"  ",'Level 1'!W727,"  ",'Level 1'!X727,"  ",'Level 1'!Z727, "  ",'Level 1'!AA727, " ","Insurance: ",'Level 1'!A727)</f>
        <v>Detail: Note  Q1  01-00-1900; Q2   Payment  Q4    Q5    Additional Notes:   Insurance: Forward Health</v>
      </c>
      <c r="C727" s="60" t="str">
        <f>'Level 1'!Y727</f>
        <v>Action</v>
      </c>
      <c r="D727" s="44" t="str">
        <f>VLOOKUP(C727,Table2[#All],3,FALSE)</f>
        <v>What we need from you/Reason</v>
      </c>
      <c r="E727" s="75" t="s">
        <v>199</v>
      </c>
      <c r="F727" s="96"/>
      <c r="G727" s="97"/>
    </row>
    <row r="728" spans="1:7" ht="42" x14ac:dyDescent="0.25">
      <c r="A728" s="43" t="str">
        <f>CONCATENATE("Pt Id:",'Level 1'!E728," ","Pt Name: ",'Level 1'!F728," ","DOS: ", TEXT('Level 1'!H728,"mm-dd-yyyy"),"  "," Amnt: ","$",'Level 1'!J728,"  ", 'Level 1'!N728)</f>
        <v>Pt Id:4447 Pt Name: BROWN , MYRON  DOS: 03-19-2022   Amnt: $149.6  Note</v>
      </c>
      <c r="B728" s="43" t="str">
        <f>CONCATENATE("Detail: ",'Level 1'!N728,"  ",'Level 1'!O728,TEXT('Level 1'!P728,"  mm-dd-yyyy"),";"," ",'Level 1'!Q728,'Level 1'!R728,"  ",'Level 1'!T728," ","Payment "," ",'Level 1'!U728,"  ",'Level 1'!V728,"  ",'Level 1'!W728,"  ",'Level 1'!X728,"  ",'Level 1'!Z728, "  ",'Level 1'!AA728, " ","Insurance: ",'Level 1'!A728)</f>
        <v>Detail: Note  Q1  01-00-1900; Q2   Payment  Q4    Q5    Additional Notes:   Insurance: Forward Health</v>
      </c>
      <c r="C728" s="60" t="str">
        <f>'Level 1'!Y728</f>
        <v>Action</v>
      </c>
      <c r="D728" s="44" t="str">
        <f>VLOOKUP(C728,Table2[#All],3,FALSE)</f>
        <v>What we need from you/Reason</v>
      </c>
      <c r="E728" s="75" t="s">
        <v>199</v>
      </c>
      <c r="F728" s="96"/>
      <c r="G728" s="97"/>
    </row>
    <row r="729" spans="1:7" ht="42" x14ac:dyDescent="0.25">
      <c r="A729" s="43" t="str">
        <f>CONCATENATE("Pt Id:",'Level 1'!E729," ","Pt Name: ",'Level 1'!F729," ","DOS: ", TEXT('Level 1'!H729,"mm-dd-yyyy"),"  "," Amnt: ","$",'Level 1'!J729,"  ", 'Level 1'!N729)</f>
        <v>Pt Id:1196 Pt Name: Lopez Ramirez, Evelyn DOS: 03-18-2022   Amnt: $466.8  Note</v>
      </c>
      <c r="B729" s="43" t="str">
        <f>CONCATENATE("Detail: ",'Level 1'!N729,"  ",'Level 1'!O729,TEXT('Level 1'!P729,"  mm-dd-yyyy"),";"," ",'Level 1'!Q729,'Level 1'!R729,"  ",'Level 1'!T729," ","Payment "," ",'Level 1'!U729,"  ",'Level 1'!V729,"  ",'Level 1'!W729,"  ",'Level 1'!X729,"  ",'Level 1'!Z729, "  ",'Level 1'!AA729, " ","Insurance: ",'Level 1'!A729)</f>
        <v>Detail: Note  Q1  01-00-1900; Q2   Payment  Q4    Q5    Additional Notes:   Insurance: Forward Health</v>
      </c>
      <c r="C729" s="60" t="str">
        <f>'Level 1'!Y729</f>
        <v>Action</v>
      </c>
      <c r="D729" s="44" t="str">
        <f>VLOOKUP(C729,Table2[#All],3,FALSE)</f>
        <v>What we need from you/Reason</v>
      </c>
      <c r="E729" s="75" t="s">
        <v>199</v>
      </c>
      <c r="F729" s="96"/>
      <c r="G729" s="97"/>
    </row>
    <row r="730" spans="1:7" ht="21" x14ac:dyDescent="0.25">
      <c r="A730" s="43" t="str">
        <f>CONCATENATE("Pt Id:",'Level 1'!E730," ","Pt Name: ",'Level 1'!F730," ","DOS: ", TEXT('Level 1'!H730,"mm-dd-yyyy"),"  "," Amnt: ","$",'Level 1'!J730,"  ", 'Level 1'!N730)</f>
        <v>Pt Id:2235 Pt Name: Wooden, Shana  DOS: 03-18-2022   Amnt: $266  Note</v>
      </c>
      <c r="B730" s="43" t="str">
        <f>CONCATENATE("Detail: ",'Level 1'!N730,"  ",'Level 1'!O730,TEXT('Level 1'!P730,"  mm-dd-yyyy"),";"," ",'Level 1'!Q730,'Level 1'!R730,"  ",'Level 1'!T730," ","Payment "," ",'Level 1'!U730,"  ",'Level 1'!V730,"  ",'Level 1'!W730,"  ",'Level 1'!X730,"  ",'Level 1'!Z730, "  ",'Level 1'!AA730, " ","Insurance: ",'Level 1'!A730)</f>
        <v>Detail: Note  Q1  01-00-1900; Q2   Payment  Q4    Q5    Additional Notes:   Insurance: Forward Health</v>
      </c>
      <c r="C730" s="60" t="str">
        <f>'Level 1'!Y730</f>
        <v>Action</v>
      </c>
      <c r="D730" s="44" t="str">
        <f>VLOOKUP(C730,Table2[#All],3,FALSE)</f>
        <v>What we need from you/Reason</v>
      </c>
      <c r="E730" s="75" t="s">
        <v>199</v>
      </c>
      <c r="F730" s="96"/>
      <c r="G730" s="97"/>
    </row>
    <row r="731" spans="1:7" ht="21" x14ac:dyDescent="0.25">
      <c r="A731" s="43" t="str">
        <f>CONCATENATE("Pt Id:",'Level 1'!E731," ","Pt Name: ",'Level 1'!F731," ","DOS: ", TEXT('Level 1'!H731,"mm-dd-yyyy"),"  "," Amnt: ","$",'Level 1'!J731,"  ", 'Level 1'!N731)</f>
        <v>Pt Id:962 Pt Name: Taborn, Tashima DOS: 03-18-2022   Amnt: $61.2  Note</v>
      </c>
      <c r="B731" s="43" t="str">
        <f>CONCATENATE("Detail: ",'Level 1'!N731,"  ",'Level 1'!O731,TEXT('Level 1'!P731,"  mm-dd-yyyy"),";"," ",'Level 1'!Q731,'Level 1'!R731,"  ",'Level 1'!T731," ","Payment "," ",'Level 1'!U731,"  ",'Level 1'!V731,"  ",'Level 1'!W731,"  ",'Level 1'!X731,"  ",'Level 1'!Z731, "  ",'Level 1'!AA731, " ","Insurance: ",'Level 1'!A731)</f>
        <v>Detail: Note  Q1  01-00-1900; Q2   Payment  Q4    Q5    Additional Notes:   Insurance: Forward Health</v>
      </c>
      <c r="C731" s="60" t="str">
        <f>'Level 1'!Y731</f>
        <v>Action</v>
      </c>
      <c r="D731" s="44" t="str">
        <f>VLOOKUP(C731,Table2[#All],3,FALSE)</f>
        <v>What we need from you/Reason</v>
      </c>
      <c r="E731" s="75" t="s">
        <v>199</v>
      </c>
      <c r="F731" s="96"/>
      <c r="G731" s="97"/>
    </row>
    <row r="732" spans="1:7" ht="21" x14ac:dyDescent="0.25">
      <c r="A732" s="43" t="str">
        <f>CONCATENATE("Pt Id:",'Level 1'!E732," ","Pt Name: ",'Level 1'!F732," ","DOS: ", TEXT('Level 1'!H732,"mm-dd-yyyy"),"  "," Amnt: ","$",'Level 1'!J732,"  ", 'Level 1'!N732)</f>
        <v>Pt Id:9158 Pt Name: Fleming , Glenn DOS: 03-17-2022   Amnt: $1058.4  Note</v>
      </c>
      <c r="B732" s="43" t="str">
        <f>CONCATENATE("Detail: ",'Level 1'!N732,"  ",'Level 1'!O732,TEXT('Level 1'!P732,"  mm-dd-yyyy"),";"," ",'Level 1'!Q732,'Level 1'!R732,"  ",'Level 1'!T732," ","Payment "," ",'Level 1'!U732,"  ",'Level 1'!V732,"  ",'Level 1'!W732,"  ",'Level 1'!X732,"  ",'Level 1'!Z732, "  ",'Level 1'!AA732, " ","Insurance: ",'Level 1'!A732)</f>
        <v>Detail: Note  Q1  01-00-1900; Q2   Payment  Q4    Q5    Additional Notes:   Insurance: Forward Health</v>
      </c>
      <c r="C732" s="60" t="str">
        <f>'Level 1'!Y732</f>
        <v>Action</v>
      </c>
      <c r="D732" s="44" t="str">
        <f>VLOOKUP(C732,Table2[#All],3,FALSE)</f>
        <v>What we need from you/Reason</v>
      </c>
      <c r="E732" s="75" t="s">
        <v>199</v>
      </c>
      <c r="F732" s="96"/>
      <c r="G732" s="97"/>
    </row>
    <row r="733" spans="1:7" ht="21" x14ac:dyDescent="0.25">
      <c r="A733" s="43" t="str">
        <f>CONCATENATE("Pt Id:",'Level 1'!E733," ","Pt Name: ",'Level 1'!F733," ","DOS: ", TEXT('Level 1'!H733,"mm-dd-yyyy"),"  "," Amnt: ","$",'Level 1'!J733,"  ", 'Level 1'!N733)</f>
        <v>Pt Id:9133 Pt Name: Garcia , Qjorge DOS: 03-17-2022   Amnt: $162  Note</v>
      </c>
      <c r="B733" s="43" t="str">
        <f>CONCATENATE("Detail: ",'Level 1'!N733,"  ",'Level 1'!O733,TEXT('Level 1'!P733,"  mm-dd-yyyy"),";"," ",'Level 1'!Q733,'Level 1'!R733,"  ",'Level 1'!T733," ","Payment "," ",'Level 1'!U733,"  ",'Level 1'!V733,"  ",'Level 1'!W733,"  ",'Level 1'!X733,"  ",'Level 1'!Z733, "  ",'Level 1'!AA733, " ","Insurance: ",'Level 1'!A733)</f>
        <v>Detail: Note  Q1  01-00-1900; Q2   Payment  Q4    Q5    Additional Notes:   Insurance: Forward Health</v>
      </c>
      <c r="C733" s="60" t="str">
        <f>'Level 1'!Y733</f>
        <v>Action</v>
      </c>
      <c r="D733" s="44" t="str">
        <f>VLOOKUP(C733,Table2[#All],3,FALSE)</f>
        <v>What we need from you/Reason</v>
      </c>
      <c r="E733" s="75" t="s">
        <v>199</v>
      </c>
      <c r="F733" s="96"/>
      <c r="G733" s="97"/>
    </row>
    <row r="734" spans="1:7" ht="21" x14ac:dyDescent="0.25">
      <c r="A734" s="43" t="str">
        <f>CONCATENATE("Pt Id:",'Level 1'!E734," ","Pt Name: ",'Level 1'!F734," ","DOS: ", TEXT('Level 1'!H734,"mm-dd-yyyy"),"  "," Amnt: ","$",'Level 1'!J734,"  ", 'Level 1'!N734)</f>
        <v>Pt Id:9246 Pt Name: Win, Khin DOS: 03-17-2022   Amnt: $186  Note</v>
      </c>
      <c r="B734" s="43" t="str">
        <f>CONCATENATE("Detail: ",'Level 1'!N734,"  ",'Level 1'!O734,TEXT('Level 1'!P734,"  mm-dd-yyyy"),";"," ",'Level 1'!Q734,'Level 1'!R734,"  ",'Level 1'!T734," ","Payment "," ",'Level 1'!U734,"  ",'Level 1'!V734,"  ",'Level 1'!W734,"  ",'Level 1'!X734,"  ",'Level 1'!Z734, "  ",'Level 1'!AA734, " ","Insurance: ",'Level 1'!A734)</f>
        <v>Detail: Note  Q1  01-00-1900; Q2   Payment  Q4    Q5    Additional Notes:   Insurance: Forward Health</v>
      </c>
      <c r="C734" s="60" t="str">
        <f>'Level 1'!Y734</f>
        <v>Action</v>
      </c>
      <c r="D734" s="44" t="str">
        <f>VLOOKUP(C734,Table2[#All],3,FALSE)</f>
        <v>What we need from you/Reason</v>
      </c>
      <c r="E734" s="75" t="s">
        <v>199</v>
      </c>
      <c r="F734" s="96"/>
      <c r="G734" s="97"/>
    </row>
    <row r="735" spans="1:7" ht="42" x14ac:dyDescent="0.25">
      <c r="A735" s="43" t="str">
        <f>CONCATENATE("Pt Id:",'Level 1'!E735," ","Pt Name: ",'Level 1'!F735," ","DOS: ", TEXT('Level 1'!H735,"mm-dd-yyyy"),"  "," Amnt: ","$",'Level 1'!J735,"  ", 'Level 1'!N735)</f>
        <v>Pt Id:9095 Pt Name: Morales Rivera , Yomary DOS: 03-16-2022   Amnt: $960  Note</v>
      </c>
      <c r="B735" s="43" t="str">
        <f>CONCATENATE("Detail: ",'Level 1'!N735,"  ",'Level 1'!O735,TEXT('Level 1'!P735,"  mm-dd-yyyy"),";"," ",'Level 1'!Q735,'Level 1'!R735,"  ",'Level 1'!T735," ","Payment "," ",'Level 1'!U735,"  ",'Level 1'!V735,"  ",'Level 1'!W735,"  ",'Level 1'!X735,"  ",'Level 1'!Z735, "  ",'Level 1'!AA735, " ","Insurance: ",'Level 1'!A735)</f>
        <v>Detail: Note  Q1  01-00-1900; Q2   Payment  Q4    Q5    Additional Notes:   Insurance: Forward Health</v>
      </c>
      <c r="C735" s="60" t="str">
        <f>'Level 1'!Y735</f>
        <v>Action</v>
      </c>
      <c r="D735" s="44" t="str">
        <f>VLOOKUP(C735,Table2[#All],3,FALSE)</f>
        <v>What we need from you/Reason</v>
      </c>
      <c r="E735" s="75" t="s">
        <v>199</v>
      </c>
      <c r="F735" s="96"/>
      <c r="G735" s="97"/>
    </row>
    <row r="736" spans="1:7" ht="21" x14ac:dyDescent="0.25">
      <c r="A736" s="43" t="str">
        <f>CONCATENATE("Pt Id:",'Level 1'!E736," ","Pt Name: ",'Level 1'!F736," ","DOS: ", TEXT('Level 1'!H736,"mm-dd-yyyy"),"  "," Amnt: ","$",'Level 1'!J736,"  ", 'Level 1'!N736)</f>
        <v>Pt Id:7723 Pt Name: Vetor, Shayla DOS: 03-16-2022   Amnt: $266  Note</v>
      </c>
      <c r="B736" s="43" t="str">
        <f>CONCATENATE("Detail: ",'Level 1'!N736,"  ",'Level 1'!O736,TEXT('Level 1'!P736,"  mm-dd-yyyy"),";"," ",'Level 1'!Q736,'Level 1'!R736,"  ",'Level 1'!T736," ","Payment "," ",'Level 1'!U736,"  ",'Level 1'!V736,"  ",'Level 1'!W736,"  ",'Level 1'!X736,"  ",'Level 1'!Z736, "  ",'Level 1'!AA736, " ","Insurance: ",'Level 1'!A736)</f>
        <v>Detail: Note  Q1  01-00-1900; Q2   Payment  Q4    Q5    Additional Notes:   Insurance: Forward Health</v>
      </c>
      <c r="C736" s="60" t="str">
        <f>'Level 1'!Y736</f>
        <v>Action</v>
      </c>
      <c r="D736" s="44" t="str">
        <f>VLOOKUP(C736,Table2[#All],3,FALSE)</f>
        <v>What we need from you/Reason</v>
      </c>
      <c r="E736" s="75" t="s">
        <v>199</v>
      </c>
      <c r="F736" s="96"/>
      <c r="G736" s="97"/>
    </row>
    <row r="737" spans="1:7" ht="42" x14ac:dyDescent="0.25">
      <c r="A737" s="43" t="str">
        <f>CONCATENATE("Pt Id:",'Level 1'!E737," ","Pt Name: ",'Level 1'!F737," ","DOS: ", TEXT('Level 1'!H737,"mm-dd-yyyy"),"  "," Amnt: ","$",'Level 1'!J737,"  ", 'Level 1'!N737)</f>
        <v>Pt Id:9277 Pt Name: Abdul Majid , Abdulrashi DOS: 03-16-2022   Amnt: $186  Note</v>
      </c>
      <c r="B737" s="43" t="str">
        <f>CONCATENATE("Detail: ",'Level 1'!N737,"  ",'Level 1'!O737,TEXT('Level 1'!P737,"  mm-dd-yyyy"),";"," ",'Level 1'!Q737,'Level 1'!R737,"  ",'Level 1'!T737," ","Payment "," ",'Level 1'!U737,"  ",'Level 1'!V737,"  ",'Level 1'!W737,"  ",'Level 1'!X737,"  ",'Level 1'!Z737, "  ",'Level 1'!AA737, " ","Insurance: ",'Level 1'!A737)</f>
        <v>Detail: Note  Q1  01-00-1900; Q2   Payment  Q4    Q5    Additional Notes:   Insurance: Forward Health</v>
      </c>
      <c r="C737" s="60" t="str">
        <f>'Level 1'!Y737</f>
        <v>Action</v>
      </c>
      <c r="D737" s="44" t="str">
        <f>VLOOKUP(C737,Table2[#All],3,FALSE)</f>
        <v>What we need from you/Reason</v>
      </c>
      <c r="E737" s="75" t="s">
        <v>199</v>
      </c>
      <c r="F737" s="96"/>
      <c r="G737" s="97"/>
    </row>
    <row r="738" spans="1:7" ht="21" x14ac:dyDescent="0.25">
      <c r="A738" s="43" t="str">
        <f>CONCATENATE("Pt Id:",'Level 1'!E738," ","Pt Name: ",'Level 1'!F738," ","DOS: ", TEXT('Level 1'!H738,"mm-dd-yyyy"),"  "," Amnt: ","$",'Level 1'!J738,"  ", 'Level 1'!N738)</f>
        <v>Pt Id:9266 Pt Name: Lembke , David  DOS: 03-14-2022   Amnt: $428.4  Note</v>
      </c>
      <c r="B738" s="43" t="str">
        <f>CONCATENATE("Detail: ",'Level 1'!N738,"  ",'Level 1'!O738,TEXT('Level 1'!P738,"  mm-dd-yyyy"),";"," ",'Level 1'!Q738,'Level 1'!R738,"  ",'Level 1'!T738," ","Payment "," ",'Level 1'!U738,"  ",'Level 1'!V738,"  ",'Level 1'!W738,"  ",'Level 1'!X738,"  ",'Level 1'!Z738, "  ",'Level 1'!AA738, " ","Insurance: ",'Level 1'!A738)</f>
        <v>Detail: Note  Q1  01-00-1900; Q2   Payment  Q4    Q5    Additional Notes:   Insurance: Forward Health</v>
      </c>
      <c r="C738" s="60" t="str">
        <f>'Level 1'!Y738</f>
        <v>Action</v>
      </c>
      <c r="D738" s="44" t="str">
        <f>VLOOKUP(C738,Table2[#All],3,FALSE)</f>
        <v>What we need from you/Reason</v>
      </c>
      <c r="E738" s="75" t="s">
        <v>199</v>
      </c>
      <c r="F738" s="96"/>
      <c r="G738" s="97"/>
    </row>
    <row r="739" spans="1:7" ht="21" x14ac:dyDescent="0.25">
      <c r="A739" s="43" t="str">
        <f>CONCATENATE("Pt Id:",'Level 1'!E739," ","Pt Name: ",'Level 1'!F739," ","DOS: ", TEXT('Level 1'!H739,"mm-dd-yyyy"),"  "," Amnt: ","$",'Level 1'!J739,"  ", 'Level 1'!N739)</f>
        <v>Pt Id:7053 Pt Name: Hamilton, Nathan DOS: 03-15-2022   Amnt: $552  Note</v>
      </c>
      <c r="B739" s="43" t="str">
        <f>CONCATENATE("Detail: ",'Level 1'!N739,"  ",'Level 1'!O739,TEXT('Level 1'!P739,"  mm-dd-yyyy"),";"," ",'Level 1'!Q739,'Level 1'!R739,"  ",'Level 1'!T739," ","Payment "," ",'Level 1'!U739,"  ",'Level 1'!V739,"  ",'Level 1'!W739,"  ",'Level 1'!X739,"  ",'Level 1'!Z739, "  ",'Level 1'!AA739, " ","Insurance: ",'Level 1'!A739)</f>
        <v>Detail: Note  Q1  01-00-1900; Q2   Payment  Q4    Q5    Additional Notes:   Insurance: Forward Health</v>
      </c>
      <c r="C739" s="60" t="str">
        <f>'Level 1'!Y739</f>
        <v>Action</v>
      </c>
      <c r="D739" s="44" t="str">
        <f>VLOOKUP(C739,Table2[#All],3,FALSE)</f>
        <v>What we need from you/Reason</v>
      </c>
      <c r="E739" s="75" t="s">
        <v>199</v>
      </c>
      <c r="F739" s="96"/>
      <c r="G739" s="97"/>
    </row>
    <row r="740" spans="1:7" ht="21" x14ac:dyDescent="0.25">
      <c r="A740" s="43" t="str">
        <f>CONCATENATE("Pt Id:",'Level 1'!E740," ","Pt Name: ",'Level 1'!F740," ","DOS: ", TEXT('Level 1'!H740,"mm-dd-yyyy"),"  "," Amnt: ","$",'Level 1'!J740,"  ", 'Level 1'!N740)</f>
        <v>Pt Id:7370 Pt Name: Verdejo, Amelia DOS: 03-15-2022   Amnt: $1312.8  Note</v>
      </c>
      <c r="B740" s="43" t="str">
        <f>CONCATENATE("Detail: ",'Level 1'!N740,"  ",'Level 1'!O740,TEXT('Level 1'!P740,"  mm-dd-yyyy"),";"," ",'Level 1'!Q740,'Level 1'!R740,"  ",'Level 1'!T740," ","Payment "," ",'Level 1'!U740,"  ",'Level 1'!V740,"  ",'Level 1'!W740,"  ",'Level 1'!X740,"  ",'Level 1'!Z740, "  ",'Level 1'!AA740, " ","Insurance: ",'Level 1'!A740)</f>
        <v>Detail: Note  Q1  01-00-1900; Q2   Payment  Q4    Q5    Additional Notes:   Insurance: Forward Health</v>
      </c>
      <c r="C740" s="60" t="str">
        <f>'Level 1'!Y740</f>
        <v>Action</v>
      </c>
      <c r="D740" s="44" t="str">
        <f>VLOOKUP(C740,Table2[#All],3,FALSE)</f>
        <v>What we need from you/Reason</v>
      </c>
      <c r="E740" s="75" t="s">
        <v>199</v>
      </c>
      <c r="F740" s="96"/>
      <c r="G740" s="97"/>
    </row>
    <row r="741" spans="1:7" ht="21" x14ac:dyDescent="0.25">
      <c r="A741" s="43" t="str">
        <f>CONCATENATE("Pt Id:",'Level 1'!E741," ","Pt Name: ",'Level 1'!F741," ","DOS: ", TEXT('Level 1'!H741,"mm-dd-yyyy"),"  "," Amnt: ","$",'Level 1'!J741,"  ", 'Level 1'!N741)</f>
        <v>Pt Id:9267 Pt Name: Tercher , James DOS: 03-15-2022   Amnt: $313.2  Note</v>
      </c>
      <c r="B741" s="43" t="str">
        <f>CONCATENATE("Detail: ",'Level 1'!N741,"  ",'Level 1'!O741,TEXT('Level 1'!P741,"  mm-dd-yyyy"),";"," ",'Level 1'!Q741,'Level 1'!R741,"  ",'Level 1'!T741," ","Payment "," ",'Level 1'!U741,"  ",'Level 1'!V741,"  ",'Level 1'!W741,"  ",'Level 1'!X741,"  ",'Level 1'!Z741, "  ",'Level 1'!AA741, " ","Insurance: ",'Level 1'!A741)</f>
        <v>Detail: Note  Q1  01-00-1900; Q2   Payment  Q4    Q5    Additional Notes:   Insurance: Forward Health</v>
      </c>
      <c r="C741" s="60" t="str">
        <f>'Level 1'!Y741</f>
        <v>Action</v>
      </c>
      <c r="D741" s="44" t="str">
        <f>VLOOKUP(C741,Table2[#All],3,FALSE)</f>
        <v>What we need from you/Reason</v>
      </c>
      <c r="E741" s="75" t="s">
        <v>199</v>
      </c>
      <c r="F741" s="96"/>
      <c r="G741" s="97"/>
    </row>
    <row r="742" spans="1:7" ht="21" x14ac:dyDescent="0.25">
      <c r="A742" s="43" t="str">
        <f>CONCATENATE("Pt Id:",'Level 1'!E742," ","Pt Name: ",'Level 1'!F742," ","DOS: ", TEXT('Level 1'!H742,"mm-dd-yyyy"),"  "," Amnt: ","$",'Level 1'!J742,"  ", 'Level 1'!N742)</f>
        <v>Pt Id:9271 Pt Name: Disney, Cody DOS: 03-15-2022   Amnt: $175.2  Note</v>
      </c>
      <c r="B742" s="43" t="str">
        <f>CONCATENATE("Detail: ",'Level 1'!N742,"  ",'Level 1'!O742,TEXT('Level 1'!P742,"  mm-dd-yyyy"),";"," ",'Level 1'!Q742,'Level 1'!R742,"  ",'Level 1'!T742," ","Payment "," ",'Level 1'!U742,"  ",'Level 1'!V742,"  ",'Level 1'!W742,"  ",'Level 1'!X742,"  ",'Level 1'!Z742, "  ",'Level 1'!AA742, " ","Insurance: ",'Level 1'!A742)</f>
        <v>Detail: Note  Q1  01-00-1900; Q2   Payment  Q4    Q5    Additional Notes:   Insurance: Forward Health</v>
      </c>
      <c r="C742" s="60" t="str">
        <f>'Level 1'!Y742</f>
        <v>Action</v>
      </c>
      <c r="D742" s="44" t="str">
        <f>VLOOKUP(C742,Table2[#All],3,FALSE)</f>
        <v>What we need from you/Reason</v>
      </c>
      <c r="E742" s="75" t="s">
        <v>199</v>
      </c>
      <c r="F742" s="96"/>
      <c r="G742" s="97"/>
    </row>
    <row r="743" spans="1:7" ht="21" x14ac:dyDescent="0.25">
      <c r="A743" s="43" t="str">
        <f>CONCATENATE("Pt Id:",'Level 1'!E743," ","Pt Name: ",'Level 1'!F743," ","DOS: ", TEXT('Level 1'!H743,"mm-dd-yyyy"),"  "," Amnt: ","$",'Level 1'!J743,"  ", 'Level 1'!N743)</f>
        <v>Pt Id:9019 Pt Name: Kearney, Troy  DOS: 03-12-2022   Amnt: $162  Note</v>
      </c>
      <c r="B743" s="43" t="str">
        <f>CONCATENATE("Detail: ",'Level 1'!N743,"  ",'Level 1'!O743,TEXT('Level 1'!P743,"  mm-dd-yyyy"),";"," ",'Level 1'!Q743,'Level 1'!R743,"  ",'Level 1'!T743," ","Payment "," ",'Level 1'!U743,"  ",'Level 1'!V743,"  ",'Level 1'!W743,"  ",'Level 1'!X743,"  ",'Level 1'!Z743, "  ",'Level 1'!AA743, " ","Insurance: ",'Level 1'!A743)</f>
        <v>Detail: Note  Q1  01-00-1900; Q2   Payment  Q4    Q5    Additional Notes:   Insurance: Forward Health</v>
      </c>
      <c r="C743" s="60" t="str">
        <f>'Level 1'!Y743</f>
        <v>Action</v>
      </c>
      <c r="D743" s="44" t="str">
        <f>VLOOKUP(C743,Table2[#All],3,FALSE)</f>
        <v>What we need from you/Reason</v>
      </c>
      <c r="E743" s="75" t="s">
        <v>199</v>
      </c>
      <c r="F743" s="96"/>
      <c r="G743" s="97"/>
    </row>
    <row r="744" spans="1:7" ht="21" x14ac:dyDescent="0.25">
      <c r="A744" s="43" t="str">
        <f>CONCATENATE("Pt Id:",'Level 1'!E744," ","Pt Name: ",'Level 1'!F744," ","DOS: ", TEXT('Level 1'!H744,"mm-dd-yyyy"),"  "," Amnt: ","$",'Level 1'!J744,"  ", 'Level 1'!N744)</f>
        <v>Pt Id:5922 Pt Name: Harper, Tom DOS: 03-12-2022   Amnt: $133.2  Note</v>
      </c>
      <c r="B744" s="43" t="str">
        <f>CONCATENATE("Detail: ",'Level 1'!N744,"  ",'Level 1'!O744,TEXT('Level 1'!P744,"  mm-dd-yyyy"),";"," ",'Level 1'!Q744,'Level 1'!R744,"  ",'Level 1'!T744," ","Payment "," ",'Level 1'!U744,"  ",'Level 1'!V744,"  ",'Level 1'!W744,"  ",'Level 1'!X744,"  ",'Level 1'!Z744, "  ",'Level 1'!AA744, " ","Insurance: ",'Level 1'!A744)</f>
        <v>Detail: Note  Q1  01-00-1900; Q2   Payment  Q4    Q5    Additional Notes:   Insurance: Forward Health</v>
      </c>
      <c r="C744" s="60" t="str">
        <f>'Level 1'!Y744</f>
        <v>Action</v>
      </c>
      <c r="D744" s="44" t="str">
        <f>VLOOKUP(C744,Table2[#All],3,FALSE)</f>
        <v>What we need from you/Reason</v>
      </c>
      <c r="E744" s="75" t="s">
        <v>199</v>
      </c>
      <c r="F744" s="96"/>
      <c r="G744" s="97"/>
    </row>
    <row r="745" spans="1:7" ht="21" x14ac:dyDescent="0.25">
      <c r="A745" s="43" t="str">
        <f>CONCATENATE("Pt Id:",'Level 1'!E745," ","Pt Name: ",'Level 1'!F745," ","DOS: ", TEXT('Level 1'!H745,"mm-dd-yyyy"),"  "," Amnt: ","$",'Level 1'!J745,"  ", 'Level 1'!N745)</f>
        <v>Pt Id:8929 Pt Name: Asala , Tracey  DOS: 03-12-2022   Amnt: $873.6  Note</v>
      </c>
      <c r="B745" s="43" t="str">
        <f>CONCATENATE("Detail: ",'Level 1'!N745,"  ",'Level 1'!O745,TEXT('Level 1'!P745,"  mm-dd-yyyy"),";"," ",'Level 1'!Q745,'Level 1'!R745,"  ",'Level 1'!T745," ","Payment "," ",'Level 1'!U745,"  ",'Level 1'!V745,"  ",'Level 1'!W745,"  ",'Level 1'!X745,"  ",'Level 1'!Z745, "  ",'Level 1'!AA745, " ","Insurance: ",'Level 1'!A745)</f>
        <v>Detail: Note  Q1  01-00-1900; Q2   Payment  Q4    Q5    Additional Notes:   Insurance: Forward Health</v>
      </c>
      <c r="C745" s="60" t="str">
        <f>'Level 1'!Y745</f>
        <v>Action</v>
      </c>
      <c r="D745" s="44" t="str">
        <f>VLOOKUP(C745,Table2[#All],3,FALSE)</f>
        <v>What we need from you/Reason</v>
      </c>
      <c r="E745" s="75" t="s">
        <v>199</v>
      </c>
      <c r="F745" s="96"/>
      <c r="G745" s="97"/>
    </row>
    <row r="746" spans="1:7" ht="21" x14ac:dyDescent="0.25">
      <c r="A746" s="43" t="str">
        <f>CONCATENATE("Pt Id:",'Level 1'!E746," ","Pt Name: ",'Level 1'!F746," ","DOS: ", TEXT('Level 1'!H746,"mm-dd-yyyy"),"  "," Amnt: ","$",'Level 1'!J746,"  ", 'Level 1'!N746)</f>
        <v>Pt Id:7561 Pt Name: Klim, Landan DOS: 02-25-2022   Amnt: $27.6  Note</v>
      </c>
      <c r="B746" s="43" t="str">
        <f>CONCATENATE("Detail: ",'Level 1'!N746,"  ",'Level 1'!O746,TEXT('Level 1'!P746,"  mm-dd-yyyy"),";"," ",'Level 1'!Q746,'Level 1'!R746,"  ",'Level 1'!T746," ","Payment "," ",'Level 1'!U746,"  ",'Level 1'!V746,"  ",'Level 1'!W746,"  ",'Level 1'!X746,"  ",'Level 1'!Z746, "  ",'Level 1'!AA746, " ","Insurance: ",'Level 1'!A746)</f>
        <v>Detail: Note  Q1  01-00-1900; Q2   Payment  Q4    Q5    Additional Notes:   Insurance: Forward Health</v>
      </c>
      <c r="C746" s="60" t="str">
        <f>'Level 1'!Y746</f>
        <v>Action</v>
      </c>
      <c r="D746" s="44" t="str">
        <f>VLOOKUP(C746,Table2[#All],3,FALSE)</f>
        <v>What we need from you/Reason</v>
      </c>
      <c r="E746" s="75" t="s">
        <v>199</v>
      </c>
      <c r="F746" s="96"/>
      <c r="G746" s="97"/>
    </row>
    <row r="747" spans="1:7" ht="21" x14ac:dyDescent="0.25">
      <c r="A747" s="43" t="str">
        <f>CONCATENATE("Pt Id:",'Level 1'!E747," ","Pt Name: ",'Level 1'!F747," ","DOS: ", TEXT('Level 1'!H747,"mm-dd-yyyy"),"  "," Amnt: ","$",'Level 1'!J747,"  ", 'Level 1'!N747)</f>
        <v>Pt Id:7756 Pt Name: Aquino, Alexander DOS: 02-25-2022   Amnt: $80.4  Note</v>
      </c>
      <c r="B747" s="43" t="str">
        <f>CONCATENATE("Detail: ",'Level 1'!N747,"  ",'Level 1'!O747,TEXT('Level 1'!P747,"  mm-dd-yyyy"),";"," ",'Level 1'!Q747,'Level 1'!R747,"  ",'Level 1'!T747," ","Payment "," ",'Level 1'!U747,"  ",'Level 1'!V747,"  ",'Level 1'!W747,"  ",'Level 1'!X747,"  ",'Level 1'!Z747, "  ",'Level 1'!AA747, " ","Insurance: ",'Level 1'!A747)</f>
        <v>Detail: Note  Q1  01-00-1900; Q2   Payment  Q4    Q5    Additional Notes:   Insurance: Forward Health</v>
      </c>
      <c r="C747" s="60" t="str">
        <f>'Level 1'!Y747</f>
        <v>Action</v>
      </c>
      <c r="D747" s="44" t="str">
        <f>VLOOKUP(C747,Table2[#All],3,FALSE)</f>
        <v>What we need from you/Reason</v>
      </c>
      <c r="E747" s="75" t="s">
        <v>199</v>
      </c>
      <c r="F747" s="96"/>
      <c r="G747" s="97"/>
    </row>
    <row r="748" spans="1:7" ht="21" x14ac:dyDescent="0.25">
      <c r="A748" s="43" t="str">
        <f>CONCATENATE("Pt Id:",'Level 1'!E748," ","Pt Name: ",'Level 1'!F748," ","DOS: ", TEXT('Level 1'!H748,"mm-dd-yyyy"),"  "," Amnt: ","$",'Level 1'!J748,"  ", 'Level 1'!N748)</f>
        <v>Pt Id:8292 Pt Name: Williams , Ramon  DOS: 03-11-2022   Amnt: $61.2  Note</v>
      </c>
      <c r="B748" s="43" t="str">
        <f>CONCATENATE("Detail: ",'Level 1'!N748,"  ",'Level 1'!O748,TEXT('Level 1'!P748,"  mm-dd-yyyy"),";"," ",'Level 1'!Q748,'Level 1'!R748,"  ",'Level 1'!T748," ","Payment "," ",'Level 1'!U748,"  ",'Level 1'!V748,"  ",'Level 1'!W748,"  ",'Level 1'!X748,"  ",'Level 1'!Z748, "  ",'Level 1'!AA748, " ","Insurance: ",'Level 1'!A748)</f>
        <v>Detail: Note  Q1  01-00-1900; Q2   Payment  Q4    Q5    Additional Notes:   Insurance: Forward Health</v>
      </c>
      <c r="C748" s="60" t="str">
        <f>'Level 1'!Y748</f>
        <v>Action</v>
      </c>
      <c r="D748" s="44" t="str">
        <f>VLOOKUP(C748,Table2[#All],3,FALSE)</f>
        <v>What we need from you/Reason</v>
      </c>
      <c r="E748" s="75" t="s">
        <v>199</v>
      </c>
      <c r="F748" s="96"/>
      <c r="G748" s="97"/>
    </row>
    <row r="749" spans="1:7" ht="42" x14ac:dyDescent="0.25">
      <c r="A749" s="43" t="str">
        <f>CONCATENATE("Pt Id:",'Level 1'!E749," ","Pt Name: ",'Level 1'!F749," ","DOS: ", TEXT('Level 1'!H749,"mm-dd-yyyy"),"  "," Amnt: ","$",'Level 1'!J749,"  ", 'Level 1'!N749)</f>
        <v>Pt Id:6328 Pt Name: Holderman , Brian  DOS: 03-11-2022   Amnt: $249.2  Note</v>
      </c>
      <c r="B749" s="43" t="str">
        <f>CONCATENATE("Detail: ",'Level 1'!N749,"  ",'Level 1'!O749,TEXT('Level 1'!P749,"  mm-dd-yyyy"),";"," ",'Level 1'!Q749,'Level 1'!R749,"  ",'Level 1'!T749," ","Payment "," ",'Level 1'!U749,"  ",'Level 1'!V749,"  ",'Level 1'!W749,"  ",'Level 1'!X749,"  ",'Level 1'!Z749, "  ",'Level 1'!AA749, " ","Insurance: ",'Level 1'!A749)</f>
        <v>Detail: Note  Q1  01-00-1900; Q2   Payment  Q4    Q5    Additional Notes:   Insurance: Forward Health</v>
      </c>
      <c r="C749" s="60" t="str">
        <f>'Level 1'!Y749</f>
        <v>Action</v>
      </c>
      <c r="D749" s="44" t="str">
        <f>VLOOKUP(C749,Table2[#All],3,FALSE)</f>
        <v>What we need from you/Reason</v>
      </c>
      <c r="E749" s="75" t="s">
        <v>199</v>
      </c>
      <c r="F749" s="96"/>
      <c r="G749" s="97"/>
    </row>
    <row r="750" spans="1:7" ht="42" x14ac:dyDescent="0.25">
      <c r="A750" s="43" t="str">
        <f>CONCATENATE("Pt Id:",'Level 1'!E750," ","Pt Name: ",'Level 1'!F750," ","DOS: ", TEXT('Level 1'!H750,"mm-dd-yyyy"),"  "," Amnt: ","$",'Level 1'!J750,"  ", 'Level 1'!N750)</f>
        <v>Pt Id:7756 Pt Name: Aquino, Alexander DOS: 03-10-2022   Amnt: $278.4  Note</v>
      </c>
      <c r="B750" s="43" t="str">
        <f>CONCATENATE("Detail: ",'Level 1'!N750,"  ",'Level 1'!O750,TEXT('Level 1'!P750,"  mm-dd-yyyy"),";"," ",'Level 1'!Q750,'Level 1'!R750,"  ",'Level 1'!T750," ","Payment "," ",'Level 1'!U750,"  ",'Level 1'!V750,"  ",'Level 1'!W750,"  ",'Level 1'!X750,"  ",'Level 1'!Z750, "  ",'Level 1'!AA750, " ","Insurance: ",'Level 1'!A750)</f>
        <v>Detail: Note  Q1  01-00-1900; Q2   Payment  Q4    Q5    Additional Notes:   Insurance: Forward Health</v>
      </c>
      <c r="C750" s="60" t="str">
        <f>'Level 1'!Y750</f>
        <v>Action</v>
      </c>
      <c r="D750" s="44" t="str">
        <f>VLOOKUP(C750,Table2[#All],3,FALSE)</f>
        <v>What we need from you/Reason</v>
      </c>
      <c r="E750" s="75" t="s">
        <v>199</v>
      </c>
      <c r="F750" s="96"/>
      <c r="G750" s="97"/>
    </row>
    <row r="751" spans="1:7" ht="21" x14ac:dyDescent="0.25">
      <c r="A751" s="43" t="str">
        <f>CONCATENATE("Pt Id:",'Level 1'!E751," ","Pt Name: ",'Level 1'!F751," ","DOS: ", TEXT('Level 1'!H751,"mm-dd-yyyy"),"  "," Amnt: ","$",'Level 1'!J751,"  ", 'Level 1'!N751)</f>
        <v>Pt Id:7553 Pt Name: Ward , Glenda  DOS: 03-10-2022   Amnt: $61.2  Note</v>
      </c>
      <c r="B751" s="43" t="str">
        <f>CONCATENATE("Detail: ",'Level 1'!N751,"  ",'Level 1'!O751,TEXT('Level 1'!P751,"  mm-dd-yyyy"),";"," ",'Level 1'!Q751,'Level 1'!R751,"  ",'Level 1'!T751," ","Payment "," ",'Level 1'!U751,"  ",'Level 1'!V751,"  ",'Level 1'!W751,"  ",'Level 1'!X751,"  ",'Level 1'!Z751, "  ",'Level 1'!AA751, " ","Insurance: ",'Level 1'!A751)</f>
        <v>Detail: Note  Q1  01-00-1900; Q2   Payment  Q4    Q5    Additional Notes:   Insurance: Forward Health</v>
      </c>
      <c r="C751" s="60" t="str">
        <f>'Level 1'!Y751</f>
        <v>Action</v>
      </c>
      <c r="D751" s="44" t="str">
        <f>VLOOKUP(C751,Table2[#All],3,FALSE)</f>
        <v>What we need from you/Reason</v>
      </c>
      <c r="E751" s="75" t="s">
        <v>199</v>
      </c>
      <c r="F751" s="96"/>
      <c r="G751" s="97"/>
    </row>
    <row r="752" spans="1:7" ht="42" x14ac:dyDescent="0.25">
      <c r="A752" s="43" t="str">
        <f>CONCATENATE("Pt Id:",'Level 1'!E752," ","Pt Name: ",'Level 1'!F752," ","DOS: ", TEXT('Level 1'!H752,"mm-dd-yyyy"),"  "," Amnt: ","$",'Level 1'!J752,"  ", 'Level 1'!N752)</f>
        <v>Pt Id:8884 Pt Name: Santiago , Ezequiel DOS: 03-09-2022   Amnt: $419.2  Note</v>
      </c>
      <c r="B752" s="43" t="str">
        <f>CONCATENATE("Detail: ",'Level 1'!N752,"  ",'Level 1'!O752,TEXT('Level 1'!P752,"  mm-dd-yyyy"),";"," ",'Level 1'!Q752,'Level 1'!R752,"  ",'Level 1'!T752," ","Payment "," ",'Level 1'!U752,"  ",'Level 1'!V752,"  ",'Level 1'!W752,"  ",'Level 1'!X752,"  ",'Level 1'!Z752, "  ",'Level 1'!AA752, " ","Insurance: ",'Level 1'!A752)</f>
        <v>Detail: Note  Q1  01-00-1900; Q2   Payment  Q4    Q5    Additional Notes:   Insurance: Forward Health</v>
      </c>
      <c r="C752" s="60" t="str">
        <f>'Level 1'!Y752</f>
        <v>Action</v>
      </c>
      <c r="D752" s="44" t="str">
        <f>VLOOKUP(C752,Table2[#All],3,FALSE)</f>
        <v>What we need from you/Reason</v>
      </c>
      <c r="E752" s="75" t="s">
        <v>199</v>
      </c>
      <c r="F752" s="96"/>
      <c r="G752" s="97"/>
    </row>
    <row r="753" spans="1:7" ht="21" x14ac:dyDescent="0.25">
      <c r="A753" s="43" t="str">
        <f>CONCATENATE("Pt Id:",'Level 1'!E753," ","Pt Name: ",'Level 1'!F753," ","DOS: ", TEXT('Level 1'!H753,"mm-dd-yyyy"),"  "," Amnt: ","$",'Level 1'!J753,"  ", 'Level 1'!N753)</f>
        <v>Pt Id:1262 Pt Name: Busby, Rajanay DOS: 03-09-2022   Amnt: $360  Note</v>
      </c>
      <c r="B753" s="43" t="str">
        <f>CONCATENATE("Detail: ",'Level 1'!N753,"  ",'Level 1'!O753,TEXT('Level 1'!P753,"  mm-dd-yyyy"),";"," ",'Level 1'!Q753,'Level 1'!R753,"  ",'Level 1'!T753," ","Payment "," ",'Level 1'!U753,"  ",'Level 1'!V753,"  ",'Level 1'!W753,"  ",'Level 1'!X753,"  ",'Level 1'!Z753, "  ",'Level 1'!AA753, " ","Insurance: ",'Level 1'!A753)</f>
        <v>Detail: Note  Q1  01-00-1900; Q2   Payment  Q4    Q5    Additional Notes:   Insurance: Forward Health</v>
      </c>
      <c r="C753" s="60" t="str">
        <f>'Level 1'!Y753</f>
        <v>Action</v>
      </c>
      <c r="D753" s="44" t="str">
        <f>VLOOKUP(C753,Table2[#All],3,FALSE)</f>
        <v>What we need from you/Reason</v>
      </c>
      <c r="E753" s="75" t="s">
        <v>199</v>
      </c>
      <c r="F753" s="96"/>
      <c r="G753" s="97"/>
    </row>
    <row r="754" spans="1:7" ht="21" x14ac:dyDescent="0.25">
      <c r="A754" s="43" t="str">
        <f>CONCATENATE("Pt Id:",'Level 1'!E754," ","Pt Name: ",'Level 1'!F754," ","DOS: ", TEXT('Level 1'!H754,"mm-dd-yyyy"),"  "," Amnt: ","$",'Level 1'!J754,"  ", 'Level 1'!N754)</f>
        <v>Pt Id:9169 Pt Name: Foster , Philip DOS: 03-09-2022   Amnt: $61.2  Note</v>
      </c>
      <c r="B754" s="43" t="str">
        <f>CONCATENATE("Detail: ",'Level 1'!N754,"  ",'Level 1'!O754,TEXT('Level 1'!P754,"  mm-dd-yyyy"),";"," ",'Level 1'!Q754,'Level 1'!R754,"  ",'Level 1'!T754," ","Payment "," ",'Level 1'!U754,"  ",'Level 1'!V754,"  ",'Level 1'!W754,"  ",'Level 1'!X754,"  ",'Level 1'!Z754, "  ",'Level 1'!AA754, " ","Insurance: ",'Level 1'!A754)</f>
        <v>Detail: Note  Q1  01-00-1900; Q2   Payment  Q4    Q5    Additional Notes:   Insurance: Forward Health</v>
      </c>
      <c r="C754" s="60" t="str">
        <f>'Level 1'!Y754</f>
        <v>Action</v>
      </c>
      <c r="D754" s="44" t="str">
        <f>VLOOKUP(C754,Table2[#All],3,FALSE)</f>
        <v>What we need from you/Reason</v>
      </c>
      <c r="E754" s="75" t="s">
        <v>199</v>
      </c>
      <c r="F754" s="96"/>
      <c r="G754" s="97"/>
    </row>
    <row r="755" spans="1:7" ht="21" x14ac:dyDescent="0.25">
      <c r="A755" s="43" t="str">
        <f>CONCATENATE("Pt Id:",'Level 1'!E755," ","Pt Name: ",'Level 1'!F755," ","DOS: ", TEXT('Level 1'!H755,"mm-dd-yyyy"),"  "," Amnt: ","$",'Level 1'!J755,"  ", 'Level 1'!N755)</f>
        <v>Pt Id:9226 Pt Name: Miller, Jimmie  DOS: 03-09-2022   Amnt: $348  Note</v>
      </c>
      <c r="B755" s="43" t="str">
        <f>CONCATENATE("Detail: ",'Level 1'!N755,"  ",'Level 1'!O755,TEXT('Level 1'!P755,"  mm-dd-yyyy"),";"," ",'Level 1'!Q755,'Level 1'!R755,"  ",'Level 1'!T755," ","Payment "," ",'Level 1'!U755,"  ",'Level 1'!V755,"  ",'Level 1'!W755,"  ",'Level 1'!X755,"  ",'Level 1'!Z755, "  ",'Level 1'!AA755, " ","Insurance: ",'Level 1'!A755)</f>
        <v>Detail: Note  Q1  01-00-1900; Q2   Payment  Q4    Q5    Additional Notes:   Insurance: Forward Health</v>
      </c>
      <c r="C755" s="60" t="str">
        <f>'Level 1'!Y755</f>
        <v>Action</v>
      </c>
      <c r="D755" s="44" t="str">
        <f>VLOOKUP(C755,Table2[#All],3,FALSE)</f>
        <v>What we need from you/Reason</v>
      </c>
      <c r="E755" s="75" t="s">
        <v>199</v>
      </c>
      <c r="F755" s="96"/>
      <c r="G755" s="97"/>
    </row>
    <row r="756" spans="1:7" ht="21" x14ac:dyDescent="0.25">
      <c r="A756" s="43" t="str">
        <f>CONCATENATE("Pt Id:",'Level 1'!E756," ","Pt Name: ",'Level 1'!F756," ","DOS: ", TEXT('Level 1'!H756,"mm-dd-yyyy"),"  "," Amnt: ","$",'Level 1'!J756,"  ", 'Level 1'!N756)</f>
        <v>Pt Id:9130 Pt Name: Rogers, Suzette  DOS: 03-09-2022   Amnt: $88.8  Note</v>
      </c>
      <c r="B756" s="43" t="str">
        <f>CONCATENATE("Detail: ",'Level 1'!N756,"  ",'Level 1'!O756,TEXT('Level 1'!P756,"  mm-dd-yyyy"),";"," ",'Level 1'!Q756,'Level 1'!R756,"  ",'Level 1'!T756," ","Payment "," ",'Level 1'!U756,"  ",'Level 1'!V756,"  ",'Level 1'!W756,"  ",'Level 1'!X756,"  ",'Level 1'!Z756, "  ",'Level 1'!AA756, " ","Insurance: ",'Level 1'!A756)</f>
        <v>Detail: Note  Q1  01-00-1900; Q2   Payment  Q4    Q5    Additional Notes:   Insurance: Forward Health</v>
      </c>
      <c r="C756" s="60" t="str">
        <f>'Level 1'!Y756</f>
        <v>Action</v>
      </c>
      <c r="D756" s="44" t="str">
        <f>VLOOKUP(C756,Table2[#All],3,FALSE)</f>
        <v>What we need from you/Reason</v>
      </c>
      <c r="E756" s="75" t="s">
        <v>199</v>
      </c>
      <c r="F756" s="96"/>
      <c r="G756" s="97"/>
    </row>
    <row r="757" spans="1:7" ht="21" x14ac:dyDescent="0.25">
      <c r="A757" s="43" t="str">
        <f>CONCATENATE("Pt Id:",'Level 1'!E757," ","Pt Name: ",'Level 1'!F757," ","DOS: ", TEXT('Level 1'!H757,"mm-dd-yyyy"),"  "," Amnt: ","$",'Level 1'!J757,"  ", 'Level 1'!N757)</f>
        <v>Pt Id:2686 Pt Name: Ruiz , Helen  DOS: 03-08-2022   Amnt: $966  Note</v>
      </c>
      <c r="B757" s="43" t="str">
        <f>CONCATENATE("Detail: ",'Level 1'!N757,"  ",'Level 1'!O757,TEXT('Level 1'!P757,"  mm-dd-yyyy"),";"," ",'Level 1'!Q757,'Level 1'!R757,"  ",'Level 1'!T757," ","Payment "," ",'Level 1'!U757,"  ",'Level 1'!V757,"  ",'Level 1'!W757,"  ",'Level 1'!X757,"  ",'Level 1'!Z757, "  ",'Level 1'!AA757, " ","Insurance: ",'Level 1'!A757)</f>
        <v>Detail: Note  Q1  01-00-1900; Q2   Payment  Q4    Q5    Additional Notes:   Insurance: Forward Health</v>
      </c>
      <c r="C757" s="60" t="str">
        <f>'Level 1'!Y757</f>
        <v>Action</v>
      </c>
      <c r="D757" s="44" t="str">
        <f>VLOOKUP(C757,Table2[#All],3,FALSE)</f>
        <v>What we need from you/Reason</v>
      </c>
      <c r="E757" s="75" t="s">
        <v>199</v>
      </c>
      <c r="F757" s="96"/>
      <c r="G757" s="97"/>
    </row>
    <row r="758" spans="1:7" ht="21" x14ac:dyDescent="0.25">
      <c r="A758" s="43" t="str">
        <f>CONCATENATE("Pt Id:",'Level 1'!E758," ","Pt Name: ",'Level 1'!F758," ","DOS: ", TEXT('Level 1'!H758,"mm-dd-yyyy"),"  "," Amnt: ","$",'Level 1'!J758,"  ", 'Level 1'!N758)</f>
        <v>Pt Id:9073 Pt Name: Uihlein, Damon DOS: 03-08-2022   Amnt: $1348  Note</v>
      </c>
      <c r="B758" s="43" t="str">
        <f>CONCATENATE("Detail: ",'Level 1'!N758,"  ",'Level 1'!O758,TEXT('Level 1'!P758,"  mm-dd-yyyy"),";"," ",'Level 1'!Q758,'Level 1'!R758,"  ",'Level 1'!T758," ","Payment "," ",'Level 1'!U758,"  ",'Level 1'!V758,"  ",'Level 1'!W758,"  ",'Level 1'!X758,"  ",'Level 1'!Z758, "  ",'Level 1'!AA758, " ","Insurance: ",'Level 1'!A758)</f>
        <v>Detail: Note  Q1  01-00-1900; Q2   Payment  Q4    Q5    Additional Notes:   Insurance: Forward Health</v>
      </c>
      <c r="C758" s="60" t="str">
        <f>'Level 1'!Y758</f>
        <v>Action</v>
      </c>
      <c r="D758" s="44" t="str">
        <f>VLOOKUP(C758,Table2[#All],3,FALSE)</f>
        <v>What we need from you/Reason</v>
      </c>
      <c r="E758" s="75" t="s">
        <v>199</v>
      </c>
      <c r="F758" s="96"/>
      <c r="G758" s="97"/>
    </row>
    <row r="759" spans="1:7" ht="21" x14ac:dyDescent="0.25">
      <c r="A759" s="43" t="str">
        <f>CONCATENATE("Pt Id:",'Level 1'!E759," ","Pt Name: ",'Level 1'!F759," ","DOS: ", TEXT('Level 1'!H759,"mm-dd-yyyy"),"  "," Amnt: ","$",'Level 1'!J759,"  ", 'Level 1'!N759)</f>
        <v>Pt Id:9215 Pt Name: Nelson, Thomas DOS: 03-08-2022   Amnt: $175.2  Note</v>
      </c>
      <c r="B759" s="43" t="str">
        <f>CONCATENATE("Detail: ",'Level 1'!N759,"  ",'Level 1'!O759,TEXT('Level 1'!P759,"  mm-dd-yyyy"),";"," ",'Level 1'!Q759,'Level 1'!R759,"  ",'Level 1'!T759," ","Payment "," ",'Level 1'!U759,"  ",'Level 1'!V759,"  ",'Level 1'!W759,"  ",'Level 1'!X759,"  ",'Level 1'!Z759, "  ",'Level 1'!AA759, " ","Insurance: ",'Level 1'!A759)</f>
        <v>Detail: Note  Q1  01-00-1900; Q2   Payment  Q4    Q5    Additional Notes:   Insurance: Forward Health</v>
      </c>
      <c r="C759" s="60" t="str">
        <f>'Level 1'!Y759</f>
        <v>Action</v>
      </c>
      <c r="D759" s="44" t="str">
        <f>VLOOKUP(C759,Table2[#All],3,FALSE)</f>
        <v>What we need from you/Reason</v>
      </c>
      <c r="E759" s="75" t="s">
        <v>199</v>
      </c>
      <c r="F759" s="96"/>
      <c r="G759" s="97"/>
    </row>
    <row r="760" spans="1:7" ht="21" x14ac:dyDescent="0.25">
      <c r="A760" s="43" t="str">
        <f>CONCATENATE("Pt Id:",'Level 1'!E760," ","Pt Name: ",'Level 1'!F760," ","DOS: ", TEXT('Level 1'!H760,"mm-dd-yyyy"),"  "," Amnt: ","$",'Level 1'!J760,"  ", 'Level 1'!N760)</f>
        <v>Pt Id:9212 Pt Name: Cuautle , Jose  DOS: 03-07-2022   Amnt: $414  Note</v>
      </c>
      <c r="B760" s="43" t="str">
        <f>CONCATENATE("Detail: ",'Level 1'!N760,"  ",'Level 1'!O760,TEXT('Level 1'!P760,"  mm-dd-yyyy"),";"," ",'Level 1'!Q760,'Level 1'!R760,"  ",'Level 1'!T760," ","Payment "," ",'Level 1'!U760,"  ",'Level 1'!V760,"  ",'Level 1'!W760,"  ",'Level 1'!X760,"  ",'Level 1'!Z760, "  ",'Level 1'!AA760, " ","Insurance: ",'Level 1'!A760)</f>
        <v>Detail: Note  Q1  01-00-1900; Q2   Payment  Q4    Q5    Additional Notes:   Insurance: Forward Health</v>
      </c>
      <c r="C760" s="60" t="str">
        <f>'Level 1'!Y760</f>
        <v>Action</v>
      </c>
      <c r="D760" s="44" t="str">
        <f>VLOOKUP(C760,Table2[#All],3,FALSE)</f>
        <v>What we need from you/Reason</v>
      </c>
      <c r="E760" s="75" t="s">
        <v>199</v>
      </c>
      <c r="F760" s="96"/>
      <c r="G760" s="97"/>
    </row>
    <row r="761" spans="1:7" ht="42" x14ac:dyDescent="0.25">
      <c r="A761" s="43" t="str">
        <f>CONCATENATE("Pt Id:",'Level 1'!E761," ","Pt Name: ",'Level 1'!F761," ","DOS: ", TEXT('Level 1'!H761,"mm-dd-yyyy"),"  "," Amnt: ","$",'Level 1'!J761,"  ", 'Level 1'!N761)</f>
        <v>Pt Id:16 Pt Name: Kayed, Mohammad DOS: 03-07-2022   Amnt: $1631.6  Note</v>
      </c>
      <c r="B761" s="43" t="str">
        <f>CONCATENATE("Detail: ",'Level 1'!N761,"  ",'Level 1'!O761,TEXT('Level 1'!P761,"  mm-dd-yyyy"),";"," ",'Level 1'!Q761,'Level 1'!R761,"  ",'Level 1'!T761," ","Payment "," ",'Level 1'!U761,"  ",'Level 1'!V761,"  ",'Level 1'!W761,"  ",'Level 1'!X761,"  ",'Level 1'!Z761, "  ",'Level 1'!AA761, " ","Insurance: ",'Level 1'!A761)</f>
        <v>Detail: Note  Q1  01-00-1900; Q2   Payment  Q4    Q5    Additional Notes:   Insurance: Forward Health</v>
      </c>
      <c r="C761" s="60" t="str">
        <f>'Level 1'!Y761</f>
        <v>Action</v>
      </c>
      <c r="D761" s="44" t="str">
        <f>VLOOKUP(C761,Table2[#All],3,FALSE)</f>
        <v>What we need from you/Reason</v>
      </c>
      <c r="E761" s="75" t="s">
        <v>199</v>
      </c>
      <c r="F761" s="96"/>
      <c r="G761" s="97"/>
    </row>
    <row r="762" spans="1:7" ht="21" x14ac:dyDescent="0.25">
      <c r="A762" s="43" t="str">
        <f>CONCATENATE("Pt Id:",'Level 1'!E762," ","Pt Name: ",'Level 1'!F762," ","DOS: ", TEXT('Level 1'!H762,"mm-dd-yyyy"),"  "," Amnt: ","$",'Level 1'!J762,"  ", 'Level 1'!N762)</f>
        <v>Pt Id:962 Pt Name: Taborn, Tashima DOS: 03-07-2022   Amnt: $1044  Note</v>
      </c>
      <c r="B762" s="43" t="str">
        <f>CONCATENATE("Detail: ",'Level 1'!N762,"  ",'Level 1'!O762,TEXT('Level 1'!P762,"  mm-dd-yyyy"),";"," ",'Level 1'!Q762,'Level 1'!R762,"  ",'Level 1'!T762," ","Payment "," ",'Level 1'!U762,"  ",'Level 1'!V762,"  ",'Level 1'!W762,"  ",'Level 1'!X762,"  ",'Level 1'!Z762, "  ",'Level 1'!AA762, " ","Insurance: ",'Level 1'!A762)</f>
        <v>Detail: Note  Q1  01-00-1900; Q2   Payment  Q4    Q5    Additional Notes:   Insurance: Forward Health</v>
      </c>
      <c r="C762" s="60" t="str">
        <f>'Level 1'!Y762</f>
        <v>Action</v>
      </c>
      <c r="D762" s="44" t="str">
        <f>VLOOKUP(C762,Table2[#All],3,FALSE)</f>
        <v>What we need from you/Reason</v>
      </c>
      <c r="E762" s="75" t="s">
        <v>199</v>
      </c>
      <c r="F762" s="96"/>
      <c r="G762" s="97"/>
    </row>
    <row r="763" spans="1:7" ht="21" x14ac:dyDescent="0.25">
      <c r="A763" s="43" t="str">
        <f>CONCATENATE("Pt Id:",'Level 1'!E763," ","Pt Name: ",'Level 1'!F763," ","DOS: ", TEXT('Level 1'!H763,"mm-dd-yyyy"),"  "," Amnt: ","$",'Level 1'!J763,"  ", 'Level 1'!N763)</f>
        <v>Pt Id:8890 Pt Name: Harris , Kylie  DOS: 03-04-2022   Amnt: $134.4  Note</v>
      </c>
      <c r="B763" s="43" t="str">
        <f>CONCATENATE("Detail: ",'Level 1'!N763,"  ",'Level 1'!O763,TEXT('Level 1'!P763,"  mm-dd-yyyy"),";"," ",'Level 1'!Q763,'Level 1'!R763,"  ",'Level 1'!T763," ","Payment "," ",'Level 1'!U763,"  ",'Level 1'!V763,"  ",'Level 1'!W763,"  ",'Level 1'!X763,"  ",'Level 1'!Z763, "  ",'Level 1'!AA763, " ","Insurance: ",'Level 1'!A763)</f>
        <v>Detail: Note  Q1  01-00-1900; Q2   Payment  Q4    Q5    Additional Notes:   Insurance: Forward Health</v>
      </c>
      <c r="C763" s="60" t="str">
        <f>'Level 1'!Y763</f>
        <v>Action</v>
      </c>
      <c r="D763" s="44" t="str">
        <f>VLOOKUP(C763,Table2[#All],3,FALSE)</f>
        <v>What we need from you/Reason</v>
      </c>
      <c r="E763" s="75" t="s">
        <v>199</v>
      </c>
      <c r="F763" s="96"/>
      <c r="G763" s="97"/>
    </row>
    <row r="764" spans="1:7" ht="42" x14ac:dyDescent="0.25">
      <c r="A764" s="43" t="str">
        <f>CONCATENATE("Pt Id:",'Level 1'!E764," ","Pt Name: ",'Level 1'!F764," ","DOS: ", TEXT('Level 1'!H764,"mm-dd-yyyy"),"  "," Amnt: ","$",'Level 1'!J764,"  ", 'Level 1'!N764)</f>
        <v>Pt Id:9149 Pt Name: Cartagena, Sulma DOS: 03-04-2022   Amnt: $545.6  Note</v>
      </c>
      <c r="B764" s="43" t="str">
        <f>CONCATENATE("Detail: ",'Level 1'!N764,"  ",'Level 1'!O764,TEXT('Level 1'!P764,"  mm-dd-yyyy"),";"," ",'Level 1'!Q764,'Level 1'!R764,"  ",'Level 1'!T764," ","Payment "," ",'Level 1'!U764,"  ",'Level 1'!V764,"  ",'Level 1'!W764,"  ",'Level 1'!X764,"  ",'Level 1'!Z764, "  ",'Level 1'!AA764, " ","Insurance: ",'Level 1'!A764)</f>
        <v>Detail: Note  Q1  01-00-1900; Q2   Payment  Q4    Q5    Additional Notes:   Insurance: Forward Health</v>
      </c>
      <c r="C764" s="60" t="str">
        <f>'Level 1'!Y764</f>
        <v>Action</v>
      </c>
      <c r="D764" s="44" t="str">
        <f>VLOOKUP(C764,Table2[#All],3,FALSE)</f>
        <v>What we need from you/Reason</v>
      </c>
      <c r="E764" s="75" t="s">
        <v>199</v>
      </c>
      <c r="F764" s="96"/>
      <c r="G764" s="97"/>
    </row>
    <row r="765" spans="1:7" ht="21" x14ac:dyDescent="0.25">
      <c r="A765" s="43" t="str">
        <f>CONCATENATE("Pt Id:",'Level 1'!E765," ","Pt Name: ",'Level 1'!F765," ","DOS: ", TEXT('Level 1'!H765,"mm-dd-yyyy"),"  "," Amnt: ","$",'Level 1'!J765,"  ", 'Level 1'!N765)</f>
        <v>Pt Id:9107 Pt Name: Rushing , Robert  DOS: 03-04-2022   Amnt: $253.2  Note</v>
      </c>
      <c r="B765" s="43" t="str">
        <f>CONCATENATE("Detail: ",'Level 1'!N765,"  ",'Level 1'!O765,TEXT('Level 1'!P765,"  mm-dd-yyyy"),";"," ",'Level 1'!Q765,'Level 1'!R765,"  ",'Level 1'!T765," ","Payment "," ",'Level 1'!U765,"  ",'Level 1'!V765,"  ",'Level 1'!W765,"  ",'Level 1'!X765,"  ",'Level 1'!Z765, "  ",'Level 1'!AA765, " ","Insurance: ",'Level 1'!A765)</f>
        <v>Detail: Note  Q1  01-00-1900; Q2   Payment  Q4    Q5    Additional Notes:   Insurance: Forward Health</v>
      </c>
      <c r="C765" s="60" t="str">
        <f>'Level 1'!Y765</f>
        <v>Action</v>
      </c>
      <c r="D765" s="44" t="str">
        <f>VLOOKUP(C765,Table2[#All],3,FALSE)</f>
        <v>What we need from you/Reason</v>
      </c>
      <c r="E765" s="75" t="s">
        <v>199</v>
      </c>
      <c r="F765" s="96"/>
      <c r="G765" s="97"/>
    </row>
    <row r="766" spans="1:7" ht="21" x14ac:dyDescent="0.25">
      <c r="A766" s="43" t="str">
        <f>CONCATENATE("Pt Id:",'Level 1'!E766," ","Pt Name: ",'Level 1'!F766," ","DOS: ", TEXT('Level 1'!H766,"mm-dd-yyyy"),"  "," Amnt: ","$",'Level 1'!J766,"  ", 'Level 1'!N766)</f>
        <v>Pt Id:9042 Pt Name: Wagner , Patricia DOS: 02-28-2022   Amnt: $270.8  Note</v>
      </c>
      <c r="B766" s="43" t="str">
        <f>CONCATENATE("Detail: ",'Level 1'!N766,"  ",'Level 1'!O766,TEXT('Level 1'!P766,"  mm-dd-yyyy"),";"," ",'Level 1'!Q766,'Level 1'!R766,"  ",'Level 1'!T766," ","Payment "," ",'Level 1'!U766,"  ",'Level 1'!V766,"  ",'Level 1'!W766,"  ",'Level 1'!X766,"  ",'Level 1'!Z766, "  ",'Level 1'!AA766, " ","Insurance: ",'Level 1'!A766)</f>
        <v>Detail: Note  Q1  01-00-1900; Q2   Payment  Q4    Q5    Additional Notes:   Insurance: Forward Health</v>
      </c>
      <c r="C766" s="60" t="str">
        <f>'Level 1'!Y766</f>
        <v>Action</v>
      </c>
      <c r="D766" s="44" t="str">
        <f>VLOOKUP(C766,Table2[#All],3,FALSE)</f>
        <v>What we need from you/Reason</v>
      </c>
      <c r="E766" s="75" t="s">
        <v>199</v>
      </c>
      <c r="F766" s="96"/>
      <c r="G766" s="97"/>
    </row>
    <row r="767" spans="1:7" ht="21" x14ac:dyDescent="0.25">
      <c r="A767" s="43" t="str">
        <f>CONCATENATE("Pt Id:",'Level 1'!E767," ","Pt Name: ",'Level 1'!F767," ","DOS: ", TEXT('Level 1'!H767,"mm-dd-yyyy"),"  "," Amnt: ","$",'Level 1'!J767,"  ", 'Level 1'!N767)</f>
        <v>Pt Id:8927 Pt Name: Woodall, Anthony  DOS: 02-28-2022   Amnt: $162  Note</v>
      </c>
      <c r="B767" s="43" t="str">
        <f>CONCATENATE("Detail: ",'Level 1'!N767,"  ",'Level 1'!O767,TEXT('Level 1'!P767,"  mm-dd-yyyy"),";"," ",'Level 1'!Q767,'Level 1'!R767,"  ",'Level 1'!T767," ","Payment "," ",'Level 1'!U767,"  ",'Level 1'!V767,"  ",'Level 1'!W767,"  ",'Level 1'!X767,"  ",'Level 1'!Z767, "  ",'Level 1'!AA767, " ","Insurance: ",'Level 1'!A767)</f>
        <v>Detail: Note  Q1  01-00-1900; Q2   Payment  Q4    Q5    Additional Notes:   Insurance: Forward Health</v>
      </c>
      <c r="C767" s="60" t="str">
        <f>'Level 1'!Y767</f>
        <v>Action</v>
      </c>
      <c r="D767" s="44" t="str">
        <f>VLOOKUP(C767,Table2[#All],3,FALSE)</f>
        <v>What we need from you/Reason</v>
      </c>
      <c r="E767" s="75" t="s">
        <v>199</v>
      </c>
      <c r="F767" s="96"/>
      <c r="G767" s="97"/>
    </row>
    <row r="768" spans="1:7" ht="21" x14ac:dyDescent="0.25">
      <c r="A768" s="43" t="str">
        <f>CONCATENATE("Pt Id:",'Level 1'!E768," ","Pt Name: ",'Level 1'!F768," ","DOS: ", TEXT('Level 1'!H768,"mm-dd-yyyy"),"  "," Amnt: ","$",'Level 1'!J768,"  ", 'Level 1'!N768)</f>
        <v>Pt Id:9158 Pt Name: Fleming , Glenn DOS: 03-03-2022   Amnt: $186  Note</v>
      </c>
      <c r="B768" s="43" t="str">
        <f>CONCATENATE("Detail: ",'Level 1'!N768,"  ",'Level 1'!O768,TEXT('Level 1'!P768,"  mm-dd-yyyy"),";"," ",'Level 1'!Q768,'Level 1'!R768,"  ",'Level 1'!T768," ","Payment "," ",'Level 1'!U768,"  ",'Level 1'!V768,"  ",'Level 1'!W768,"  ",'Level 1'!X768,"  ",'Level 1'!Z768, "  ",'Level 1'!AA768, " ","Insurance: ",'Level 1'!A768)</f>
        <v>Detail: Note  Q1  01-00-1900; Q2   Payment  Q4    Q5    Additional Notes:   Insurance: Forward Health</v>
      </c>
      <c r="C768" s="60" t="str">
        <f>'Level 1'!Y768</f>
        <v>Action</v>
      </c>
      <c r="D768" s="44" t="str">
        <f>VLOOKUP(C768,Table2[#All],3,FALSE)</f>
        <v>What we need from you/Reason</v>
      </c>
      <c r="E768" s="75" t="s">
        <v>199</v>
      </c>
      <c r="F768" s="96"/>
      <c r="G768" s="97"/>
    </row>
    <row r="769" spans="1:7" ht="21" x14ac:dyDescent="0.25">
      <c r="A769" s="43" t="str">
        <f>CONCATENATE("Pt Id:",'Level 1'!E769," ","Pt Name: ",'Level 1'!F769," ","DOS: ", TEXT('Level 1'!H769,"mm-dd-yyyy"),"  "," Amnt: ","$",'Level 1'!J769,"  ", 'Level 1'!N769)</f>
        <v>Pt Id:9157 Pt Name: Miller , Renee DOS: 03-03-2022   Amnt: $157.2  Note</v>
      </c>
      <c r="B769" s="43" t="str">
        <f>CONCATENATE("Detail: ",'Level 1'!N769,"  ",'Level 1'!O769,TEXT('Level 1'!P769,"  mm-dd-yyyy"),";"," ",'Level 1'!Q769,'Level 1'!R769,"  ",'Level 1'!T769," ","Payment "," ",'Level 1'!U769,"  ",'Level 1'!V769,"  ",'Level 1'!W769,"  ",'Level 1'!X769,"  ",'Level 1'!Z769, "  ",'Level 1'!AA769, " ","Insurance: ",'Level 1'!A769)</f>
        <v>Detail: Note  Q1  01-00-1900; Q2   Payment  Q4    Q5    Additional Notes:   Insurance: Forward Health</v>
      </c>
      <c r="C769" s="60" t="str">
        <f>'Level 1'!Y769</f>
        <v>Action</v>
      </c>
      <c r="D769" s="44" t="str">
        <f>VLOOKUP(C769,Table2[#All],3,FALSE)</f>
        <v>What we need from you/Reason</v>
      </c>
      <c r="E769" s="75" t="s">
        <v>199</v>
      </c>
      <c r="F769" s="96"/>
      <c r="G769" s="97"/>
    </row>
    <row r="770" spans="1:7" ht="21" x14ac:dyDescent="0.25">
      <c r="A770" s="43" t="str">
        <f>CONCATENATE("Pt Id:",'Level 1'!E770," ","Pt Name: ",'Level 1'!F770," ","DOS: ", TEXT('Level 1'!H770,"mm-dd-yyyy"),"  "," Amnt: ","$",'Level 1'!J770,"  ", 'Level 1'!N770)</f>
        <v>Pt Id:9121 Pt Name: Ahrens , Carrie  DOS: 03-02-2022   Amnt: $114  Note</v>
      </c>
      <c r="B770" s="43" t="str">
        <f>CONCATENATE("Detail: ",'Level 1'!N770,"  ",'Level 1'!O770,TEXT('Level 1'!P770,"  mm-dd-yyyy"),";"," ",'Level 1'!Q770,'Level 1'!R770,"  ",'Level 1'!T770," ","Payment "," ",'Level 1'!U770,"  ",'Level 1'!V770,"  ",'Level 1'!W770,"  ",'Level 1'!X770,"  ",'Level 1'!Z770, "  ",'Level 1'!AA770, " ","Insurance: ",'Level 1'!A770)</f>
        <v>Detail: Note  Q1  01-00-1900; Q2   Payment  Q4    Q5    Additional Notes:   Insurance: Forward Health</v>
      </c>
      <c r="C770" s="60" t="str">
        <f>'Level 1'!Y770</f>
        <v>Action</v>
      </c>
      <c r="D770" s="44" t="str">
        <f>VLOOKUP(C770,Table2[#All],3,FALSE)</f>
        <v>What we need from you/Reason</v>
      </c>
      <c r="E770" s="75" t="s">
        <v>199</v>
      </c>
      <c r="F770" s="96"/>
      <c r="G770" s="97"/>
    </row>
    <row r="771" spans="1:7" ht="21" x14ac:dyDescent="0.25">
      <c r="A771" s="43" t="str">
        <f>CONCATENATE("Pt Id:",'Level 1'!E771," ","Pt Name: ",'Level 1'!F771," ","DOS: ", TEXT('Level 1'!H771,"mm-dd-yyyy"),"  "," Amnt: ","$",'Level 1'!J771,"  ", 'Level 1'!N771)</f>
        <v>Pt Id:9168 Pt Name: Kaczmarek, Robin  DOS: 03-02-2022   Amnt: $186  Note</v>
      </c>
      <c r="B771" s="43" t="str">
        <f>CONCATENATE("Detail: ",'Level 1'!N771,"  ",'Level 1'!O771,TEXT('Level 1'!P771,"  mm-dd-yyyy"),";"," ",'Level 1'!Q771,'Level 1'!R771,"  ",'Level 1'!T771," ","Payment "," ",'Level 1'!U771,"  ",'Level 1'!V771,"  ",'Level 1'!W771,"  ",'Level 1'!X771,"  ",'Level 1'!Z771, "  ",'Level 1'!AA771, " ","Insurance: ",'Level 1'!A771)</f>
        <v>Detail: Note  Q1  01-00-1900; Q2   Payment  Q4    Q5    Additional Notes:   Insurance: Forward Health</v>
      </c>
      <c r="C771" s="60" t="str">
        <f>'Level 1'!Y771</f>
        <v>Action</v>
      </c>
      <c r="D771" s="44" t="str">
        <f>VLOOKUP(C771,Table2[#All],3,FALSE)</f>
        <v>What we need from you/Reason</v>
      </c>
      <c r="E771" s="75" t="s">
        <v>199</v>
      </c>
      <c r="F771" s="96"/>
      <c r="G771" s="97"/>
    </row>
    <row r="772" spans="1:7" ht="42" x14ac:dyDescent="0.25">
      <c r="A772" s="43" t="str">
        <f>CONCATENATE("Pt Id:",'Level 1'!E772," ","Pt Name: ",'Level 1'!F772," ","DOS: ", TEXT('Level 1'!H772,"mm-dd-yyyy"),"  "," Amnt: ","$",'Level 1'!J772,"  ", 'Level 1'!N772)</f>
        <v>Pt Id:1196 Pt Name: Lopez Ramirez, Evelyn DOS: 03-02-2022   Amnt: $266  Note</v>
      </c>
      <c r="B772" s="43" t="str">
        <f>CONCATENATE("Detail: ",'Level 1'!N772,"  ",'Level 1'!O772,TEXT('Level 1'!P772,"  mm-dd-yyyy"),";"," ",'Level 1'!Q772,'Level 1'!R772,"  ",'Level 1'!T772," ","Payment "," ",'Level 1'!U772,"  ",'Level 1'!V772,"  ",'Level 1'!W772,"  ",'Level 1'!X772,"  ",'Level 1'!Z772, "  ",'Level 1'!AA772, " ","Insurance: ",'Level 1'!A772)</f>
        <v>Detail: Note  Q1  01-00-1900; Q2   Payment  Q4    Q5    Additional Notes:   Insurance: Forward Health</v>
      </c>
      <c r="C772" s="60" t="str">
        <f>'Level 1'!Y772</f>
        <v>Action</v>
      </c>
      <c r="D772" s="44" t="str">
        <f>VLOOKUP(C772,Table2[#All],3,FALSE)</f>
        <v>What we need from you/Reason</v>
      </c>
      <c r="E772" s="75" t="s">
        <v>199</v>
      </c>
      <c r="F772" s="96"/>
      <c r="G772" s="97"/>
    </row>
    <row r="773" spans="1:7" ht="42" x14ac:dyDescent="0.25">
      <c r="A773" s="43" t="str">
        <f>CONCATENATE("Pt Id:",'Level 1'!E773," ","Pt Name: ",'Level 1'!F773," ","DOS: ", TEXT('Level 1'!H773,"mm-dd-yyyy"),"  "," Amnt: ","$",'Level 1'!J773,"  ", 'Level 1'!N773)</f>
        <v>Pt Id:3475 Pt Name: MCKENNEY , BRYCE  DOS: 03-01-2022   Amnt: $266  Note</v>
      </c>
      <c r="B773" s="43" t="str">
        <f>CONCATENATE("Detail: ",'Level 1'!N773,"  ",'Level 1'!O773,TEXT('Level 1'!P773,"  mm-dd-yyyy"),";"," ",'Level 1'!Q773,'Level 1'!R773,"  ",'Level 1'!T773," ","Payment "," ",'Level 1'!U773,"  ",'Level 1'!V773,"  ",'Level 1'!W773,"  ",'Level 1'!X773,"  ",'Level 1'!Z773, "  ",'Level 1'!AA773, " ","Insurance: ",'Level 1'!A773)</f>
        <v>Detail: Note  Q1  01-00-1900; Q2   Payment  Q4    Q5    Additional Notes:   Insurance: Forward Health</v>
      </c>
      <c r="C773" s="60" t="str">
        <f>'Level 1'!Y773</f>
        <v>Action</v>
      </c>
      <c r="D773" s="44" t="str">
        <f>VLOOKUP(C773,Table2[#All],3,FALSE)</f>
        <v>What we need from you/Reason</v>
      </c>
      <c r="E773" s="75" t="s">
        <v>199</v>
      </c>
      <c r="F773" s="96"/>
      <c r="G773" s="97"/>
    </row>
    <row r="774" spans="1:7" ht="21" x14ac:dyDescent="0.25">
      <c r="A774" s="43" t="str">
        <f>CONCATENATE("Pt Id:",'Level 1'!E774," ","Pt Name: ",'Level 1'!F774," ","DOS: ", TEXT('Level 1'!H774,"mm-dd-yyyy"),"  "," Amnt: ","$",'Level 1'!J774,"  ", 'Level 1'!N774)</f>
        <v>Pt Id:7724 Pt Name: Just , Angela  DOS: 03-01-2022   Amnt: $226.8  Note</v>
      </c>
      <c r="B774" s="43" t="str">
        <f>CONCATENATE("Detail: ",'Level 1'!N774,"  ",'Level 1'!O774,TEXT('Level 1'!P774,"  mm-dd-yyyy"),";"," ",'Level 1'!Q774,'Level 1'!R774,"  ",'Level 1'!T774," ","Payment "," ",'Level 1'!U774,"  ",'Level 1'!V774,"  ",'Level 1'!W774,"  ",'Level 1'!X774,"  ",'Level 1'!Z774, "  ",'Level 1'!AA774, " ","Insurance: ",'Level 1'!A774)</f>
        <v>Detail: Note  Q1  01-00-1900; Q2   Payment  Q4    Q5    Additional Notes:   Insurance: Forward Health</v>
      </c>
      <c r="C774" s="60" t="str">
        <f>'Level 1'!Y774</f>
        <v>Action</v>
      </c>
      <c r="D774" s="44" t="str">
        <f>VLOOKUP(C774,Table2[#All],3,FALSE)</f>
        <v>What we need from you/Reason</v>
      </c>
      <c r="E774" s="75" t="s">
        <v>199</v>
      </c>
      <c r="F774" s="96"/>
      <c r="G774" s="97"/>
    </row>
    <row r="775" spans="1:7" ht="21" x14ac:dyDescent="0.25">
      <c r="A775" s="43" t="str">
        <f>CONCATENATE("Pt Id:",'Level 1'!E775," ","Pt Name: ",'Level 1'!F775," ","DOS: ", TEXT('Level 1'!H775,"mm-dd-yyyy"),"  "," Amnt: ","$",'Level 1'!J775,"  ", 'Level 1'!N775)</f>
        <v>Pt Id:2918 Pt Name: RAMIREZ, GINA DOS: 03-01-2022   Amnt: $756  Note</v>
      </c>
      <c r="B775" s="43" t="str">
        <f>CONCATENATE("Detail: ",'Level 1'!N775,"  ",'Level 1'!O775,TEXT('Level 1'!P775,"  mm-dd-yyyy"),";"," ",'Level 1'!Q775,'Level 1'!R775,"  ",'Level 1'!T775," ","Payment "," ",'Level 1'!U775,"  ",'Level 1'!V775,"  ",'Level 1'!W775,"  ",'Level 1'!X775,"  ",'Level 1'!Z775, "  ",'Level 1'!AA775, " ","Insurance: ",'Level 1'!A775)</f>
        <v>Detail: Note  Q1  01-00-1900; Q2   Payment  Q4    Q5    Additional Notes:   Insurance: Forward Health</v>
      </c>
      <c r="C775" s="60" t="str">
        <f>'Level 1'!Y775</f>
        <v>Action</v>
      </c>
      <c r="D775" s="44" t="str">
        <f>VLOOKUP(C775,Table2[#All],3,FALSE)</f>
        <v>What we need from you/Reason</v>
      </c>
      <c r="E775" s="75" t="s">
        <v>199</v>
      </c>
      <c r="F775" s="96"/>
      <c r="G775" s="97"/>
    </row>
    <row r="776" spans="1:7" ht="21" x14ac:dyDescent="0.25">
      <c r="A776" s="43" t="str">
        <f>CONCATENATE("Pt Id:",'Level 1'!E776," ","Pt Name: ",'Level 1'!F776," ","DOS: ", TEXT('Level 1'!H776,"mm-dd-yyyy"),"  "," Amnt: ","$",'Level 1'!J776,"  ", 'Level 1'!N776)</f>
        <v>Pt Id:6188 Pt Name: Mall, Yuna  DOS: 03-01-2022   Amnt: $820  Note</v>
      </c>
      <c r="B776" s="43" t="str">
        <f>CONCATENATE("Detail: ",'Level 1'!N776,"  ",'Level 1'!O776,TEXT('Level 1'!P776,"  mm-dd-yyyy"),";"," ",'Level 1'!Q776,'Level 1'!R776,"  ",'Level 1'!T776," ","Payment "," ",'Level 1'!U776,"  ",'Level 1'!V776,"  ",'Level 1'!W776,"  ",'Level 1'!X776,"  ",'Level 1'!Z776, "  ",'Level 1'!AA776, " ","Insurance: ",'Level 1'!A776)</f>
        <v>Detail: Note  Q1  01-00-1900; Q2   Payment  Q4    Q5    Additional Notes:   Insurance: Forward Health</v>
      </c>
      <c r="C776" s="60" t="str">
        <f>'Level 1'!Y776</f>
        <v>Action</v>
      </c>
      <c r="D776" s="44" t="str">
        <f>VLOOKUP(C776,Table2[#All],3,FALSE)</f>
        <v>What we need from you/Reason</v>
      </c>
      <c r="E776" s="75" t="s">
        <v>199</v>
      </c>
      <c r="F776" s="96"/>
      <c r="G776" s="97"/>
    </row>
    <row r="777" spans="1:7" ht="21" x14ac:dyDescent="0.25">
      <c r="A777" s="43" t="str">
        <f>CONCATENATE("Pt Id:",'Level 1'!E777," ","Pt Name: ",'Level 1'!F777," ","DOS: ", TEXT('Level 1'!H777,"mm-dd-yyyy"),"  "," Amnt: ","$",'Level 1'!J777,"  ", 'Level 1'!N777)</f>
        <v>Pt Id:962 Pt Name: Taborn, Tashima DOS: 03-01-2022   Amnt: $266  Note</v>
      </c>
      <c r="B777" s="43" t="str">
        <f>CONCATENATE("Detail: ",'Level 1'!N777,"  ",'Level 1'!O777,TEXT('Level 1'!P777,"  mm-dd-yyyy"),";"," ",'Level 1'!Q777,'Level 1'!R777,"  ",'Level 1'!T777," ","Payment "," ",'Level 1'!U777,"  ",'Level 1'!V777,"  ",'Level 1'!W777,"  ",'Level 1'!X777,"  ",'Level 1'!Z777, "  ",'Level 1'!AA777, " ","Insurance: ",'Level 1'!A777)</f>
        <v>Detail: Note  Q1  01-00-1900; Q2   Payment  Q4    Q5    Additional Notes:   Insurance: Forward Health</v>
      </c>
      <c r="C777" s="60" t="str">
        <f>'Level 1'!Y777</f>
        <v>Action</v>
      </c>
      <c r="D777" s="44" t="str">
        <f>VLOOKUP(C777,Table2[#All],3,FALSE)</f>
        <v>What we need from you/Reason</v>
      </c>
      <c r="E777" s="75" t="s">
        <v>199</v>
      </c>
      <c r="F777" s="96"/>
      <c r="G777" s="97"/>
    </row>
    <row r="778" spans="1:7" ht="21" x14ac:dyDescent="0.25">
      <c r="A778" s="43" t="str">
        <f>CONCATENATE("Pt Id:",'Level 1'!E778," ","Pt Name: ",'Level 1'!F778," ","DOS: ", TEXT('Level 1'!H778,"mm-dd-yyyy"),"  "," Amnt: ","$",'Level 1'!J778,"  ", 'Level 1'!N778)</f>
        <v>Pt Id:6433 Pt Name: Freed , Cynthia  DOS: 02-11-2022   Amnt: $528  Note</v>
      </c>
      <c r="B778" s="43" t="str">
        <f>CONCATENATE("Detail: ",'Level 1'!N778,"  ",'Level 1'!O778,TEXT('Level 1'!P778,"  mm-dd-yyyy"),";"," ",'Level 1'!Q778,'Level 1'!R778,"  ",'Level 1'!T778," ","Payment "," ",'Level 1'!U778,"  ",'Level 1'!V778,"  ",'Level 1'!W778,"  ",'Level 1'!X778,"  ",'Level 1'!Z778, "  ",'Level 1'!AA778, " ","Insurance: ",'Level 1'!A778)</f>
        <v>Detail: Note  Q1  01-00-1900; Q2   Payment  Q4    Q5    Additional Notes:   Insurance: Forward Health</v>
      </c>
      <c r="C778" s="60" t="str">
        <f>'Level 1'!Y778</f>
        <v>Action</v>
      </c>
      <c r="D778" s="44" t="str">
        <f>VLOOKUP(C778,Table2[#All],3,FALSE)</f>
        <v>What we need from you/Reason</v>
      </c>
      <c r="E778" s="75" t="s">
        <v>199</v>
      </c>
      <c r="F778" s="96"/>
      <c r="G778" s="97"/>
    </row>
    <row r="779" spans="1:7" ht="42" x14ac:dyDescent="0.25">
      <c r="A779" s="43" t="str">
        <f>CONCATENATE("Pt Id:",'Level 1'!E779," ","Pt Name: ",'Level 1'!F779," ","DOS: ", TEXT('Level 1'!H779,"mm-dd-yyyy"),"  "," Amnt: ","$",'Level 1'!J779,"  ", 'Level 1'!N779)</f>
        <v>Pt Id:9140 Pt Name: Espinoza , Juanmanuel DOS: 02-25-2022   Amnt: $1596.8  Note</v>
      </c>
      <c r="B779" s="43" t="str">
        <f>CONCATENATE("Detail: ",'Level 1'!N779,"  ",'Level 1'!O779,TEXT('Level 1'!P779,"  mm-dd-yyyy"),";"," ",'Level 1'!Q779,'Level 1'!R779,"  ",'Level 1'!T779," ","Payment "," ",'Level 1'!U779,"  ",'Level 1'!V779,"  ",'Level 1'!W779,"  ",'Level 1'!X779,"  ",'Level 1'!Z779, "  ",'Level 1'!AA779, " ","Insurance: ",'Level 1'!A779)</f>
        <v>Detail: Note  Q1  01-00-1900; Q2   Payment  Q4    Q5    Additional Notes:   Insurance: Forward Health</v>
      </c>
      <c r="C779" s="60" t="str">
        <f>'Level 1'!Y779</f>
        <v>Action</v>
      </c>
      <c r="D779" s="44" t="str">
        <f>VLOOKUP(C779,Table2[#All],3,FALSE)</f>
        <v>What we need from you/Reason</v>
      </c>
      <c r="E779" s="75" t="s">
        <v>199</v>
      </c>
      <c r="F779" s="96"/>
      <c r="G779" s="97"/>
    </row>
    <row r="780" spans="1:7" ht="21" x14ac:dyDescent="0.25">
      <c r="A780" s="43" t="str">
        <f>CONCATENATE("Pt Id:",'Level 1'!E780," ","Pt Name: ",'Level 1'!F780," ","DOS: ", TEXT('Level 1'!H780,"mm-dd-yyyy"),"  "," Amnt: ","$",'Level 1'!J780,"  ", 'Level 1'!N780)</f>
        <v>Pt Id:8890 Pt Name: Harris , Kylie  DOS: 01-26-2022   Amnt: $332.4  Note</v>
      </c>
      <c r="B780" s="43" t="str">
        <f>CONCATENATE("Detail: ",'Level 1'!N780,"  ",'Level 1'!O780,TEXT('Level 1'!P780,"  mm-dd-yyyy"),";"," ",'Level 1'!Q780,'Level 1'!R780,"  ",'Level 1'!T780," ","Payment "," ",'Level 1'!U780,"  ",'Level 1'!V780,"  ",'Level 1'!W780,"  ",'Level 1'!X780,"  ",'Level 1'!Z780, "  ",'Level 1'!AA780, " ","Insurance: ",'Level 1'!A780)</f>
        <v>Detail: Note  Q1  01-00-1900; Q2   Payment  Q4    Q5    Additional Notes:   Insurance: Forward Health</v>
      </c>
      <c r="C780" s="60" t="str">
        <f>'Level 1'!Y780</f>
        <v>Action</v>
      </c>
      <c r="D780" s="44" t="str">
        <f>VLOOKUP(C780,Table2[#All],3,FALSE)</f>
        <v>What we need from you/Reason</v>
      </c>
      <c r="E780" s="75" t="s">
        <v>199</v>
      </c>
      <c r="F780" s="96"/>
      <c r="G780" s="97"/>
    </row>
    <row r="781" spans="1:7" ht="42" x14ac:dyDescent="0.25">
      <c r="A781" s="43" t="str">
        <f>CONCATENATE("Pt Id:",'Level 1'!E781," ","Pt Name: ",'Level 1'!F781," ","DOS: ", TEXT('Level 1'!H781,"mm-dd-yyyy"),"  "," Amnt: ","$",'Level 1'!J781,"  ", 'Level 1'!N781)</f>
        <v>Pt Id:6034 Pt Name: Anderson, Jaxson  DOS: 01-28-2022   Amnt: $462.8  Note</v>
      </c>
      <c r="B781" s="43" t="str">
        <f>CONCATENATE("Detail: ",'Level 1'!N781,"  ",'Level 1'!O781,TEXT('Level 1'!P781,"  mm-dd-yyyy"),";"," ",'Level 1'!Q781,'Level 1'!R781,"  ",'Level 1'!T781," ","Payment "," ",'Level 1'!U781,"  ",'Level 1'!V781,"  ",'Level 1'!W781,"  ",'Level 1'!X781,"  ",'Level 1'!Z781, "  ",'Level 1'!AA781, " ","Insurance: ",'Level 1'!A781)</f>
        <v>Detail: Note  Q1  01-00-1900; Q2   Payment  Q4    Q5    Additional Notes:   Insurance: Forward Health</v>
      </c>
      <c r="C781" s="60" t="str">
        <f>'Level 1'!Y781</f>
        <v>Action</v>
      </c>
      <c r="D781" s="44" t="str">
        <f>VLOOKUP(C781,Table2[#All],3,FALSE)</f>
        <v>What we need from you/Reason</v>
      </c>
      <c r="E781" s="75" t="s">
        <v>199</v>
      </c>
      <c r="F781" s="96"/>
      <c r="G781" s="97"/>
    </row>
    <row r="782" spans="1:7" ht="21" x14ac:dyDescent="0.25">
      <c r="A782" s="43" t="str">
        <f>CONCATENATE("Pt Id:",'Level 1'!E782," ","Pt Name: ",'Level 1'!F782," ","DOS: ", TEXT('Level 1'!H782,"mm-dd-yyyy"),"  "," Amnt: ","$",'Level 1'!J782,"  ", 'Level 1'!N782)</f>
        <v>Pt Id:9062 Pt Name: Patel , Sherri DOS: 02-12-2022   Amnt: $252  Note</v>
      </c>
      <c r="B782" s="43" t="str">
        <f>CONCATENATE("Detail: ",'Level 1'!N782,"  ",'Level 1'!O782,TEXT('Level 1'!P782,"  mm-dd-yyyy"),";"," ",'Level 1'!Q782,'Level 1'!R782,"  ",'Level 1'!T782," ","Payment "," ",'Level 1'!U782,"  ",'Level 1'!V782,"  ",'Level 1'!W782,"  ",'Level 1'!X782,"  ",'Level 1'!Z782, "  ",'Level 1'!AA782, " ","Insurance: ",'Level 1'!A782)</f>
        <v>Detail: Note  Q1  01-00-1900; Q2   Payment  Q4    Q5    Additional Notes:   Insurance: Forward Health</v>
      </c>
      <c r="C782" s="60" t="str">
        <f>'Level 1'!Y782</f>
        <v>Action</v>
      </c>
      <c r="D782" s="44" t="str">
        <f>VLOOKUP(C782,Table2[#All],3,FALSE)</f>
        <v>What we need from you/Reason</v>
      </c>
      <c r="E782" s="75" t="s">
        <v>199</v>
      </c>
      <c r="F782" s="96"/>
      <c r="G782" s="97"/>
    </row>
    <row r="783" spans="1:7" ht="42" x14ac:dyDescent="0.25">
      <c r="A783" s="43" t="str">
        <f>CONCATENATE("Pt Id:",'Level 1'!E783," ","Pt Name: ",'Level 1'!F783," ","DOS: ", TEXT('Level 1'!H783,"mm-dd-yyyy"),"  "," Amnt: ","$",'Level 1'!J783,"  ", 'Level 1'!N783)</f>
        <v>Pt Id:7957 Pt Name: FLORES, REYMUNDO DOS: 11-30-2021   Amnt: $82.8  Note</v>
      </c>
      <c r="B783" s="43" t="str">
        <f>CONCATENATE("Detail: ",'Level 1'!N783,"  ",'Level 1'!O783,TEXT('Level 1'!P783,"  mm-dd-yyyy"),";"," ",'Level 1'!Q783,'Level 1'!R783,"  ",'Level 1'!T783," ","Payment "," ",'Level 1'!U783,"  ",'Level 1'!V783,"  ",'Level 1'!W783,"  ",'Level 1'!X783,"  ",'Level 1'!Z783, "  ",'Level 1'!AA783, " ","Insurance: ",'Level 1'!A783)</f>
        <v>Detail: Note  Q1  01-00-1900; Q2   Payment  Q4    Q5    Additional Notes:   Insurance: Forward Health</v>
      </c>
      <c r="C783" s="60" t="str">
        <f>'Level 1'!Y783</f>
        <v>Action</v>
      </c>
      <c r="D783" s="44" t="str">
        <f>VLOOKUP(C783,Table2[#All],3,FALSE)</f>
        <v>What we need from you/Reason</v>
      </c>
      <c r="E783" s="75" t="s">
        <v>199</v>
      </c>
      <c r="F783" s="96"/>
      <c r="G783" s="97"/>
    </row>
    <row r="784" spans="1:7" ht="21" x14ac:dyDescent="0.25">
      <c r="A784" s="43" t="str">
        <f>CONCATENATE("Pt Id:",'Level 1'!E784," ","Pt Name: ",'Level 1'!F784," ","DOS: ", TEXT('Level 1'!H784,"mm-dd-yyyy"),"  "," Amnt: ","$",'Level 1'!J784,"  ", 'Level 1'!N784)</f>
        <v>Pt Id:8974 Pt Name: Musaitef, Suha  DOS: 02-15-2022   Amnt: $272.4  Note</v>
      </c>
      <c r="B784" s="43" t="str">
        <f>CONCATENATE("Detail: ",'Level 1'!N784,"  ",'Level 1'!O784,TEXT('Level 1'!P784,"  mm-dd-yyyy"),";"," ",'Level 1'!Q784,'Level 1'!R784,"  ",'Level 1'!T784," ","Payment "," ",'Level 1'!U784,"  ",'Level 1'!V784,"  ",'Level 1'!W784,"  ",'Level 1'!X784,"  ",'Level 1'!Z784, "  ",'Level 1'!AA784, " ","Insurance: ",'Level 1'!A784)</f>
        <v>Detail: Note  Q1  01-00-1900; Q2   Payment  Q4    Q5    Additional Notes:   Insurance: Forward Health</v>
      </c>
      <c r="C784" s="60" t="str">
        <f>'Level 1'!Y784</f>
        <v>Action</v>
      </c>
      <c r="D784" s="44" t="str">
        <f>VLOOKUP(C784,Table2[#All],3,FALSE)</f>
        <v>What we need from you/Reason</v>
      </c>
      <c r="E784" s="75" t="s">
        <v>199</v>
      </c>
      <c r="F784" s="96"/>
      <c r="G784" s="97"/>
    </row>
    <row r="785" spans="1:7" ht="21" x14ac:dyDescent="0.25">
      <c r="A785" s="43" t="str">
        <f>CONCATENATE("Pt Id:",'Level 1'!E785," ","Pt Name: ",'Level 1'!F785," ","DOS: ", TEXT('Level 1'!H785,"mm-dd-yyyy"),"  "," Amnt: ","$",'Level 1'!J785,"  ", 'Level 1'!N785)</f>
        <v>Pt Id:6956 Pt Name: Ford , Zoe  DOS: 02-15-2022   Amnt: $731.2  Note</v>
      </c>
      <c r="B785" s="43" t="str">
        <f>CONCATENATE("Detail: ",'Level 1'!N785,"  ",'Level 1'!O785,TEXT('Level 1'!P785,"  mm-dd-yyyy"),";"," ",'Level 1'!Q785,'Level 1'!R785,"  ",'Level 1'!T785," ","Payment "," ",'Level 1'!U785,"  ",'Level 1'!V785,"  ",'Level 1'!W785,"  ",'Level 1'!X785,"  ",'Level 1'!Z785, "  ",'Level 1'!AA785, " ","Insurance: ",'Level 1'!A785)</f>
        <v>Detail: Note  Q1  01-00-1900; Q2   Payment  Q4    Q5    Additional Notes:   Insurance: Forward Health</v>
      </c>
      <c r="C785" s="60" t="str">
        <f>'Level 1'!Y785</f>
        <v>Action</v>
      </c>
      <c r="D785" s="44" t="str">
        <f>VLOOKUP(C785,Table2[#All],3,FALSE)</f>
        <v>What we need from you/Reason</v>
      </c>
      <c r="E785" s="75" t="s">
        <v>199</v>
      </c>
      <c r="F785" s="96"/>
      <c r="G785" s="97"/>
    </row>
    <row r="786" spans="1:7" ht="42" x14ac:dyDescent="0.25">
      <c r="A786" s="43" t="str">
        <f>CONCATENATE("Pt Id:",'Level 1'!E786," ","Pt Name: ",'Level 1'!F786," ","DOS: ", TEXT('Level 1'!H786,"mm-dd-yyyy"),"  "," Amnt: ","$",'Level 1'!J786,"  ", 'Level 1'!N786)</f>
        <v>Pt Id:1694 Pt Name: COLLIER, ANDREW DOS: 11-18-2021   Amnt: $88.8  Note</v>
      </c>
      <c r="B786" s="43" t="str">
        <f>CONCATENATE("Detail: ",'Level 1'!N786,"  ",'Level 1'!O786,TEXT('Level 1'!P786,"  mm-dd-yyyy"),";"," ",'Level 1'!Q786,'Level 1'!R786,"  ",'Level 1'!T786," ","Payment "," ",'Level 1'!U786,"  ",'Level 1'!V786,"  ",'Level 1'!W786,"  ",'Level 1'!X786,"  ",'Level 1'!Z786, "  ",'Level 1'!AA786, " ","Insurance: ",'Level 1'!A786)</f>
        <v>Detail: Note  Q1  01-00-1900; Q2   Payment  Q4    Q5    Additional Notes:   Insurance: Forward Health</v>
      </c>
      <c r="C786" s="60" t="str">
        <f>'Level 1'!Y786</f>
        <v>Action</v>
      </c>
      <c r="D786" s="44" t="str">
        <f>VLOOKUP(C786,Table2[#All],3,FALSE)</f>
        <v>What we need from you/Reason</v>
      </c>
      <c r="E786" s="75" t="s">
        <v>199</v>
      </c>
      <c r="F786" s="96"/>
      <c r="G786" s="97"/>
    </row>
    <row r="787" spans="1:7" ht="42" x14ac:dyDescent="0.25">
      <c r="A787" s="43" t="str">
        <f>CONCATENATE("Pt Id:",'Level 1'!E787," ","Pt Name: ",'Level 1'!F787," ","DOS: ", TEXT('Level 1'!H787,"mm-dd-yyyy"),"  "," Amnt: ","$",'Level 1'!J787,"  ", 'Level 1'!N787)</f>
        <v>Pt Id:1694 Pt Name: COLLIER, ANDREW DOS: 12-28-2021   Amnt: $244.8  Note</v>
      </c>
      <c r="B787" s="43" t="str">
        <f>CONCATENATE("Detail: ",'Level 1'!N787,"  ",'Level 1'!O787,TEXT('Level 1'!P787,"  mm-dd-yyyy"),";"," ",'Level 1'!Q787,'Level 1'!R787,"  ",'Level 1'!T787," ","Payment "," ",'Level 1'!U787,"  ",'Level 1'!V787,"  ",'Level 1'!W787,"  ",'Level 1'!X787,"  ",'Level 1'!Z787, "  ",'Level 1'!AA787, " ","Insurance: ",'Level 1'!A787)</f>
        <v>Detail: Note  Q1  01-00-1900; Q2   Payment  Q4    Q5    Additional Notes:   Insurance: Forward Health</v>
      </c>
      <c r="C787" s="60" t="str">
        <f>'Level 1'!Y787</f>
        <v>Action</v>
      </c>
      <c r="D787" s="44" t="str">
        <f>VLOOKUP(C787,Table2[#All],3,FALSE)</f>
        <v>What we need from you/Reason</v>
      </c>
      <c r="E787" s="75" t="s">
        <v>199</v>
      </c>
      <c r="F787" s="96"/>
      <c r="G787" s="97"/>
    </row>
    <row r="788" spans="1:7" ht="63" x14ac:dyDescent="0.25">
      <c r="A788" s="43" t="str">
        <f>CONCATENATE("Pt Id:",'Level 1'!E788," ","Pt Name: ",'Level 1'!F788," ","DOS: ", TEXT('Level 1'!H788,"mm-dd-yyyy"),"  "," Amnt: ","$",'Level 1'!J788,"  ", 'Level 1'!N788)</f>
        <v>Pt Id:8385 Pt Name: Bey, Tieshina  DOS: 12-23-2021   Amnt: $480  Ins needs more info, need to submit;</v>
      </c>
      <c r="B788" s="43" t="str">
        <f>CONCATENATE("Detail: ",'Level 1'!N788,"  ",'Level 1'!O788,TEXT('Level 1'!P788,"  mm-dd-yyyy"),";"," ",'Level 1'!Q788,'Level 1'!R788,"  ",'Level 1'!T788," ","Payment "," ",'Level 1'!U788,"  ",'Level 1'!V788,"  ",'Level 1'!W788,"  ",'Level 1'!X788,"  ",'Level 1'!Z788, "  ",'Level 1'!AA788, " ","Insurance: ",'Level 1'!A788)</f>
        <v>Detail: Ins needs more info, need to submit;  Attachments/Info needed?Prior Authorization; Fax # (If Fax Yes):6082218616  19333635 Payment  Cust Rep:  Donna  0    Additional Notes:  Clm#: 2021365003104; Claim denied as Prior-Authorization needed for Code D4341 with Quadrant. Insurance: Forward Health</v>
      </c>
      <c r="C788" s="60" t="str">
        <f>'Level 1'!Y788</f>
        <v xml:space="preserve">Task Sub Pending Claims Queue </v>
      </c>
      <c r="D788" s="44" t="str">
        <f>VLOOKUP(C788,Table2[#All],3,FALSE)</f>
        <v>N/A</v>
      </c>
      <c r="E788" s="75" t="s">
        <v>193</v>
      </c>
      <c r="F788" s="96" t="s">
        <v>3698</v>
      </c>
      <c r="G788" s="97"/>
    </row>
    <row r="789" spans="1:7" ht="21" x14ac:dyDescent="0.25">
      <c r="A789" s="43" t="str">
        <f>CONCATENATE("Pt Id:",'Level 1'!E789," ","Pt Name: ",'Level 1'!F789," ","DOS: ", TEXT('Level 1'!H789,"mm-dd-yyyy"),"  "," Amnt: ","$",'Level 1'!J789,"  ", 'Level 1'!N789)</f>
        <v>Pt Id:8973 Pt Name: Coleman , Cedric DOS: 02-01-2022   Amnt: $498  Note</v>
      </c>
      <c r="B789" s="43" t="str">
        <f>CONCATENATE("Detail: ",'Level 1'!N789,"  ",'Level 1'!O789,TEXT('Level 1'!P789,"  mm-dd-yyyy"),";"," ",'Level 1'!Q789,'Level 1'!R789,"  ",'Level 1'!T789," ","Payment "," ",'Level 1'!U789,"  ",'Level 1'!V789,"  ",'Level 1'!W789,"  ",'Level 1'!X789,"  ",'Level 1'!Z789, "  ",'Level 1'!AA789, " ","Insurance: ",'Level 1'!A789)</f>
        <v>Detail: Note  Q1  01-00-1900; Q2   Payment  Q4    Q5    Additional Notes:   Insurance: Forward Health</v>
      </c>
      <c r="C789" s="60" t="str">
        <f>'Level 1'!Y789</f>
        <v>Action</v>
      </c>
      <c r="D789" s="44" t="str">
        <f>VLOOKUP(C789,Table2[#All],3,FALSE)</f>
        <v>What we need from you/Reason</v>
      </c>
      <c r="E789" s="75" t="s">
        <v>199</v>
      </c>
      <c r="F789" s="96"/>
      <c r="G789" s="97"/>
    </row>
    <row r="790" spans="1:7" ht="21" x14ac:dyDescent="0.25">
      <c r="A790" s="43" t="str">
        <f>CONCATENATE("Pt Id:",'Level 1'!E790," ","Pt Name: ",'Level 1'!F790," ","DOS: ", TEXT('Level 1'!H790,"mm-dd-yyyy"),"  "," Amnt: ","$",'Level 1'!J790,"  ", 'Level 1'!N790)</f>
        <v>Pt Id:4647 Pt Name: Jackson, Leslie DOS: 01-28-2022   Amnt: $88.8  Note</v>
      </c>
      <c r="B790" s="43" t="str">
        <f>CONCATENATE("Detail: ",'Level 1'!N790,"  ",'Level 1'!O790,TEXT('Level 1'!P790,"  mm-dd-yyyy"),";"," ",'Level 1'!Q790,'Level 1'!R790,"  ",'Level 1'!T790," ","Payment "," ",'Level 1'!U790,"  ",'Level 1'!V790,"  ",'Level 1'!W790,"  ",'Level 1'!X790,"  ",'Level 1'!Z790, "  ",'Level 1'!AA790, " ","Insurance: ",'Level 1'!A790)</f>
        <v>Detail: Note  Q1  01-00-1900; Q2   Payment  Q4    Q5    Additional Notes:   Insurance: Forward Health</v>
      </c>
      <c r="C790" s="60" t="str">
        <f>'Level 1'!Y790</f>
        <v>Action</v>
      </c>
      <c r="D790" s="44" t="str">
        <f>VLOOKUP(C790,Table2[#All],3,FALSE)</f>
        <v>What we need from you/Reason</v>
      </c>
      <c r="E790" s="75" t="s">
        <v>199</v>
      </c>
      <c r="F790" s="96"/>
      <c r="G790" s="97"/>
    </row>
    <row r="791" spans="1:7" ht="105" x14ac:dyDescent="0.25">
      <c r="A791" s="43" t="str">
        <f>CONCATENATE("Pt Id:",'Level 1'!E791," ","Pt Name: ",'Level 1'!F791," ","DOS: ", TEXT('Level 1'!H791,"mm-dd-yyyy"),"  "," Amnt: ","$",'Level 1'!J791,"  ", 'Level 1'!N791)</f>
        <v>Pt Id:8866 Pt Name: Campbell, Shawnah DOS: 01-14-2022   Amnt: $1516.8  Claim not on file. Patient is active ;</v>
      </c>
      <c r="B791" s="43" t="str">
        <f>CONCATENATE("Detail: ",'Level 1'!N791,"  ",'Level 1'!O791,TEXT('Level 1'!P791,"  mm-dd-yyyy"),";"," ",'Level 1'!Q791,'Level 1'!R791,"  ",'Level 1'!T791," ","Payment "," ",'Level 1'!U791,"  ",'Level 1'!V791,"  ",'Level 1'!W791,"  ",'Level 1'!X791,"  ",'Level 1'!Z791, "  ",'Level 1'!AA791, " ","Insurance: ",'Level 1'!A791)</f>
        <v>Detail: Claim not on file. Patient is active ;  Payor ID &amp; Address:WISC_TXIX; Fax # (If Fax Yes):No FAX   12 Months from DOS Payment  Call Ref#:  19275897  Cust Rep:  STEPHEN  Additional Notes:  Claim Status- Claim not on File. Patient is Active Payor ID# WISC_TXIX.  No Fax Number. Mailing Address: Forward Health, 313 Bkettner Blvd, Madison, WI - 56784.  TFL : 12 Months from the Dos. Insurance Name: Forward Health, QPS-SF. Insurance: Forward Health</v>
      </c>
      <c r="C791" s="60" t="str">
        <f>'Level 1'!Y791</f>
        <v>Task Sub Pending Claims Queue</v>
      </c>
      <c r="D791" s="44" t="str">
        <f>VLOOKUP(C791,Table2[#All],3,FALSE)</f>
        <v>N/A</v>
      </c>
      <c r="E791" s="75" t="s">
        <v>193</v>
      </c>
      <c r="F791" s="96" t="s">
        <v>3698</v>
      </c>
      <c r="G791" s="97"/>
    </row>
    <row r="792" spans="1:7" ht="63" x14ac:dyDescent="0.25">
      <c r="A792" s="43" t="str">
        <f>CONCATENATE("Pt Id:",'Level 1'!E792," ","Pt Name: ",'Level 1'!F792," ","DOS: ", TEXT('Level 1'!H792,"mm-dd-yyyy"),"  "," Amnt: ","$",'Level 1'!J792,"  ", 'Level 1'!N792)</f>
        <v>Pt Id:4822 Pt Name: Argueta, Santos DOS: 01-13-2022   Amnt: $2794.8  Attachments missing, need to submit;</v>
      </c>
      <c r="B792" s="43" t="str">
        <f>CONCATENATE("Detail: ",'Level 1'!N792,"  ",'Level 1'!O792,TEXT('Level 1'!P792,"  mm-dd-yyyy"),";"," ",'Level 1'!Q792,'Level 1'!R792,"  ",'Level 1'!T792," ","Payment "," ",'Level 1'!U792,"  ",'Level 1'!V792,"  ",'Level 1'!W792,"  ",'Level 1'!X792,"  ",'Level 1'!Z792, "  ",'Level 1'!AA792, " ","Insurance: ",'Level 1'!A792)</f>
        <v>Detail: Attachments missing, need to submit;  Attachments/Info needed?Prior Authorization; Fax # (If Fax Yes):  19275174 Payment  Cust Rep:  PAT  0    Additional Notes:  CLM# 2022017002073; Claim denied - Prior Authorization (PA) is required for this service. An approved PA was not found. Insurance: Forward Health</v>
      </c>
      <c r="C792" s="60" t="str">
        <f>'Level 1'!Y792</f>
        <v xml:space="preserve">Task Sub Pending Claims Queue </v>
      </c>
      <c r="D792" s="44" t="str">
        <f>VLOOKUP(C792,Table2[#All],3,FALSE)</f>
        <v>N/A</v>
      </c>
      <c r="E792" s="75" t="s">
        <v>193</v>
      </c>
      <c r="F792" s="96" t="s">
        <v>3698</v>
      </c>
      <c r="G792" s="97"/>
    </row>
    <row r="793" spans="1:7" ht="84" x14ac:dyDescent="0.25">
      <c r="A793" s="43" t="str">
        <f>CONCATENATE("Pt Id:",'Level 1'!E793," ","Pt Name: ",'Level 1'!F793," ","DOS: ", TEXT('Level 1'!H793,"mm-dd-yyyy"),"  "," Amnt: ","$",'Level 1'!J793,"  ", 'Level 1'!N793)</f>
        <v>Pt Id:8585 Pt Name: Belongia , Shelly DOS: 12-10-2021   Amnt: $414  Claim not on file. Patient is active ;</v>
      </c>
      <c r="B793" s="43" t="str">
        <f>CONCATENATE("Detail: ",'Level 1'!N793,"  ",'Level 1'!O793,TEXT('Level 1'!P793,"  mm-dd-yyyy"),";"," ",'Level 1'!Q793,'Level 1'!R793,"  ",'Level 1'!T793," ","Payment "," ",'Level 1'!U793,"  ",'Level 1'!V793,"  ",'Level 1'!W793,"  ",'Level 1'!X793,"  ",'Level 1'!Z793, "  ",'Level 1'!AA793, " ","Insurance: ",'Level 1'!A793)</f>
        <v>Detail: Claim not on file. Patient is active ;  Payor ID &amp; Address:WISC_TXIX; Fax # (If Fax Yes):  1 year from DOS Payment  Call Ref#:  19123065  Cust Rep:  Roger  Additional Notes:  Rep states that the clm is not on file, we can submitt trough electronically or the mailing address  313 Blettner Blvd , Madison, WI 53714. Insurance: Forward Health</v>
      </c>
      <c r="C793" s="60" t="str">
        <f>'Level 1'!Y793</f>
        <v>Task Sub Pending Claims Queue</v>
      </c>
      <c r="D793" s="44" t="str">
        <f>VLOOKUP(C793,Table2[#All],3,FALSE)</f>
        <v>N/A</v>
      </c>
      <c r="E793" s="75" t="s">
        <v>193</v>
      </c>
      <c r="F793" s="96" t="s">
        <v>3698</v>
      </c>
      <c r="G793" s="97"/>
    </row>
    <row r="794" spans="1:7" ht="84" x14ac:dyDescent="0.25">
      <c r="A794" s="43" t="str">
        <f>CONCATENATE("Pt Id:",'Level 1'!E794," ","Pt Name: ",'Level 1'!F794," ","DOS: ", TEXT('Level 1'!H794,"mm-dd-yyyy"),"  "," Amnt: ","$",'Level 1'!J794,"  ", 'Level 1'!N794)</f>
        <v>Pt Id:7143 Pt Name: Saldana, Ricardo DOS: 11-18-2021   Amnt: $84  Claim not on file. Patient is active ;</v>
      </c>
      <c r="B794" s="43" t="str">
        <f>CONCATENATE("Detail: ",'Level 1'!N794,"  ",'Level 1'!O794,TEXT('Level 1'!P794,"  mm-dd-yyyy"),";"," ",'Level 1'!Q794,'Level 1'!R794,"  ",'Level 1'!T794," ","Payment "," ",'Level 1'!U794,"  ",'Level 1'!V794,"  ",'Level 1'!W794,"  ",'Level 1'!X794,"  ",'Level 1'!Z794, "  ",'Level 1'!AA794, " ","Insurance: ",'Level 1'!A794)</f>
        <v>Detail: Claim not on file. Patient is active ;  Payor ID &amp; Address:WISC_TXIX; Fax # (If Fax Yes):  1 year from DOS Payment  Call Ref#:  19123065  Cust Rep:  Roger  Additional Notes:  Rep states that the clm is not on file, we can submitt trough electronically or the mailing address  313 Blettner Blvd , Madison, WI 53714. Insurance: Forward Health</v>
      </c>
      <c r="C794" s="60" t="str">
        <f>'Level 1'!Y794</f>
        <v>Task Sub Pending Claims Queue</v>
      </c>
      <c r="D794" s="44" t="str">
        <f>VLOOKUP(C794,Table2[#All],3,FALSE)</f>
        <v>N/A</v>
      </c>
      <c r="E794" s="75" t="s">
        <v>193</v>
      </c>
      <c r="F794" s="96" t="s">
        <v>3698</v>
      </c>
      <c r="G794" s="97"/>
    </row>
    <row r="795" spans="1:7" ht="63" x14ac:dyDescent="0.25">
      <c r="A795" s="43" t="str">
        <f>CONCATENATE("Pt Id:",'Level 1'!E795," ","Pt Name: ",'Level 1'!F795," ","DOS: ", TEXT('Level 1'!H795,"mm-dd-yyyy"),"  "," Amnt: ","$",'Level 1'!J795,"  ", 'Level 1'!N795)</f>
        <v>Pt Id:7143 Pt Name: Saldana, Ricardo DOS: 11-12-2021   Amnt: $244.8  Write information in Addl Notes</v>
      </c>
      <c r="B795" s="43" t="str">
        <f>CONCATENATE("Detail: ",'Level 1'!N795,"  ",'Level 1'!O795,TEXT('Level 1'!P795,"  mm-dd-yyyy"),";"," ",'Level 1'!Q795,'Level 1'!R795,"  ",'Level 1'!T795," ","Payment "," ",'Level 1'!U795,"  ",'Level 1'!V795,"  ",'Level 1'!W795,"  ",'Level 1'!X795,"  ",'Level 1'!Z795, "  ",'Level 1'!AA795, " ","Insurance: ",'Level 1'!A795)</f>
        <v>Detail: Write information in Addl Notes  Call Ref#:Amma01142022; Cust Rep:Amma   Payment            Additional Notes:  CLM# 2021348009810; Member is enrolled in a State-contracted managed care program for the Date(s) Insurance: Forward Health</v>
      </c>
      <c r="C795" s="60" t="str">
        <f>'Level 1'!Y795</f>
        <v xml:space="preserve"> Team Lead to review &amp; Follow-Up</v>
      </c>
      <c r="D795" s="44" t="e">
        <f>VLOOKUP(C795,Table2[#All],3,FALSE)</f>
        <v>#N/A</v>
      </c>
      <c r="E795" s="75" t="s">
        <v>193</v>
      </c>
      <c r="F795" s="96" t="s">
        <v>3698</v>
      </c>
      <c r="G795" s="97"/>
    </row>
    <row r="796" spans="1:7" ht="63" x14ac:dyDescent="0.25">
      <c r="A796" s="43" t="str">
        <f>CONCATENATE("Pt Id:",'Level 1'!E796," ","Pt Name: ",'Level 1'!F796," ","DOS: ", TEXT('Level 1'!H796,"mm-dd-yyyy"),"  "," Amnt: ","$",'Level 1'!J796,"  ", 'Level 1'!N796)</f>
        <v>Pt Id:8198 Pt Name: Zamora , Jill  DOS: 11-29-2021   Amnt: $690  Claim Paid by EFT;</v>
      </c>
      <c r="B796" s="43" t="str">
        <f>CONCATENATE("Detail: ",'Level 1'!N796,"  ",'Level 1'!O796,TEXT('Level 1'!P796,"  mm-dd-yyyy"),";"," ",'Level 1'!Q796,'Level 1'!R796,"  ",'Level 1'!T796," ","Payment "," ",'Level 1'!U796,"  ",'Level 1'!V796,"  ",'Level 1'!W796,"  ",'Level 1'!X796,"  ",'Level 1'!Z796, "  ",'Level 1'!AA796, " ","Insurance: ",'Level 1'!A796)</f>
        <v>Detail: Claim Paid by EFT;  Issue Date:  12-03-2021; EFT#2021336004590   Payment  Call Ref#:  Portal  Cust Rep:    Additional Notes:  Clm # 2021336004590, amt paid $578, there are five codes on the claim which is paid. Insurance: Forward Health</v>
      </c>
      <c r="C796" s="60" t="str">
        <f>'Level 1'!Y796</f>
        <v xml:space="preserve">Task Post Pmt Queue </v>
      </c>
      <c r="D796" s="44" t="str">
        <f>VLOOKUP(C796,Table2[#All],3,FALSE)</f>
        <v>N/A</v>
      </c>
      <c r="E796" s="75" t="s">
        <v>193</v>
      </c>
      <c r="F796" s="96" t="s">
        <v>3698</v>
      </c>
      <c r="G796" s="97"/>
    </row>
    <row r="797" spans="1:7" ht="63" x14ac:dyDescent="0.25">
      <c r="A797" s="43" t="str">
        <f>CONCATENATE("Pt Id:",'Level 1'!E797," ","Pt Name: ",'Level 1'!F797," ","DOS: ", TEXT('Level 1'!H797,"mm-dd-yyyy"),"  "," Amnt: ","$",'Level 1'!J797,"  ", 'Level 1'!N797)</f>
        <v>Pt Id:7041 Pt Name: Mueller , Anthony  DOS: 11-15-2021   Amnt: $702  Claim Paid by EFT;</v>
      </c>
      <c r="B797" s="43" t="str">
        <f>CONCATENATE("Detail: ",'Level 1'!N797,"  ",'Level 1'!O797,TEXT('Level 1'!P797,"  mm-dd-yyyy"),";"," ",'Level 1'!Q797,'Level 1'!R797,"  ",'Level 1'!T797," ","Payment "," ",'Level 1'!U797,"  ",'Level 1'!V797,"  ",'Level 1'!W797,"  ",'Level 1'!X797,"  ",'Level 1'!Z797, "  ",'Level 1'!AA797, " ","Insurance: ",'Level 1'!A797)</f>
        <v>Detail: Claim Paid by EFT;  Issue Date:  01-00-1900; EFT#   Payment  Call Ref#:    Cust Rep:    Additional Notes:  Got the details from the portal and EOB downloaded in the path  - 02/28/2022 SN. //  Request EOB Insurance: Forward Health</v>
      </c>
      <c r="C797" s="60" t="str">
        <f>'Level 1'!Y797</f>
        <v xml:space="preserve">Task Post Pmt Queue </v>
      </c>
      <c r="D797" s="44" t="str">
        <f>VLOOKUP(C797,Table2[#All],3,FALSE)</f>
        <v>N/A</v>
      </c>
      <c r="E797" s="75" t="s">
        <v>193</v>
      </c>
      <c r="F797" s="96" t="s">
        <v>3698</v>
      </c>
      <c r="G797" s="97"/>
    </row>
    <row r="798" spans="1:7" ht="63" x14ac:dyDescent="0.25">
      <c r="A798" s="43" t="str">
        <f>CONCATENATE("Pt Id:",'Level 1'!E798," ","Pt Name: ",'Level 1'!F798," ","DOS: ", TEXT('Level 1'!H798,"mm-dd-yyyy"),"  "," Amnt: ","$",'Level 1'!J798,"  ", 'Level 1'!N798)</f>
        <v>Pt Id:2589 Pt Name: Whiting , Meikala DOS: 11-11-2021   Amnt: $138  Claim Paid by EFT;</v>
      </c>
      <c r="B798" s="43" t="str">
        <f>CONCATENATE("Detail: ",'Level 1'!N798,"  ",'Level 1'!O798,TEXT('Level 1'!P798,"  mm-dd-yyyy"),";"," ",'Level 1'!Q798,'Level 1'!R798,"  ",'Level 1'!T798," ","Payment "," ",'Level 1'!U798,"  ",'Level 1'!V798,"  ",'Level 1'!W798,"  ",'Level 1'!X798,"  ",'Level 1'!Z798, "  ",'Level 1'!AA798, " ","Insurance: ",'Level 1'!A798)</f>
        <v>Detail: Claim Paid by EFT;  Issue Date:  11-19-2021; EFT#2021320019257   Payment  Call Ref#:  Portal  Cust Rep:    Additional Notes:  Clm #2021320019257, paid amt $110.40, there are 3 codes on the claim which is paid. Insurance: Forward Health</v>
      </c>
      <c r="C798" s="60" t="str">
        <f>'Level 1'!Y798</f>
        <v xml:space="preserve">Task Post Pmt Queue </v>
      </c>
      <c r="D798" s="44" t="str">
        <f>VLOOKUP(C798,Table2[#All],3,FALSE)</f>
        <v>N/A</v>
      </c>
      <c r="E798" s="75" t="s">
        <v>193</v>
      </c>
      <c r="F798" s="96" t="s">
        <v>3698</v>
      </c>
      <c r="G798" s="97"/>
    </row>
    <row r="799" spans="1:7" ht="63" x14ac:dyDescent="0.25">
      <c r="A799" s="43" t="str">
        <f>CONCATENATE("Pt Id:",'Level 1'!E799," ","Pt Name: ",'Level 1'!F799," ","DOS: ", TEXT('Level 1'!H799,"mm-dd-yyyy"),"  "," Amnt: ","$",'Level 1'!J799,"  ", 'Level 1'!N799)</f>
        <v>Pt Id:2582 Pt Name: Whiting, Karmen DOS: 11-11-2021   Amnt: $227.6  Claim Paid by EFT;</v>
      </c>
      <c r="B799" s="43" t="str">
        <f>CONCATENATE("Detail: ",'Level 1'!N799,"  ",'Level 1'!O799,TEXT('Level 1'!P799,"  mm-dd-yyyy"),";"," ",'Level 1'!Q799,'Level 1'!R799,"  ",'Level 1'!T799," ","Payment "," ",'Level 1'!U799,"  ",'Level 1'!V799,"  ",'Level 1'!W799,"  ",'Level 1'!X799,"  ",'Level 1'!Z799, "  ",'Level 1'!AA799, " ","Insurance: ",'Level 1'!A799)</f>
        <v>Detail: Claim Paid by EFT;  Issue Date:  11-19-2021; EFT#2021320019298   Payment  Call Ref#:  Portal  Cust Rep:    Additional Notes:  Clm #2021320019298, paid amt$180.80, there are 6codes on the claim which is paid. Insurance: Forward Health</v>
      </c>
      <c r="C799" s="60" t="str">
        <f>'Level 1'!Y799</f>
        <v xml:space="preserve">Task Post Pmt Queue </v>
      </c>
      <c r="D799" s="44" t="str">
        <f>VLOOKUP(C799,Table2[#All],3,FALSE)</f>
        <v>N/A</v>
      </c>
      <c r="E799" s="75" t="s">
        <v>193</v>
      </c>
      <c r="F799" s="96" t="s">
        <v>3698</v>
      </c>
      <c r="G799" s="97"/>
    </row>
    <row r="800" spans="1:7" ht="63" x14ac:dyDescent="0.25">
      <c r="A800" s="43" t="str">
        <f>CONCATENATE("Pt Id:",'Level 1'!E800," ","Pt Name: ",'Level 1'!F800," ","DOS: ", TEXT('Level 1'!H800,"mm-dd-yyyy"),"  "," Amnt: ","$",'Level 1'!J800,"  ", 'Level 1'!N800)</f>
        <v>Pt Id:7370 Pt Name: Verdejo, Amelia DOS: 11-10-2021   Amnt: $82.8  Claim Paid by EFT;</v>
      </c>
      <c r="B800" s="43" t="str">
        <f>CONCATENATE("Detail: ",'Level 1'!N800,"  ",'Level 1'!O800,TEXT('Level 1'!P800,"  mm-dd-yyyy"),";"," ",'Level 1'!Q800,'Level 1'!R800,"  ",'Level 1'!T800," ","Payment "," ",'Level 1'!U800,"  ",'Level 1'!V800,"  ",'Level 1'!W800,"  ",'Level 1'!X800,"  ",'Level 1'!Z800, "  ",'Level 1'!AA800, " ","Insurance: ",'Level 1'!A800)</f>
        <v>Detail: Claim Paid by EFT;  Issue Date:  11-19-2021; EFT#2021320019317   Payment  Call Ref#:  Portal  Cust Rep:    Additional Notes:  Clm #2021320019317, amt paid $82.80, there is only one code on the claim which is paid. Insurance: Forward Health</v>
      </c>
      <c r="C800" s="60" t="str">
        <f>'Level 1'!Y800</f>
        <v xml:space="preserve">Task Post Pmt Queue </v>
      </c>
      <c r="D800" s="44" t="str">
        <f>VLOOKUP(C800,Table2[#All],3,FALSE)</f>
        <v>N/A</v>
      </c>
      <c r="E800" s="75" t="s">
        <v>193</v>
      </c>
      <c r="F800" s="96" t="s">
        <v>3698</v>
      </c>
      <c r="G800" s="97"/>
    </row>
    <row r="801" spans="1:7" ht="63" x14ac:dyDescent="0.25">
      <c r="A801" s="43" t="str">
        <f>CONCATENATE("Pt Id:",'Level 1'!E801," ","Pt Name: ",'Level 1'!F801," ","DOS: ", TEXT('Level 1'!H801,"mm-dd-yyyy"),"  "," Amnt: ","$",'Level 1'!J801,"  ", 'Level 1'!N801)</f>
        <v>Pt Id:3732 Pt Name: MIAN, OMAR DOS: 11-10-2021   Amnt: $1046  Claim Paid by EFT;</v>
      </c>
      <c r="B801" s="43" t="str">
        <f>CONCATENATE("Detail: ",'Level 1'!N801,"  ",'Level 1'!O801,TEXT('Level 1'!P801,"  mm-dd-yyyy"),";"," ",'Level 1'!Q801,'Level 1'!R801,"  ",'Level 1'!T801," ","Payment "," ",'Level 1'!U801,"  ",'Level 1'!V801,"  ",'Level 1'!W801,"  ",'Level 1'!X801,"  ",'Level 1'!Z801, "  ",'Level 1'!AA801, " ","Insurance: ",'Level 1'!A801)</f>
        <v>Detail: Claim Paid by EFT;  Issue Date:  11-19-2021; EFT#2021320019308   Payment  Call Ref#:  Portal  Cust Rep:    Additional Notes:  Clm #201320019308, amt paid $870.40, there are two codes on the claim which is paid. Insurance: Forward Health</v>
      </c>
      <c r="C801" s="60" t="str">
        <f>'Level 1'!Y801</f>
        <v xml:space="preserve">Task Post Pmt Queue </v>
      </c>
      <c r="D801" s="44" t="str">
        <f>VLOOKUP(C801,Table2[#All],3,FALSE)</f>
        <v>N/A</v>
      </c>
      <c r="E801" s="75" t="s">
        <v>193</v>
      </c>
      <c r="F801" s="96" t="s">
        <v>3698</v>
      </c>
      <c r="G801" s="97"/>
    </row>
    <row r="802" spans="1:7" ht="63" x14ac:dyDescent="0.25">
      <c r="A802" s="43" t="str">
        <f>CONCATENATE("Pt Id:",'Level 1'!E802," ","Pt Name: ",'Level 1'!F802," ","DOS: ", TEXT('Level 1'!H802,"mm-dd-yyyy"),"  "," Amnt: ","$",'Level 1'!J802,"  ", 'Level 1'!N802)</f>
        <v>Pt Id:8409 Pt Name: Rogers , Talva  DOS: 11-10-2021   Amnt: $797.6  Claim Paid by EFT;</v>
      </c>
      <c r="B802" s="43" t="str">
        <f>CONCATENATE("Detail: ",'Level 1'!N802,"  ",'Level 1'!O802,TEXT('Level 1'!P802,"  mm-dd-yyyy"),";"," ",'Level 1'!Q802,'Level 1'!R802,"  ",'Level 1'!T802," ","Payment "," ",'Level 1'!U802,"  ",'Level 1'!V802,"  ",'Level 1'!W802,"  ",'Level 1'!X802,"  ",'Level 1'!Z802, "  ",'Level 1'!AA802, " ","Insurance: ",'Level 1'!A802)</f>
        <v>Detail: Claim Paid by EFT;  Issue Date:  11-19-2021; EFT#2021320019260   Payment  Call Ref#:  Portal  Cust Rep:    Additional Notes:  Clm #2021320019260, amt paid $617.60, there are total 17codes on the claim which is paid. Insurance: Forward Health</v>
      </c>
      <c r="C802" s="60" t="str">
        <f>'Level 1'!Y802</f>
        <v xml:space="preserve">Task Post Pmt Queue </v>
      </c>
      <c r="D802" s="44" t="str">
        <f>VLOOKUP(C802,Table2[#All],3,FALSE)</f>
        <v>N/A</v>
      </c>
      <c r="E802" s="75" t="s">
        <v>193</v>
      </c>
      <c r="F802" s="96" t="s">
        <v>3698</v>
      </c>
      <c r="G802" s="97"/>
    </row>
    <row r="803" spans="1:7" ht="63" x14ac:dyDescent="0.25">
      <c r="A803" s="43" t="str">
        <f>CONCATENATE("Pt Id:",'Level 1'!E803," ","Pt Name: ",'Level 1'!F803," ","DOS: ", TEXT('Level 1'!H803,"mm-dd-yyyy"),"  "," Amnt: ","$",'Level 1'!J803,"  ", 'Level 1'!N803)</f>
        <v>Pt Id:8383 Pt Name: Bass Hunter , Kaden  DOS: 11-10-2021   Amnt: $654.8  Claim Paid by EFT;</v>
      </c>
      <c r="B803" s="43" t="str">
        <f>CONCATENATE("Detail: ",'Level 1'!N803,"  ",'Level 1'!O803,TEXT('Level 1'!P803,"  mm-dd-yyyy"),";"," ",'Level 1'!Q803,'Level 1'!R803,"  ",'Level 1'!T803," ","Payment "," ",'Level 1'!U803,"  ",'Level 1'!V803,"  ",'Level 1'!W803,"  ",'Level 1'!X803,"  ",'Level 1'!Z803, "  ",'Level 1'!AA803, " ","Insurance: ",'Level 1'!A803)</f>
        <v>Detail: Claim Paid by EFT;  Issue Date:  11-19-2021; EFT#2021320019231   Payment  Call Ref#:  Portal  Cust Rep:    Additional Notes:  Clm #201320019231, amt paid $481.60,  there are total 8 codes on the claim which is paid. Insurance: Forward Health</v>
      </c>
      <c r="C803" s="60" t="str">
        <f>'Level 1'!Y803</f>
        <v xml:space="preserve">Task Post Pmt Queue </v>
      </c>
      <c r="D803" s="44" t="str">
        <f>VLOOKUP(C803,Table2[#All],3,FALSE)</f>
        <v>N/A</v>
      </c>
      <c r="E803" s="75" t="s">
        <v>193</v>
      </c>
      <c r="F803" s="96" t="s">
        <v>3698</v>
      </c>
      <c r="G803" s="97"/>
    </row>
    <row r="804" spans="1:7" ht="63" x14ac:dyDescent="0.25">
      <c r="A804" s="43" t="str">
        <f>CONCATENATE("Pt Id:",'Level 1'!E804," ","Pt Name: ",'Level 1'!F804," ","DOS: ", TEXT('Level 1'!H804,"mm-dd-yyyy"),"  "," Amnt: ","$",'Level 1'!J804,"  ", 'Level 1'!N804)</f>
        <v>Pt Id:7238 Pt Name: Pacheco Fonseca , Nilsa DOS: 11-09-2021   Amnt: $480  Claim Paid by EFT;</v>
      </c>
      <c r="B804" s="43" t="str">
        <f>CONCATENATE("Detail: ",'Level 1'!N804,"  ",'Level 1'!O804,TEXT('Level 1'!P804,"  mm-dd-yyyy"),";"," ",'Level 1'!Q804,'Level 1'!R804,"  ",'Level 1'!T804," ","Payment "," ",'Level 1'!U804,"  ",'Level 1'!V804,"  ",'Level 1'!W804,"  ",'Level 1'!X804,"  ",'Level 1'!Z804, "  ",'Level 1'!AA804, " ","Insurance: ",'Level 1'!A804)</f>
        <v>Detail: Claim Paid by EFT;  Issue Date:  11-19-2021; EFT#2021320019295   Payment  Call Ref#:  Portal  Cust Rep:    Additional Notes:  Clm #201320019295, amt paid $147.84, there are two codes on the claim which is paid. Insurance: Forward Health</v>
      </c>
      <c r="C804" s="60" t="str">
        <f>'Level 1'!Y804</f>
        <v xml:space="preserve">Task Post Pmt Queue </v>
      </c>
      <c r="D804" s="44" t="str">
        <f>VLOOKUP(C804,Table2[#All],3,FALSE)</f>
        <v>N/A</v>
      </c>
      <c r="E804" s="75" t="s">
        <v>193</v>
      </c>
      <c r="F804" s="96" t="s">
        <v>3698</v>
      </c>
      <c r="G804" s="97"/>
    </row>
    <row r="805" spans="1:7" ht="63" x14ac:dyDescent="0.25">
      <c r="A805" s="43" t="str">
        <f>CONCATENATE("Pt Id:",'Level 1'!E805," ","Pt Name: ",'Level 1'!F805," ","DOS: ", TEXT('Level 1'!H805,"mm-dd-yyyy"),"  "," Amnt: ","$",'Level 1'!J805,"  ", 'Level 1'!N805)</f>
        <v>Pt Id:8356 Pt Name: Dejesus , Adina  DOS: 11-09-2021   Amnt: $332.4  Claim Paid by EFT;</v>
      </c>
      <c r="B805" s="43" t="str">
        <f>CONCATENATE("Detail: ",'Level 1'!N805,"  ",'Level 1'!O805,TEXT('Level 1'!P805,"  mm-dd-yyyy"),";"," ",'Level 1'!Q805,'Level 1'!R805,"  ",'Level 1'!T805," ","Payment "," ",'Level 1'!U805,"  ",'Level 1'!V805,"  ",'Level 1'!W805,"  ",'Level 1'!X805,"  ",'Level 1'!Z805, "  ",'Level 1'!AA805, " ","Insurance: ",'Level 1'!A805)</f>
        <v>Detail: Claim Paid by EFT;  Issue Date:  11-19-2021; EFT#2021320019296   Payment  Call Ref#:  Portal  Cust Rep:    Additional Notes:  Clm #201320019296, amt paid $97.19, there are four codes on the claim which is paid. Insurance: Forward Health</v>
      </c>
      <c r="C805" s="60" t="str">
        <f>'Level 1'!Y805</f>
        <v xml:space="preserve">Task Post Pmt Queue </v>
      </c>
      <c r="D805" s="44" t="str">
        <f>VLOOKUP(C805,Table2[#All],3,FALSE)</f>
        <v>N/A</v>
      </c>
      <c r="E805" s="75" t="s">
        <v>193</v>
      </c>
      <c r="F805" s="96" t="s">
        <v>3698</v>
      </c>
      <c r="G805" s="97"/>
    </row>
    <row r="806" spans="1:7" ht="63" x14ac:dyDescent="0.25">
      <c r="A806" s="43" t="str">
        <f>CONCATENATE("Pt Id:",'Level 1'!E806," ","Pt Name: ",'Level 1'!F806," ","DOS: ", TEXT('Level 1'!H806,"mm-dd-yyyy"),"  "," Amnt: ","$",'Level 1'!J806,"  ", 'Level 1'!N806)</f>
        <v>Pt Id:8149 Pt Name: Britts , Trevoy DOS: 11-09-2021   Amnt: $378  Claim Paid by EFT;</v>
      </c>
      <c r="B806" s="43" t="str">
        <f>CONCATENATE("Detail: ",'Level 1'!N806,"  ",'Level 1'!O806,TEXT('Level 1'!P806,"  mm-dd-yyyy"),";"," ",'Level 1'!Q806,'Level 1'!R806,"  ",'Level 1'!T806," ","Payment "," ",'Level 1'!U806,"  ",'Level 1'!V806,"  ",'Level 1'!W806,"  ",'Level 1'!X806,"  ",'Level 1'!Z806, "  ",'Level 1'!AA806, " ","Insurance: ",'Level 1'!A806)</f>
        <v>Detail: Claim Paid by EFT;  Issue Date:  11-19-2021; EFT#2021320019329   Payment  Call Ref#:  Portal  Cust Rep:    Additional Notes:  Clm #201320019329, amt paid $127.40, there are 3codes on the claim which is paid. Insurance: Forward Health</v>
      </c>
      <c r="C806" s="60" t="str">
        <f>'Level 1'!Y806</f>
        <v xml:space="preserve">Task Post Pmt Queue </v>
      </c>
      <c r="D806" s="44" t="str">
        <f>VLOOKUP(C806,Table2[#All],3,FALSE)</f>
        <v>N/A</v>
      </c>
      <c r="E806" s="75" t="s">
        <v>193</v>
      </c>
      <c r="F806" s="96" t="s">
        <v>3698</v>
      </c>
      <c r="G806" s="97"/>
    </row>
    <row r="807" spans="1:7" ht="63" x14ac:dyDescent="0.25">
      <c r="A807" s="43" t="str">
        <f>CONCATENATE("Pt Id:",'Level 1'!E807," ","Pt Name: ",'Level 1'!F807," ","DOS: ", TEXT('Level 1'!H807,"mm-dd-yyyy"),"  "," Amnt: ","$",'Level 1'!J807,"  ", 'Level 1'!N807)</f>
        <v>Pt Id:119 Pt Name: Hilgers, Jason DOS: 11-09-2021   Amnt: $266  Claim Paid by EFT;</v>
      </c>
      <c r="B807" s="43" t="str">
        <f>CONCATENATE("Detail: ",'Level 1'!N807,"  ",'Level 1'!O807,TEXT('Level 1'!P807,"  mm-dd-yyyy"),";"," ",'Level 1'!Q807,'Level 1'!R807,"  ",'Level 1'!T807," ","Payment "," ",'Level 1'!U807,"  ",'Level 1'!V807,"  ",'Level 1'!W807,"  ",'Level 1'!X807,"  ",'Level 1'!Z807, "  ",'Level 1'!AA807, " ","Insurance: ",'Level 1'!A807)</f>
        <v>Detail: Claim Paid by EFT;  Issue Date:  11-19-2021; EFT#2021320019245   Payment  Call Ref#:  Portal  Cust Rep:    Additional Notes:  Clm#201320019245, amt paid $101.62, there are total 6codes on the claim which has paid. Insurance: Forward Health</v>
      </c>
      <c r="C807" s="60" t="str">
        <f>'Level 1'!Y807</f>
        <v xml:space="preserve">Task Post Pmt Queue </v>
      </c>
      <c r="D807" s="44" t="str">
        <f>VLOOKUP(C807,Table2[#All],3,FALSE)</f>
        <v>N/A</v>
      </c>
      <c r="E807" s="75" t="s">
        <v>193</v>
      </c>
      <c r="F807" s="96" t="s">
        <v>3698</v>
      </c>
      <c r="G807" s="97"/>
    </row>
    <row r="808" spans="1:7" ht="63" x14ac:dyDescent="0.25">
      <c r="A808" s="43" t="str">
        <f>CONCATENATE("Pt Id:",'Level 1'!E808," ","Pt Name: ",'Level 1'!F808," ","DOS: ", TEXT('Level 1'!H808,"mm-dd-yyyy"),"  "," Amnt: ","$",'Level 1'!J808,"  ", 'Level 1'!N808)</f>
        <v>Pt Id:5982 Pt Name: Zaman, Kamruz DOS: 06-24-2021   Amnt: $61.2  Claim Paid by EFT;</v>
      </c>
      <c r="B808" s="43" t="str">
        <f>CONCATENATE("Detail: ",'Level 1'!N808,"  ",'Level 1'!O808,TEXT('Level 1'!P808,"  mm-dd-yyyy"),";"," ",'Level 1'!Q808,'Level 1'!R808,"  ",'Level 1'!T808," ","Payment "," ",'Level 1'!U808,"  ",'Level 1'!V808,"  ",'Level 1'!W808,"  ",'Level 1'!X808,"  ",'Level 1'!Z808, "  ",'Level 1'!AA808, " ","Insurance: ",'Level 1'!A808)</f>
        <v>Detail: Claim Paid by EFT;  Issue Date:  11-19-2021; EFT#2021320019293   Payment  Call Ref#:  Portal  Cust Rep:    Additional Notes:  Clm #201320019293, amt paid $54.20, there is only one code on the claim has been paid. Insurance: Forward Health</v>
      </c>
      <c r="C808" s="60" t="str">
        <f>'Level 1'!Y808</f>
        <v xml:space="preserve">Task Post Pmt Queue </v>
      </c>
      <c r="D808" s="44" t="str">
        <f>VLOOKUP(C808,Table2[#All],3,FALSE)</f>
        <v>N/A</v>
      </c>
      <c r="E808" s="75" t="s">
        <v>193</v>
      </c>
      <c r="F808" s="96" t="s">
        <v>3698</v>
      </c>
      <c r="G808" s="97"/>
    </row>
    <row r="809" spans="1:7" ht="63" x14ac:dyDescent="0.25">
      <c r="A809" s="43" t="str">
        <f>CONCATENATE("Pt Id:",'Level 1'!E809," ","Pt Name: ",'Level 1'!F809," ","DOS: ", TEXT('Level 1'!H809,"mm-dd-yyyy"),"  "," Amnt: ","$",'Level 1'!J809,"  ", 'Level 1'!N809)</f>
        <v>Pt Id:5982 Pt Name: Zaman, Kamruz DOS: 07-15-2021   Amnt: $268.8  Ins needs more info, need to submit;</v>
      </c>
      <c r="B809" s="43" t="str">
        <f>CONCATENATE("Detail: ",'Level 1'!N809,"  ",'Level 1'!O809,TEXT('Level 1'!P809,"  mm-dd-yyyy"),";"," ",'Level 1'!Q809,'Level 1'!R809,"  ",'Level 1'!T809," ","Payment "," ",'Level 1'!U809,"  ",'Level 1'!V809,"  ",'Level 1'!W809,"  ",'Level 1'!X809,"  ",'Level 1'!Z809, "  ",'Level 1'!AA809, " ","Insurance: ",'Level 1'!A809)</f>
        <v>Detail: Ins needs more info, need to submit;  Attachments/Info needed?Area of the oral cavity is required for the procedure code.; Fax # (If Fax Yes):  Portal Payment  Cust Rep:    0    Additional Notes:  Clm #201320019255, claim has been denied due to the area of the oral cavity is required for the procedure code. Insurance: Forward Health</v>
      </c>
      <c r="C809" s="60" t="str">
        <f>'Level 1'!Y809</f>
        <v xml:space="preserve">Task Sub Pending Claims Queue </v>
      </c>
      <c r="D809" s="44" t="str">
        <f>VLOOKUP(C809,Table2[#All],3,FALSE)</f>
        <v>N/A</v>
      </c>
      <c r="E809" s="75" t="s">
        <v>193</v>
      </c>
      <c r="F809" s="96" t="s">
        <v>3698</v>
      </c>
      <c r="G809" s="97"/>
    </row>
    <row r="810" spans="1:7" ht="84" x14ac:dyDescent="0.25">
      <c r="A810" s="43" t="str">
        <f>CONCATENATE("Pt Id:",'Level 1'!E810," ","Pt Name: ",'Level 1'!F810," ","DOS: ", TEXT('Level 1'!H810,"mm-dd-yyyy"),"  "," Amnt: ","$",'Level 1'!J810,"  ", 'Level 1'!N810)</f>
        <v>Pt Id:912 Pt Name: Rhinehouse, Suzette DOS: 08-03-2021   Amnt: $148.8  Claim not on file. Patient is active ;</v>
      </c>
      <c r="B810" s="43" t="str">
        <f>CONCATENATE("Detail: ",'Level 1'!N810,"  ",'Level 1'!O810,TEXT('Level 1'!P810,"  mm-dd-yyyy"),";"," ",'Level 1'!Q810,'Level 1'!R810,"  ",'Level 1'!T810," ","Payment "," ",'Level 1'!U810,"  ",'Level 1'!V810,"  ",'Level 1'!W810,"  ",'Level 1'!X810,"  ",'Level 1'!Z810, "  ",'Level 1'!AA810, " ","Insurance: ",'Level 1'!A810)</f>
        <v>Detail: Claim not on file. Patient is active ;  Payor ID &amp; Address:WIFC_TXIX; Fax # (If Fax Yes):  1 year from DOS Payment  Call Ref#:  18069232  Cust Rep:  Donna  Additional Notes:  Rep states that the clm is not on file, the patient is active for dos, we can send the clm for p.o box  313 Blettner Blvd. Madison WI 53784. Insurance: Forward Health</v>
      </c>
      <c r="C810" s="60" t="str">
        <f>'Level 1'!Y810</f>
        <v>Task Sub Pending Claims Queue</v>
      </c>
      <c r="D810" s="44" t="str">
        <f>VLOOKUP(C810,Table2[#All],3,FALSE)</f>
        <v>N/A</v>
      </c>
      <c r="E810" s="75" t="s">
        <v>193</v>
      </c>
      <c r="F810" s="96" t="s">
        <v>3698</v>
      </c>
      <c r="G810" s="97"/>
    </row>
    <row r="811" spans="1:7" ht="63" x14ac:dyDescent="0.25">
      <c r="A811" s="43" t="str">
        <f>CONCATENATE("Pt Id:",'Level 1'!E811," ","Pt Name: ",'Level 1'!F811," ","DOS: ", TEXT('Level 1'!H811,"mm-dd-yyyy"),"  "," Amnt: ","$",'Level 1'!J811,"  ", 'Level 1'!N811)</f>
        <v>Pt Id:2638 Pt Name: Ivy, Charity  DOS: 09-22-2021   Amnt: $266  Claim Paid by EFT;</v>
      </c>
      <c r="B811" s="43" t="str">
        <f>CONCATENATE("Detail: ",'Level 1'!N811,"  ",'Level 1'!O811,TEXT('Level 1'!P811,"  mm-dd-yyyy"),";"," ",'Level 1'!Q811,'Level 1'!R811,"  ",'Level 1'!T811," ","Payment "," ",'Level 1'!U811,"  ",'Level 1'!V811,"  ",'Level 1'!W811,"  ",'Level 1'!X811,"  ",'Level 1'!Z811, "  ",'Level 1'!AA811, " ","Insurance: ",'Level 1'!A811)</f>
        <v>Detail: Claim Paid by EFT;  Issue Date:  11-19-2021; EFT#2021320019319   Payment  Call Ref#:  Portal  Cust Rep:    Additional Notes:  Clm #201320019319, paid amt $101.62, there are six codes on the claim which has been paid. Insurance: Forward Health</v>
      </c>
      <c r="C811" s="60" t="str">
        <f>'Level 1'!Y811</f>
        <v xml:space="preserve">Task Post Pmt Queue </v>
      </c>
      <c r="D811" s="44" t="str">
        <f>VLOOKUP(C811,Table2[#All],3,FALSE)</f>
        <v>N/A</v>
      </c>
      <c r="E811" s="75" t="s">
        <v>193</v>
      </c>
      <c r="F811" s="96" t="s">
        <v>3698</v>
      </c>
      <c r="G811" s="97"/>
    </row>
    <row r="812" spans="1:7" ht="126" x14ac:dyDescent="0.25">
      <c r="A812" s="43" t="str">
        <f>CONCATENATE("Pt Id:",'Level 1'!E812," ","Pt Name: ",'Level 1'!F812," ","DOS: ", TEXT('Level 1'!H812,"mm-dd-yyyy"),"  "," Amnt: ","$",'Level 1'!J812,"  ", 'Level 1'!N812)</f>
        <v>Pt Id:6948 Pt Name: Scott , Marshinique  DOS: 10-28-2021   Amnt: $27.6  Ins needs more info, need to submit;</v>
      </c>
      <c r="B812" s="43" t="str">
        <f>CONCATENATE("Detail: ",'Level 1'!N812,"  ",'Level 1'!O812,TEXT('Level 1'!P812,"  mm-dd-yyyy"),";"," ",'Level 1'!Q812,'Level 1'!R812,"  ",'Level 1'!T812," ","Payment "," ",'Level 1'!U812,"  ",'Level 1'!V812,"  ",'Level 1'!W812,"  ",'Level 1'!X812,"  ",'Level 1'!Z812, "  ",'Level 1'!AA812, " ","Insurance: ",'Level 1'!A812)</f>
        <v>Detail: Ins needs more info, need to submit;  Attachments/Info needed?Need Primary Insurer EOB present; Fax # (If Fax Yes):Only Mailing: 313 Blettner Blvd Madison WI 53784  Roger M Payment  Cust Rep:  19239486  0    Additional Notes:  Rep State that Clm Denied as patient has primary insurance and need to submit claim first to primary and after that they need to forward Primary eob to them get the claim paid,Clm No: 2021306015435,Payor ID: WISC_TXIX,TFL: 1 year From DOS,Rep Name: Roger Call Ref: 19239486//Claim denied due to patient has commercial dental plan. CHECK WITH REP HOW TO PROCEED FURTHER - SN, Insurance: Forward Health</v>
      </c>
      <c r="C812" s="60" t="str">
        <f>'Level 1'!Y812</f>
        <v xml:space="preserve">Task Sub Pending Claims Queue </v>
      </c>
      <c r="D812" s="44" t="str">
        <f>VLOOKUP(C812,Table2[#All],3,FALSE)</f>
        <v>N/A</v>
      </c>
      <c r="E812" s="75" t="s">
        <v>193</v>
      </c>
      <c r="F812" s="96" t="s">
        <v>3698</v>
      </c>
      <c r="G812" s="97"/>
    </row>
    <row r="813" spans="1:7" ht="63" x14ac:dyDescent="0.25">
      <c r="A813" s="43" t="str">
        <f>CONCATENATE("Pt Id:",'Level 1'!E813," ","Pt Name: ",'Level 1'!F813," ","DOS: ", TEXT('Level 1'!H813,"mm-dd-yyyy"),"  "," Amnt: ","$",'Level 1'!J813,"  ", 'Level 1'!N813)</f>
        <v>Pt Id:8243 Pt Name: Roldan, Matthew  DOS: 10-21-2021   Amnt: $61.2  Claim not on file. Patient is active ;</v>
      </c>
      <c r="B813" s="43" t="str">
        <f>CONCATENATE("Detail: ",'Level 1'!N813,"  ",'Level 1'!O813,TEXT('Level 1'!P813,"  mm-dd-yyyy"),";"," ",'Level 1'!Q813,'Level 1'!R813,"  ",'Level 1'!T813," ","Payment "," ",'Level 1'!U813,"  ",'Level 1'!V813,"  ",'Level 1'!W813,"  ",'Level 1'!X813,"  ",'Level 1'!Z813, "  ",'Level 1'!AA813, " ","Insurance: ",'Level 1'!A813)</f>
        <v>Detail: Claim not on file. Patient is active ;  Payor ID &amp; Address:WISC_TXIX; Fax # (If Fax Yes):mailing Addres: 313 BLETTNER BLVD , MADISON, WI 53784  1 year from DOS Payment  Call Ref#:  1884959  Cust Rep:  Brandon  Additional Notes:  Rep states that CNOF Patient Active,Effective Date:10/01/2021 Insurance: Forward Health</v>
      </c>
      <c r="C813" s="60" t="str">
        <f>'Level 1'!Y813</f>
        <v>Task Sub Pending Claims Queue</v>
      </c>
      <c r="D813" s="44" t="str">
        <f>VLOOKUP(C813,Table2[#All],3,FALSE)</f>
        <v>N/A</v>
      </c>
      <c r="E813" s="75" t="s">
        <v>193</v>
      </c>
      <c r="F813" s="96" t="s">
        <v>3698</v>
      </c>
      <c r="G813" s="97"/>
    </row>
    <row r="814" spans="1:7" ht="42" x14ac:dyDescent="0.25">
      <c r="A814" s="43" t="str">
        <f>CONCATENATE("Pt Id:",'Level 1'!E814," ","Pt Name: ",'Level 1'!F814," ","DOS: ", TEXT('Level 1'!H814,"mm-dd-yyyy"),"  "," Amnt: ","$",'Level 1'!J814,"  ", 'Level 1'!N814)</f>
        <v>Pt Id:8157 Pt Name: Faster, Lionedra DOS: 10-08-2021   Amnt: $294.8  Write information in Addl Notes</v>
      </c>
      <c r="B814" s="43" t="str">
        <f>CONCATENATE("Detail: ",'Level 1'!N814,"  ",'Level 1'!O814,TEXT('Level 1'!P814,"  mm-dd-yyyy"),";"," ",'Level 1'!Q814,'Level 1'!R814,"  ",'Level 1'!T814," ","Payment "," ",'Level 1'!U814,"  ",'Level 1'!V814,"  ",'Level 1'!W814,"  ",'Level 1'!X814,"  ",'Level 1'!Z814, "  ",'Level 1'!AA814, " ","Insurance: ",'Level 1'!A814)</f>
        <v>Detail: Write information in Addl Notes  Call Ref#:  01-00-1900; Cust Rep:   Payment            Additional Notes:  Cliam denied as the patient's last name mismatch. Need to resubmit the correct info. Insurance: Forward Health</v>
      </c>
      <c r="C814" s="60" t="str">
        <f>'Level 1'!Y814</f>
        <v xml:space="preserve"> Team Lead to review &amp; Follow-Up</v>
      </c>
      <c r="D814" s="44" t="e">
        <f>VLOOKUP(C814,Table2[#All],3,FALSE)</f>
        <v>#N/A</v>
      </c>
      <c r="E814" s="75" t="s">
        <v>193</v>
      </c>
      <c r="F814" s="96" t="s">
        <v>3698</v>
      </c>
      <c r="G814" s="97"/>
    </row>
    <row r="815" spans="1:7" ht="105" x14ac:dyDescent="0.25">
      <c r="A815" s="43" t="str">
        <f>CONCATENATE("Pt Id:",'Level 1'!E815," ","Pt Name: ",'Level 1'!F815," ","DOS: ", TEXT('Level 1'!H815,"mm-dd-yyyy"),"  "," Amnt: ","$",'Level 1'!J815,"  ", 'Level 1'!N815)</f>
        <v>Pt Id:6793 Pt Name: Romo, Diana DOS: 10-07-2021   Amnt: $102  Claim not on file. Patient is active ;</v>
      </c>
      <c r="B815" s="43" t="str">
        <f>CONCATENATE("Detail: ",'Level 1'!N815,"  ",'Level 1'!O815,TEXT('Level 1'!P815,"  mm-dd-yyyy"),";"," ",'Level 1'!Q815,'Level 1'!R815,"  ",'Level 1'!T815," ","Payment "," ",'Level 1'!U815,"  ",'Level 1'!V815,"  ",'Level 1'!W815,"  ",'Level 1'!X815,"  ",'Level 1'!Z815, "  ",'Level 1'!AA815, " ","Insurance: ",'Level 1'!A815)</f>
        <v>Detail: Claim not on file. Patient is active ;  Payor ID &amp; Address:CX014; Fax # (If Fax Yes):  120 days from dos Payment  Call Ref#:  202201771105  Cust Rep:  Sranjie  Additional Notes:  Rep states that this pat is assosiated with Anthem blue cross not with Forward health, as per rep the clm is not on file payor id Cx014 TFL is 120days from dos. P.O box 2906 novaki WI 53201.///Claim denied stating the member is enrolled in a State-contracted managed care program for the Date. CHECK WITH THE REP HOW TO PROCEED FURTHER. - SN Insurance: Forward Health</v>
      </c>
      <c r="C815" s="60" t="str">
        <f>'Level 1'!Y815</f>
        <v>Task Sub Pending Claims Queue</v>
      </c>
      <c r="D815" s="44" t="str">
        <f>VLOOKUP(C815,Table2[#All],3,FALSE)</f>
        <v>N/A</v>
      </c>
      <c r="E815" s="75" t="s">
        <v>193</v>
      </c>
      <c r="F815" s="96" t="s">
        <v>3698</v>
      </c>
      <c r="G815" s="97"/>
    </row>
    <row r="816" spans="1:7" ht="42" x14ac:dyDescent="0.25">
      <c r="A816" s="43" t="str">
        <f>CONCATENATE("Pt Id:",'Level 1'!E816," ","Pt Name: ",'Level 1'!F816," ","DOS: ", TEXT('Level 1'!H816,"mm-dd-yyyy"),"  "," Amnt: ","$",'Level 1'!J816,"  ", 'Level 1'!N816)</f>
        <v>Pt Id:7143 Pt Name: Saldana, Ricardo DOS: 06-01-2021   Amnt: $391.2  Claim Paid by EFT;</v>
      </c>
      <c r="B816" s="43" t="str">
        <f>CONCATENATE("Detail: ",'Level 1'!N816,"  ",'Level 1'!O816,TEXT('Level 1'!P816,"  mm-dd-yyyy"),";"," ",'Level 1'!Q816,'Level 1'!R816,"  ",'Level 1'!T816," ","Payment "," ",'Level 1'!U816,"  ",'Level 1'!V816,"  ",'Level 1'!W816,"  ",'Level 1'!X816,"  ",'Level 1'!Z816, "  ",'Level 1'!AA816, " ","Insurance: ",'Level 1'!A816)</f>
        <v>Detail: Claim Paid by EFT;  Issue Date:  08-27-2021; EFT#  SEPRATE Payment  Call Ref#:    Cust Rep:    Additional Notes:  CLM ICN # 2021236018208; Pd Amt $126.16 Insurance: Forward Health</v>
      </c>
      <c r="C816" s="60" t="str">
        <f>'Level 1'!Y816</f>
        <v xml:space="preserve">Task Post Pmt Queue </v>
      </c>
      <c r="D816" s="44" t="str">
        <f>VLOOKUP(C816,Table2[#All],3,FALSE)</f>
        <v>N/A</v>
      </c>
      <c r="E816" s="75" t="s">
        <v>193</v>
      </c>
      <c r="F816" s="96" t="s">
        <v>3698</v>
      </c>
      <c r="G816" s="97"/>
    </row>
    <row r="817" spans="1:7" ht="42" x14ac:dyDescent="0.25">
      <c r="A817" s="43" t="str">
        <f>CONCATENATE("Pt Id:",'Level 1'!E817," ","Pt Name: ",'Level 1'!F817," ","DOS: ", TEXT('Level 1'!H817,"mm-dd-yyyy"),"  "," Amnt: ","$",'Level 1'!J817,"  ", 'Level 1'!N817)</f>
        <v>Pt Id:1478 Pt Name: Kazikowski, Christian DOS: 06-14-2021   Amnt: $244.4  Claim Paid by EFT;</v>
      </c>
      <c r="B817" s="43" t="str">
        <f>CONCATENATE("Detail: ",'Level 1'!N817,"  ",'Level 1'!O817,TEXT('Level 1'!P817,"  mm-dd-yyyy"),";"," ",'Level 1'!Q817,'Level 1'!R817,"  ",'Level 1'!T817," ","Payment "," ",'Level 1'!U817,"  ",'Level 1'!V817,"  ",'Level 1'!W817,"  ",'Level 1'!X817,"  ",'Level 1'!Z817, "  ",'Level 1'!AA817, " ","Insurance: ",'Level 1'!A817)</f>
        <v>Detail: Claim Paid by EFT;  Issue Date:  07-30-2021; EFT#  SEPRATE Payment  Call Ref#:    Cust Rep:    Additional Notes:  CLM ICN # 2021208019592; Pd amt $82.51 Insurance: Forward Health</v>
      </c>
      <c r="C817" s="60" t="str">
        <f>'Level 1'!Y817</f>
        <v xml:space="preserve">Task Post Pmt Queue </v>
      </c>
      <c r="D817" s="44" t="str">
        <f>VLOOKUP(C817,Table2[#All],3,FALSE)</f>
        <v>N/A</v>
      </c>
      <c r="E817" s="75" t="s">
        <v>193</v>
      </c>
      <c r="F817" s="96" t="s">
        <v>3698</v>
      </c>
      <c r="G817" s="97"/>
    </row>
    <row r="818" spans="1:7" ht="42" x14ac:dyDescent="0.25">
      <c r="A818" s="43" t="str">
        <f>CONCATENATE("Pt Id:",'Level 1'!E818," ","Pt Name: ",'Level 1'!F818," ","DOS: ", TEXT('Level 1'!H818,"mm-dd-yyyy"),"  "," Amnt: ","$",'Level 1'!J818,"  ", 'Level 1'!N818)</f>
        <v>Pt Id:1478 Pt Name: Kazikowski, Christian DOS: 07-16-2021   Amnt: $216  Claim Paid by EFT;</v>
      </c>
      <c r="B818" s="43" t="str">
        <f>CONCATENATE("Detail: ",'Level 1'!N818,"  ",'Level 1'!O818,TEXT('Level 1'!P818,"  mm-dd-yyyy"),";"," ",'Level 1'!Q818,'Level 1'!R818,"  ",'Level 1'!T818," ","Payment "," ",'Level 1'!U818,"  ",'Level 1'!V818,"  ",'Level 1'!W818,"  ",'Level 1'!X818,"  ",'Level 1'!Z818, "  ",'Level 1'!AA818, " ","Insurance: ",'Level 1'!A818)</f>
        <v>Detail: Claim Paid by EFT;  Issue Date:  07-30-2021; EFT#  SEPRATE Payment  Call Ref#:    Cust Rep:    Additional Notes:  CLM CIN # 2021208019610; Pd Amt $56.44 Insurance: Forward Health</v>
      </c>
      <c r="C818" s="60" t="str">
        <f>'Level 1'!Y818</f>
        <v xml:space="preserve">Task Post Pmt Queue </v>
      </c>
      <c r="D818" s="44" t="str">
        <f>VLOOKUP(C818,Table2[#All],3,FALSE)</f>
        <v>N/A</v>
      </c>
      <c r="E818" s="75" t="s">
        <v>193</v>
      </c>
      <c r="F818" s="96" t="s">
        <v>3698</v>
      </c>
      <c r="G818" s="97"/>
    </row>
    <row r="819" spans="1:7" ht="42" x14ac:dyDescent="0.25">
      <c r="A819" s="43" t="str">
        <f>CONCATENATE("Pt Id:",'Level 1'!E819," ","Pt Name: ",'Level 1'!F819," ","DOS: ", TEXT('Level 1'!H819,"mm-dd-yyyy"),"  "," Amnt: ","$",'Level 1'!J819,"  ", 'Level 1'!N819)</f>
        <v>Pt Id:7362 Pt Name: Rowe , A`alyssia  DOS: 06-22-2021   Amnt: $673.6  Claim Paid by EFT;</v>
      </c>
      <c r="B819" s="43" t="str">
        <f>CONCATENATE("Detail: ",'Level 1'!N819,"  ",'Level 1'!O819,TEXT('Level 1'!P819,"  mm-dd-yyyy"),";"," ",'Level 1'!Q819,'Level 1'!R819,"  ",'Level 1'!T819," ","Payment "," ",'Level 1'!U819,"  ",'Level 1'!V819,"  ",'Level 1'!W819,"  ",'Level 1'!X819,"  ",'Level 1'!Z819, "  ",'Level 1'!AA819, " ","Insurance: ",'Level 1'!A819)</f>
        <v>Detail: Claim Paid by EFT;  Issue Date:  07-23-2021; EFT#  SEPRATE Payment  Call Ref#:    Cust Rep:    Additional Notes:  CLM ICN # 2021176002469; Pd Amt 166.97 Insurance: Forward Health</v>
      </c>
      <c r="C819" s="60" t="str">
        <f>'Level 1'!Y819</f>
        <v xml:space="preserve">Task Post Pmt Queue </v>
      </c>
      <c r="D819" s="44" t="str">
        <f>VLOOKUP(C819,Table2[#All],3,FALSE)</f>
        <v>N/A</v>
      </c>
      <c r="E819" s="75" t="s">
        <v>193</v>
      </c>
      <c r="F819" s="96" t="s">
        <v>3698</v>
      </c>
      <c r="G819" s="97"/>
    </row>
    <row r="820" spans="1:7" ht="63" x14ac:dyDescent="0.25">
      <c r="A820" s="43" t="str">
        <f>CONCATENATE("Pt Id:",'Level 1'!E820," ","Pt Name: ",'Level 1'!F820," ","DOS: ", TEXT('Level 1'!H820,"mm-dd-yyyy"),"  "," Amnt: ","$",'Level 1'!J820,"  ", 'Level 1'!N820)</f>
        <v>Pt Id:4293 Pt Name: JACKSON, RAELYN DOS: 06-16-2021   Amnt: $404.8  Claim Paid by EFT;</v>
      </c>
      <c r="B820" s="43" t="str">
        <f>CONCATENATE("Detail: ",'Level 1'!N820,"  ",'Level 1'!O820,TEXT('Level 1'!P820,"  mm-dd-yyyy"),";"," ",'Level 1'!Q820,'Level 1'!R820,"  ",'Level 1'!T820," ","Payment "," ",'Level 1'!U820,"  ",'Level 1'!V820,"  ",'Level 1'!W820,"  ",'Level 1'!X820,"  ",'Level 1'!Z820, "  ",'Level 1'!AA820, " ","Insurance: ",'Level 1'!A820)</f>
        <v>Detail: Claim Paid by EFT;  Issue Date:  07-16-2021; EFT#   Payment  Call Ref#:    Cust Rep:    Additional Notes:  CLM ICN # 2021169003438; Pd Amt $84.73; D9230 was denied, Prior Authorization required for processing. Insurance: Forward Health</v>
      </c>
      <c r="C820" s="60" t="str">
        <f>'Level 1'!Y820</f>
        <v xml:space="preserve">Task Post Pmt Queue </v>
      </c>
      <c r="D820" s="44" t="str">
        <f>VLOOKUP(C820,Table2[#All],3,FALSE)</f>
        <v>N/A</v>
      </c>
      <c r="E820" s="75" t="s">
        <v>193</v>
      </c>
      <c r="F820" s="96" t="s">
        <v>3698</v>
      </c>
      <c r="G820" s="97"/>
    </row>
    <row r="821" spans="1:7" ht="63" x14ac:dyDescent="0.25">
      <c r="A821" s="43" t="str">
        <f>CONCATENATE("Pt Id:",'Level 1'!E821," ","Pt Name: ",'Level 1'!F821," ","DOS: ", TEXT('Level 1'!H821,"mm-dd-yyyy"),"  "," Amnt: ","$",'Level 1'!J821,"  ", 'Level 1'!N821)</f>
        <v>Pt Id:6825 Pt Name: Watts, Laderrius DOS: 06-14-2021   Amnt: $532  Claim Paid by EFT;</v>
      </c>
      <c r="B821" s="43" t="str">
        <f>CONCATENATE("Detail: ",'Level 1'!N821,"  ",'Level 1'!O821,TEXT('Level 1'!P821,"  mm-dd-yyyy"),";"," ",'Level 1'!Q821,'Level 1'!R821,"  ",'Level 1'!T821," ","Payment "," ",'Level 1'!U821,"  ",'Level 1'!V821,"  ",'Level 1'!W821,"  ",'Level 1'!X821,"  ",'Level 1'!Z821, "  ",'Level 1'!AA821, " ","Insurance: ",'Level 1'!A821)</f>
        <v>Detail: Claim Paid by EFT;  Issue Date:  07-16-2021; EFT#  SEPRATE Payment  Call Ref#:    Cust Rep:    Additional Notes:  CLM ICN # 2021169003437; Pd Amt $112.88; D9230 - Prior Authorization required to process the claim. S no pre auth found by Ins code denied. Insurance: Forward Health</v>
      </c>
      <c r="C821" s="60" t="str">
        <f>'Level 1'!Y821</f>
        <v xml:space="preserve">Task Post Pmt Queue </v>
      </c>
      <c r="D821" s="44" t="str">
        <f>VLOOKUP(C821,Table2[#All],3,FALSE)</f>
        <v>N/A</v>
      </c>
      <c r="E821" s="75" t="s">
        <v>193</v>
      </c>
      <c r="F821" s="96" t="s">
        <v>3698</v>
      </c>
      <c r="G821" s="97"/>
    </row>
    <row r="822" spans="1:7" ht="63" x14ac:dyDescent="0.25">
      <c r="A822" s="43" t="str">
        <f>CONCATENATE("Pt Id:",'Level 1'!E822," ","Pt Name: ",'Level 1'!F822," ","DOS: ", TEXT('Level 1'!H822,"mm-dd-yyyy"),"  "," Amnt: ","$",'Level 1'!J822,"  ", 'Level 1'!N822)</f>
        <v>Pt Id:5373 Pt Name: Bain , Scarlett DOS: 06-03-2021   Amnt: $450.4  Claim Paid by EFT;</v>
      </c>
      <c r="B822" s="43" t="str">
        <f>CONCATENATE("Detail: ",'Level 1'!N822,"  ",'Level 1'!O822,TEXT('Level 1'!P822,"  mm-dd-yyyy"),";"," ",'Level 1'!Q822,'Level 1'!R822,"  ",'Level 1'!T822," ","Payment "," ",'Level 1'!U822,"  ",'Level 1'!V822,"  ",'Level 1'!W822,"  ",'Level 1'!X822,"  ",'Level 1'!Z822, "  ",'Level 1'!AA822, " ","Insurance: ",'Level 1'!A822)</f>
        <v>Detail: Claim Paid by EFT;  Issue Date:  07-09-2021; EFT#   Payment  Call Ref#:    Cust Rep:    Additional Notes:  CLM ICN # 2021159038670; Pd Amt $96.34; D9230 - Prior Authorization required for this service. As preauh is not found, code denied. Insurance: Forward Health</v>
      </c>
      <c r="C822" s="60" t="str">
        <f>'Level 1'!Y822</f>
        <v xml:space="preserve">Task Post Pmt Queue </v>
      </c>
      <c r="D822" s="44" t="str">
        <f>VLOOKUP(C822,Table2[#All],3,FALSE)</f>
        <v>N/A</v>
      </c>
      <c r="E822" s="75" t="s">
        <v>193</v>
      </c>
      <c r="F822" s="96" t="s">
        <v>3698</v>
      </c>
      <c r="G822" s="97"/>
    </row>
    <row r="823" spans="1:7" ht="63" x14ac:dyDescent="0.25">
      <c r="A823" s="43" t="str">
        <f>CONCATENATE("Pt Id:",'Level 1'!E823," ","Pt Name: ",'Level 1'!F823," ","DOS: ", TEXT('Level 1'!H823,"mm-dd-yyyy"),"  "," Amnt: ","$",'Level 1'!J823,"  ", 'Level 1'!N823)</f>
        <v>Pt Id:7200 Pt Name: Jiron, Jovan DOS: 06-02-2021   Amnt: $161.2  Claim Paid by EFT;</v>
      </c>
      <c r="B823" s="43" t="str">
        <f>CONCATENATE("Detail: ",'Level 1'!N823,"  ",'Level 1'!O823,TEXT('Level 1'!P823,"  mm-dd-yyyy"),";"," ",'Level 1'!Q823,'Level 1'!R823,"  ",'Level 1'!T823," ","Payment "," ",'Level 1'!U823,"  ",'Level 1'!V823,"  ",'Level 1'!W823,"  ",'Level 1'!X823,"  ",'Level 1'!Z823, "  ",'Level 1'!AA823, " ","Insurance: ",'Level 1'!A823)</f>
        <v>Detail: Claim Paid by EFT;  Issue Date:12/17/2021 &amp; 07/09/2021; EFT#   Payment  Call Ref#:    Cust Rep:    Additional Notes:  CLM ICN # 5921315018403 &amp; 2021159038649. Pd Amt $20.25 twice. D9230 - Prior Authorization required for this service.As pre auth is not found, code denied. Insurance: Forward Health</v>
      </c>
      <c r="C823" s="60" t="str">
        <f>'Level 1'!Y823</f>
        <v xml:space="preserve">Task Post Pmt Queue </v>
      </c>
      <c r="D823" s="44" t="str">
        <f>VLOOKUP(C823,Table2[#All],3,FALSE)</f>
        <v>N/A</v>
      </c>
      <c r="E823" s="75" t="s">
        <v>193</v>
      </c>
      <c r="F823" s="96" t="s">
        <v>3698</v>
      </c>
      <c r="G823" s="97"/>
    </row>
    <row r="824" spans="1:7" ht="63" x14ac:dyDescent="0.25">
      <c r="A824" s="43" t="str">
        <f>CONCATENATE("Pt Id:",'Level 1'!E824," ","Pt Name: ",'Level 1'!F824," ","DOS: ", TEXT('Level 1'!H824,"mm-dd-yyyy"),"  "," Amnt: ","$",'Level 1'!J824,"  ", 'Level 1'!N824)</f>
        <v>Pt Id:5373 Pt Name: Bain , Scarlett DOS: 05-10-2021   Amnt: $496  Claim Paid by EFT;</v>
      </c>
      <c r="B824" s="43" t="str">
        <f>CONCATENATE("Detail: ",'Level 1'!N824,"  ",'Level 1'!O824,TEXT('Level 1'!P824,"  mm-dd-yyyy"),";"," ",'Level 1'!Q824,'Level 1'!R824,"  ",'Level 1'!T824," ","Payment "," ",'Level 1'!U824,"  ",'Level 1'!V824,"  ",'Level 1'!W824,"  ",'Level 1'!X824,"  ",'Level 1'!Z824, "  ",'Level 1'!AA824, " ","Insurance: ",'Level 1'!A824)</f>
        <v>Detail: Claim Paid by EFT;  Issue Date:  06-18-2021; EFT#  SEPRATE Payment  Call Ref#:    Cust Rep:    Additional Notes:  CLM ICN # 2021139021228; Pd Amt $282.40. D9230 - Prior Authorization required for this service.As pre auth is not found, code denied. Insurance: Forward Health</v>
      </c>
      <c r="C824" s="60" t="str">
        <f>'Level 1'!Y824</f>
        <v xml:space="preserve">Task Post Pmt Queue </v>
      </c>
      <c r="D824" s="44" t="str">
        <f>VLOOKUP(C824,Table2[#All],3,FALSE)</f>
        <v>N/A</v>
      </c>
      <c r="E824" s="75" t="s">
        <v>193</v>
      </c>
      <c r="F824" s="96" t="s">
        <v>3698</v>
      </c>
      <c r="G824" s="97"/>
    </row>
    <row r="825" spans="1:7" ht="63" x14ac:dyDescent="0.25">
      <c r="A825" s="43" t="str">
        <f>CONCATENATE("Pt Id:",'Level 1'!E825," ","Pt Name: ",'Level 1'!F825," ","DOS: ", TEXT('Level 1'!H825,"mm-dd-yyyy"),"  "," Amnt: ","$",'Level 1'!J825,"  ", 'Level 1'!N825)</f>
        <v>Pt Id:6135 Pt Name: Dougherty, Daniel DOS: 05-19-2021   Amnt: $61.2  Patient maxed out;</v>
      </c>
      <c r="B825" s="43" t="str">
        <f>CONCATENATE("Detail: ",'Level 1'!N825,"  ",'Level 1'!O825,TEXT('Level 1'!P825,"  mm-dd-yyyy"),";"," ",'Level 1'!Q825,'Level 1'!R825,"  ",'Level 1'!T825," ","Payment "," ",'Level 1'!U825,"  ",'Level 1'!V825,"  ",'Level 1'!W825,"  ",'Level 1'!X825,"  ",'Level 1'!Z825, "  ",'Level 1'!AA825, " ","Insurance: ",'Level 1'!A825)</f>
        <v>Detail: Patient maxed out;  Yearly Max:   04-14-1903; Call Ref#:220127030315  MATT Payment  0    0    Additional Notes:  Rep State that Claim Denied as patient used yearly max,Claim No:62398553C00,  Processed &amp; Denied Date:06/03/2021, Patient Resp: Nil Insurance: Guardian Dental Group</v>
      </c>
      <c r="C825" s="60" t="str">
        <f>'Level 1'!Y825</f>
        <v xml:space="preserve">Task Post Pmt Queue </v>
      </c>
      <c r="D825" s="44" t="str">
        <f>VLOOKUP(C825,Table2[#All],3,FALSE)</f>
        <v>N/A</v>
      </c>
      <c r="E825" s="75" t="s">
        <v>193</v>
      </c>
      <c r="F825" s="96" t="s">
        <v>3698</v>
      </c>
      <c r="G825" s="97"/>
    </row>
    <row r="826" spans="1:7" ht="42" x14ac:dyDescent="0.25">
      <c r="A826" s="43" t="str">
        <f>CONCATENATE("Pt Id:",'Level 1'!E826," ","Pt Name: ",'Level 1'!F826," ","DOS: ", TEXT('Level 1'!H826,"mm-dd-yyyy"),"  "," Amnt: ","$",'Level 1'!J826,"  ", 'Level 1'!N826)</f>
        <v>Pt Id:6774 Pt Name: Ruiz , Angel  DOS: 05-11-2021   Amnt: $61.2  Claim denied due to Frequency;</v>
      </c>
      <c r="B826" s="43" t="str">
        <f>CONCATENATE("Detail: ",'Level 1'!N826,"  ",'Level 1'!O826,TEXT('Level 1'!P826,"  mm-dd-yyyy"),";"," ",'Level 1'!Q826,'Level 1'!R826,"  ",'Level 1'!T826," ","Payment "," ",'Level 1'!U826,"  ",'Level 1'!V826,"  ",'Level 1'!W826,"  ",'Level 1'!X826,"  ",'Level 1'!Z826, "  ",'Level 1'!AA826, " ","Insurance: ",'Level 1'!A826)</f>
        <v>Detail: Claim denied due to Frequency;  Freq for Proc:Once in 6 Consecutive months; Hist dts:   Payment  Cust Rep:    0    Additional Notes:  GET THE HISTORY DATES.  ///Clm #20721C13900 Insurance: Guardian Dental Group</v>
      </c>
      <c r="C826" s="60" t="str">
        <f>'Level 1'!Y826</f>
        <v xml:space="preserve">Task Post Pmt Queue </v>
      </c>
      <c r="D826" s="44" t="str">
        <f>VLOOKUP(C826,Table2[#All],3,FALSE)</f>
        <v>N/A</v>
      </c>
      <c r="E826" s="75" t="s">
        <v>199</v>
      </c>
      <c r="F826" s="96"/>
      <c r="G826" s="97"/>
    </row>
    <row r="827" spans="1:7" ht="126" x14ac:dyDescent="0.25">
      <c r="A827" s="43" t="str">
        <f>CONCATENATE("Pt Id:",'Level 1'!E827," ","Pt Name: ",'Level 1'!F827," ","DOS: ", TEXT('Level 1'!H827,"mm-dd-yyyy"),"  "," Amnt: ","$",'Level 1'!J827,"  ", 'Level 1'!N827)</f>
        <v>Pt Id:6366 Pt Name: Asala, Lillian DOS: 08-20-2021   Amnt: $227.6  Patient maxed out;</v>
      </c>
      <c r="B827" s="43" t="str">
        <f>CONCATENATE("Detail: ",'Level 1'!N827,"  ",'Level 1'!O827,TEXT('Level 1'!P827,"  mm-dd-yyyy"),";"," ",'Level 1'!Q827,'Level 1'!R827,"  ",'Level 1'!T827," ","Payment "," ",'Level 1'!U827,"  ",'Level 1'!V827,"  ",'Level 1'!W827,"  ",'Level 1'!X827,"  ",'Level 1'!Z827, "  ",'Level 1'!AA827, " ","Insurance: ",'Level 1'!A827)</f>
        <v>Detail: Patient maxed out;  Yearly Max:   06-22-1905; Call Ref#:2000232347937  Miki Payment  0    0    Additional Notes:  Create Manual EOB - SN   //   Rep State that EOB Shared to provider Office clm denied due to patient max out Rep Name: Angelie,  Call Ref: 2000238893887(INS Contact NO: 8004574708)//REQUEST EOB- SN   //      Rep states that clm #202108256381030, thaere are total 6codes on the claim has been denied due to dental annual maximum benefits has been met for the patient. Rcd dt 8/25/2021, processed dt 8/27/2021. Insurance: Humana Dental Claims Office</v>
      </c>
      <c r="C827" s="60" t="str">
        <f>'Level 1'!Y827</f>
        <v xml:space="preserve">Task Post Pmt Queue </v>
      </c>
      <c r="D827" s="44" t="str">
        <f>VLOOKUP(C827,Table2[#All],3,FALSE)</f>
        <v>N/A</v>
      </c>
      <c r="E827" s="75" t="s">
        <v>199</v>
      </c>
      <c r="F827" s="96"/>
      <c r="G827" s="97"/>
    </row>
    <row r="828" spans="1:7" ht="21" x14ac:dyDescent="0.25">
      <c r="A828" s="43" t="str">
        <f>CONCATENATE("Pt Id:",'Level 1'!E828," ","Pt Name: ",'Level 1'!F828," ","DOS: ", TEXT('Level 1'!H828,"mm-dd-yyyy"),"  "," Amnt: ","$",'Level 1'!J828,"  ", 'Level 1'!N828)</f>
        <v>Pt Id:119 Pt Name: Hilgers, Jason DOS: 02-16-2022   Amnt: $82.8  Note</v>
      </c>
      <c r="B828" s="43" t="str">
        <f>CONCATENATE("Detail: ",'Level 1'!N828,"  ",'Level 1'!O828,TEXT('Level 1'!P828,"  mm-dd-yyyy"),";"," ",'Level 1'!Q828,'Level 1'!R828,"  ",'Level 1'!T828," ","Payment "," ",'Level 1'!U828,"  ",'Level 1'!V828,"  ",'Level 1'!W828,"  ",'Level 1'!X828,"  ",'Level 1'!Z828, "  ",'Level 1'!AA828, " ","Insurance: ",'Level 1'!A828)</f>
        <v>Detail: Note  Q1  01-00-1900; Q2   Payment  Q4    Q5    Additional Notes:   Insurance: ICARE-MEDICARE</v>
      </c>
      <c r="C828" s="60" t="str">
        <f>'Level 1'!Y828</f>
        <v>Action</v>
      </c>
      <c r="D828" s="44" t="str">
        <f>VLOOKUP(C828,Table2[#All],3,FALSE)</f>
        <v>What we need from you/Reason</v>
      </c>
      <c r="E828" s="75" t="s">
        <v>199</v>
      </c>
      <c r="F828" s="96"/>
      <c r="G828" s="97"/>
    </row>
    <row r="829" spans="1:7" ht="21" x14ac:dyDescent="0.25">
      <c r="A829" s="43" t="str">
        <f>CONCATENATE("Pt Id:",'Level 1'!E829," ","Pt Name: ",'Level 1'!F829," ","DOS: ", TEXT('Level 1'!H829,"mm-dd-yyyy"),"  "," Amnt: ","$",'Level 1'!J829,"  ", 'Level 1'!N829)</f>
        <v>Pt Id:9101 Pt Name: Butler , Kenny  DOS: 03-12-2022   Amnt: $871.2  Note</v>
      </c>
      <c r="B829" s="43" t="str">
        <f>CONCATENATE("Detail: ",'Level 1'!N829,"  ",'Level 1'!O829,TEXT('Level 1'!P829,"  mm-dd-yyyy"),";"," ",'Level 1'!Q829,'Level 1'!R829,"  ",'Level 1'!T829," ","Payment "," ",'Level 1'!U829,"  ",'Level 1'!V829,"  ",'Level 1'!W829,"  ",'Level 1'!X829,"  ",'Level 1'!Z829, "  ",'Level 1'!AA829, " ","Insurance: ",'Level 1'!A829)</f>
        <v>Detail: Note  Q1  01-00-1900; Q2   Payment  Q4    Q5    Additional Notes:   Insurance: Metlife Dental Claims</v>
      </c>
      <c r="C829" s="60" t="str">
        <f>'Level 1'!Y829</f>
        <v>Action</v>
      </c>
      <c r="D829" s="44" t="str">
        <f>VLOOKUP(C829,Table2[#All],3,FALSE)</f>
        <v>What we need from you/Reason</v>
      </c>
      <c r="E829" s="75" t="s">
        <v>199</v>
      </c>
      <c r="F829" s="96"/>
      <c r="G829" s="97"/>
    </row>
    <row r="830" spans="1:7" ht="105" x14ac:dyDescent="0.25">
      <c r="A830" s="43" t="str">
        <f>CONCATENATE("Pt Id:",'Level 1'!E830," ","Pt Name: ",'Level 1'!F830," ","DOS: ", TEXT('Level 1'!H830,"mm-dd-yyyy"),"  "," Amnt: ","$",'Level 1'!J830,"  ", 'Level 1'!N830)</f>
        <v>Pt Id:8524 Pt Name: Lopez Diaz , Abigail DOS: 12-21-2021   Amnt: $1168  Claim Paid by Check;</v>
      </c>
      <c r="B830" s="43" t="str">
        <f>CONCATENATE("Detail: ",'Level 1'!N830,"  ",'Level 1'!O830,TEXT('Level 1'!P830,"  mm-dd-yyyy"),";"," ",'Level 1'!Q830,'Level 1'!R830,"  ",'Level 1'!T830," ","Payment "," ",'Level 1'!U830,"  ",'Level 1'!V830,"  ",'Level 1'!W830,"  ",'Level 1'!X830,"  ",'Level 1'!Z830, "  ",'Level 1'!AA830, " ","Insurance: ",'Level 1'!A830)</f>
        <v>Detail: Claim Paid by Check;  Issue Date:  04-15-2022; CHK#549903284  SEPRATE Payment  Call Ref#:    Cust Rep:    Additional Notes:  as per PMS DOS was ( 12/15/2021) Rep states that the check was cashed on 1/19/2022. Rep AD id #121583284.//Rep states that the claim is still outstanding need to contact after 7-10 buisness days. Rep Jely id #121084878. //NEED CASHED DATE - SN   //    CLM # 1122744904; Pd Amt $371.20; Deductible $50 Insurance: Metlife Dental Claims</v>
      </c>
      <c r="C830" s="60" t="str">
        <f>'Level 1'!Y830</f>
        <v xml:space="preserve">Task Cashed Chk Queue </v>
      </c>
      <c r="D830" s="44" t="str">
        <f>VLOOKUP(C830,Table2[#All],3,FALSE)</f>
        <v>What We Need From You: Please confirm Check was received. Reason: To close claim.</v>
      </c>
      <c r="E830" s="75" t="s">
        <v>193</v>
      </c>
      <c r="F830" s="96" t="s">
        <v>3698</v>
      </c>
      <c r="G830" s="97"/>
    </row>
    <row r="831" spans="1:7" ht="63" x14ac:dyDescent="0.25">
      <c r="A831" s="43" t="str">
        <f>CONCATENATE("Pt Id:",'Level 1'!E831," ","Pt Name: ",'Level 1'!F831," ","DOS: ", TEXT('Level 1'!H831,"mm-dd-yyyy"),"  "," Amnt: ","$",'Level 1'!J831,"  ", 'Level 1'!N831)</f>
        <v>Pt Id:8655 Pt Name: Alvarado Ortiz, Jean  DOS: 12-14-2021   Amnt: $1012.8  Write information in Addl Notes</v>
      </c>
      <c r="B831" s="43" t="str">
        <f>CONCATENATE("Detail: ",'Level 1'!N831,"  ",'Level 1'!O831,TEXT('Level 1'!P831,"  mm-dd-yyyy"),";"," ",'Level 1'!Q831,'Level 1'!R831,"  ",'Level 1'!T831," ","Payment "," ",'Level 1'!U831,"  ",'Level 1'!V831,"  ",'Level 1'!W831,"  ",'Level 1'!X831,"  ",'Level 1'!Z831, "  ",'Level 1'!AA831, " ","Insurance: ",'Level 1'!A831)</f>
        <v>Detail: Write information in Addl Notes  Call Ref#:  01-00-1900; Cust Rep:   Payment            Additional Notes:  As per the ID card in Smart docs, patient has UHC ins not MetLife. Need to update the Ins info in PMS and resubmit the claim to UHC. Insurance: Metlife Dental Claims</v>
      </c>
      <c r="C831" s="60" t="str">
        <f>'Level 1'!Y831</f>
        <v xml:space="preserve"> Team Lead to review &amp; Follow-Up</v>
      </c>
      <c r="D831" s="44" t="e">
        <f>VLOOKUP(C831,Table2[#All],3,FALSE)</f>
        <v>#N/A</v>
      </c>
      <c r="E831" s="75" t="s">
        <v>193</v>
      </c>
      <c r="F831" s="96" t="s">
        <v>3698</v>
      </c>
      <c r="G831" s="97"/>
    </row>
    <row r="832" spans="1:7" ht="63" x14ac:dyDescent="0.25">
      <c r="A832" s="43" t="str">
        <f>CONCATENATE("Pt Id:",'Level 1'!E832," ","Pt Name: ",'Level 1'!F832," ","DOS: ", TEXT('Level 1'!H832,"mm-dd-yyyy"),"  "," Amnt: ","$",'Level 1'!J832,"  ", 'Level 1'!N832)</f>
        <v>Pt Id:8655 Pt Name: Alvarado Ortiz, Jean  DOS: 12-10-2021   Amnt: $372.8  Write information in Addl Notes</v>
      </c>
      <c r="B832" s="43" t="str">
        <f>CONCATENATE("Detail: ",'Level 1'!N832,"  ",'Level 1'!O832,TEXT('Level 1'!P832,"  mm-dd-yyyy"),";"," ",'Level 1'!Q832,'Level 1'!R832,"  ",'Level 1'!T832," ","Payment "," ",'Level 1'!U832,"  ",'Level 1'!V832,"  ",'Level 1'!W832,"  ",'Level 1'!X832,"  ",'Level 1'!Z832, "  ",'Level 1'!AA832, " ","Insurance: ",'Level 1'!A832)</f>
        <v>Detail: Write information in Addl Notes  Call Ref#:  01-00-1900; Cust Rep:   Payment            Additional Notes:  As per the ID card in Smart docs, patient has UHC ins not MetLife. Need to update the Ins info in PMS and resubmit the claim to UHC. Insurance: Metlife Dental Claims</v>
      </c>
      <c r="C832" s="60" t="str">
        <f>'Level 1'!Y832</f>
        <v xml:space="preserve"> Team Lead to review &amp; Follow-Up</v>
      </c>
      <c r="D832" s="44" t="e">
        <f>VLOOKUP(C832,Table2[#All],3,FALSE)</f>
        <v>#N/A</v>
      </c>
      <c r="E832" s="75" t="s">
        <v>193</v>
      </c>
      <c r="F832" s="96" t="s">
        <v>3698</v>
      </c>
      <c r="G832" s="97"/>
    </row>
    <row r="833" spans="1:7" ht="84" x14ac:dyDescent="0.25">
      <c r="A833" s="43" t="str">
        <f>CONCATENATE("Pt Id:",'Level 1'!E833," ","Pt Name: ",'Level 1'!F833," ","DOS: ", TEXT('Level 1'!H833,"mm-dd-yyyy"),"  "," Amnt: ","$",'Level 1'!J833,"  ", 'Level 1'!N833)</f>
        <v>Pt Id:8524 Pt Name: Lopez Diaz , Abigail DOS: 12-08-2021   Amnt: $61.2  Claim Paid by Check;</v>
      </c>
      <c r="B833" s="43" t="str">
        <f>CONCATENATE("Detail: ",'Level 1'!N833,"  ",'Level 1'!O833,TEXT('Level 1'!P833,"  mm-dd-yyyy"),";"," ",'Level 1'!Q833,'Level 1'!R833,"  ",'Level 1'!T833," ","Payment "," ",'Level 1'!U833,"  ",'Level 1'!V833,"  ",'Level 1'!W833,"  ",'Level 1'!X833,"  ",'Level 1'!Z833, "  ",'Level 1'!AA833, " ","Insurance: ",'Level 1'!A833)</f>
        <v>Detail: Claim Paid by Check;  Issue Date:  04-15-2022; CHK#549903284  SEPRATE Payment  Call Ref#:    Cust Rep:    Additional Notes:  Rep states that the check was cashed on 1/19/2022. Rep AD id #121583284 ///Rep states that the claim is still outstanding need to contact after 7-10 buisness days. Rep Jely id #121084878. ///NEED CASHED DATE - SN.    //    CLM # 1122744903; Pd Amt $41 Insurance: Metlife Dental Claims</v>
      </c>
      <c r="C833" s="60" t="str">
        <f>'Level 1'!Y833</f>
        <v xml:space="preserve">Task Cashed Chk Queue </v>
      </c>
      <c r="D833" s="44" t="str">
        <f>VLOOKUP(C833,Table2[#All],3,FALSE)</f>
        <v>What We Need From You: Please confirm Check was received. Reason: To close claim.</v>
      </c>
      <c r="E833" s="75" t="s">
        <v>193</v>
      </c>
      <c r="F833" s="96" t="s">
        <v>3698</v>
      </c>
      <c r="G833" s="97"/>
    </row>
    <row r="834" spans="1:7" ht="84" x14ac:dyDescent="0.25">
      <c r="A834" s="43" t="str">
        <f>CONCATENATE("Pt Id:",'Level 1'!E834," ","Pt Name: ",'Level 1'!F834," ","DOS: ", TEXT('Level 1'!H834,"mm-dd-yyyy"),"  "," Amnt: ","$",'Level 1'!J834,"  ", 'Level 1'!N834)</f>
        <v>Pt Id:2747 Pt Name: Statema, Elanna  DOS: 12-07-2021   Amnt: $108.8  Claim Paid by Check;</v>
      </c>
      <c r="B834" s="43" t="str">
        <f>CONCATENATE("Detail: ",'Level 1'!N834,"  ",'Level 1'!O834,TEXT('Level 1'!P834,"  mm-dd-yyyy"),";"," ",'Level 1'!Q834,'Level 1'!R834,"  ",'Level 1'!T834," ","Payment "," ",'Level 1'!U834,"  ",'Level 1'!V834,"  ",'Level 1'!W834,"  ",'Level 1'!X834,"  ",'Level 1'!Z834, "  ",'Level 1'!AA834, " ","Insurance: ",'Level 1'!A834)</f>
        <v>Detail: Claim Paid by Check;  Issue Date:  04-15-2022; CHK#567767037  SEPRATE Payment  Call Ref#:    Cust Rep:    Additional Notes:  Rep states that the check was cashed on 1/19/2022. Rep AD id #121583284. //Rep states that the claim is still outstanding need to contact after 7-10 buisness days. Rep Jely id #121084878. ///NEED CASHED DATE - SN   //    CLM # 1122737546; Pd Amt $64 Insurance: Metlife Dental Claims</v>
      </c>
      <c r="C834" s="60" t="str">
        <f>'Level 1'!Y834</f>
        <v xml:space="preserve">Task Cashed Chk Queue </v>
      </c>
      <c r="D834" s="44" t="str">
        <f>VLOOKUP(C834,Table2[#All],3,FALSE)</f>
        <v>What We Need From You: Please confirm Check was received. Reason: To close claim.</v>
      </c>
      <c r="E834" s="75" t="s">
        <v>193</v>
      </c>
      <c r="F834" s="96" t="s">
        <v>3698</v>
      </c>
      <c r="G834" s="97"/>
    </row>
    <row r="835" spans="1:7" ht="84" x14ac:dyDescent="0.25">
      <c r="A835" s="43" t="str">
        <f>CONCATENATE("Pt Id:",'Level 1'!E835," ","Pt Name: ",'Level 1'!F835," ","DOS: ", TEXT('Level 1'!H835,"mm-dd-yyyy"),"  "," Amnt: ","$",'Level 1'!J835,"  ", 'Level 1'!N835)</f>
        <v>Pt Id:8446 Pt Name: Govea , Guisselle  DOS: 11-13-2021   Amnt: $915.2  Claim Paid by Check;</v>
      </c>
      <c r="B835" s="43" t="str">
        <f>CONCATENATE("Detail: ",'Level 1'!N835,"  ",'Level 1'!O835,TEXT('Level 1'!P835,"  mm-dd-yyyy"),";"," ",'Level 1'!Q835,'Level 1'!R835,"  ",'Level 1'!T835," ","Payment "," ",'Level 1'!U835,"  ",'Level 1'!V835,"  ",'Level 1'!W835,"  ",'Level 1'!X835,"  ",'Level 1'!Z835, "  ",'Level 1'!AA835, " ","Insurance: ",'Level 1'!A835)</f>
        <v>Detail: Claim Paid by Check;  Issue Date:  12-31-2021; CHK#549903284  BULK Payment  Call Ref#:  119568567  Cust Rep:  Amore  Additional Notes:  Rep States that clm #211230404700, Paid amt $123.20, Cashed date 01/19/2022, Pt Resp $369.80, D7210 &amp; D1208 are denied not covered under patient plan. Insurance: Metlife Dental Claims</v>
      </c>
      <c r="C835" s="60" t="str">
        <f>'Level 1'!Y835</f>
        <v xml:space="preserve">Task Cashed Chk Queue </v>
      </c>
      <c r="D835" s="44" t="str">
        <f>VLOOKUP(C835,Table2[#All],3,FALSE)</f>
        <v>What We Need From You: Please confirm Check was received. Reason: To close claim.</v>
      </c>
      <c r="E835" s="75" t="s">
        <v>199</v>
      </c>
      <c r="F835" s="96"/>
      <c r="G835" s="97"/>
    </row>
    <row r="836" spans="1:7" ht="63" x14ac:dyDescent="0.25">
      <c r="A836" s="43" t="str">
        <f>CONCATENATE("Pt Id:",'Level 1'!E836," ","Pt Name: ",'Level 1'!F836," ","DOS: ", TEXT('Level 1'!H836,"mm-dd-yyyy"),"  "," Amnt: ","$",'Level 1'!J836,"  ", 'Level 1'!N836)</f>
        <v>Pt Id:5412 Pt Name: Torres, Kimberly  DOS: 09-28-2021   Amnt: $452.4  Ins needs more info, need to submit;</v>
      </c>
      <c r="B836" s="43" t="str">
        <f>CONCATENATE("Detail: ",'Level 1'!N836,"  ",'Level 1'!O836,TEXT('Level 1'!P836,"  mm-dd-yyyy"),";"," ",'Level 1'!Q836,'Level 1'!R836,"  ",'Level 1'!T836," ","Payment "," ",'Level 1'!U836,"  ",'Level 1'!V836,"  ",'Level 1'!W836,"  ",'Level 1'!X836,"  ",'Level 1'!Z836, "  ",'Level 1'!AA836, " ","Insurance: ",'Level 1'!A836)</f>
        <v>Detail: Ins needs more info, need to submit;  Attachments/Info needed?Primary EOB required; Fax # (If Fax Yes):18593896505  118404450 Payment  Cust Rep:  Razel  0    Additional Notes:  Rep states that clm #1120934148003, clm has been denied due to need the priamry eob. Insurance: Metlife Dental Claims</v>
      </c>
      <c r="C836" s="60" t="str">
        <f>'Level 1'!Y836</f>
        <v xml:space="preserve">Task Sub Pending Claims Queue </v>
      </c>
      <c r="D836" s="44" t="str">
        <f>VLOOKUP(C836,Table2[#All],3,FALSE)</f>
        <v>N/A</v>
      </c>
      <c r="E836" s="75" t="s">
        <v>193</v>
      </c>
      <c r="F836" s="96" t="s">
        <v>3698</v>
      </c>
      <c r="G836" s="97"/>
    </row>
    <row r="837" spans="1:7" ht="147" x14ac:dyDescent="0.25">
      <c r="A837" s="43" t="str">
        <f>CONCATENATE("Pt Id:",'Level 1'!E837," ","Pt Name: ",'Level 1'!F837," ","DOS: ", TEXT('Level 1'!H837,"mm-dd-yyyy"),"  "," Amnt: ","$",'Level 1'!J837,"  ", 'Level 1'!N837)</f>
        <v>Pt Id:4173 Pt Name: Contreras, Jacqueline DOS: 05-28-2020   Amnt: $957.6  Claim Paid by Check;</v>
      </c>
      <c r="B837" s="43" t="str">
        <f>CONCATENATE("Detail: ",'Level 1'!N837,"  ",'Level 1'!O837,TEXT('Level 1'!P837,"  mm-dd-yyyy"),";"," ",'Level 1'!Q837,'Level 1'!R837,"  ",'Level 1'!T837," ","Payment "," ",'Level 1'!U837,"  ",'Level 1'!V837,"  ",'Level 1'!W837,"  ",'Level 1'!X837,"  ",'Level 1'!Z837, "  ",'Level 1'!AA837, " ","Insurance: ",'Level 1'!A837)</f>
        <v>Detail: Claim Paid by Check;  Issue Date:  01-05-2022; CHK#567782340   Payment  Call Ref#:  121084878  Cust Rep:  Jely  Additional Notes:  Rep states that clm #1120801171 paid amt $175.50, only one code D0330 is denied due to frequency and the freq limit is once in 5 years, his dates are 10/8/2018.///GET EOB &amp; RECHECK THE STATUS - SN    //    Rep Say's that Claim is pending as they need the complete details of the treating dentist (Need Clear copy of the Dentist Information,Lincence No,Date on which he started service at office,Office Address,Telephone No and Name of the treating Dentist),  Claim No:1111037616,  Processed &amp; Denied Date:11/18/2021, Mailing Address:P.O.BOX 981282 Elpaso,TX 79998 Insurance: Metlife Dental Claims</v>
      </c>
      <c r="C837" s="60" t="str">
        <f>'Level 1'!Y837</f>
        <v xml:space="preserve">Task Cashed Chk Queue </v>
      </c>
      <c r="D837" s="44" t="str">
        <f>VLOOKUP(C837,Table2[#All],3,FALSE)</f>
        <v>What We Need From You: Please confirm Check was received. Reason: To close claim.</v>
      </c>
      <c r="E837" s="75" t="s">
        <v>193</v>
      </c>
      <c r="F837" s="96" t="s">
        <v>3698</v>
      </c>
      <c r="G837" s="97"/>
    </row>
    <row r="838" spans="1:7" ht="105" x14ac:dyDescent="0.25">
      <c r="A838" s="43" t="str">
        <f>CONCATENATE("Pt Id:",'Level 1'!E838," ","Pt Name: ",'Level 1'!F838," ","DOS: ", TEXT('Level 1'!H838,"mm-dd-yyyy"),"  "," Amnt: ","$",'Level 1'!J838,"  ", 'Level 1'!N838)</f>
        <v>Pt Id:7801 Pt Name: Bostick Mcgee, Kiya DOS: 09-01-2021   Amnt: $208.8  Claim not on file. Patient is active ;</v>
      </c>
      <c r="B838" s="43" t="str">
        <f>CONCATENATE("Detail: ",'Level 1'!N838,"  ",'Level 1'!O838,TEXT('Level 1'!P838,"  mm-dd-yyyy"),";"," ",'Level 1'!Q838,'Level 1'!R838,"  ",'Level 1'!T838," ","Payment "," ",'Level 1'!U838,"  ",'Level 1'!V838,"  ",'Level 1'!W838,"  ",'Level 1'!X838,"  ",'Level 1'!Z838, "  ",'Level 1'!AA838, " ","Insurance: ",'Level 1'!A838)</f>
        <v>Detail: Claim not on file. Patient is active ;  Payor ID &amp; Address:  08-20-2080; Fax # (If Fax Yes):18593896505  No filing limits Payment  Call Ref#:  119575097  Cust Rep:  Charm  Additional Notes:  Rep states that this policy is no longer active , The termination date is 2/28/2022, since the policy is active for the Dos, we can submitt the claim for the re processing, Rep suggested us to send the claim trough fax #18593896505, P.O box 981282. El Paso, TX 79998. Insurance: Metlife Dental Claims</v>
      </c>
      <c r="C838" s="60" t="str">
        <f>'Level 1'!Y838</f>
        <v>Task Sub Pending Claims Queue</v>
      </c>
      <c r="D838" s="44" t="str">
        <f>VLOOKUP(C838,Table2[#All],3,FALSE)</f>
        <v>N/A</v>
      </c>
      <c r="E838" s="75" t="s">
        <v>193</v>
      </c>
      <c r="F838" s="96" t="s">
        <v>3698</v>
      </c>
      <c r="G838" s="97"/>
    </row>
    <row r="839" spans="1:7" ht="105" x14ac:dyDescent="0.25">
      <c r="A839" s="43" t="str">
        <f>CONCATENATE("Pt Id:",'Level 1'!E839," ","Pt Name: ",'Level 1'!F839," ","DOS: ", TEXT('Level 1'!H839,"mm-dd-yyyy"),"  "," Amnt: ","$",'Level 1'!J839,"  ", 'Level 1'!N839)</f>
        <v>Pt Id:7800 Pt Name: Anderson, Kashmir DOS: 09-01-2021   Amnt: $650  Claim not on file. Patient is active ;</v>
      </c>
      <c r="B839" s="43" t="str">
        <f>CONCATENATE("Detail: ",'Level 1'!N839,"  ",'Level 1'!O839,TEXT('Level 1'!P839,"  mm-dd-yyyy"),";"," ",'Level 1'!Q839,'Level 1'!R839,"  ",'Level 1'!T839," ","Payment "," ",'Level 1'!U839,"  ",'Level 1'!V839,"  ",'Level 1'!W839,"  ",'Level 1'!X839,"  ",'Level 1'!Z839, "  ",'Level 1'!AA839, " ","Insurance: ",'Level 1'!A839)</f>
        <v>Detail: Claim not on file. Patient is active ;  Payor ID &amp; Address:  08-20-2080; Fax # (If Fax Yes):18593896505  No filing limits Payment  Call Ref#:  119575097  Cust Rep:  Charm  Additional Notes:  Rep states that this policy is no longer active , The termination date is 2/28/2022, since the policy is active for the Dos, we can submitt the claim for the re processing, Rep suggested us to send the claim trough fax #18593896505, P.O box 981282. El Paso, TX 79998. Insurance: Metlife Dental Claims</v>
      </c>
      <c r="C839" s="60" t="str">
        <f>'Level 1'!Y839</f>
        <v>Task Sub Pending Claims Queue</v>
      </c>
      <c r="D839" s="44" t="str">
        <f>VLOOKUP(C839,Table2[#All],3,FALSE)</f>
        <v>N/A</v>
      </c>
      <c r="E839" s="75" t="s">
        <v>193</v>
      </c>
      <c r="F839" s="96" t="s">
        <v>3698</v>
      </c>
      <c r="G839" s="97"/>
    </row>
    <row r="840" spans="1:7" ht="84" x14ac:dyDescent="0.25">
      <c r="A840" s="43" t="str">
        <f>CONCATENATE("Pt Id:",'Level 1'!E840," ","Pt Name: ",'Level 1'!F840," ","DOS: ", TEXT('Level 1'!H840,"mm-dd-yyyy"),"  "," Amnt: ","$",'Level 1'!J840,"  ", 'Level 1'!N840)</f>
        <v>Pt Id:7389 Pt Name: Baker , Jennifer DOS: 06-22-2021   Amnt: $804.8  Claim Paid by EFT;</v>
      </c>
      <c r="B840" s="43" t="str">
        <f>CONCATENATE("Detail: ",'Level 1'!N840,"  ",'Level 1'!O840,TEXT('Level 1'!P840,"  mm-dd-yyyy"),";"," ",'Level 1'!Q840,'Level 1'!R840,"  ",'Level 1'!T840," ","Payment "," ",'Level 1'!U840,"  ",'Level 1'!V840,"  ",'Level 1'!W840,"  ",'Level 1'!X840,"  ",'Level 1'!Z840, "  ",'Level 1'!AA840, " ","Insurance: ",'Level 1'!A840)</f>
        <v>Detail: Claim Paid by EFT;  Issue Date:  08-03-2021; EFT#548827210  SEPRATE Payment  Call Ref#:  118404450  Cust Rep:  Razel  Additional Notes:  Pd Amt : $103.60 CLM # 1072042768. Rep states that the payment has been made and it has cashed out on 8/11/2021, payment was send to the insured so we have to contact insure for the eob. Insurance: Metlife Dental Claims</v>
      </c>
      <c r="C840" s="60" t="str">
        <f>'Level 1'!Y840</f>
        <v xml:space="preserve">Task Post Pmt Queue </v>
      </c>
      <c r="D840" s="44" t="str">
        <f>VLOOKUP(C840,Table2[#All],3,FALSE)</f>
        <v>N/A</v>
      </c>
      <c r="E840" s="75" t="s">
        <v>193</v>
      </c>
      <c r="F840" s="96" t="s">
        <v>3698</v>
      </c>
      <c r="G840" s="97"/>
    </row>
    <row r="841" spans="1:7" ht="63" x14ac:dyDescent="0.25">
      <c r="A841" s="43" t="str">
        <f>CONCATENATE("Pt Id:",'Level 1'!E841," ","Pt Name: ",'Level 1'!F841," ","DOS: ", TEXT('Level 1'!H841,"mm-dd-yyyy"),"  "," Amnt: ","$",'Level 1'!J841,"  ", 'Level 1'!N841)</f>
        <v>Pt Id:6950 Pt Name: Monarres, Saul DOS: 05-10-2021   Amnt: $292.4  Claim Paid by Check;</v>
      </c>
      <c r="B841" s="43" t="str">
        <f>CONCATENATE("Detail: ",'Level 1'!N841,"  ",'Level 1'!O841,TEXT('Level 1'!P841,"  mm-dd-yyyy"),";"," ",'Level 1'!Q841,'Level 1'!R841,"  ",'Level 1'!T841," ","Payment "," ",'Level 1'!U841,"  ",'Level 1'!V841,"  ",'Level 1'!W841,"  ",'Level 1'!X841,"  ",'Level 1'!Z841, "  ",'Level 1'!AA841, " ","Insurance: ",'Level 1'!A841)</f>
        <v>Detail: Claim Paid by Check;  Issue Date:  06-18-2021; CHK#548518747  427.6 Payment  Call Ref#:  112986811  Cust Rep:  Jess  Additional Notes:  Pd $173.60 Clm # 1051944090 Cashed Date 07/12/2021. D0220, D0230, D0274, D0330 are bundled into code D0210 and paid. Insurance: Metlife Dental Claims</v>
      </c>
      <c r="C841" s="60" t="str">
        <f>'Level 1'!Y841</f>
        <v xml:space="preserve">Task Cashed Chk Queue </v>
      </c>
      <c r="D841" s="44" t="str">
        <f>VLOOKUP(C841,Table2[#All],3,FALSE)</f>
        <v>What We Need From You: Please confirm Check was received. Reason: To close claim.</v>
      </c>
      <c r="E841" s="75" t="s">
        <v>199</v>
      </c>
      <c r="F841" s="96"/>
      <c r="G841" s="97"/>
    </row>
    <row r="842" spans="1:7" ht="105" x14ac:dyDescent="0.25">
      <c r="A842" s="43" t="str">
        <f>CONCATENATE("Pt Id:",'Level 1'!E842," ","Pt Name: ",'Level 1'!F842," ","DOS: ", TEXT('Level 1'!H842,"mm-dd-yyyy"),"  "," Amnt: ","$",'Level 1'!J842,"  ", 'Level 1'!N842)</f>
        <v>Pt Id:6180 Pt Name: Rainer , Adam DOS: 02-09-2021   Amnt: $258.8  Claim Paid by Check;</v>
      </c>
      <c r="B842" s="43" t="str">
        <f>CONCATENATE("Detail: ",'Level 1'!N842,"  ",'Level 1'!O842,TEXT('Level 1'!P842,"  mm-dd-yyyy"),";"," ",'Level 1'!Q842,'Level 1'!R842,"  ",'Level 1'!T842," ","Payment "," ",'Level 1'!U842,"  ",'Level 1'!V842,"  ",'Level 1'!W842,"  ",'Level 1'!X842,"  ",'Level 1'!Z842, "  ",'Level 1'!AA842, " ","Insurance: ",'Level 1'!A842)</f>
        <v>Detail: Claim Paid by Check;  Issue Date:  02-22-2021; CHK#567325914  Bulk $318 Payment  Call Ref#:  112986811  Cust Rep:  Jess  Additional Notes:  Rep states that clm# 1021246564, rep confirmed that this not a duplicate, payment made to the provideer Dr sumitt chanana. ///RECHECK WITH INS, EOB SAYS IT IS A DUPLICATE CLAIM. PROBABLY THE CLAIM WAS PAID TO ANOTHER PROVIDER.    //   Pd $159 pt res $ 0  Clm #1021246564 was cashed on 03/02/2021. Eob requested Insurance: Metlife Dental Claims</v>
      </c>
      <c r="C842" s="60" t="str">
        <f>'Level 1'!Y842</f>
        <v xml:space="preserve">Task Cashed Chk Queue </v>
      </c>
      <c r="D842" s="44" t="str">
        <f>VLOOKUP(C842,Table2[#All],3,FALSE)</f>
        <v>What We Need From You: Please confirm Check was received. Reason: To close claim.</v>
      </c>
      <c r="E842" s="75" t="s">
        <v>193</v>
      </c>
      <c r="F842" s="96" t="s">
        <v>3698</v>
      </c>
      <c r="G842" s="97"/>
    </row>
    <row r="843" spans="1:7" ht="42" x14ac:dyDescent="0.25">
      <c r="A843" s="43" t="str">
        <f>CONCATENATE("Pt Id:",'Level 1'!E843," ","Pt Name: ",'Level 1'!F843," ","DOS: ", TEXT('Level 1'!H843,"mm-dd-yyyy"),"  "," Amnt: ","$",'Level 1'!J843,"  ", 'Level 1'!N843)</f>
        <v>Pt Id:8320 Pt Name: Christoforos , Wendy  DOS: 03-14-2022   Amnt: $0  Note</v>
      </c>
      <c r="B843" s="43" t="str">
        <f>CONCATENATE("Detail: ",'Level 1'!N843,"  ",'Level 1'!O843,TEXT('Level 1'!P843,"  mm-dd-yyyy"),";"," ",'Level 1'!Q843,'Level 1'!R843,"  ",'Level 1'!T843," ","Payment "," ",'Level 1'!U843,"  ",'Level 1'!V843,"  ",'Level 1'!W843,"  ",'Level 1'!X843,"  ",'Level 1'!Z843, "  ",'Level 1'!AA843, " ","Insurance: ",'Level 1'!A843)</f>
        <v>Detail: Note  Q1  01-00-1900; Q2   Payment  Q4    Q5    Additional Notes:   Insurance: Molina Healthcare of WI</v>
      </c>
      <c r="C843" s="60" t="str">
        <f>'Level 1'!Y843</f>
        <v>Action</v>
      </c>
      <c r="D843" s="44" t="str">
        <f>VLOOKUP(C843,Table2[#All],3,FALSE)</f>
        <v>What we need from you/Reason</v>
      </c>
      <c r="E843" s="75" t="s">
        <v>199</v>
      </c>
      <c r="F843" s="96"/>
      <c r="G843" s="97"/>
    </row>
    <row r="844" spans="1:7" ht="21" x14ac:dyDescent="0.25">
      <c r="A844" s="43" t="str">
        <f>CONCATENATE("Pt Id:",'Level 1'!E844," ","Pt Name: ",'Level 1'!F844," ","DOS: ", TEXT('Level 1'!H844,"mm-dd-yyyy"),"  "," Amnt: ","$",'Level 1'!J844,"  ", 'Level 1'!N844)</f>
        <v>Pt Id:7897 Pt Name: Mcgregor, Jamell DOS: 10-22-2021   Amnt: $1174  Note</v>
      </c>
      <c r="B844" s="43" t="str">
        <f>CONCATENATE("Detail: ",'Level 1'!N844,"  ",'Level 1'!O844,TEXT('Level 1'!P844,"  mm-dd-yyyy"),";"," ",'Level 1'!Q844,'Level 1'!R844,"  ",'Level 1'!T844," ","Payment "," ",'Level 1'!U844,"  ",'Level 1'!V844,"  ",'Level 1'!W844,"  ",'Level 1'!X844,"  ",'Level 1'!Z844, "  ",'Level 1'!AA844, " ","Insurance: ",'Level 1'!A844)</f>
        <v>Detail: Note  Q1  01-00-1900; Q2   Payment  Q4    Q5    Additional Notes:   Insurance: Molina Healthcare of WI</v>
      </c>
      <c r="C844" s="60" t="str">
        <f>'Level 1'!Y844</f>
        <v>Action</v>
      </c>
      <c r="D844" s="44" t="str">
        <f>VLOOKUP(C844,Table2[#All],3,FALSE)</f>
        <v>What we need from you/Reason</v>
      </c>
      <c r="E844" s="75" t="s">
        <v>199</v>
      </c>
      <c r="F844" s="96"/>
      <c r="G844" s="97"/>
    </row>
    <row r="845" spans="1:7" ht="21" x14ac:dyDescent="0.25">
      <c r="A845" s="43" t="str">
        <f>CONCATENATE("Pt Id:",'Level 1'!E845," ","Pt Name: ",'Level 1'!F845," ","DOS: ", TEXT('Level 1'!H845,"mm-dd-yyyy"),"  "," Amnt: ","$",'Level 1'!J845,"  ", 'Level 1'!N845)</f>
        <v>Pt Id:7897 Pt Name: Mcgregor, Jamell DOS: 09-20-2021   Amnt: $264  Note</v>
      </c>
      <c r="B845" s="43" t="str">
        <f>CONCATENATE("Detail: ",'Level 1'!N845,"  ",'Level 1'!O845,TEXT('Level 1'!P845,"  mm-dd-yyyy"),";"," ",'Level 1'!Q845,'Level 1'!R845,"  ",'Level 1'!T845," ","Payment "," ",'Level 1'!U845,"  ",'Level 1'!V845,"  ",'Level 1'!W845,"  ",'Level 1'!X845,"  ",'Level 1'!Z845, "  ",'Level 1'!AA845, " ","Insurance: ",'Level 1'!A845)</f>
        <v>Detail: Note  Q1  01-00-1900; Q2   Payment  Q4    Q5    Additional Notes:   Insurance: Molina Healthcare of WI</v>
      </c>
      <c r="C845" s="60" t="str">
        <f>'Level 1'!Y845</f>
        <v>Action</v>
      </c>
      <c r="D845" s="44" t="str">
        <f>VLOOKUP(C845,Table2[#All],3,FALSE)</f>
        <v>What we need from you/Reason</v>
      </c>
      <c r="E845" s="75" t="s">
        <v>199</v>
      </c>
      <c r="F845" s="96"/>
      <c r="G845" s="97"/>
    </row>
    <row r="846" spans="1:7" ht="21" x14ac:dyDescent="0.25">
      <c r="A846" s="43" t="str">
        <f>CONCATENATE("Pt Id:",'Level 1'!E846," ","Pt Name: ",'Level 1'!F846," ","DOS: ", TEXT('Level 1'!H846,"mm-dd-yyyy"),"  "," Amnt: ","$",'Level 1'!J846,"  ", 'Level 1'!N846)</f>
        <v>Pt Id:7897 Pt Name: Mcgregor, Jamell DOS: 11-09-2021   Amnt: $1126  Note</v>
      </c>
      <c r="B846" s="43" t="str">
        <f>CONCATENATE("Detail: ",'Level 1'!N846,"  ",'Level 1'!O846,TEXT('Level 1'!P846,"  mm-dd-yyyy"),";"," ",'Level 1'!Q846,'Level 1'!R846,"  ",'Level 1'!T846," ","Payment "," ",'Level 1'!U846,"  ",'Level 1'!V846,"  ",'Level 1'!W846,"  ",'Level 1'!X846,"  ",'Level 1'!Z846, "  ",'Level 1'!AA846, " ","Insurance: ",'Level 1'!A846)</f>
        <v>Detail: Note  Q1  01-00-1900; Q2   Payment  Q4    Q5    Additional Notes:   Insurance: Molina Healthcare of WI</v>
      </c>
      <c r="C846" s="60" t="str">
        <f>'Level 1'!Y846</f>
        <v>Action</v>
      </c>
      <c r="D846" s="44" t="str">
        <f>VLOOKUP(C846,Table2[#All],3,FALSE)</f>
        <v>What we need from you/Reason</v>
      </c>
      <c r="E846" s="75" t="s">
        <v>199</v>
      </c>
      <c r="F846" s="96"/>
      <c r="G846" s="97"/>
    </row>
    <row r="847" spans="1:7" ht="21" x14ac:dyDescent="0.25">
      <c r="A847" s="43" t="str">
        <f>CONCATENATE("Pt Id:",'Level 1'!E847," ","Pt Name: ",'Level 1'!F847," ","DOS: ", TEXT('Level 1'!H847,"mm-dd-yyyy"),"  "," Amnt: ","$",'Level 1'!J847,"  ", 'Level 1'!N847)</f>
        <v>Pt Id:8677 Pt Name: Robles, Yajaira DOS: 03-08-2022   Amnt: $253.2  Note</v>
      </c>
      <c r="B847" s="43" t="str">
        <f>CONCATENATE("Detail: ",'Level 1'!N847,"  ",'Level 1'!O847,TEXT('Level 1'!P847,"  mm-dd-yyyy"),";"," ",'Level 1'!Q847,'Level 1'!R847,"  ",'Level 1'!T847," ","Payment "," ",'Level 1'!U847,"  ",'Level 1'!V847,"  ",'Level 1'!W847,"  ",'Level 1'!X847,"  ",'Level 1'!Z847, "  ",'Level 1'!AA847, " ","Insurance: ",'Level 1'!A847)</f>
        <v>Detail: Note  Q1  01-00-1900; Q2   Payment  Q4    Q5    Additional Notes:   Insurance: Molina Healthcare of WI</v>
      </c>
      <c r="C847" s="60" t="str">
        <f>'Level 1'!Y847</f>
        <v>Action</v>
      </c>
      <c r="D847" s="44" t="str">
        <f>VLOOKUP(C847,Table2[#All],3,FALSE)</f>
        <v>What we need from you/Reason</v>
      </c>
      <c r="E847" s="75" t="s">
        <v>199</v>
      </c>
      <c r="F847" s="96"/>
      <c r="G847" s="97"/>
    </row>
    <row r="848" spans="1:7" ht="21" x14ac:dyDescent="0.25">
      <c r="A848" s="43" t="str">
        <f>CONCATENATE("Pt Id:",'Level 1'!E848," ","Pt Name: ",'Level 1'!F848," ","DOS: ", TEXT('Level 1'!H848,"mm-dd-yyyy"),"  "," Amnt: ","$",'Level 1'!J848,"  ", 'Level 1'!N848)</f>
        <v>Pt Id:1247 Pt Name: Jensen , Samuel DOS: 02-07-2022   Amnt: $1068  Note</v>
      </c>
      <c r="B848" s="43" t="str">
        <f>CONCATENATE("Detail: ",'Level 1'!N848,"  ",'Level 1'!O848,TEXT('Level 1'!P848,"  mm-dd-yyyy"),";"," ",'Level 1'!Q848,'Level 1'!R848,"  ",'Level 1'!T848," ","Payment "," ",'Level 1'!U848,"  ",'Level 1'!V848,"  ",'Level 1'!W848,"  ",'Level 1'!X848,"  ",'Level 1'!Z848, "  ",'Level 1'!AA848, " ","Insurance: ",'Level 1'!A848)</f>
        <v>Detail: Note  Q1  01-00-1900; Q2   Payment  Q4    Q5    Additional Notes:   Insurance: Molina Healthcare of WI</v>
      </c>
      <c r="C848" s="60" t="str">
        <f>'Level 1'!Y848</f>
        <v>Action</v>
      </c>
      <c r="D848" s="44" t="str">
        <f>VLOOKUP(C848,Table2[#All],3,FALSE)</f>
        <v>What we need from you/Reason</v>
      </c>
      <c r="E848" s="75" t="s">
        <v>199</v>
      </c>
      <c r="F848" s="96"/>
      <c r="G848" s="97"/>
    </row>
    <row r="849" spans="1:7" ht="42" x14ac:dyDescent="0.25">
      <c r="A849" s="43" t="str">
        <f>CONCATENATE("Pt Id:",'Level 1'!E849," ","Pt Name: ",'Level 1'!F849," ","DOS: ", TEXT('Level 1'!H849,"mm-dd-yyyy"),"  "," Amnt: ","$",'Level 1'!J849,"  ", 'Level 1'!N849)</f>
        <v>Pt Id:7853 Pt Name: Buckley, Shikeyla DOS: 12-28-2021   Amnt: $1062  Procedure is not a covered benefit;</v>
      </c>
      <c r="B849" s="43" t="str">
        <f>CONCATENATE("Detail: ",'Level 1'!N849,"  ",'Level 1'!O849,TEXT('Level 1'!P849,"  mm-dd-yyyy"),";"," ",'Level 1'!Q849,'Level 1'!R849,"  ",'Level 1'!T849," ","Payment "," ",'Level 1'!U849,"  ",'Level 1'!V849,"  ",'Level 1'!W849,"  ",'Level 1'!X849,"  ",'Level 1'!Z849, "  ",'Level 1'!AA849, " ","Insurance: ",'Level 1'!A849)</f>
        <v>Detail: Procedure is not a covered benefit;  Why? Service Not a Covered Benefit; Call Ref#:PORTAL   Payment  0    0    Additional Notes:  Claim # 20220111179085, Its not a covered benefit. Insurance: Molina Healthcare of WI</v>
      </c>
      <c r="C849" s="60" t="str">
        <f>'Level 1'!Y849</f>
        <v xml:space="preserve">Task Client - Denied Claim Queue </v>
      </c>
      <c r="D849" s="44" t="str">
        <f>VLOOKUP(C849,Table2[#All],3,FALSE)</f>
        <v>What We Need From You: Pls confirm if we can close the claims Reason: To close claim</v>
      </c>
      <c r="E849" s="75" t="s">
        <v>193</v>
      </c>
      <c r="F849" s="96" t="s">
        <v>3698</v>
      </c>
      <c r="G849" s="97"/>
    </row>
    <row r="850" spans="1:7" ht="63" x14ac:dyDescent="0.25">
      <c r="A850" s="43" t="str">
        <f>CONCATENATE("Pt Id:",'Level 1'!E850," ","Pt Name: ",'Level 1'!F850," ","DOS: ", TEXT('Level 1'!H850,"mm-dd-yyyy"),"  "," Amnt: ","$",'Level 1'!J850,"  ", 'Level 1'!N850)</f>
        <v>Pt Id:977 Pt Name: Turner, James DOS: 12-15-2021   Amnt: $43.2  Write information in Addl Notes</v>
      </c>
      <c r="B850" s="43" t="str">
        <f>CONCATENATE("Detail: ",'Level 1'!N850,"  ",'Level 1'!O850,TEXT('Level 1'!P850,"  mm-dd-yyyy"),";"," ",'Level 1'!Q850,'Level 1'!R850,"  ",'Level 1'!T850," ","Payment "," ",'Level 1'!U850,"  ",'Level 1'!V850,"  ",'Level 1'!W850,"  ",'Level 1'!X850,"  ",'Level 1'!Z850, "  ",'Level 1'!AA850, " ","Insurance: ",'Level 1'!A850)</f>
        <v>Detail: Write information in Addl Notes  Call Ref#:  01-00-1900; Cust Rep:   Payment            Additional Notes:  As per the ID card in Smart docs, patient has Forward Health ins not Molina. Need to update the Ins info in PMS and resubmit the claim to Forward Health. Insurance: Molina Healthcare of WI</v>
      </c>
      <c r="C850" s="60" t="str">
        <f>'Level 1'!Y850</f>
        <v xml:space="preserve"> Team Lead to review &amp; Follow-Up</v>
      </c>
      <c r="D850" s="44" t="e">
        <f>VLOOKUP(C850,Table2[#All],3,FALSE)</f>
        <v>#N/A</v>
      </c>
      <c r="E850" s="75" t="s">
        <v>193</v>
      </c>
      <c r="F850" s="96" t="s">
        <v>3698</v>
      </c>
      <c r="G850" s="97"/>
    </row>
    <row r="851" spans="1:7" ht="63" x14ac:dyDescent="0.25">
      <c r="A851" s="43" t="str">
        <f>CONCATENATE("Pt Id:",'Level 1'!E851," ","Pt Name: ",'Level 1'!F851," ","DOS: ", TEXT('Level 1'!H851,"mm-dd-yyyy"),"  "," Amnt: ","$",'Level 1'!J851,"  ", 'Level 1'!N851)</f>
        <v>Pt Id:977 Pt Name: Turner, James DOS: 12-15-2021   Amnt: $566.8  Write information in Addl Notes</v>
      </c>
      <c r="B851" s="43" t="str">
        <f>CONCATENATE("Detail: ",'Level 1'!N851,"  ",'Level 1'!O851,TEXT('Level 1'!P851,"  mm-dd-yyyy"),";"," ",'Level 1'!Q851,'Level 1'!R851,"  ",'Level 1'!T851," ","Payment "," ",'Level 1'!U851,"  ",'Level 1'!V851,"  ",'Level 1'!W851,"  ",'Level 1'!X851,"  ",'Level 1'!Z851, "  ",'Level 1'!AA851, " ","Insurance: ",'Level 1'!A851)</f>
        <v>Detail: Write information in Addl Notes  Call Ref#:  01-00-1900; Cust Rep:   Payment            Additional Notes:  As per the ID card in Smart docs, patient has Forward Health ins not Molina. Need to update the Ins info in PMS and resubmit the claim to Forward Health. Insurance: Molina Healthcare of WI</v>
      </c>
      <c r="C851" s="60" t="str">
        <f>'Level 1'!Y851</f>
        <v xml:space="preserve"> Team Lead to review &amp; Follow-Up</v>
      </c>
      <c r="D851" s="44" t="e">
        <f>VLOOKUP(C851,Table2[#All],3,FALSE)</f>
        <v>#N/A</v>
      </c>
      <c r="E851" s="75" t="s">
        <v>193</v>
      </c>
      <c r="F851" s="96" t="s">
        <v>3698</v>
      </c>
      <c r="G851" s="97"/>
    </row>
    <row r="852" spans="1:7" ht="42" x14ac:dyDescent="0.25">
      <c r="A852" s="43" t="str">
        <f>CONCATENATE("Pt Id:",'Level 1'!E852," ","Pt Name: ",'Level 1'!F852," ","DOS: ", TEXT('Level 1'!H852,"mm-dd-yyyy"),"  "," Amnt: ","$",'Level 1'!J852,"  ", 'Level 1'!N852)</f>
        <v>Pt Id:8371 Pt Name: HIEU TRUNG, NGUYEN DOS: 12-06-2021   Amnt: $480  Claim Paid by EFT;</v>
      </c>
      <c r="B852" s="43" t="str">
        <f>CONCATENATE("Detail: ",'Level 1'!N852,"  ",'Level 1'!O852,TEXT('Level 1'!P852,"  mm-dd-yyyy"),";"," ",'Level 1'!Q852,'Level 1'!R852,"  ",'Level 1'!T852," ","Payment "," ",'Level 1'!U852,"  ",'Level 1'!V852,"  ",'Level 1'!W852,"  ",'Level 1'!X852,"  ",'Level 1'!Z852, "  ",'Level 1'!AA852, " ","Insurance: ",'Level 1'!A852)</f>
        <v>Detail: Claim Paid by EFT;  Issue Date:  12-30-2021; EFT#9020515  BULK Payment  Call Ref#:  PORTAL  Cust Rep:    Additional Notes:  Claim # 20211230167597, Paid $153.84 Insurance: Molina Healthcare of WI</v>
      </c>
      <c r="C852" s="60" t="str">
        <f>'Level 1'!Y852</f>
        <v xml:space="preserve">Task Post Pmt Queue </v>
      </c>
      <c r="D852" s="44" t="str">
        <f>VLOOKUP(C852,Table2[#All],3,FALSE)</f>
        <v>N/A</v>
      </c>
      <c r="E852" s="75" t="s">
        <v>193</v>
      </c>
      <c r="F852" s="96" t="s">
        <v>3698</v>
      </c>
      <c r="G852" s="97"/>
    </row>
    <row r="853" spans="1:7" ht="63" x14ac:dyDescent="0.25">
      <c r="A853" s="43" t="str">
        <f>CONCATENATE("Pt Id:",'Level 1'!E853," ","Pt Name: ",'Level 1'!F853," ","DOS: ", TEXT('Level 1'!H853,"mm-dd-yyyy"),"  "," Amnt: ","$",'Level 1'!J853,"  ", 'Level 1'!N853)</f>
        <v>Pt Id:8253 Pt Name: Hulbert, Gabrielle DOS: 12-07-2021   Amnt: $504  Claim not on file. Patient is active ;</v>
      </c>
      <c r="B853" s="43" t="str">
        <f>CONCATENATE("Detail: ",'Level 1'!N853,"  ",'Level 1'!O853,TEXT('Level 1'!P853,"  mm-dd-yyyy"),";"," ",'Level 1'!Q853,'Level 1'!R853,"  ",'Level 1'!T853," ","Payment "," ",'Level 1'!U853,"  ",'Level 1'!V853,"  ",'Level 1'!W853,"  ",'Level 1'!X853,"  ",'Level 1'!Z853, "  ",'Level 1'!AA853, " ","Insurance: ",'Level 1'!A853)</f>
        <v>Detail: Claim not on file. Patient is active ;  Payor ID &amp; Address:FKYGN; Fax # (If Fax Yes):No FAX   90 days from dos Payment  Call Ref#:  41032  Cust Rep:  VELEKA  Additional Notes:  Rep States that CNOF - Patient Active. Rep states that, There is no claim found on the DOS. Insurance: Molina Healthcare of WI</v>
      </c>
      <c r="C853" s="60" t="str">
        <f>'Level 1'!Y853</f>
        <v>Task Sub Pending Claims Queue</v>
      </c>
      <c r="D853" s="44" t="str">
        <f>VLOOKUP(C853,Table2[#All],3,FALSE)</f>
        <v>N/A</v>
      </c>
      <c r="E853" s="75" t="s">
        <v>193</v>
      </c>
      <c r="F853" s="96" t="s">
        <v>3698</v>
      </c>
      <c r="G853" s="97"/>
    </row>
    <row r="854" spans="1:7" ht="105" x14ac:dyDescent="0.25">
      <c r="A854" s="43" t="str">
        <f>CONCATENATE("Pt Id:",'Level 1'!E854," ","Pt Name: ",'Level 1'!F854," ","DOS: ", TEXT('Level 1'!H854,"mm-dd-yyyy"),"  "," Amnt: ","$",'Level 1'!J854,"  ", 'Level 1'!N854)</f>
        <v>Pt Id:8528 Pt Name: Taleb, Ahmad  DOS: 11-29-2021   Amnt: $100  Procedure is not a covered benefit;</v>
      </c>
      <c r="B854" s="43" t="str">
        <f>CONCATENATE("Detail: ",'Level 1'!N854,"  ",'Level 1'!O854,TEXT('Level 1'!P854,"  mm-dd-yyyy"),";"," ",'Level 1'!Q854,'Level 1'!R854,"  ",'Level 1'!T854," ","Payment "," ",'Level 1'!U854,"  ",'Level 1'!V854,"  ",'Level 1'!W854,"  ",'Level 1'!X854,"  ",'Level 1'!Z854, "  ",'Level 1'!AA854, " ","Insurance: ",'Level 1'!A854)</f>
        <v>Detail: Procedure is not a covered benefit;  Why?   06-13-2007; Call Ref#:Cheryo   Payment  0    0    Additional Notes:  Rep state that claim was reviewed and it was denied as the Code D9230 Cannot be processed seprately and it should be done with other services Rep Name: Marieoena Call Ref: 40269//Rep states that the claim is in process need to contact after 7-10 buisness days//RECHECK THE REASON WITH THE REP - SN Insurance: Molina Healthcare of WI</v>
      </c>
      <c r="C854" s="60" t="str">
        <f>'Level 1'!Y854</f>
        <v xml:space="preserve">Task Client - Denied Claim Queue </v>
      </c>
      <c r="D854" s="44" t="str">
        <f>VLOOKUP(C854,Table2[#All],3,FALSE)</f>
        <v>What We Need From You: Pls confirm if we can close the claims Reason: To close claim</v>
      </c>
      <c r="E854" s="75" t="s">
        <v>193</v>
      </c>
      <c r="F854" s="96" t="s">
        <v>3698</v>
      </c>
      <c r="G854" s="97"/>
    </row>
    <row r="855" spans="1:7" ht="42" x14ac:dyDescent="0.25">
      <c r="A855" s="43" t="str">
        <f>CONCATENATE("Pt Id:",'Level 1'!E855," ","Pt Name: ",'Level 1'!F855," ","DOS: ", TEXT('Level 1'!H855,"mm-dd-yyyy"),"  "," Amnt: ","$",'Level 1'!J855,"  ", 'Level 1'!N855)</f>
        <v>Pt Id:1207 Pt Name: Rumsey, Julie DOS: 11-24-2021   Amnt: $27.6  Claim Paid by EFT;</v>
      </c>
      <c r="B855" s="43" t="str">
        <f>CONCATENATE("Detail: ",'Level 1'!N855,"  ",'Level 1'!O855,TEXT('Level 1'!P855,"  mm-dd-yyyy"),";"," ",'Level 1'!Q855,'Level 1'!R855,"  ",'Level 1'!T855," ","Payment "," ",'Level 1'!U855,"  ",'Level 1'!V855,"  ",'Level 1'!W855,"  ",'Level 1'!X855,"  ",'Level 1'!Z855, "  ",'Level 1'!AA855, " ","Insurance: ",'Level 1'!A855)</f>
        <v>Detail: Claim Paid by EFT;  Issue Date:  12-02-2021; EFT#9020061  BULK Payment  Call Ref#:  PORTAL  Cust Rep:    Additional Notes:  Claim# 20211202135315, Paid $7.59 Insurance: Molina Healthcare of WI</v>
      </c>
      <c r="C855" s="60" t="str">
        <f>'Level 1'!Y855</f>
        <v xml:space="preserve">Task Post Pmt Queue </v>
      </c>
      <c r="D855" s="44" t="str">
        <f>VLOOKUP(C855,Table2[#All],3,FALSE)</f>
        <v>N/A</v>
      </c>
      <c r="E855" s="75" t="s">
        <v>193</v>
      </c>
      <c r="F855" s="96" t="s">
        <v>3698</v>
      </c>
      <c r="G855" s="97"/>
    </row>
    <row r="856" spans="1:7" ht="84" x14ac:dyDescent="0.25">
      <c r="A856" s="43" t="str">
        <f>CONCATENATE("Pt Id:",'Level 1'!E856," ","Pt Name: ",'Level 1'!F856," ","DOS: ", TEXT('Level 1'!H856,"mm-dd-yyyy"),"  "," Amnt: ","$",'Level 1'!J856,"  ", 'Level 1'!N856)</f>
        <v>Pt Id:8411 Pt Name: Conner , Nevin DOS: 11-08-2021   Amnt: $1011.2  Claim not on file. Patient is active ;</v>
      </c>
      <c r="B856" s="43" t="str">
        <f>CONCATENATE("Detail: ",'Level 1'!N856,"  ",'Level 1'!O856,TEXT('Level 1'!P856,"  mm-dd-yyyy"),";"," ",'Level 1'!Q856,'Level 1'!R856,"  ",'Level 1'!T856," ","Payment "," ",'Level 1'!U856,"  ",'Level 1'!V856,"  ",'Level 1'!W856,"  ",'Level 1'!X856,"  ",'Level 1'!Z856, "  ",'Level 1'!AA856, " ","Insurance: ",'Level 1'!A856)</f>
        <v>Detail: Claim not on file. Patient is active ;  Payor ID &amp; Address:SKYGN; Fax # (If Fax Yes):NA  90 days from dos Payment  Call Ref#:  39246  Cust Rep:  Cheryo  Additional Notes:  Rep states that CNOF patient is active,rep requested us to send the claim trough payorid SKYGN, P.O box 2136 novaki wi 53201.////CHECK THE STATUS Insurance: Molina Healthcare of WI</v>
      </c>
      <c r="C856" s="60" t="str">
        <f>'Level 1'!Y856</f>
        <v>Task Sub Pending Claims Queue</v>
      </c>
      <c r="D856" s="44" t="str">
        <f>VLOOKUP(C856,Table2[#All],3,FALSE)</f>
        <v>N/A</v>
      </c>
      <c r="E856" s="75" t="s">
        <v>193</v>
      </c>
      <c r="F856" s="96" t="s">
        <v>3698</v>
      </c>
      <c r="G856" s="97"/>
    </row>
    <row r="857" spans="1:7" ht="42" x14ac:dyDescent="0.25">
      <c r="A857" s="43" t="str">
        <f>CONCATENATE("Pt Id:",'Level 1'!E857," ","Pt Name: ",'Level 1'!F857," ","DOS: ", TEXT('Level 1'!H857,"mm-dd-yyyy"),"  "," Amnt: ","$",'Level 1'!J857,"  ", 'Level 1'!N857)</f>
        <v>Pt Id:7744 Pt Name: Travers, Vanessa DOS: 11-02-2021   Amnt: $326.8  Claim Paid by EFT;</v>
      </c>
      <c r="B857" s="43" t="str">
        <f>CONCATENATE("Detail: ",'Level 1'!N857,"  ",'Level 1'!O857,TEXT('Level 1'!P857,"  mm-dd-yyyy"),";"," ",'Level 1'!Q857,'Level 1'!R857,"  ",'Level 1'!T857," ","Payment "," ",'Level 1'!U857,"  ",'Level 1'!V857,"  ",'Level 1'!W857,"  ",'Level 1'!X857,"  ",'Level 1'!Z857, "  ",'Level 1'!AA857, " ","Insurance: ",'Level 1'!A857)</f>
        <v>Detail: Claim Paid by EFT;  Issue Date:  11-09-2021; EFT#9019707  BULK Payment  Call Ref#:  PORTAL  Cust Rep:    Additional Notes:  Claim # 20211109104004, Paid $121.04 Insurance: Molina Healthcare of WI</v>
      </c>
      <c r="C857" s="60" t="str">
        <f>'Level 1'!Y857</f>
        <v xml:space="preserve">Task Post Pmt Queue </v>
      </c>
      <c r="D857" s="44" t="str">
        <f>VLOOKUP(C857,Table2[#All],3,FALSE)</f>
        <v>N/A</v>
      </c>
      <c r="E857" s="75" t="s">
        <v>193</v>
      </c>
      <c r="F857" s="96" t="s">
        <v>3698</v>
      </c>
      <c r="G857" s="97"/>
    </row>
    <row r="858" spans="1:7" ht="42" x14ac:dyDescent="0.25">
      <c r="A858" s="43" t="str">
        <f>CONCATENATE("Pt Id:",'Level 1'!E858," ","Pt Name: ",'Level 1'!F858," ","DOS: ", TEXT('Level 1'!H858,"mm-dd-yyyy"),"  "," Amnt: ","$",'Level 1'!J858,"  ", 'Level 1'!N858)</f>
        <v>Pt Id:5139 Pt Name: Cartagena, Isaiah  DOS: 11-04-2021   Amnt: $244.4  Claim Paid by EFT;</v>
      </c>
      <c r="B858" s="43" t="str">
        <f>CONCATENATE("Detail: ",'Level 1'!N858,"  ",'Level 1'!O858,TEXT('Level 1'!P858,"  mm-dd-yyyy"),";"," ",'Level 1'!Q858,'Level 1'!R858,"  ",'Level 1'!T858," ","Payment "," ",'Level 1'!U858,"  ",'Level 1'!V858,"  ",'Level 1'!W858,"  ",'Level 1'!X858,"  ",'Level 1'!Z858, "  ",'Level 1'!AA858, " ","Insurance: ",'Level 1'!A858)</f>
        <v>Detail: Claim Paid by EFT;  Issue Date:  11-09-2021; EFT#9019707  BULK Payment  Call Ref#:  PORTAL  Cust Rep:    Additional Notes:  Claim# 20211108101811, Paid $107.83 Insurance: Molina Healthcare of WI</v>
      </c>
      <c r="C858" s="60" t="str">
        <f>'Level 1'!Y858</f>
        <v xml:space="preserve">Task Post Pmt Queue </v>
      </c>
      <c r="D858" s="44" t="str">
        <f>VLOOKUP(C858,Table2[#All],3,FALSE)</f>
        <v>N/A</v>
      </c>
      <c r="E858" s="75" t="s">
        <v>193</v>
      </c>
      <c r="F858" s="96" t="s">
        <v>3698</v>
      </c>
      <c r="G858" s="97"/>
    </row>
    <row r="859" spans="1:7" ht="42" x14ac:dyDescent="0.25">
      <c r="A859" s="43" t="str">
        <f>CONCATENATE("Pt Id:",'Level 1'!E859," ","Pt Name: ",'Level 1'!F859," ","DOS: ", TEXT('Level 1'!H859,"mm-dd-yyyy"),"  "," Amnt: ","$",'Level 1'!J859,"  ", 'Level 1'!N859)</f>
        <v>Pt Id:5641 Pt Name: MOSLEY , SHAIELA  DOS: 10-14-2021   Amnt: $88.8  Claim Paid by EFT;</v>
      </c>
      <c r="B859" s="43" t="str">
        <f>CONCATENATE("Detail: ",'Level 1'!N859,"  ",'Level 1'!O859,TEXT('Level 1'!P859,"  mm-dd-yyyy"),";"," ",'Level 1'!Q859,'Level 1'!R859,"  ",'Level 1'!T859," ","Payment "," ",'Level 1'!U859,"  ",'Level 1'!V859,"  ",'Level 1'!W859,"  ",'Level 1'!X859,"  ",'Level 1'!Z859, "  ",'Level 1'!AA859, " ","Insurance: ",'Level 1'!A859)</f>
        <v>Detail: Claim Paid by EFT;  Issue Date:  10-19-2021; EFT#9019380  BULK Payment  Call Ref#:  PORTAL  Cust Rep:    Additional Notes:  Claim # 20211019173880, Paid $35.66. Insurance: Molina Healthcare of WI</v>
      </c>
      <c r="C859" s="60" t="str">
        <f>'Level 1'!Y859</f>
        <v xml:space="preserve">Task Post Pmt Queue </v>
      </c>
      <c r="D859" s="44" t="str">
        <f>VLOOKUP(C859,Table2[#All],3,FALSE)</f>
        <v>N/A</v>
      </c>
      <c r="E859" s="75" t="s">
        <v>193</v>
      </c>
      <c r="F859" s="96" t="s">
        <v>3698</v>
      </c>
      <c r="G859" s="97"/>
    </row>
    <row r="860" spans="1:7" ht="126" x14ac:dyDescent="0.25">
      <c r="A860" s="43" t="str">
        <f>CONCATENATE("Pt Id:",'Level 1'!E860," ","Pt Name: ",'Level 1'!F860," ","DOS: ", TEXT('Level 1'!H860,"mm-dd-yyyy"),"  "," Amnt: ","$",'Level 1'!J860,"  ", 'Level 1'!N860)</f>
        <v>Pt Id:8008 Pt Name: Flowers, Dedrick  DOS: 10-13-2021   Amnt: $182.8  Claim Partially Paid by Check; Add notes</v>
      </c>
      <c r="B860" s="43" t="str">
        <f>CONCATENATE("Detail: ",'Level 1'!N860,"  ",'Level 1'!O860,TEXT('Level 1'!P860,"  mm-dd-yyyy"),";"," ",'Level 1'!Q860,'Level 1'!R860,"  ",'Level 1'!T860," ","Payment "," ",'Level 1'!U860,"  ",'Level 1'!V860,"  ",'Level 1'!W860,"  ",'Level 1'!X860,"  ",'Level 1'!Z860, "  ",'Level 1'!AA860, " ","Insurance: ",'Level 1'!A860)</f>
        <v>Detail: Claim Partially Paid by Check; Add notes  Issue Date:  11-09-2021; CHK#9019707  BULK Payment  Call Ref#:  PORTAL  Cust Rep:    Additional Notes:  D9110 was not bundled with D9230. D9110 was denied as it not permitted by Ins to perform the procedure on the same day when D9230 was performed. - 02/28/2022 - SN.   //     Need to call and check if D9110 is inclusive when billed with D9230. Per Online Clm# 20211108101698, Partially Paid $44.00. D9110 denied as Service not permitted on same date of service when billed with D9230 Insurance: Molina Healthcare of WI</v>
      </c>
      <c r="C860" s="60" t="str">
        <f>'Level 1'!Y860</f>
        <v xml:space="preserve">Task Cashed Chk Queue </v>
      </c>
      <c r="D860" s="44" t="str">
        <f>VLOOKUP(C860,Table2[#All],3,FALSE)</f>
        <v>What We Need From You: Please confirm Check was received. Reason: To close claim.</v>
      </c>
      <c r="E860" s="75" t="s">
        <v>193</v>
      </c>
      <c r="F860" s="96" t="s">
        <v>3698</v>
      </c>
      <c r="G860" s="97"/>
    </row>
    <row r="861" spans="1:7" ht="84" x14ac:dyDescent="0.25">
      <c r="A861" s="43" t="str">
        <f>CONCATENATE("Pt Id:",'Level 1'!E861," ","Pt Name: ",'Level 1'!F861," ","DOS: ", TEXT('Level 1'!H861,"mm-dd-yyyy"),"  "," Amnt: ","$",'Level 1'!J861,"  ", 'Level 1'!N861)</f>
        <v>Pt Id:7699 Pt Name: Mcfarland, Kamiah DOS: 08-16-2021   Amnt: $58.8  Claim Paid by EFT;</v>
      </c>
      <c r="B861" s="43" t="str">
        <f>CONCATENATE("Detail: ",'Level 1'!N861,"  ",'Level 1'!O861,TEXT('Level 1'!P861,"  mm-dd-yyyy"),";"," ",'Level 1'!Q861,'Level 1'!R861,"  ",'Level 1'!T861," ","Payment "," ",'Level 1'!U861,"  ",'Level 1'!V861,"  ",'Level 1'!W861,"  ",'Level 1'!X861,"  ",'Level 1'!Z861, "  ",'Level 1'!AA861, " ","Insurance: ",'Level 1'!A861)</f>
        <v>Detail: Claim Paid by EFT;  Issue Date:  08-30-2021; EFT#9018588  SINGLE Payment  Call Ref#:  PORTAL  Cust Rep:    Additional Notes:  Clm #M1499060900889, clm rcd on 8/27/2021, paid amt $480.55, There are 12 codes on the claim 1 code D1120 is denied due to the member age or tooth is not within plan guidelines for this procedure. Insurance: Molina Healthcare of WI</v>
      </c>
      <c r="C861" s="60" t="str">
        <f>'Level 1'!Y861</f>
        <v xml:space="preserve">Task Post Pmt Queue </v>
      </c>
      <c r="D861" s="44" t="str">
        <f>VLOOKUP(C861,Table2[#All],3,FALSE)</f>
        <v>N/A</v>
      </c>
      <c r="E861" s="75" t="s">
        <v>193</v>
      </c>
      <c r="F861" s="96" t="s">
        <v>3698</v>
      </c>
      <c r="G861" s="97"/>
    </row>
    <row r="862" spans="1:7" ht="63" x14ac:dyDescent="0.25">
      <c r="A862" s="43" t="str">
        <f>CONCATENATE("Pt Id:",'Level 1'!E862," ","Pt Name: ",'Level 1'!F862," ","DOS: ", TEXT('Level 1'!H862,"mm-dd-yyyy"),"  "," Amnt: ","$",'Level 1'!J862,"  ", 'Level 1'!N862)</f>
        <v>Pt Id:7083 Pt Name: Jackson Jr, Jeremy  DOS: 06-07-2021   Amnt: $432  Claim Paid by EFT;</v>
      </c>
      <c r="B862" s="43" t="str">
        <f>CONCATENATE("Detail: ",'Level 1'!N862,"  ",'Level 1'!O862,TEXT('Level 1'!P862,"  mm-dd-yyyy"),";"," ",'Level 1'!Q862,'Level 1'!R862,"  ",'Level 1'!T862," ","Payment "," ",'Level 1'!U862,"  ",'Level 1'!V862,"  ",'Level 1'!W862,"  ",'Level 1'!X862,"  ",'Level 1'!Z862, "  ",'Level 1'!AA862, " ","Insurance: ",'Level 1'!A862)</f>
        <v>Detail: Claim Paid by EFT;  Issue Date:  08-30-2021; EFT#9018588  SINGLE Payment  Call Ref#:  PORTAL  Cust Rep:    Additional Notes:  Claim rcd on 8/27/2021, paid amt $253.44,  there are two lines on the claim has been paid. Insurance: Molina Healthcare of WI</v>
      </c>
      <c r="C862" s="60" t="str">
        <f>'Level 1'!Y862</f>
        <v xml:space="preserve">Task Post Pmt Queue </v>
      </c>
      <c r="D862" s="44" t="str">
        <f>VLOOKUP(C862,Table2[#All],3,FALSE)</f>
        <v>N/A</v>
      </c>
      <c r="E862" s="75" t="s">
        <v>193</v>
      </c>
      <c r="F862" s="96" t="s">
        <v>3698</v>
      </c>
      <c r="G862" s="97"/>
    </row>
    <row r="863" spans="1:7" ht="84" x14ac:dyDescent="0.25">
      <c r="A863" s="43" t="str">
        <f>CONCATENATE("Pt Id:",'Level 1'!E863," ","Pt Name: ",'Level 1'!F863," ","DOS: ", TEXT('Level 1'!H863,"mm-dd-yyyy"),"  "," Amnt: ","$",'Level 1'!J863,"  ", 'Level 1'!N863)</f>
        <v>Pt Id:7744 Pt Name: Travers, Vanessa DOS: 08-23-2021   Amnt: $72  Claim Partially Paid by EFT; Add notes</v>
      </c>
      <c r="B863" s="43" t="str">
        <f>CONCATENATE("Detail: ",'Level 1'!N863,"  ",'Level 1'!O863,TEXT('Level 1'!P863,"  mm-dd-yyyy"),";"," ",'Level 1'!Q863,'Level 1'!R863,"  ",'Level 1'!T863," ","Payment "," ",'Level 1'!U863,"  ",'Level 1'!V863,"  ",'Level 1'!W863,"  ",'Level 1'!X863,"  ",'Level 1'!Z863, "  ",'Level 1'!AA863, " ","Insurance: ",'Level 1'!A863)</f>
        <v>Detail: Claim Partially Paid by EFT; Add notes  Issue Date:  08-25-2021; EFT#9018527  SINGLE Payment  Call Ref#:  39246  Cust Rep:  Cheryo  Additional Notes:  Rep states that clm #20210825101736 paid amt $145.36 paid through EFT. Only one code D0150 is denied due to frequency, freq limit 1 in every 3 year, his dates 8/5/2019, 3/9/2020. Insurance: Molina Healthcare of WI</v>
      </c>
      <c r="C863" s="60" t="str">
        <f>'Level 1'!Y863</f>
        <v xml:space="preserve">Task Post Pmt Queue </v>
      </c>
      <c r="D863" s="44" t="str">
        <f>VLOOKUP(C863,Table2[#All],3,FALSE)</f>
        <v>N/A</v>
      </c>
      <c r="E863" s="75" t="s">
        <v>193</v>
      </c>
      <c r="F863" s="96" t="s">
        <v>3698</v>
      </c>
      <c r="G863" s="97"/>
    </row>
    <row r="864" spans="1:7" ht="63" x14ac:dyDescent="0.25">
      <c r="A864" s="43" t="str">
        <f>CONCATENATE("Pt Id:",'Level 1'!E864," ","Pt Name: ",'Level 1'!F864," ","DOS: ", TEXT('Level 1'!H864,"mm-dd-yyyy"),"  "," Amnt: ","$",'Level 1'!J864,"  ", 'Level 1'!N864)</f>
        <v>Pt Id:7571 Pt Name: Mohamad Salim, Harun Bin DOS: 08-04-2021   Amnt: $684.4  Claim Paid by EFT;</v>
      </c>
      <c r="B864" s="43" t="str">
        <f>CONCATENATE("Detail: ",'Level 1'!N864,"  ",'Level 1'!O864,TEXT('Level 1'!P864,"  mm-dd-yyyy"),";"," ",'Level 1'!Q864,'Level 1'!R864,"  ",'Level 1'!T864," ","Payment "," ",'Level 1'!U864,"  ",'Level 1'!V864,"  ",'Level 1'!W864,"  ",'Level 1'!X864,"  ",'Level 1'!Z864, "  ",'Level 1'!AA864, " ","Insurance: ",'Level 1'!A864)</f>
        <v>Detail: Claim Paid by EFT;  Issue Date:  09-28-2021; EFT#9019029  BULK Payment  Call Ref#:  PORTAL  Cust Rep:    Additional Notes:  Clm #M1523626800980, clm rcd on 9/27/2021, paid amt $1,000.80, Bulk amt $7,058.11, there are 7 codes on the claim which has been paid. Insurance: Molina Healthcare of WI</v>
      </c>
      <c r="C864" s="60" t="str">
        <f>'Level 1'!Y864</f>
        <v xml:space="preserve">Task Post Pmt Queue </v>
      </c>
      <c r="D864" s="44" t="str">
        <f>VLOOKUP(C864,Table2[#All],3,FALSE)</f>
        <v>N/A</v>
      </c>
      <c r="E864" s="75" t="s">
        <v>193</v>
      </c>
      <c r="F864" s="96" t="s">
        <v>3698</v>
      </c>
      <c r="G864" s="97"/>
    </row>
    <row r="865" spans="1:7" ht="84" x14ac:dyDescent="0.25">
      <c r="A865" s="43" t="str">
        <f>CONCATENATE("Pt Id:",'Level 1'!E865," ","Pt Name: ",'Level 1'!F865," ","DOS: ", TEXT('Level 1'!H865,"mm-dd-yyyy"),"  "," Amnt: ","$",'Level 1'!J865,"  ", 'Level 1'!N865)</f>
        <v>Pt Id:7629 Pt Name: Mcwhorter, Julian DOS: 08-02-2021   Amnt: $175.2  Claim Paid by EFT;</v>
      </c>
      <c r="B865" s="43" t="str">
        <f>CONCATENATE("Detail: ",'Level 1'!N865,"  ",'Level 1'!O865,TEXT('Level 1'!P865,"  mm-dd-yyyy"),";"," ",'Level 1'!Q865,'Level 1'!R865,"  ",'Level 1'!T865," ","Payment "," ",'Level 1'!U865,"  ",'Level 1'!V865,"  ",'Level 1'!W865,"  ",'Level 1'!X865,"  ",'Level 1'!Z865, "  ",'Level 1'!AA865, " ","Insurance: ",'Level 1'!A865)</f>
        <v>Detail: Claim Paid by EFT;  Issue Date:  08-09-2021; EFT#9018263  BULK Payment  Call Ref#:  PORTAL  Cust Rep:    Additional Notes:  Clm #M1481620201459, clm rcd on 08/09/2021, paid amt $98.63, bulk amt $2,071.36. there are two codes on the claim one is paid and one denied D0330 due to this service is replaced by the full mouth x-ray. Insurance: Molina Healthcare of WI</v>
      </c>
      <c r="C865" s="60" t="str">
        <f>'Level 1'!Y865</f>
        <v xml:space="preserve">Task Post Pmt Queue </v>
      </c>
      <c r="D865" s="44" t="str">
        <f>VLOOKUP(C865,Table2[#All],3,FALSE)</f>
        <v>N/A</v>
      </c>
      <c r="E865" s="75" t="s">
        <v>193</v>
      </c>
      <c r="F865" s="96" t="s">
        <v>3698</v>
      </c>
      <c r="G865" s="97"/>
    </row>
    <row r="866" spans="1:7" ht="84" x14ac:dyDescent="0.25">
      <c r="A866" s="43" t="str">
        <f>CONCATENATE("Pt Id:",'Level 1'!E866," ","Pt Name: ",'Level 1'!F866," ","DOS: ", TEXT('Level 1'!H866,"mm-dd-yyyy"),"  "," Amnt: ","$",'Level 1'!J866,"  ", 'Level 1'!N866)</f>
        <v>Pt Id:4190 Pt Name: Martinez, Sabrina  DOS: 07-27-2021   Amnt: $253.2  Procedure is not a covered benefit;</v>
      </c>
      <c r="B866" s="43" t="str">
        <f>CONCATENATE("Detail: ",'Level 1'!N866,"  ",'Level 1'!O866,TEXT('Level 1'!P866,"  mm-dd-yyyy"),";"," ",'Level 1'!Q866,'Level 1'!R866,"  ",'Level 1'!T866," ","Payment "," ",'Level 1'!U866,"  ",'Level 1'!V866,"  ",'Level 1'!W866,"  ",'Level 1'!X866,"  ",'Level 1'!Z866, "  ",'Level 1'!AA866, " ","Insurance: ",'Level 1'!A866)</f>
        <v>Detail: Procedure is not a covered benefit;  Why? Service is not billiable after dentrist; Call Ref#:39246  Cheryo Payment  0    0    Additional Notes:  Rep states that clm #20210811187518 the claim is denied due to service is not billable after full dentures.///RECHECK WITH THE INS -  SN    //       Clm #M1484216202647, Rcd dt 08/11/2021, code D7210 has been denied on the claim.Service not billable after full dentures Insurance: Molina Healthcare of WI</v>
      </c>
      <c r="C866" s="60" t="str">
        <f>'Level 1'!Y866</f>
        <v xml:space="preserve">Task Client - Denied Claim Queue </v>
      </c>
      <c r="D866" s="44" t="str">
        <f>VLOOKUP(C866,Table2[#All],3,FALSE)</f>
        <v>What We Need From You: Pls confirm if we can close the claims Reason: To close claim</v>
      </c>
      <c r="E866" s="75" t="s">
        <v>193</v>
      </c>
      <c r="F866" s="96" t="s">
        <v>3698</v>
      </c>
      <c r="G866" s="97"/>
    </row>
    <row r="867" spans="1:7" ht="63" x14ac:dyDescent="0.25">
      <c r="A867" s="43" t="str">
        <f>CONCATENATE("Pt Id:",'Level 1'!E867," ","Pt Name: ",'Level 1'!F867," ","DOS: ", TEXT('Level 1'!H867,"mm-dd-yyyy"),"  "," Amnt: ","$",'Level 1'!J867,"  ", 'Level 1'!N867)</f>
        <v>Pt Id:3382 Pt Name: MAYER , MELISSA DOS: 07-19-2021   Amnt: $106.4  Claim Paid by EFT;</v>
      </c>
      <c r="B867" s="43" t="str">
        <f>CONCATENATE("Detail: ",'Level 1'!N867,"  ",'Level 1'!O867,TEXT('Level 1'!P867,"  mm-dd-yyyy"),";"," ",'Level 1'!Q867,'Level 1'!R867,"  ",'Level 1'!T867," ","Payment "," ",'Level 1'!U867,"  ",'Level 1'!V867,"  ",'Level 1'!W867,"  ",'Level 1'!X867,"  ",'Level 1'!Z867, "  ",'Level 1'!AA867, " ","Insurance: ",'Level 1'!A867)</f>
        <v>Detail: Claim Paid by EFT;  Issue Date:  07-28-2021; EFT#9018076  SINGLE Payment  Call Ref#:  PORTAL  Cust Rep:    Additional Notes:  Clm #M1470891202466, Rcd dt M1470891202466, paid amt$79.43, D1110, D1208 has been paid on the claim and others are denied. Insurance: Molina Healthcare of WI</v>
      </c>
      <c r="C867" s="60" t="str">
        <f>'Level 1'!Y867</f>
        <v xml:space="preserve">Task Post Pmt Queue </v>
      </c>
      <c r="D867" s="44" t="str">
        <f>VLOOKUP(C867,Table2[#All],3,FALSE)</f>
        <v>N/A</v>
      </c>
      <c r="E867" s="75" t="s">
        <v>193</v>
      </c>
      <c r="F867" s="96" t="s">
        <v>3698</v>
      </c>
      <c r="G867" s="97"/>
    </row>
    <row r="868" spans="1:7" ht="42" x14ac:dyDescent="0.25">
      <c r="A868" s="43" t="str">
        <f>CONCATENATE("Pt Id:",'Level 1'!E868," ","Pt Name: ",'Level 1'!F868," ","DOS: ", TEXT('Level 1'!H868,"mm-dd-yyyy"),"  "," Amnt: ","$",'Level 1'!J868,"  ", 'Level 1'!N868)</f>
        <v>Pt Id:1972 Pt Name: Gloede, Michele DOS: 07-22-2021   Amnt: $106.4  Claim Paid by EFT;</v>
      </c>
      <c r="B868" s="43" t="str">
        <f>CONCATENATE("Detail: ",'Level 1'!N868,"  ",'Level 1'!O868,TEXT('Level 1'!P868,"  mm-dd-yyyy"),";"," ",'Level 1'!Q868,'Level 1'!R868,"  ",'Level 1'!T868," ","Payment "," ",'Level 1'!U868,"  ",'Level 1'!V868,"  ",'Level 1'!W868,"  ",'Level 1'!X868,"  ",'Level 1'!Z868, "  ",'Level 1'!AA868, " ","Insurance: ",'Level 1'!A868)</f>
        <v>Detail: Claim Paid by EFT;  Issue Date:  07-28-2021; EFT#9018076  SINGLE Payment  Call Ref#:  PORTAL  Cust Rep:    Additional Notes:  Clm #M1472116003044, Rcd on 7/28/2021, amt paid $79.43. Insurance: Molina Healthcare of WI</v>
      </c>
      <c r="C868" s="60" t="str">
        <f>'Level 1'!Y868</f>
        <v xml:space="preserve">Task Post Pmt Queue </v>
      </c>
      <c r="D868" s="44" t="str">
        <f>VLOOKUP(C868,Table2[#All],3,FALSE)</f>
        <v>N/A</v>
      </c>
      <c r="E868" s="75" t="s">
        <v>193</v>
      </c>
      <c r="F868" s="96" t="s">
        <v>3698</v>
      </c>
      <c r="G868" s="97"/>
    </row>
    <row r="869" spans="1:7" ht="63" x14ac:dyDescent="0.25">
      <c r="A869" s="43" t="str">
        <f>CONCATENATE("Pt Id:",'Level 1'!E869," ","Pt Name: ",'Level 1'!F869," ","DOS: ", TEXT('Level 1'!H869,"mm-dd-yyyy"),"  "," Amnt: ","$",'Level 1'!J869,"  ", 'Level 1'!N869)</f>
        <v>Pt Id:2274 Pt Name: Asboth, Patricia DOS: 07-20-2021   Amnt: $149.6  Claim Paid by EFT;</v>
      </c>
      <c r="B869" s="43" t="str">
        <f>CONCATENATE("Detail: ",'Level 1'!N869,"  ",'Level 1'!O869,TEXT('Level 1'!P869,"  mm-dd-yyyy"),";"," ",'Level 1'!Q869,'Level 1'!R869,"  ",'Level 1'!T869," ","Payment "," ",'Level 1'!U869,"  ",'Level 1'!V869,"  ",'Level 1'!W869,"  ",'Level 1'!X869,"  ",'Level 1'!Z869, "  ",'Level 1'!AA869, " ","Insurance: ",'Level 1'!A869)</f>
        <v>Detail: Claim Paid by EFT;  Issue Date:  07-28-2021; EFT#9018076  SINGLE Payment  Call Ref#:  PORTAL  Cust Rep:    Additional Notes:  Clm #M1470891204822, paid amt $19.71, Rcd on 7/27/2021, There are four codes on the claim one is paid and the rest are denied. Insurance: Molina Healthcare of WI</v>
      </c>
      <c r="C869" s="60" t="str">
        <f>'Level 1'!Y869</f>
        <v xml:space="preserve">Task Post Pmt Queue </v>
      </c>
      <c r="D869" s="44" t="str">
        <f>VLOOKUP(C869,Table2[#All],3,FALSE)</f>
        <v>N/A</v>
      </c>
      <c r="E869" s="75" t="s">
        <v>193</v>
      </c>
      <c r="F869" s="96" t="s">
        <v>3698</v>
      </c>
      <c r="G869" s="97"/>
    </row>
    <row r="870" spans="1:7" ht="42" x14ac:dyDescent="0.25">
      <c r="A870" s="43" t="str">
        <f>CONCATENATE("Pt Id:",'Level 1'!E870," ","Pt Name: ",'Level 1'!F870," ","DOS: ", TEXT('Level 1'!H870,"mm-dd-yyyy"),"  "," Amnt: ","$",'Level 1'!J870,"  ", 'Level 1'!N870)</f>
        <v>Pt Id:2078 Pt Name: Mullen, Natasha DOS: 07-15-2021   Amnt: $333.6  Write information in Addl Notes</v>
      </c>
      <c r="B870" s="43" t="str">
        <f>CONCATENATE("Detail: ",'Level 1'!N870,"  ",'Level 1'!O870,TEXT('Level 1'!P870,"  mm-dd-yyyy"),";"," ",'Level 1'!Q870,'Level 1'!R870,"  ",'Level 1'!T870," ","Payment "," ",'Level 1'!U870,"  ",'Level 1'!V870,"  ",'Level 1'!W870,"  ",'Level 1'!X870,"  ",'Level 1'!Z870, "  ",'Level 1'!AA870, " ","Insurance: ",'Level 1'!A870)</f>
        <v>Detail: Write information in Addl Notes  Call Ref#:  01-00-1900; Cust Rep:   Payment            Additional Notes:   Insurance: Molina Healthcare of WI</v>
      </c>
      <c r="C870" s="60" t="str">
        <f>'Level 1'!Y870</f>
        <v xml:space="preserve"> Team Lead to review &amp; Follow-Up</v>
      </c>
      <c r="D870" s="44" t="e">
        <f>VLOOKUP(C870,Table2[#All],3,FALSE)</f>
        <v>#N/A</v>
      </c>
      <c r="E870" s="75" t="s">
        <v>199</v>
      </c>
      <c r="F870" s="96"/>
      <c r="G870" s="97"/>
    </row>
    <row r="871" spans="1:7" ht="84" x14ac:dyDescent="0.25">
      <c r="A871" s="43" t="str">
        <f>CONCATENATE("Pt Id:",'Level 1'!E871," ","Pt Name: ",'Level 1'!F871," ","DOS: ", TEXT('Level 1'!H871,"mm-dd-yyyy"),"  "," Amnt: ","$",'Level 1'!J871,"  ", 'Level 1'!N871)</f>
        <v>Pt Id:1079 Pt Name: Lafever, Lora Lee DOS: 07-09-2021   Amnt: $230  Claim not on file. Patient is active ;</v>
      </c>
      <c r="B871" s="43" t="str">
        <f>CONCATENATE("Detail: ",'Level 1'!N871,"  ",'Level 1'!O871,TEXT('Level 1'!P871,"  mm-dd-yyyy"),";"," ",'Level 1'!Q871,'Level 1'!R871,"  ",'Level 1'!T871," ","Payment "," ",'Level 1'!U871,"  ",'Level 1'!V871,"  ",'Level 1'!W871,"  ",'Level 1'!X871,"  ",'Level 1'!Z871, "  ",'Level 1'!AA871, " ","Insurance: ",'Level 1'!A871)</f>
        <v>Detail: Claim not on file. Patient is active ;  Payor ID &amp; Address:SKYGN; Fax # (If Fax Yes):  180 days from DOS Payment  Call Ref#:  39246  Cust Rep:  Cheryo  Additional Notes:  Rep states that CNOF patient is active,rep requested us to send the claim trough payorid SKYGN, P.O box 2136 novaki wi 53201.  Insurance: Molina Healthcare of WI</v>
      </c>
      <c r="C871" s="60" t="str">
        <f>'Level 1'!Y871</f>
        <v>Task Sub Pending Claims Queue</v>
      </c>
      <c r="D871" s="44" t="str">
        <f>VLOOKUP(C871,Table2[#All],3,FALSE)</f>
        <v>N/A</v>
      </c>
      <c r="E871" s="75" t="s">
        <v>193</v>
      </c>
      <c r="F871" s="96" t="s">
        <v>3698</v>
      </c>
      <c r="G871" s="97"/>
    </row>
    <row r="872" spans="1:7" ht="84" x14ac:dyDescent="0.25">
      <c r="A872" s="43" t="str">
        <f>CONCATENATE("Pt Id:",'Level 1'!E872," ","Pt Name: ",'Level 1'!F872," ","DOS: ", TEXT('Level 1'!H872,"mm-dd-yyyy"),"  "," Amnt: ","$",'Level 1'!J872,"  ", 'Level 1'!N872)</f>
        <v>Pt Id:1078 Pt Name: Lafever, Amberlee DOS: 07-09-2021   Amnt: $244.4  Claim not on file. Patient is active ;</v>
      </c>
      <c r="B872" s="43" t="str">
        <f>CONCATENATE("Detail: ",'Level 1'!N872,"  ",'Level 1'!O872,TEXT('Level 1'!P872,"  mm-dd-yyyy"),";"," ",'Level 1'!Q872,'Level 1'!R872,"  ",'Level 1'!T872," ","Payment "," ",'Level 1'!U872,"  ",'Level 1'!V872,"  ",'Level 1'!W872,"  ",'Level 1'!X872,"  ",'Level 1'!Z872, "  ",'Level 1'!AA872, " ","Insurance: ",'Level 1'!A872)</f>
        <v>Detail: Claim not on file. Patient is active ;  Payor ID &amp; Address:SKYGN; Fax # (If Fax Yes):NA  90days from dos Payment  Call Ref#:  39246  Cust Rep:  Cheryo  Additional Notes:  Rep states that CNOF patient is active,rep requested us to send the claim trough payorid SKYGN, P.O box 2136 novaki wi 53201 Insurance: Molina Healthcare of WI</v>
      </c>
      <c r="C872" s="60" t="str">
        <f>'Level 1'!Y872</f>
        <v>Task Sub Pending Claims Queue</v>
      </c>
      <c r="D872" s="44" t="str">
        <f>VLOOKUP(C872,Table2[#All],3,FALSE)</f>
        <v>N/A</v>
      </c>
      <c r="E872" s="75" t="s">
        <v>193</v>
      </c>
      <c r="F872" s="96" t="s">
        <v>3698</v>
      </c>
      <c r="G872" s="97"/>
    </row>
    <row r="873" spans="1:7" ht="63" x14ac:dyDescent="0.25">
      <c r="A873" s="43" t="str">
        <f>CONCATENATE("Pt Id:",'Level 1'!E873," ","Pt Name: ",'Level 1'!F873," ","DOS: ", TEXT('Level 1'!H873,"mm-dd-yyyy"),"  "," Amnt: ","$",'Level 1'!J873,"  ", 'Level 1'!N873)</f>
        <v>Pt Id:3962 Pt Name: HIBBLER ORTIZ, JAVION  DOS: 06-24-2021   Amnt: $218  Claim Paid by EFT;</v>
      </c>
      <c r="B873" s="43" t="str">
        <f>CONCATENATE("Detail: ",'Level 1'!N873,"  ",'Level 1'!O873,TEXT('Level 1'!P873,"  mm-dd-yyyy"),";"," ",'Level 1'!Q873,'Level 1'!R873,"  ",'Level 1'!T873," ","Payment "," ",'Level 1'!U873,"  ",'Level 1'!V873,"  ",'Level 1'!W873,"  ",'Level 1'!X873,"  ",'Level 1'!Z873, "  ",'Level 1'!AA873, " ","Insurance: ",'Level 1'!A873)</f>
        <v>Detail: Claim Paid by EFT;  Issue Date:  06-30-2021; EFT#9017669  SINGLE Payment  Call Ref#:  PORTAL  Cust Rep:    Additional Notes:  Clm #M1448873802029, paid amt $101, there are two codes on the claim which is paid. Insurance: Molina Healthcare of WI</v>
      </c>
      <c r="C873" s="60" t="str">
        <f>'Level 1'!Y873</f>
        <v xml:space="preserve">Task Post Pmt Queue </v>
      </c>
      <c r="D873" s="44" t="str">
        <f>VLOOKUP(C873,Table2[#All],3,FALSE)</f>
        <v>N/A</v>
      </c>
      <c r="E873" s="75" t="s">
        <v>193</v>
      </c>
      <c r="F873" s="96" t="s">
        <v>3698</v>
      </c>
      <c r="G873" s="97"/>
    </row>
    <row r="874" spans="1:7" ht="63" x14ac:dyDescent="0.25">
      <c r="A874" s="43" t="str">
        <f>CONCATENATE("Pt Id:",'Level 1'!E874," ","Pt Name: ",'Level 1'!F874," ","DOS: ", TEXT('Level 1'!H874,"mm-dd-yyyy"),"  "," Amnt: ","$",'Level 1'!J874,"  ", 'Level 1'!N874)</f>
        <v>Pt Id:1499 Pt Name: Lichtenwalner, Katherine DOS: 06-16-2021   Amnt: $266  Claim Paid by EFT;</v>
      </c>
      <c r="B874" s="43" t="str">
        <f>CONCATENATE("Detail: ",'Level 1'!N874,"  ",'Level 1'!O874,TEXT('Level 1'!P874,"  mm-dd-yyyy"),";"," ",'Level 1'!Q874,'Level 1'!R874,"  ",'Level 1'!T874," ","Payment "," ",'Level 1'!U874,"  ",'Level 1'!V874,"  ",'Level 1'!W874,"  ",'Level 1'!X874,"  ",'Level 1'!Z874, "  ",'Level 1'!AA874, " ","Insurance: ",'Level 1'!A874)</f>
        <v>Detail: Claim Paid by EFT;  Issue Date:  06-18-2021; EFT#9017495  BULK Payment  Call Ref#:  PORTAL  Cust Rep:    Additional Notes:  Clm #X1044388053, Rcd on 03/27/2019, paid amt $354.40, Bulk amt$7,454.41, there are six codes on the claim 3 codes are paid and 3denied. Insurance: Molina Healthcare of WI</v>
      </c>
      <c r="C874" s="60" t="str">
        <f>'Level 1'!Y874</f>
        <v xml:space="preserve">Task Post Pmt Queue </v>
      </c>
      <c r="D874" s="44" t="str">
        <f>VLOOKUP(C874,Table2[#All],3,FALSE)</f>
        <v>N/A</v>
      </c>
      <c r="E874" s="75" t="s">
        <v>193</v>
      </c>
      <c r="F874" s="96" t="s">
        <v>3698</v>
      </c>
      <c r="G874" s="97"/>
    </row>
    <row r="875" spans="1:7" ht="63" x14ac:dyDescent="0.25">
      <c r="A875" s="43" t="str">
        <f>CONCATENATE("Pt Id:",'Level 1'!E875," ","Pt Name: ",'Level 1'!F875," ","DOS: ", TEXT('Level 1'!H875,"mm-dd-yyyy"),"  "," Amnt: ","$",'Level 1'!J875,"  ", 'Level 1'!N875)</f>
        <v>Pt Id:6980 Pt Name: Chudzik, Monika  DOS: 05-10-2021   Amnt: $106.4  Claim Paid by EFT;</v>
      </c>
      <c r="B875" s="43" t="str">
        <f>CONCATENATE("Detail: ",'Level 1'!N875,"  ",'Level 1'!O875,TEXT('Level 1'!P875,"  mm-dd-yyyy"),";"," ",'Level 1'!Q875,'Level 1'!R875,"  ",'Level 1'!T875," ","Payment "," ",'Level 1'!U875,"  ",'Level 1'!V875,"  ",'Level 1'!W875,"  ",'Level 1'!X875,"  ",'Level 1'!Z875, "  ",'Level 1'!AA875, " ","Insurance: ",'Level 1'!A875)</f>
        <v>Detail: Claim Paid by EFT;  Issue Date:  05-12-2021; EFT#9016942  SINGLE Payment  Call Ref#:  PORTAL  Cust Rep:    Additional Notes:  Clm #M1409375301305, Rcd on 05/12/2021, paid amt$89.65, there are 3 codes on the claim which is paid. Insurance: Molina Healthcare of WI</v>
      </c>
      <c r="C875" s="60" t="str">
        <f>'Level 1'!Y875</f>
        <v xml:space="preserve">Task Post Pmt Queue </v>
      </c>
      <c r="D875" s="44" t="str">
        <f>VLOOKUP(C875,Table2[#All],3,FALSE)</f>
        <v>N/A</v>
      </c>
      <c r="E875" s="75" t="s">
        <v>193</v>
      </c>
      <c r="F875" s="96" t="s">
        <v>3698</v>
      </c>
      <c r="G875" s="97"/>
    </row>
    <row r="876" spans="1:7" ht="63" x14ac:dyDescent="0.25">
      <c r="A876" s="43" t="str">
        <f>CONCATENATE("Pt Id:",'Level 1'!E876," ","Pt Name: ",'Level 1'!F876," ","DOS: ", TEXT('Level 1'!H876,"mm-dd-yyyy"),"  "," Amnt: ","$",'Level 1'!J876,"  ", 'Level 1'!N876)</f>
        <v>Pt Id:1496 Pt Name: Reyes Berryhill, Aniyah DOS: 05-13-2021   Amnt: $20  Claim Paid by EFT;</v>
      </c>
      <c r="B876" s="43" t="str">
        <f>CONCATENATE("Detail: ",'Level 1'!N876,"  ",'Level 1'!O876,TEXT('Level 1'!P876,"  mm-dd-yyyy"),";"," ",'Level 1'!Q876,'Level 1'!R876,"  ",'Level 1'!T876," ","Payment "," ",'Level 1'!U876,"  ",'Level 1'!V876,"  ",'Level 1'!W876,"  ",'Level 1'!X876,"  ",'Level 1'!Z876, "  ",'Level 1'!AA876, " ","Insurance: ",'Level 1'!A876)</f>
        <v>Detail: Claim Paid by EFT;  Issue Date:  05-20-2021; EFT#9017060  BULK Payment  Call Ref#:  PORTAL  Cust Rep:    Additional Notes:  Clm #M1415573300608, paid amt $17.36 Rcd on 05/19/2021, Bulk amt $3,252.49, there is a one code on the claim which is paid. Insurance: Molina Healthcare of WI</v>
      </c>
      <c r="C876" s="60" t="str">
        <f>'Level 1'!Y876</f>
        <v xml:space="preserve">Task Post Pmt Queue </v>
      </c>
      <c r="D876" s="44" t="str">
        <f>VLOOKUP(C876,Table2[#All],3,FALSE)</f>
        <v>N/A</v>
      </c>
      <c r="E876" s="75" t="s">
        <v>193</v>
      </c>
      <c r="F876" s="96" t="s">
        <v>3698</v>
      </c>
      <c r="G876" s="97"/>
    </row>
    <row r="877" spans="1:7" ht="84" x14ac:dyDescent="0.25">
      <c r="A877" s="43" t="str">
        <f>CONCATENATE("Pt Id:",'Level 1'!E877," ","Pt Name: ",'Level 1'!F877," ","DOS: ", TEXT('Level 1'!H877,"mm-dd-yyyy"),"  "," Amnt: ","$",'Level 1'!J877,"  ", 'Level 1'!N877)</f>
        <v>Pt Id:6773 Pt Name: Stockdale , Max  DOS: 05-12-2021   Amnt: $432  Claim not on file. Patient is active ;</v>
      </c>
      <c r="B877" s="43" t="str">
        <f>CONCATENATE("Detail: ",'Level 1'!N877,"  ",'Level 1'!O877,TEXT('Level 1'!P877,"  mm-dd-yyyy"),";"," ",'Level 1'!Q877,'Level 1'!R877,"  ",'Level 1'!T877," ","Payment "," ",'Level 1'!U877,"  ",'Level 1'!V877,"  ",'Level 1'!W877,"  ",'Level 1'!X877,"  ",'Level 1'!Z877, "  ",'Level 1'!AA877, " ","Insurance: ",'Level 1'!A877)</f>
        <v>Detail: Claim not on file. Patient is active ;  Payor ID &amp; Address:SKYGN; Fax # (If Fax Yes):NA  90days from dos Payment  Call Ref#:  39246  Cust Rep:  Cheryo  Additional Notes:  Rep states that CNOF patient is active,rep requested us to send the claim trough payorid SKYGN, P.O box 2136 novaki wi 53201 Insurance: Molina Healthcare of WI</v>
      </c>
      <c r="C877" s="60" t="str">
        <f>'Level 1'!Y877</f>
        <v>Task Sub Pending Claims Queue</v>
      </c>
      <c r="D877" s="44" t="str">
        <f>VLOOKUP(C877,Table2[#All],3,FALSE)</f>
        <v>N/A</v>
      </c>
      <c r="E877" s="75" t="s">
        <v>193</v>
      </c>
      <c r="F877" s="96" t="s">
        <v>3698</v>
      </c>
      <c r="G877" s="97"/>
    </row>
    <row r="878" spans="1:7" ht="84" x14ac:dyDescent="0.25">
      <c r="A878" s="43" t="str">
        <f>CONCATENATE("Pt Id:",'Level 1'!E878," ","Pt Name: ",'Level 1'!F878," ","DOS: ", TEXT('Level 1'!H878,"mm-dd-yyyy"),"  "," Amnt: ","$",'Level 1'!J878,"  ", 'Level 1'!N878)</f>
        <v>Pt Id:6505 Pt Name: Mcinroy , Clarissa  DOS: 04-08-2021   Amnt: $1062  Claim not on file. Patient is active ;</v>
      </c>
      <c r="B878" s="43" t="str">
        <f>CONCATENATE("Detail: ",'Level 1'!N878,"  ",'Level 1'!O878,TEXT('Level 1'!P878,"  mm-dd-yyyy"),";"," ",'Level 1'!Q878,'Level 1'!R878,"  ",'Level 1'!T878," ","Payment "," ",'Level 1'!U878,"  ",'Level 1'!V878,"  ",'Level 1'!W878,"  ",'Level 1'!X878,"  ",'Level 1'!Z878, "  ",'Level 1'!AA878, " ","Insurance: ",'Level 1'!A878)</f>
        <v>Detail: Claim not on file. Patient is active ;  Payor ID &amp; Address:SKYGN; Fax # (If Fax Yes):NA  90days from dos Payment  Call Ref#:  39246  Cust Rep:  Cheryo  Additional Notes:  Rep states that clm is not on file for the dos, the patient is active, we can send send the clm to P.O. Box 2136. Milwaukee, WI 53201. Insurance: Molina Healthcare of WI</v>
      </c>
      <c r="C878" s="60" t="str">
        <f>'Level 1'!Y878</f>
        <v>Task Sub Pending Claims Queue</v>
      </c>
      <c r="D878" s="44" t="str">
        <f>VLOOKUP(C878,Table2[#All],3,FALSE)</f>
        <v>N/A</v>
      </c>
      <c r="E878" s="75" t="s">
        <v>193</v>
      </c>
      <c r="F878" s="96" t="s">
        <v>3698</v>
      </c>
      <c r="G878" s="97"/>
    </row>
    <row r="879" spans="1:7" ht="21" x14ac:dyDescent="0.25">
      <c r="A879" s="43" t="str">
        <f>CONCATENATE("Pt Id:",'Level 1'!E879," ","Pt Name: ",'Level 1'!F879," ","DOS: ", TEXT('Level 1'!H879,"mm-dd-yyyy"),"  "," Amnt: ","$",'Level 1'!J879,"  ", 'Level 1'!N879)</f>
        <v>Pt Id:9421 Pt Name: Ghotra, Parminder DOS: 04-04-2022   Amnt: $61.2  Note</v>
      </c>
      <c r="B879" s="43" t="str">
        <f>CONCATENATE("Detail: ",'Level 1'!N879,"  ",'Level 1'!O879,TEXT('Level 1'!P879,"  mm-dd-yyyy"),";"," ",'Level 1'!Q879,'Level 1'!R879,"  ",'Level 1'!T879," ","Payment "," ",'Level 1'!U879,"  ",'Level 1'!V879,"  ",'Level 1'!W879,"  ",'Level 1'!X879,"  ",'Level 1'!Z879, "  ",'Level 1'!AA879, " ","Insurance: ",'Level 1'!A879)</f>
        <v>Detail: Note  Q1  01-00-1900; Q2   Payment  Q4    Q5    Additional Notes:   Insurance: No Insurance</v>
      </c>
      <c r="C879" s="60" t="str">
        <f>'Level 1'!Y879</f>
        <v>Action</v>
      </c>
      <c r="D879" s="44" t="str">
        <f>VLOOKUP(C879,Table2[#All],3,FALSE)</f>
        <v>What we need from you/Reason</v>
      </c>
      <c r="E879" s="75" t="s">
        <v>199</v>
      </c>
      <c r="F879" s="96"/>
      <c r="G879" s="97"/>
    </row>
    <row r="880" spans="1:7" ht="21" x14ac:dyDescent="0.25">
      <c r="A880" s="43" t="str">
        <f>CONCATENATE("Pt Id:",'Level 1'!E880," ","Pt Name: ",'Level 1'!F880," ","DOS: ", TEXT('Level 1'!H880,"mm-dd-yyyy"),"  "," Amnt: ","$",'Level 1'!J880,"  ", 'Level 1'!N880)</f>
        <v>Pt Id:9297 Pt Name: Singh , Jatinder  DOS: 03-19-2022   Amnt: $72  Note</v>
      </c>
      <c r="B880" s="43" t="str">
        <f>CONCATENATE("Detail: ",'Level 1'!N880,"  ",'Level 1'!O880,TEXT('Level 1'!P880,"  mm-dd-yyyy"),";"," ",'Level 1'!Q880,'Level 1'!R880,"  ",'Level 1'!T880," ","Payment "," ",'Level 1'!U880,"  ",'Level 1'!V880,"  ",'Level 1'!W880,"  ",'Level 1'!X880,"  ",'Level 1'!Z880, "  ",'Level 1'!AA880, " ","Insurance: ",'Level 1'!A880)</f>
        <v>Detail: Note  Q1  01-00-1900; Q2   Payment  Q4    Q5    Additional Notes:   Insurance: No Insurance</v>
      </c>
      <c r="C880" s="60" t="str">
        <f>'Level 1'!Y880</f>
        <v>Action</v>
      </c>
      <c r="D880" s="44" t="str">
        <f>VLOOKUP(C880,Table2[#All],3,FALSE)</f>
        <v>What we need from you/Reason</v>
      </c>
      <c r="E880" s="75" t="s">
        <v>199</v>
      </c>
      <c r="F880" s="96"/>
      <c r="G880" s="97"/>
    </row>
    <row r="881" spans="1:7" ht="21" x14ac:dyDescent="0.25">
      <c r="A881" s="43" t="str">
        <f>CONCATENATE("Pt Id:",'Level 1'!E881," ","Pt Name: ",'Level 1'!F881," ","DOS: ", TEXT('Level 1'!H881,"mm-dd-yyyy"),"  "," Amnt: ","$",'Level 1'!J881,"  ", 'Level 1'!N881)</f>
        <v>Pt Id:9270 Pt Name: Beardsley , John DOS: 03-15-2022   Amnt: $314.4  Note</v>
      </c>
      <c r="B881" s="43" t="str">
        <f>CONCATENATE("Detail: ",'Level 1'!N881,"  ",'Level 1'!O881,TEXT('Level 1'!P881,"  mm-dd-yyyy"),";"," ",'Level 1'!Q881,'Level 1'!R881,"  ",'Level 1'!T881," ","Payment "," ",'Level 1'!U881,"  ",'Level 1'!V881,"  ",'Level 1'!W881,"  ",'Level 1'!X881,"  ",'Level 1'!Z881, "  ",'Level 1'!AA881, " ","Insurance: ",'Level 1'!A881)</f>
        <v>Detail: Note  Q1  01-00-1900; Q2   Payment  Q4    Q5    Additional Notes:   Insurance: No Insurance</v>
      </c>
      <c r="C881" s="60" t="str">
        <f>'Level 1'!Y881</f>
        <v>Action</v>
      </c>
      <c r="D881" s="44" t="str">
        <f>VLOOKUP(C881,Table2[#All],3,FALSE)</f>
        <v>What we need from you/Reason</v>
      </c>
      <c r="E881" s="75" t="s">
        <v>199</v>
      </c>
      <c r="F881" s="96"/>
      <c r="G881" s="97"/>
    </row>
    <row r="882" spans="1:7" ht="21" x14ac:dyDescent="0.25">
      <c r="A882" s="43" t="str">
        <f>CONCATENATE("Pt Id:",'Level 1'!E882," ","Pt Name: ",'Level 1'!F882," ","DOS: ", TEXT('Level 1'!H882,"mm-dd-yyyy"),"  "," Amnt: ","$",'Level 1'!J882,"  ", 'Level 1'!N882)</f>
        <v>Pt Id:9227 Pt Name: Singh, Rajbir DOS: 03-12-2022   Amnt: $72  Note</v>
      </c>
      <c r="B882" s="43" t="str">
        <f>CONCATENATE("Detail: ",'Level 1'!N882,"  ",'Level 1'!O882,TEXT('Level 1'!P882,"  mm-dd-yyyy"),";"," ",'Level 1'!Q882,'Level 1'!R882,"  ",'Level 1'!T882," ","Payment "," ",'Level 1'!U882,"  ",'Level 1'!V882,"  ",'Level 1'!W882,"  ",'Level 1'!X882,"  ",'Level 1'!Z882, "  ",'Level 1'!AA882, " ","Insurance: ",'Level 1'!A882)</f>
        <v>Detail: Note  Q1  01-00-1900; Q2   Payment  Q4    Q5    Additional Notes:   Insurance: No Insurance</v>
      </c>
      <c r="C882" s="60" t="str">
        <f>'Level 1'!Y882</f>
        <v>Action</v>
      </c>
      <c r="D882" s="44" t="str">
        <f>VLOOKUP(C882,Table2[#All],3,FALSE)</f>
        <v>What we need from you/Reason</v>
      </c>
      <c r="E882" s="75" t="s">
        <v>199</v>
      </c>
      <c r="F882" s="96"/>
      <c r="G882" s="97"/>
    </row>
    <row r="883" spans="1:7" ht="21" x14ac:dyDescent="0.25">
      <c r="A883" s="43" t="str">
        <f>CONCATENATE("Pt Id:",'Level 1'!E883," ","Pt Name: ",'Level 1'!F883," ","DOS: ", TEXT('Level 1'!H883,"mm-dd-yyyy"),"  "," Amnt: ","$",'Level 1'!J883,"  ", 'Level 1'!N883)</f>
        <v>Pt Id:9255 Pt Name: Singh, Harpreet DOS: 03-12-2022   Amnt: $486  Note</v>
      </c>
      <c r="B883" s="43" t="str">
        <f>CONCATENATE("Detail: ",'Level 1'!N883,"  ",'Level 1'!O883,TEXT('Level 1'!P883,"  mm-dd-yyyy"),";"," ",'Level 1'!Q883,'Level 1'!R883,"  ",'Level 1'!T883," ","Payment "," ",'Level 1'!U883,"  ",'Level 1'!V883,"  ",'Level 1'!W883,"  ",'Level 1'!X883,"  ",'Level 1'!Z883, "  ",'Level 1'!AA883, " ","Insurance: ",'Level 1'!A883)</f>
        <v>Detail: Note  Q1  01-00-1900; Q2   Payment  Q4    Q5    Additional Notes:   Insurance: No Insurance</v>
      </c>
      <c r="C883" s="60" t="str">
        <f>'Level 1'!Y883</f>
        <v>Action</v>
      </c>
      <c r="D883" s="44" t="str">
        <f>VLOOKUP(C883,Table2[#All],3,FALSE)</f>
        <v>What we need from you/Reason</v>
      </c>
      <c r="E883" s="75" t="s">
        <v>199</v>
      </c>
      <c r="F883" s="96"/>
      <c r="G883" s="97"/>
    </row>
    <row r="884" spans="1:7" ht="42" x14ac:dyDescent="0.25">
      <c r="A884" s="43" t="str">
        <f>CONCATENATE("Pt Id:",'Level 1'!E884," ","Pt Name: ",'Level 1'!F884," ","DOS: ", TEXT('Level 1'!H884,"mm-dd-yyyy"),"  "," Amnt: ","$",'Level 1'!J884,"  ", 'Level 1'!N884)</f>
        <v>Pt Id:9173 Pt Name: Arreola Correa, Jose Manuel  DOS: 03-02-2022   Amnt: $199.2  Note</v>
      </c>
      <c r="B884" s="43" t="str">
        <f>CONCATENATE("Detail: ",'Level 1'!N884,"  ",'Level 1'!O884,TEXT('Level 1'!P884,"  mm-dd-yyyy"),";"," ",'Level 1'!Q884,'Level 1'!R884,"  ",'Level 1'!T884," ","Payment "," ",'Level 1'!U884,"  ",'Level 1'!V884,"  ",'Level 1'!W884,"  ",'Level 1'!X884,"  ",'Level 1'!Z884, "  ",'Level 1'!AA884, " ","Insurance: ",'Level 1'!A884)</f>
        <v>Detail: Note  Q1  01-00-1900; Q2   Payment  Q4    Q5    Additional Notes:   Insurance: No Insurance</v>
      </c>
      <c r="C884" s="60" t="str">
        <f>'Level 1'!Y884</f>
        <v>Action</v>
      </c>
      <c r="D884" s="44" t="str">
        <f>VLOOKUP(C884,Table2[#All],3,FALSE)</f>
        <v>What we need from you/Reason</v>
      </c>
      <c r="E884" s="75" t="s">
        <v>199</v>
      </c>
      <c r="F884" s="96"/>
      <c r="G884" s="97"/>
    </row>
    <row r="885" spans="1:7" ht="21" x14ac:dyDescent="0.25">
      <c r="A885" s="43" t="str">
        <f>CONCATENATE("Pt Id:",'Level 1'!E885," ","Pt Name: ",'Level 1'!F885," ","DOS: ", TEXT('Level 1'!H885,"mm-dd-yyyy"),"  "," Amnt: ","$",'Level 1'!J885,"  ", 'Level 1'!N885)</f>
        <v>Pt Id:9151 Pt Name: Reh , Mi DOS: 02-25-2022   Amnt: $325.2  Note</v>
      </c>
      <c r="B885" s="43" t="str">
        <f>CONCATENATE("Detail: ",'Level 1'!N885,"  ",'Level 1'!O885,TEXT('Level 1'!P885,"  mm-dd-yyyy"),";"," ",'Level 1'!Q885,'Level 1'!R885,"  ",'Level 1'!T885," ","Payment "," ",'Level 1'!U885,"  ",'Level 1'!V885,"  ",'Level 1'!W885,"  ",'Level 1'!X885,"  ",'Level 1'!Z885, "  ",'Level 1'!AA885, " ","Insurance: ",'Level 1'!A885)</f>
        <v>Detail: Note  Q1  01-00-1900; Q2   Payment  Q4    Q5    Additional Notes:   Insurance: No Insurance</v>
      </c>
      <c r="C885" s="60" t="str">
        <f>'Level 1'!Y885</f>
        <v>Action</v>
      </c>
      <c r="D885" s="44" t="str">
        <f>VLOOKUP(C885,Table2[#All],3,FALSE)</f>
        <v>What we need from you/Reason</v>
      </c>
      <c r="E885" s="75" t="s">
        <v>199</v>
      </c>
      <c r="F885" s="96"/>
      <c r="G885" s="97"/>
    </row>
    <row r="886" spans="1:7" ht="42" x14ac:dyDescent="0.25">
      <c r="A886" s="43" t="str">
        <f>CONCATENATE("Pt Id:",'Level 1'!E886," ","Pt Name: ",'Level 1'!F886," ","DOS: ", TEXT('Level 1'!H886,"mm-dd-yyyy"),"  "," Amnt: ","$",'Level 1'!J886,"  ", 'Level 1'!N886)</f>
        <v>Pt Id:8892 Pt Name: Bachmann, Steven  DOS: 02-16-2022   Amnt: $1023.6  Note</v>
      </c>
      <c r="B886" s="43" t="str">
        <f>CONCATENATE("Detail: ",'Level 1'!N886,"  ",'Level 1'!O886,TEXT('Level 1'!P886,"  mm-dd-yyyy"),";"," ",'Level 1'!Q886,'Level 1'!R886,"  ",'Level 1'!T886," ","Payment "," ",'Level 1'!U886,"  ",'Level 1'!V886,"  ",'Level 1'!W886,"  ",'Level 1'!X886,"  ",'Level 1'!Z886, "  ",'Level 1'!AA886, " ","Insurance: ",'Level 1'!A886)</f>
        <v>Detail: Note  Q1  01-00-1900; Q2   Payment  Q4    Q5    Additional Notes:   Insurance: No Insurance</v>
      </c>
      <c r="C886" s="60" t="str">
        <f>'Level 1'!Y886</f>
        <v>Action</v>
      </c>
      <c r="D886" s="44" t="str">
        <f>VLOOKUP(C886,Table2[#All],3,FALSE)</f>
        <v>What we need from you/Reason</v>
      </c>
      <c r="E886" s="75" t="s">
        <v>199</v>
      </c>
      <c r="F886" s="96"/>
      <c r="G886" s="97"/>
    </row>
    <row r="887" spans="1:7" ht="21" x14ac:dyDescent="0.25">
      <c r="A887" s="43" t="str">
        <f>CONCATENATE("Pt Id:",'Level 1'!E887," ","Pt Name: ",'Level 1'!F887," ","DOS: ", TEXT('Level 1'!H887,"mm-dd-yyyy"),"  "," Amnt: ","$",'Level 1'!J887,"  ", 'Level 1'!N887)</f>
        <v>Pt Id:9030 Pt Name: Smith, Garry DOS: 02-15-2022   Amnt: $135.6  Note</v>
      </c>
      <c r="B887" s="43" t="str">
        <f>CONCATENATE("Detail: ",'Level 1'!N887,"  ",'Level 1'!O887,TEXT('Level 1'!P887,"  mm-dd-yyyy"),";"," ",'Level 1'!Q887,'Level 1'!R887,"  ",'Level 1'!T887," ","Payment "," ",'Level 1'!U887,"  ",'Level 1'!V887,"  ",'Level 1'!W887,"  ",'Level 1'!X887,"  ",'Level 1'!Z887, "  ",'Level 1'!AA887, " ","Insurance: ",'Level 1'!A887)</f>
        <v>Detail: Note  Q1  01-00-1900; Q2   Payment  Q4    Q5    Additional Notes:   Insurance: No Insurance</v>
      </c>
      <c r="C887" s="60" t="str">
        <f>'Level 1'!Y887</f>
        <v>Action</v>
      </c>
      <c r="D887" s="44" t="str">
        <f>VLOOKUP(C887,Table2[#All],3,FALSE)</f>
        <v>What we need from you/Reason</v>
      </c>
      <c r="E887" s="75" t="s">
        <v>199</v>
      </c>
      <c r="F887" s="96"/>
      <c r="G887" s="97"/>
    </row>
    <row r="888" spans="1:7" ht="21" x14ac:dyDescent="0.25">
      <c r="A888" s="43" t="str">
        <f>CONCATENATE("Pt Id:",'Level 1'!E888," ","Pt Name: ",'Level 1'!F888," ","DOS: ", TEXT('Level 1'!H888,"mm-dd-yyyy"),"  "," Amnt: ","$",'Level 1'!J888,"  ", 'Level 1'!N888)</f>
        <v>Pt Id:9046 Pt Name: Rodriguez , Miguel  DOS: 02-11-2022   Amnt: $360  Note</v>
      </c>
      <c r="B888" s="43" t="str">
        <f>CONCATENATE("Detail: ",'Level 1'!N888,"  ",'Level 1'!O888,TEXT('Level 1'!P888,"  mm-dd-yyyy"),";"," ",'Level 1'!Q888,'Level 1'!R888,"  ",'Level 1'!T888," ","Payment "," ",'Level 1'!U888,"  ",'Level 1'!V888,"  ",'Level 1'!W888,"  ",'Level 1'!X888,"  ",'Level 1'!Z888, "  ",'Level 1'!AA888, " ","Insurance: ",'Level 1'!A888)</f>
        <v>Detail: Note  Q1  01-00-1900; Q2   Payment  Q4    Q5    Additional Notes:   Insurance: No Insurance</v>
      </c>
      <c r="C888" s="60" t="str">
        <f>'Level 1'!Y888</f>
        <v>Action</v>
      </c>
      <c r="D888" s="44" t="str">
        <f>VLOOKUP(C888,Table2[#All],3,FALSE)</f>
        <v>What we need from you/Reason</v>
      </c>
      <c r="E888" s="75" t="s">
        <v>199</v>
      </c>
      <c r="F888" s="96"/>
      <c r="G888" s="97"/>
    </row>
    <row r="889" spans="1:7" ht="42" x14ac:dyDescent="0.25">
      <c r="A889" s="43" t="str">
        <f>CONCATENATE("Pt Id:",'Level 1'!E889," ","Pt Name: ",'Level 1'!F889," ","DOS: ", TEXT('Level 1'!H889,"mm-dd-yyyy"),"  "," Amnt: ","$",'Level 1'!J889,"  ", 'Level 1'!N889)</f>
        <v>Pt Id:9047 Pt Name: Fernandez Corrales , Reyna  DOS: 02-09-2022   Amnt: $152.4  Note</v>
      </c>
      <c r="B889" s="43" t="str">
        <f>CONCATENATE("Detail: ",'Level 1'!N889,"  ",'Level 1'!O889,TEXT('Level 1'!P889,"  mm-dd-yyyy"),";"," ",'Level 1'!Q889,'Level 1'!R889,"  ",'Level 1'!T889," ","Payment "," ",'Level 1'!U889,"  ",'Level 1'!V889,"  ",'Level 1'!W889,"  ",'Level 1'!X889,"  ",'Level 1'!Z889, "  ",'Level 1'!AA889, " ","Insurance: ",'Level 1'!A889)</f>
        <v>Detail: Note  Q1  01-00-1900; Q2   Payment  Q4    Q5    Additional Notes:   Insurance: No Insurance</v>
      </c>
      <c r="C889" s="60" t="str">
        <f>'Level 1'!Y889</f>
        <v>Action</v>
      </c>
      <c r="D889" s="44" t="str">
        <f>VLOOKUP(C889,Table2[#All],3,FALSE)</f>
        <v>What we need from you/Reason</v>
      </c>
      <c r="E889" s="75" t="s">
        <v>199</v>
      </c>
      <c r="F889" s="96"/>
      <c r="G889" s="97"/>
    </row>
    <row r="890" spans="1:7" ht="42" x14ac:dyDescent="0.25">
      <c r="A890" s="43" t="str">
        <f>CONCATENATE("Pt Id:",'Level 1'!E890," ","Pt Name: ",'Level 1'!F890," ","DOS: ", TEXT('Level 1'!H890,"mm-dd-yyyy"),"  "," Amnt: ","$",'Level 1'!J890,"  ", 'Level 1'!N890)</f>
        <v>Pt Id:9046 Pt Name: Rodriguez , Miguel  DOS: 02-09-2022   Amnt: $152.4  Note</v>
      </c>
      <c r="B890" s="43" t="str">
        <f>CONCATENATE("Detail: ",'Level 1'!N890,"  ",'Level 1'!O890,TEXT('Level 1'!P890,"  mm-dd-yyyy"),";"," ",'Level 1'!Q890,'Level 1'!R890,"  ",'Level 1'!T890," ","Payment "," ",'Level 1'!U890,"  ",'Level 1'!V890,"  ",'Level 1'!W890,"  ",'Level 1'!X890,"  ",'Level 1'!Z890, "  ",'Level 1'!AA890, " ","Insurance: ",'Level 1'!A890)</f>
        <v>Detail: Note  Q1  01-00-1900; Q2   Payment  Q4    Q5    Additional Notes:   Insurance: No Insurance</v>
      </c>
      <c r="C890" s="60" t="str">
        <f>'Level 1'!Y890</f>
        <v>Action</v>
      </c>
      <c r="D890" s="44" t="str">
        <f>VLOOKUP(C890,Table2[#All],3,FALSE)</f>
        <v>What we need from you/Reason</v>
      </c>
      <c r="E890" s="75" t="s">
        <v>199</v>
      </c>
      <c r="F890" s="96"/>
      <c r="G890" s="97"/>
    </row>
    <row r="891" spans="1:7" ht="21" x14ac:dyDescent="0.25">
      <c r="A891" s="43" t="str">
        <f>CONCATENATE("Pt Id:",'Level 1'!E891," ","Pt Name: ",'Level 1'!F891," ","DOS: ", TEXT('Level 1'!H891,"mm-dd-yyyy"),"  "," Amnt: ","$",'Level 1'!J891,"  ", 'Level 1'!N891)</f>
        <v>Pt Id:8983 Pt Name: Roman, Suley  DOS: 02-01-2022   Amnt: $61.2  Note</v>
      </c>
      <c r="B891" s="43" t="str">
        <f>CONCATENATE("Detail: ",'Level 1'!N891,"  ",'Level 1'!O891,TEXT('Level 1'!P891,"  mm-dd-yyyy"),";"," ",'Level 1'!Q891,'Level 1'!R891,"  ",'Level 1'!T891," ","Payment "," ",'Level 1'!U891,"  ",'Level 1'!V891,"  ",'Level 1'!W891,"  ",'Level 1'!X891,"  ",'Level 1'!Z891, "  ",'Level 1'!AA891, " ","Insurance: ",'Level 1'!A891)</f>
        <v>Detail: Note  Q1  01-00-1900; Q2   Payment  Q4    Q5    Additional Notes:   Insurance: No Insurance</v>
      </c>
      <c r="C891" s="60" t="str">
        <f>'Level 1'!Y891</f>
        <v>Action</v>
      </c>
      <c r="D891" s="44" t="str">
        <f>VLOOKUP(C891,Table2[#All],3,FALSE)</f>
        <v>What we need from you/Reason</v>
      </c>
      <c r="E891" s="75" t="s">
        <v>199</v>
      </c>
      <c r="F891" s="96"/>
      <c r="G891" s="97"/>
    </row>
    <row r="892" spans="1:7" ht="21" x14ac:dyDescent="0.25">
      <c r="A892" s="43" t="str">
        <f>CONCATENATE("Pt Id:",'Level 1'!E892," ","Pt Name: ",'Level 1'!F892," ","DOS: ", TEXT('Level 1'!H892,"mm-dd-yyyy"),"  "," Amnt: ","$",'Level 1'!J892,"  ", 'Level 1'!N892)</f>
        <v>Pt Id:8894 Pt Name: Rivas, Maria DOS: 01-29-2022   Amnt: $529.2  Note</v>
      </c>
      <c r="B892" s="43" t="str">
        <f>CONCATENATE("Detail: ",'Level 1'!N892,"  ",'Level 1'!O892,TEXT('Level 1'!P892,"  mm-dd-yyyy"),";"," ",'Level 1'!Q892,'Level 1'!R892,"  ",'Level 1'!T892," ","Payment "," ",'Level 1'!U892,"  ",'Level 1'!V892,"  ",'Level 1'!W892,"  ",'Level 1'!X892,"  ",'Level 1'!Z892, "  ",'Level 1'!AA892, " ","Insurance: ",'Level 1'!A892)</f>
        <v>Detail: Note  Q1  01-00-1900; Q2   Payment  Q4    Q5    Additional Notes:   Insurance: No Insurance</v>
      </c>
      <c r="C892" s="60" t="str">
        <f>'Level 1'!Y892</f>
        <v>Action</v>
      </c>
      <c r="D892" s="44" t="str">
        <f>VLOOKUP(C892,Table2[#All],3,FALSE)</f>
        <v>What we need from you/Reason</v>
      </c>
      <c r="E892" s="75" t="s">
        <v>199</v>
      </c>
      <c r="F892" s="96"/>
      <c r="G892" s="97"/>
    </row>
    <row r="893" spans="1:7" ht="42" x14ac:dyDescent="0.25">
      <c r="A893" s="43" t="str">
        <f>CONCATENATE("Pt Id:",'Level 1'!E893," ","Pt Name: ",'Level 1'!F893," ","DOS: ", TEXT('Level 1'!H893,"mm-dd-yyyy"),"  "," Amnt: ","$",'Level 1'!J893,"  ", 'Level 1'!N893)</f>
        <v>Pt Id:6629 Pt Name: Pacheco  Lopez, Guillermo DOS: 01-29-2022   Amnt: $3014  Note</v>
      </c>
      <c r="B893" s="43" t="str">
        <f>CONCATENATE("Detail: ",'Level 1'!N893,"  ",'Level 1'!O893,TEXT('Level 1'!P893,"  mm-dd-yyyy"),";"," ",'Level 1'!Q893,'Level 1'!R893,"  ",'Level 1'!T893," ","Payment "," ",'Level 1'!U893,"  ",'Level 1'!V893,"  ",'Level 1'!W893,"  ",'Level 1'!X893,"  ",'Level 1'!Z893, "  ",'Level 1'!AA893, " ","Insurance: ",'Level 1'!A893)</f>
        <v>Detail: Note  Q1  01-00-1900; Q2   Payment  Q4    Q5    Additional Notes:   Insurance: No Insurance</v>
      </c>
      <c r="C893" s="60" t="str">
        <f>'Level 1'!Y893</f>
        <v>Action</v>
      </c>
      <c r="D893" s="44" t="str">
        <f>VLOOKUP(C893,Table2[#All],3,FALSE)</f>
        <v>What we need from you/Reason</v>
      </c>
      <c r="E893" s="75" t="s">
        <v>199</v>
      </c>
      <c r="F893" s="96"/>
      <c r="G893" s="97"/>
    </row>
    <row r="894" spans="1:7" ht="42" x14ac:dyDescent="0.25">
      <c r="A894" s="43" t="str">
        <f>CONCATENATE("Pt Id:",'Level 1'!E894," ","Pt Name: ",'Level 1'!F894," ","DOS: ", TEXT('Level 1'!H894,"mm-dd-yyyy"),"  "," Amnt: ","$",'Level 1'!J894,"  ", 'Level 1'!N894)</f>
        <v>Pt Id:7678 Pt Name: Singh Khashre, Manjeet  DOS: 01-28-2022   Amnt: $648  Note</v>
      </c>
      <c r="B894" s="43" t="str">
        <f>CONCATENATE("Detail: ",'Level 1'!N894,"  ",'Level 1'!O894,TEXT('Level 1'!P894,"  mm-dd-yyyy"),";"," ",'Level 1'!Q894,'Level 1'!R894,"  ",'Level 1'!T894," ","Payment "," ",'Level 1'!U894,"  ",'Level 1'!V894,"  ",'Level 1'!W894,"  ",'Level 1'!X894,"  ",'Level 1'!Z894, "  ",'Level 1'!AA894, " ","Insurance: ",'Level 1'!A894)</f>
        <v>Detail: Note  Q1  01-00-1900; Q2   Payment  Q4    Q5    Additional Notes:   Insurance: No Insurance</v>
      </c>
      <c r="C894" s="60" t="str">
        <f>'Level 1'!Y894</f>
        <v>Action</v>
      </c>
      <c r="D894" s="44" t="str">
        <f>VLOOKUP(C894,Table2[#All],3,FALSE)</f>
        <v>What we need from you/Reason</v>
      </c>
      <c r="E894" s="75" t="s">
        <v>199</v>
      </c>
      <c r="F894" s="96"/>
      <c r="G894" s="97"/>
    </row>
    <row r="895" spans="1:7" ht="21" x14ac:dyDescent="0.25">
      <c r="A895" s="43" t="str">
        <f>CONCATENATE("Pt Id:",'Level 1'!E895," ","Pt Name: ",'Level 1'!F895," ","DOS: ", TEXT('Level 1'!H895,"mm-dd-yyyy"),"  "," Amnt: ","$",'Level 1'!J895,"  ", 'Level 1'!N895)</f>
        <v>Pt Id:8919 Pt Name: Farley , D`Juan  DOS: 01-25-2022   Amnt: $296.4  Note</v>
      </c>
      <c r="B895" s="43" t="str">
        <f>CONCATENATE("Detail: ",'Level 1'!N895,"  ",'Level 1'!O895,TEXT('Level 1'!P895,"  mm-dd-yyyy"),";"," ",'Level 1'!Q895,'Level 1'!R895,"  ",'Level 1'!T895," ","Payment "," ",'Level 1'!U895,"  ",'Level 1'!V895,"  ",'Level 1'!W895,"  ",'Level 1'!X895,"  ",'Level 1'!Z895, "  ",'Level 1'!AA895, " ","Insurance: ",'Level 1'!A895)</f>
        <v>Detail: Note  Q1  01-00-1900; Q2   Payment  Q4    Q5    Additional Notes:   Insurance: No Insurance</v>
      </c>
      <c r="C895" s="60" t="str">
        <f>'Level 1'!Y895</f>
        <v>Action</v>
      </c>
      <c r="D895" s="44" t="str">
        <f>VLOOKUP(C895,Table2[#All],3,FALSE)</f>
        <v>What we need from you/Reason</v>
      </c>
      <c r="E895" s="75" t="s">
        <v>199</v>
      </c>
      <c r="F895" s="96"/>
      <c r="G895" s="97"/>
    </row>
    <row r="896" spans="1:7" ht="42" x14ac:dyDescent="0.25">
      <c r="A896" s="43" t="str">
        <f>CONCATENATE("Pt Id:",'Level 1'!E896," ","Pt Name: ",'Level 1'!F896," ","DOS: ", TEXT('Level 1'!H896,"mm-dd-yyyy"),"  "," Amnt: ","$",'Level 1'!J896,"  ", 'Level 1'!N896)</f>
        <v>Pt Id:8885 Pt Name: Martino , Kimberly  DOS: 01-22-2022   Amnt: $152.4  Note</v>
      </c>
      <c r="B896" s="43" t="str">
        <f>CONCATENATE("Detail: ",'Level 1'!N896,"  ",'Level 1'!O896,TEXT('Level 1'!P896,"  mm-dd-yyyy"),";"," ",'Level 1'!Q896,'Level 1'!R896,"  ",'Level 1'!T896," ","Payment "," ",'Level 1'!U896,"  ",'Level 1'!V896,"  ",'Level 1'!W896,"  ",'Level 1'!X896,"  ",'Level 1'!Z896, "  ",'Level 1'!AA896, " ","Insurance: ",'Level 1'!A896)</f>
        <v>Detail: Note  Q1  01-00-1900; Q2   Payment  Q4    Q5    Additional Notes:   Insurance: No Insurance</v>
      </c>
      <c r="C896" s="60" t="str">
        <f>'Level 1'!Y896</f>
        <v>Action</v>
      </c>
      <c r="D896" s="44" t="str">
        <f>VLOOKUP(C896,Table2[#All],3,FALSE)</f>
        <v>What we need from you/Reason</v>
      </c>
      <c r="E896" s="75" t="s">
        <v>199</v>
      </c>
      <c r="F896" s="96"/>
      <c r="G896" s="97"/>
    </row>
    <row r="897" spans="1:7" ht="21" x14ac:dyDescent="0.25">
      <c r="A897" s="43" t="str">
        <f>CONCATENATE("Pt Id:",'Level 1'!E897," ","Pt Name: ",'Level 1'!F897," ","DOS: ", TEXT('Level 1'!H897,"mm-dd-yyyy"),"  "," Amnt: ","$",'Level 1'!J897,"  ", 'Level 1'!N897)</f>
        <v>Pt Id:8894 Pt Name: Rivas, Maria DOS: 01-25-2022   Amnt: $72  Note</v>
      </c>
      <c r="B897" s="43" t="str">
        <f>CONCATENATE("Detail: ",'Level 1'!N897,"  ",'Level 1'!O897,TEXT('Level 1'!P897,"  mm-dd-yyyy"),";"," ",'Level 1'!Q897,'Level 1'!R897,"  ",'Level 1'!T897," ","Payment "," ",'Level 1'!U897,"  ",'Level 1'!V897,"  ",'Level 1'!W897,"  ",'Level 1'!X897,"  ",'Level 1'!Z897, "  ",'Level 1'!AA897, " ","Insurance: ",'Level 1'!A897)</f>
        <v>Detail: Note  Q1  01-00-1900; Q2   Payment  Q4    Q5    Additional Notes:   Insurance: No Insurance</v>
      </c>
      <c r="C897" s="60" t="str">
        <f>'Level 1'!Y897</f>
        <v>Action</v>
      </c>
      <c r="D897" s="44" t="str">
        <f>VLOOKUP(C897,Table2[#All],3,FALSE)</f>
        <v>What we need from you/Reason</v>
      </c>
      <c r="E897" s="75" t="s">
        <v>199</v>
      </c>
      <c r="F897" s="96"/>
      <c r="G897" s="97"/>
    </row>
    <row r="898" spans="1:7" ht="42" x14ac:dyDescent="0.25">
      <c r="A898" s="43" t="str">
        <f>CONCATENATE("Pt Id:",'Level 1'!E898," ","Pt Name: ",'Level 1'!F898," ","DOS: ", TEXT('Level 1'!H898,"mm-dd-yyyy"),"  "," Amnt: ","$",'Level 1'!J898,"  ", 'Level 1'!N898)</f>
        <v>Pt Id:8892 Pt Name: Bachmann, Steven  DOS: 01-25-2022   Amnt: $152.4  Note</v>
      </c>
      <c r="B898" s="43" t="str">
        <f>CONCATENATE("Detail: ",'Level 1'!N898,"  ",'Level 1'!O898,TEXT('Level 1'!P898,"  mm-dd-yyyy"),";"," ",'Level 1'!Q898,'Level 1'!R898,"  ",'Level 1'!T898," ","Payment "," ",'Level 1'!U898,"  ",'Level 1'!V898,"  ",'Level 1'!W898,"  ",'Level 1'!X898,"  ",'Level 1'!Z898, "  ",'Level 1'!AA898, " ","Insurance: ",'Level 1'!A898)</f>
        <v>Detail: Note  Q1  01-00-1900; Q2   Payment  Q4    Q5    Additional Notes:   Insurance: No Insurance</v>
      </c>
      <c r="C898" s="60" t="str">
        <f>'Level 1'!Y898</f>
        <v>Action</v>
      </c>
      <c r="D898" s="44" t="str">
        <f>VLOOKUP(C898,Table2[#All],3,FALSE)</f>
        <v>What we need from you/Reason</v>
      </c>
      <c r="E898" s="75" t="s">
        <v>199</v>
      </c>
      <c r="F898" s="96"/>
      <c r="G898" s="97"/>
    </row>
    <row r="899" spans="1:7" ht="42" x14ac:dyDescent="0.25">
      <c r="A899" s="43" t="str">
        <f>CONCATENATE("Pt Id:",'Level 1'!E899," ","Pt Name: ",'Level 1'!F899," ","DOS: ", TEXT('Level 1'!H899,"mm-dd-yyyy"),"  "," Amnt: ","$",'Level 1'!J899,"  ", 'Level 1'!N899)</f>
        <v>Pt Id:8853 Pt Name: ABDEL KHALEQ, AMMAR MOHD AHMAD DOS: 01-13-2022   Amnt: $787.2  Note</v>
      </c>
      <c r="B899" s="43" t="str">
        <f>CONCATENATE("Detail: ",'Level 1'!N899,"  ",'Level 1'!O899,TEXT('Level 1'!P899,"  mm-dd-yyyy"),";"," ",'Level 1'!Q899,'Level 1'!R899,"  ",'Level 1'!T899," ","Payment "," ",'Level 1'!U899,"  ",'Level 1'!V899,"  ",'Level 1'!W899,"  ",'Level 1'!X899,"  ",'Level 1'!Z899, "  ",'Level 1'!AA899, " ","Insurance: ",'Level 1'!A899)</f>
        <v>Detail: Note  Q1  01-00-1900; Q2   Payment  Q4    Q5    Additional Notes:   Insurance: No Insurance</v>
      </c>
      <c r="C899" s="60" t="str">
        <f>'Level 1'!Y899</f>
        <v>Action</v>
      </c>
      <c r="D899" s="44" t="str">
        <f>VLOOKUP(C899,Table2[#All],3,FALSE)</f>
        <v>What we need from you/Reason</v>
      </c>
      <c r="E899" s="75" t="s">
        <v>199</v>
      </c>
      <c r="F899" s="96"/>
      <c r="G899" s="97"/>
    </row>
    <row r="900" spans="1:7" ht="21" x14ac:dyDescent="0.25">
      <c r="A900" s="43" t="str">
        <f>CONCATENATE("Pt Id:",'Level 1'!E900," ","Pt Name: ",'Level 1'!F900," ","DOS: ", TEXT('Level 1'!H900,"mm-dd-yyyy"),"  "," Amnt: ","$",'Level 1'!J900,"  ", 'Level 1'!N900)</f>
        <v>Pt Id:8683 Pt Name: Bedard, Marcia DOS: 01-12-2022   Amnt: $1062  Note</v>
      </c>
      <c r="B900" s="43" t="str">
        <f>CONCATENATE("Detail: ",'Level 1'!N900,"  ",'Level 1'!O900,TEXT('Level 1'!P900,"  mm-dd-yyyy"),";"," ",'Level 1'!Q900,'Level 1'!R900,"  ",'Level 1'!T900," ","Payment "," ",'Level 1'!U900,"  ",'Level 1'!V900,"  ",'Level 1'!W900,"  ",'Level 1'!X900,"  ",'Level 1'!Z900, "  ",'Level 1'!AA900, " ","Insurance: ",'Level 1'!A900)</f>
        <v>Detail: Note  Q1  01-00-1900; Q2   Payment  Q4    Q5    Additional Notes:   Insurance: No Insurance</v>
      </c>
      <c r="C900" s="60" t="str">
        <f>'Level 1'!Y900</f>
        <v>Action</v>
      </c>
      <c r="D900" s="44" t="str">
        <f>VLOOKUP(C900,Table2[#All],3,FALSE)</f>
        <v>What we need from you/Reason</v>
      </c>
      <c r="E900" s="75" t="s">
        <v>199</v>
      </c>
      <c r="F900" s="96"/>
      <c r="G900" s="97"/>
    </row>
    <row r="901" spans="1:7" ht="21" x14ac:dyDescent="0.25">
      <c r="A901" s="43" t="str">
        <f>CONCATENATE("Pt Id:",'Level 1'!E901," ","Pt Name: ",'Level 1'!F901," ","DOS: ", TEXT('Level 1'!H901,"mm-dd-yyyy"),"  "," Amnt: ","$",'Level 1'!J901,"  ", 'Level 1'!N901)</f>
        <v>Pt Id:8837 Pt Name: Cox , Ryan  DOS: 01-12-2022   Amnt: $210  Note</v>
      </c>
      <c r="B901" s="43" t="str">
        <f>CONCATENATE("Detail: ",'Level 1'!N901,"  ",'Level 1'!O901,TEXT('Level 1'!P901,"  mm-dd-yyyy"),";"," ",'Level 1'!Q901,'Level 1'!R901,"  ",'Level 1'!T901," ","Payment "," ",'Level 1'!U901,"  ",'Level 1'!V901,"  ",'Level 1'!W901,"  ",'Level 1'!X901,"  ",'Level 1'!Z901, "  ",'Level 1'!AA901, " ","Insurance: ",'Level 1'!A901)</f>
        <v>Detail: Note  Q1  01-00-1900; Q2   Payment  Q4    Q5    Additional Notes:   Insurance: No Insurance</v>
      </c>
      <c r="C901" s="60" t="str">
        <f>'Level 1'!Y901</f>
        <v>Action</v>
      </c>
      <c r="D901" s="44" t="str">
        <f>VLOOKUP(C901,Table2[#All],3,FALSE)</f>
        <v>What we need from you/Reason</v>
      </c>
      <c r="E901" s="75" t="s">
        <v>199</v>
      </c>
      <c r="F901" s="96"/>
      <c r="G901" s="97"/>
    </row>
    <row r="902" spans="1:7" ht="42" x14ac:dyDescent="0.25">
      <c r="A902" s="43" t="str">
        <f>CONCATENATE("Pt Id:",'Level 1'!E902," ","Pt Name: ",'Level 1'!F902," ","DOS: ", TEXT('Level 1'!H902,"mm-dd-yyyy"),"  "," Amnt: ","$",'Level 1'!J902,"  ", 'Level 1'!N902)</f>
        <v>Pt Id:8718 Pt Name: Cruz Montes, Luis  DOS: 12-23-2021   Amnt: $314.4  Note</v>
      </c>
      <c r="B902" s="43" t="str">
        <f>CONCATENATE("Detail: ",'Level 1'!N902,"  ",'Level 1'!O902,TEXT('Level 1'!P902,"  mm-dd-yyyy"),";"," ",'Level 1'!Q902,'Level 1'!R902,"  ",'Level 1'!T902," ","Payment "," ",'Level 1'!U902,"  ",'Level 1'!V902,"  ",'Level 1'!W902,"  ",'Level 1'!X902,"  ",'Level 1'!Z902, "  ",'Level 1'!AA902, " ","Insurance: ",'Level 1'!A902)</f>
        <v>Detail: Note  Q1  01-00-1900; Q2   Payment  Q4    Q5    Additional Notes:   Insurance: No Insurance</v>
      </c>
      <c r="C902" s="60" t="str">
        <f>'Level 1'!Y902</f>
        <v>Action</v>
      </c>
      <c r="D902" s="44" t="str">
        <f>VLOOKUP(C902,Table2[#All],3,FALSE)</f>
        <v>What we need from you/Reason</v>
      </c>
      <c r="E902" s="75" t="s">
        <v>199</v>
      </c>
      <c r="F902" s="96"/>
      <c r="G902" s="97"/>
    </row>
    <row r="903" spans="1:7" ht="21" x14ac:dyDescent="0.25">
      <c r="A903" s="43" t="str">
        <f>CONCATENATE("Pt Id:",'Level 1'!E903," ","Pt Name: ",'Level 1'!F903," ","DOS: ", TEXT('Level 1'!H903,"mm-dd-yyyy"),"  "," Amnt: ","$",'Level 1'!J903,"  ", 'Level 1'!N903)</f>
        <v>Pt Id:8683 Pt Name: Bedard, Marcia DOS: 12-22-2021   Amnt: $253.2  Note</v>
      </c>
      <c r="B903" s="43" t="str">
        <f>CONCATENATE("Detail: ",'Level 1'!N903,"  ",'Level 1'!O903,TEXT('Level 1'!P903,"  mm-dd-yyyy"),";"," ",'Level 1'!Q903,'Level 1'!R903,"  ",'Level 1'!T903," ","Payment "," ",'Level 1'!U903,"  ",'Level 1'!V903,"  ",'Level 1'!W903,"  ",'Level 1'!X903,"  ",'Level 1'!Z903, "  ",'Level 1'!AA903, " ","Insurance: ",'Level 1'!A903)</f>
        <v>Detail: Note  Q1  01-00-1900; Q2   Payment  Q4    Q5    Additional Notes:   Insurance: No Insurance</v>
      </c>
      <c r="C903" s="60" t="str">
        <f>'Level 1'!Y903</f>
        <v>Action</v>
      </c>
      <c r="D903" s="44" t="str">
        <f>VLOOKUP(C903,Table2[#All],3,FALSE)</f>
        <v>What we need from you/Reason</v>
      </c>
      <c r="E903" s="75" t="s">
        <v>199</v>
      </c>
      <c r="F903" s="96"/>
      <c r="G903" s="97"/>
    </row>
    <row r="904" spans="1:7" ht="21" x14ac:dyDescent="0.25">
      <c r="A904" s="43" t="str">
        <f>CONCATENATE("Pt Id:",'Level 1'!E904," ","Pt Name: ",'Level 1'!F904," ","DOS: ", TEXT('Level 1'!H904,"mm-dd-yyyy"),"  "," Amnt: ","$",'Level 1'!J904,"  ", 'Level 1'!N904)</f>
        <v>Pt Id:8001 Pt Name: Silva, Maria DOS: 12-21-2021   Amnt: $61.2  Note</v>
      </c>
      <c r="B904" s="43" t="str">
        <f>CONCATENATE("Detail: ",'Level 1'!N904,"  ",'Level 1'!O904,TEXT('Level 1'!P904,"  mm-dd-yyyy"),";"," ",'Level 1'!Q904,'Level 1'!R904,"  ",'Level 1'!T904," ","Payment "," ",'Level 1'!U904,"  ",'Level 1'!V904,"  ",'Level 1'!W904,"  ",'Level 1'!X904,"  ",'Level 1'!Z904, "  ",'Level 1'!AA904, " ","Insurance: ",'Level 1'!A904)</f>
        <v>Detail: Note  Q1  01-00-1900; Q2   Payment  Q4    Q5    Additional Notes:   Insurance: No Insurance</v>
      </c>
      <c r="C904" s="60" t="str">
        <f>'Level 1'!Y904</f>
        <v>Action</v>
      </c>
      <c r="D904" s="44" t="str">
        <f>VLOOKUP(C904,Table2[#All],3,FALSE)</f>
        <v>What we need from you/Reason</v>
      </c>
      <c r="E904" s="75" t="s">
        <v>199</v>
      </c>
      <c r="F904" s="96"/>
      <c r="G904" s="97"/>
    </row>
    <row r="905" spans="1:7" ht="42" x14ac:dyDescent="0.25">
      <c r="A905" s="43" t="str">
        <f>CONCATENATE("Pt Id:",'Level 1'!E905," ","Pt Name: ",'Level 1'!F905," ","DOS: ", TEXT('Level 1'!H905,"mm-dd-yyyy"),"  "," Amnt: ","$",'Level 1'!J905,"  ", 'Level 1'!N905)</f>
        <v>Pt Id:7678 Pt Name: Singh Khashre, Manjeet  DOS: 12-18-2021   Amnt: $72  Note</v>
      </c>
      <c r="B905" s="43" t="str">
        <f>CONCATENATE("Detail: ",'Level 1'!N905,"  ",'Level 1'!O905,TEXT('Level 1'!P905,"  mm-dd-yyyy"),";"," ",'Level 1'!Q905,'Level 1'!R905,"  ",'Level 1'!T905," ","Payment "," ",'Level 1'!U905,"  ",'Level 1'!V905,"  ",'Level 1'!W905,"  ",'Level 1'!X905,"  ",'Level 1'!Z905, "  ",'Level 1'!AA905, " ","Insurance: ",'Level 1'!A905)</f>
        <v>Detail: Note  Q1  01-00-1900; Q2   Payment  Q4    Q5    Additional Notes:   Insurance: No Insurance</v>
      </c>
      <c r="C905" s="60" t="str">
        <f>'Level 1'!Y905</f>
        <v>Action</v>
      </c>
      <c r="D905" s="44" t="str">
        <f>VLOOKUP(C905,Table2[#All],3,FALSE)</f>
        <v>What we need from you/Reason</v>
      </c>
      <c r="E905" s="75" t="s">
        <v>199</v>
      </c>
      <c r="F905" s="96"/>
      <c r="G905" s="97"/>
    </row>
    <row r="906" spans="1:7" ht="21" x14ac:dyDescent="0.25">
      <c r="A906" s="43" t="str">
        <f>CONCATENATE("Pt Id:",'Level 1'!E906," ","Pt Name: ",'Level 1'!F906," ","DOS: ", TEXT('Level 1'!H906,"mm-dd-yyyy"),"  "," Amnt: ","$",'Level 1'!J906,"  ", 'Level 1'!N906)</f>
        <v>Pt Id:8688 Pt Name: Ricchio, Adam DOS: 12-18-2021   Amnt: $405.6  Note</v>
      </c>
      <c r="B906" s="43" t="str">
        <f>CONCATENATE("Detail: ",'Level 1'!N906,"  ",'Level 1'!O906,TEXT('Level 1'!P906,"  mm-dd-yyyy"),";"," ",'Level 1'!Q906,'Level 1'!R906,"  ",'Level 1'!T906," ","Payment "," ",'Level 1'!U906,"  ",'Level 1'!V906,"  ",'Level 1'!W906,"  ",'Level 1'!X906,"  ",'Level 1'!Z906, "  ",'Level 1'!AA906, " ","Insurance: ",'Level 1'!A906)</f>
        <v>Detail: Note  Q1  01-00-1900; Q2   Payment  Q4    Q5    Additional Notes:   Insurance: No Insurance</v>
      </c>
      <c r="C906" s="60" t="str">
        <f>'Level 1'!Y906</f>
        <v>Action</v>
      </c>
      <c r="D906" s="44" t="str">
        <f>VLOOKUP(C906,Table2[#All],3,FALSE)</f>
        <v>What we need from you/Reason</v>
      </c>
      <c r="E906" s="75" t="s">
        <v>199</v>
      </c>
      <c r="F906" s="96"/>
      <c r="G906" s="97"/>
    </row>
    <row r="907" spans="1:7" ht="42" x14ac:dyDescent="0.25">
      <c r="A907" s="43" t="str">
        <f>CONCATENATE("Pt Id:",'Level 1'!E907," ","Pt Name: ",'Level 1'!F907," ","DOS: ", TEXT('Level 1'!H907,"mm-dd-yyyy"),"  "," Amnt: ","$",'Level 1'!J907,"  ", 'Level 1'!N907)</f>
        <v>Pt Id:8663 Pt Name: Howell Stewart , Cynthia  DOS: 12-10-2021   Amnt: $61.2  Note</v>
      </c>
      <c r="B907" s="43" t="str">
        <f>CONCATENATE("Detail: ",'Level 1'!N907,"  ",'Level 1'!O907,TEXT('Level 1'!P907,"  mm-dd-yyyy"),";"," ",'Level 1'!Q907,'Level 1'!R907,"  ",'Level 1'!T907," ","Payment "," ",'Level 1'!U907,"  ",'Level 1'!V907,"  ",'Level 1'!W907,"  ",'Level 1'!X907,"  ",'Level 1'!Z907, "  ",'Level 1'!AA907, " ","Insurance: ",'Level 1'!A907)</f>
        <v>Detail: Note  Q1  01-00-1900; Q2   Payment  Q4    Q5    Additional Notes:   Insurance: No Insurance</v>
      </c>
      <c r="C907" s="60" t="str">
        <f>'Level 1'!Y907</f>
        <v>Action</v>
      </c>
      <c r="D907" s="44" t="str">
        <f>VLOOKUP(C907,Table2[#All],3,FALSE)</f>
        <v>What we need from you/Reason</v>
      </c>
      <c r="E907" s="75" t="s">
        <v>199</v>
      </c>
      <c r="F907" s="96"/>
      <c r="G907" s="97"/>
    </row>
    <row r="908" spans="1:7" ht="21" x14ac:dyDescent="0.25">
      <c r="A908" s="43" t="str">
        <f>CONCATENATE("Pt Id:",'Level 1'!E908," ","Pt Name: ",'Level 1'!F908," ","DOS: ", TEXT('Level 1'!H908,"mm-dd-yyyy"),"  "," Amnt: ","$",'Level 1'!J908,"  ", 'Level 1'!N908)</f>
        <v>Pt Id:8455 Pt Name: Herredia, Valeria DOS: 12-17-2021   Amnt: $1636  Note</v>
      </c>
      <c r="B908" s="43" t="str">
        <f>CONCATENATE("Detail: ",'Level 1'!N908,"  ",'Level 1'!O908,TEXT('Level 1'!P908,"  mm-dd-yyyy"),";"," ",'Level 1'!Q908,'Level 1'!R908,"  ",'Level 1'!T908," ","Payment "," ",'Level 1'!U908,"  ",'Level 1'!V908,"  ",'Level 1'!W908,"  ",'Level 1'!X908,"  ",'Level 1'!Z908, "  ",'Level 1'!AA908, " ","Insurance: ",'Level 1'!A908)</f>
        <v>Detail: Note  Q1  01-00-1900; Q2   Payment  Q4    Q5    Additional Notes:   Insurance: No Insurance</v>
      </c>
      <c r="C908" s="60" t="str">
        <f>'Level 1'!Y908</f>
        <v>Action</v>
      </c>
      <c r="D908" s="44" t="str">
        <f>VLOOKUP(C908,Table2[#All],3,FALSE)</f>
        <v>What we need from you/Reason</v>
      </c>
      <c r="E908" s="75" t="s">
        <v>199</v>
      </c>
      <c r="F908" s="96"/>
      <c r="G908" s="97"/>
    </row>
    <row r="909" spans="1:7" ht="21" x14ac:dyDescent="0.25">
      <c r="A909" s="43" t="str">
        <f>CONCATENATE("Pt Id:",'Level 1'!E909," ","Pt Name: ",'Level 1'!F909," ","DOS: ", TEXT('Level 1'!H909,"mm-dd-yyyy"),"  "," Amnt: ","$",'Level 1'!J909,"  ", 'Level 1'!N909)</f>
        <v>Pt Id:6947 Pt Name: Oliver , Kelly  DOS: 12-07-2021   Amnt: $61.2  Note</v>
      </c>
      <c r="B909" s="43" t="str">
        <f>CONCATENATE("Detail: ",'Level 1'!N909,"  ",'Level 1'!O909,TEXT('Level 1'!P909,"  mm-dd-yyyy"),";"," ",'Level 1'!Q909,'Level 1'!R909,"  ",'Level 1'!T909," ","Payment "," ",'Level 1'!U909,"  ",'Level 1'!V909,"  ",'Level 1'!W909,"  ",'Level 1'!X909,"  ",'Level 1'!Z909, "  ",'Level 1'!AA909, " ","Insurance: ",'Level 1'!A909)</f>
        <v>Detail: Note  Q1  01-00-1900; Q2   Payment  Q4    Q5    Additional Notes:   Insurance: No Insurance</v>
      </c>
      <c r="C909" s="60" t="str">
        <f>'Level 1'!Y909</f>
        <v>Action</v>
      </c>
      <c r="D909" s="44" t="str">
        <f>VLOOKUP(C909,Table2[#All],3,FALSE)</f>
        <v>What we need from you/Reason</v>
      </c>
      <c r="E909" s="75" t="s">
        <v>199</v>
      </c>
      <c r="F909" s="96"/>
      <c r="G909" s="97"/>
    </row>
    <row r="910" spans="1:7" ht="42" x14ac:dyDescent="0.25">
      <c r="A910" s="43" t="str">
        <f>CONCATENATE("Pt Id:",'Level 1'!E910," ","Pt Name: ",'Level 1'!F910," ","DOS: ", TEXT('Level 1'!H910,"mm-dd-yyyy"),"  "," Amnt: ","$",'Level 1'!J910,"  ", 'Level 1'!N910)</f>
        <v>Pt Id:2691 Pt Name: Garcia Luis, Maria De Jesus DOS: 12-02-2021   Amnt: $314.4  Note</v>
      </c>
      <c r="B910" s="43" t="str">
        <f>CONCATENATE("Detail: ",'Level 1'!N910,"  ",'Level 1'!O910,TEXT('Level 1'!P910,"  mm-dd-yyyy"),";"," ",'Level 1'!Q910,'Level 1'!R910,"  ",'Level 1'!T910," ","Payment "," ",'Level 1'!U910,"  ",'Level 1'!V910,"  ",'Level 1'!W910,"  ",'Level 1'!X910,"  ",'Level 1'!Z910, "  ",'Level 1'!AA910, " ","Insurance: ",'Level 1'!A910)</f>
        <v>Detail: Note  Q1  01-00-1900; Q2   Payment  Q4    Q5    Additional Notes:   Insurance: No Insurance</v>
      </c>
      <c r="C910" s="60" t="str">
        <f>'Level 1'!Y910</f>
        <v>Action</v>
      </c>
      <c r="D910" s="44" t="str">
        <f>VLOOKUP(C910,Table2[#All],3,FALSE)</f>
        <v>What we need from you/Reason</v>
      </c>
      <c r="E910" s="75" t="s">
        <v>199</v>
      </c>
      <c r="F910" s="96"/>
      <c r="G910" s="97"/>
    </row>
    <row r="911" spans="1:7" ht="21" x14ac:dyDescent="0.25">
      <c r="A911" s="43" t="str">
        <f>CONCATENATE("Pt Id:",'Level 1'!E911," ","Pt Name: ",'Level 1'!F911," ","DOS: ", TEXT('Level 1'!H911,"mm-dd-yyyy"),"  "," Amnt: ","$",'Level 1'!J911,"  ", 'Level 1'!N911)</f>
        <v>Pt Id:8547 Pt Name: Arrcho, Maria DOS: 11-30-2021   Amnt: $61.2  Note</v>
      </c>
      <c r="B911" s="43" t="str">
        <f>CONCATENATE("Detail: ",'Level 1'!N911,"  ",'Level 1'!O911,TEXT('Level 1'!P911,"  mm-dd-yyyy"),";"," ",'Level 1'!Q911,'Level 1'!R911,"  ",'Level 1'!T911," ","Payment "," ",'Level 1'!U911,"  ",'Level 1'!V911,"  ",'Level 1'!W911,"  ",'Level 1'!X911,"  ",'Level 1'!Z911, "  ",'Level 1'!AA911, " ","Insurance: ",'Level 1'!A911)</f>
        <v>Detail: Note  Q1  01-00-1900; Q2   Payment  Q4    Q5    Additional Notes:   Insurance: No Insurance</v>
      </c>
      <c r="C911" s="60" t="str">
        <f>'Level 1'!Y911</f>
        <v>Action</v>
      </c>
      <c r="D911" s="44" t="str">
        <f>VLOOKUP(C911,Table2[#All],3,FALSE)</f>
        <v>What we need from you/Reason</v>
      </c>
      <c r="E911" s="75" t="s">
        <v>199</v>
      </c>
      <c r="F911" s="96"/>
      <c r="G911" s="97"/>
    </row>
    <row r="912" spans="1:7" ht="21" x14ac:dyDescent="0.25">
      <c r="A912" s="43" t="str">
        <f>CONCATENATE("Pt Id:",'Level 1'!E912," ","Pt Name: ",'Level 1'!F912," ","DOS: ", TEXT('Level 1'!H912,"mm-dd-yyyy"),"  "," Amnt: ","$",'Level 1'!J912,"  ", 'Level 1'!N912)</f>
        <v>Pt Id:8545 Pt Name: Pearson, Gilbert DOS: 11-29-2021   Amnt: $72  Note</v>
      </c>
      <c r="B912" s="43" t="str">
        <f>CONCATENATE("Detail: ",'Level 1'!N912,"  ",'Level 1'!O912,TEXT('Level 1'!P912,"  mm-dd-yyyy"),";"," ",'Level 1'!Q912,'Level 1'!R912,"  ",'Level 1'!T912," ","Payment "," ",'Level 1'!U912,"  ",'Level 1'!V912,"  ",'Level 1'!W912,"  ",'Level 1'!X912,"  ",'Level 1'!Z912, "  ",'Level 1'!AA912, " ","Insurance: ",'Level 1'!A912)</f>
        <v>Detail: Note  Q1  01-00-1900; Q2   Payment  Q4    Q5    Additional Notes:   Insurance: No Insurance</v>
      </c>
      <c r="C912" s="60" t="str">
        <f>'Level 1'!Y912</f>
        <v>Action</v>
      </c>
      <c r="D912" s="44" t="str">
        <f>VLOOKUP(C912,Table2[#All],3,FALSE)</f>
        <v>What we need from you/Reason</v>
      </c>
      <c r="E912" s="75" t="s">
        <v>199</v>
      </c>
      <c r="F912" s="96"/>
      <c r="G912" s="97"/>
    </row>
    <row r="913" spans="1:7" ht="21" x14ac:dyDescent="0.25">
      <c r="A913" s="43" t="str">
        <f>CONCATENATE("Pt Id:",'Level 1'!E913," ","Pt Name: ",'Level 1'!F913," ","DOS: ", TEXT('Level 1'!H913,"mm-dd-yyyy"),"  "," Amnt: ","$",'Level 1'!J913,"  ", 'Level 1'!N913)</f>
        <v>Pt Id:8457 Pt Name: Carmona, Alejo DOS: 11-13-2021   Amnt: $210  Note</v>
      </c>
      <c r="B913" s="43" t="str">
        <f>CONCATENATE("Detail: ",'Level 1'!N913,"  ",'Level 1'!O913,TEXT('Level 1'!P913,"  mm-dd-yyyy"),";"," ",'Level 1'!Q913,'Level 1'!R913,"  ",'Level 1'!T913," ","Payment "," ",'Level 1'!U913,"  ",'Level 1'!V913,"  ",'Level 1'!W913,"  ",'Level 1'!X913,"  ",'Level 1'!Z913, "  ",'Level 1'!AA913, " ","Insurance: ",'Level 1'!A913)</f>
        <v>Detail: Note  Q1  01-00-1900; Q2   Payment  Q4    Q5    Additional Notes:   Insurance: No Insurance</v>
      </c>
      <c r="C913" s="60" t="str">
        <f>'Level 1'!Y913</f>
        <v>Action</v>
      </c>
      <c r="D913" s="44" t="str">
        <f>VLOOKUP(C913,Table2[#All],3,FALSE)</f>
        <v>What we need from you/Reason</v>
      </c>
      <c r="E913" s="75" t="s">
        <v>199</v>
      </c>
      <c r="F913" s="96"/>
      <c r="G913" s="97"/>
    </row>
    <row r="914" spans="1:7" ht="21" x14ac:dyDescent="0.25">
      <c r="A914" s="43" t="str">
        <f>CONCATENATE("Pt Id:",'Level 1'!E914," ","Pt Name: ",'Level 1'!F914," ","DOS: ", TEXT('Level 1'!H914,"mm-dd-yyyy"),"  "," Amnt: ","$",'Level 1'!J914,"  ", 'Level 1'!N914)</f>
        <v>Pt Id:8343 Pt Name: Cain, Adam  DOS: 11-12-2021   Amnt: $396  Note</v>
      </c>
      <c r="B914" s="43" t="str">
        <f>CONCATENATE("Detail: ",'Level 1'!N914,"  ",'Level 1'!O914,TEXT('Level 1'!P914,"  mm-dd-yyyy"),";"," ",'Level 1'!Q914,'Level 1'!R914,"  ",'Level 1'!T914," ","Payment "," ",'Level 1'!U914,"  ",'Level 1'!V914,"  ",'Level 1'!W914,"  ",'Level 1'!X914,"  ",'Level 1'!Z914, "  ",'Level 1'!AA914, " ","Insurance: ",'Level 1'!A914)</f>
        <v>Detail: Note  Q1  01-00-1900; Q2   Payment  Q4    Q5    Additional Notes:   Insurance: No Insurance</v>
      </c>
      <c r="C914" s="60" t="str">
        <f>'Level 1'!Y914</f>
        <v>Action</v>
      </c>
      <c r="D914" s="44" t="str">
        <f>VLOOKUP(C914,Table2[#All],3,FALSE)</f>
        <v>What we need from you/Reason</v>
      </c>
      <c r="E914" s="75" t="s">
        <v>199</v>
      </c>
      <c r="F914" s="96"/>
      <c r="G914" s="97"/>
    </row>
    <row r="915" spans="1:7" ht="21" x14ac:dyDescent="0.25">
      <c r="A915" s="43" t="str">
        <f>CONCATENATE("Pt Id:",'Level 1'!E915," ","Pt Name: ",'Level 1'!F915," ","DOS: ", TEXT('Level 1'!H915,"mm-dd-yyyy"),"  "," Amnt: ","$",'Level 1'!J915,"  ", 'Level 1'!N915)</f>
        <v>Pt Id:8403 Pt Name: Haen , Darrell DOS: 11-11-2021   Amnt: $314.4  Note</v>
      </c>
      <c r="B915" s="43" t="str">
        <f>CONCATENATE("Detail: ",'Level 1'!N915,"  ",'Level 1'!O915,TEXT('Level 1'!P915,"  mm-dd-yyyy"),";"," ",'Level 1'!Q915,'Level 1'!R915,"  ",'Level 1'!T915," ","Payment "," ",'Level 1'!U915,"  ",'Level 1'!V915,"  ",'Level 1'!W915,"  ",'Level 1'!X915,"  ",'Level 1'!Z915, "  ",'Level 1'!AA915, " ","Insurance: ",'Level 1'!A915)</f>
        <v>Detail: Note  Q1  01-00-1900; Q2   Payment  Q4    Q5    Additional Notes:   Insurance: No Insurance</v>
      </c>
      <c r="C915" s="60" t="str">
        <f>'Level 1'!Y915</f>
        <v>Action</v>
      </c>
      <c r="D915" s="44" t="str">
        <f>VLOOKUP(C915,Table2[#All],3,FALSE)</f>
        <v>What we need from you/Reason</v>
      </c>
      <c r="E915" s="75" t="s">
        <v>199</v>
      </c>
      <c r="F915" s="96"/>
      <c r="G915" s="97"/>
    </row>
    <row r="916" spans="1:7" ht="21" x14ac:dyDescent="0.25">
      <c r="A916" s="43" t="str">
        <f>CONCATENATE("Pt Id:",'Level 1'!E916," ","Pt Name: ",'Level 1'!F916," ","DOS: ", TEXT('Level 1'!H916,"mm-dd-yyyy"),"  "," Amnt: ","$",'Level 1'!J916,"  ", 'Level 1'!N916)</f>
        <v>Pt Id:7988 Pt Name: Arellano, Angel DOS: 11-01-2021   Amnt: $860.4  Note</v>
      </c>
      <c r="B916" s="43" t="str">
        <f>CONCATENATE("Detail: ",'Level 1'!N916,"  ",'Level 1'!O916,TEXT('Level 1'!P916,"  mm-dd-yyyy"),";"," ",'Level 1'!Q916,'Level 1'!R916,"  ",'Level 1'!T916," ","Payment "," ",'Level 1'!U916,"  ",'Level 1'!V916,"  ",'Level 1'!W916,"  ",'Level 1'!X916,"  ",'Level 1'!Z916, "  ",'Level 1'!AA916, " ","Insurance: ",'Level 1'!A916)</f>
        <v>Detail: Note  Q1  01-00-1900; Q2   Payment  Q4    Q5    Additional Notes:   Insurance: No Insurance</v>
      </c>
      <c r="C916" s="60" t="str">
        <f>'Level 1'!Y916</f>
        <v>Action</v>
      </c>
      <c r="D916" s="44" t="str">
        <f>VLOOKUP(C916,Table2[#All],3,FALSE)</f>
        <v>What we need from you/Reason</v>
      </c>
      <c r="E916" s="75" t="s">
        <v>199</v>
      </c>
      <c r="F916" s="96"/>
      <c r="G916" s="97"/>
    </row>
    <row r="917" spans="1:7" ht="21" x14ac:dyDescent="0.25">
      <c r="A917" s="43" t="str">
        <f>CONCATENATE("Pt Id:",'Level 1'!E917," ","Pt Name: ",'Level 1'!F917," ","DOS: ", TEXT('Level 1'!H917,"mm-dd-yyyy"),"  "," Amnt: ","$",'Level 1'!J917,"  ", 'Level 1'!N917)</f>
        <v>Pt Id:8343 Pt Name: Cain, Adam  DOS: 10-29-2021   Amnt: $61.2  Note</v>
      </c>
      <c r="B917" s="43" t="str">
        <f>CONCATENATE("Detail: ",'Level 1'!N917,"  ",'Level 1'!O917,TEXT('Level 1'!P917,"  mm-dd-yyyy"),";"," ",'Level 1'!Q917,'Level 1'!R917,"  ",'Level 1'!T917," ","Payment "," ",'Level 1'!U917,"  ",'Level 1'!V917,"  ",'Level 1'!W917,"  ",'Level 1'!X917,"  ",'Level 1'!Z917, "  ",'Level 1'!AA917, " ","Insurance: ",'Level 1'!A917)</f>
        <v>Detail: Note  Q1  01-00-1900; Q2   Payment  Q4    Q5    Additional Notes:   Insurance: No Insurance</v>
      </c>
      <c r="C917" s="60" t="str">
        <f>'Level 1'!Y917</f>
        <v>Action</v>
      </c>
      <c r="D917" s="44" t="str">
        <f>VLOOKUP(C917,Table2[#All],3,FALSE)</f>
        <v>What we need from you/Reason</v>
      </c>
      <c r="E917" s="75" t="s">
        <v>199</v>
      </c>
      <c r="F917" s="96"/>
      <c r="G917" s="97"/>
    </row>
    <row r="918" spans="1:7" ht="21" x14ac:dyDescent="0.25">
      <c r="A918" s="43" t="str">
        <f>CONCATENATE("Pt Id:",'Level 1'!E918," ","Pt Name: ",'Level 1'!F918," ","DOS: ", TEXT('Level 1'!H918,"mm-dd-yyyy"),"  "," Amnt: ","$",'Level 1'!J918,"  ", 'Level 1'!N918)</f>
        <v>Pt Id:8001 Pt Name: Silva, Maria DOS: 10-29-2021   Amnt: $180  Note</v>
      </c>
      <c r="B918" s="43" t="str">
        <f>CONCATENATE("Detail: ",'Level 1'!N918,"  ",'Level 1'!O918,TEXT('Level 1'!P918,"  mm-dd-yyyy"),";"," ",'Level 1'!Q918,'Level 1'!R918,"  ",'Level 1'!T918," ","Payment "," ",'Level 1'!U918,"  ",'Level 1'!V918,"  ",'Level 1'!W918,"  ",'Level 1'!X918,"  ",'Level 1'!Z918, "  ",'Level 1'!AA918, " ","Insurance: ",'Level 1'!A918)</f>
        <v>Detail: Note  Q1  01-00-1900; Q2   Payment  Q4    Q5    Additional Notes:   Insurance: No Insurance</v>
      </c>
      <c r="C918" s="60" t="str">
        <f>'Level 1'!Y918</f>
        <v>Action</v>
      </c>
      <c r="D918" s="44" t="str">
        <f>VLOOKUP(C918,Table2[#All],3,FALSE)</f>
        <v>What we need from you/Reason</v>
      </c>
      <c r="E918" s="75" t="s">
        <v>199</v>
      </c>
      <c r="F918" s="96"/>
      <c r="G918" s="97"/>
    </row>
    <row r="919" spans="1:7" ht="21" x14ac:dyDescent="0.25">
      <c r="A919" s="43" t="str">
        <f>CONCATENATE("Pt Id:",'Level 1'!E919," ","Pt Name: ",'Level 1'!F919," ","DOS: ", TEXT('Level 1'!H919,"mm-dd-yyyy"),"  "," Amnt: ","$",'Level 1'!J919,"  ", 'Level 1'!N919)</f>
        <v>Pt Id:8269 Pt Name: Rubio, Cinthia DOS: 10-20-2021   Amnt: $290.4  Note</v>
      </c>
      <c r="B919" s="43" t="str">
        <f>CONCATENATE("Detail: ",'Level 1'!N919,"  ",'Level 1'!O919,TEXT('Level 1'!P919,"  mm-dd-yyyy"),";"," ",'Level 1'!Q919,'Level 1'!R919,"  ",'Level 1'!T919," ","Payment "," ",'Level 1'!U919,"  ",'Level 1'!V919,"  ",'Level 1'!W919,"  ",'Level 1'!X919,"  ",'Level 1'!Z919, "  ",'Level 1'!AA919, " ","Insurance: ",'Level 1'!A919)</f>
        <v>Detail: Note  Q1  01-00-1900; Q2   Payment  Q4    Q5    Additional Notes:   Insurance: No Insurance</v>
      </c>
      <c r="C919" s="60" t="str">
        <f>'Level 1'!Y919</f>
        <v>Action</v>
      </c>
      <c r="D919" s="44" t="str">
        <f>VLOOKUP(C919,Table2[#All],3,FALSE)</f>
        <v>What we need from you/Reason</v>
      </c>
      <c r="E919" s="75" t="s">
        <v>199</v>
      </c>
      <c r="F919" s="96"/>
      <c r="G919" s="97"/>
    </row>
    <row r="920" spans="1:7" ht="42" x14ac:dyDescent="0.25">
      <c r="A920" s="43" t="str">
        <f>CONCATENATE("Pt Id:",'Level 1'!E920," ","Pt Name: ",'Level 1'!F920," ","DOS: ", TEXT('Level 1'!H920,"mm-dd-yyyy"),"  "," Amnt: ","$",'Level 1'!J920,"  ", 'Level 1'!N920)</f>
        <v>Pt Id:8276 Pt Name: Santana , Wilfrido DOS: 10-20-2021   Amnt: $463.2  Note</v>
      </c>
      <c r="B920" s="43" t="str">
        <f>CONCATENATE("Detail: ",'Level 1'!N920,"  ",'Level 1'!O920,TEXT('Level 1'!P920,"  mm-dd-yyyy"),";"," ",'Level 1'!Q920,'Level 1'!R920,"  ",'Level 1'!T920," ","Payment "," ",'Level 1'!U920,"  ",'Level 1'!V920,"  ",'Level 1'!W920,"  ",'Level 1'!X920,"  ",'Level 1'!Z920, "  ",'Level 1'!AA920, " ","Insurance: ",'Level 1'!A920)</f>
        <v>Detail: Note  Q1  01-00-1900; Q2   Payment  Q4    Q5    Additional Notes:   Insurance: No Insurance</v>
      </c>
      <c r="C920" s="60" t="str">
        <f>'Level 1'!Y920</f>
        <v>Action</v>
      </c>
      <c r="D920" s="44" t="str">
        <f>VLOOKUP(C920,Table2[#All],3,FALSE)</f>
        <v>What we need from you/Reason</v>
      </c>
      <c r="E920" s="75" t="s">
        <v>199</v>
      </c>
      <c r="F920" s="96"/>
      <c r="G920" s="97"/>
    </row>
    <row r="921" spans="1:7" ht="21" x14ac:dyDescent="0.25">
      <c r="A921" s="43" t="str">
        <f>CONCATENATE("Pt Id:",'Level 1'!E921," ","Pt Name: ",'Level 1'!F921," ","DOS: ", TEXT('Level 1'!H921,"mm-dd-yyyy"),"  "," Amnt: ","$",'Level 1'!J921,"  ", 'Level 1'!N921)</f>
        <v>Pt Id:8215 Pt Name: Villa , Alicia  DOS: 10-13-2021   Amnt: $296.4  Note</v>
      </c>
      <c r="B921" s="43" t="str">
        <f>CONCATENATE("Detail: ",'Level 1'!N921,"  ",'Level 1'!O921,TEXT('Level 1'!P921,"  mm-dd-yyyy"),";"," ",'Level 1'!Q921,'Level 1'!R921,"  ",'Level 1'!T921," ","Payment "," ",'Level 1'!U921,"  ",'Level 1'!V921,"  ",'Level 1'!W921,"  ",'Level 1'!X921,"  ",'Level 1'!Z921, "  ",'Level 1'!AA921, " ","Insurance: ",'Level 1'!A921)</f>
        <v>Detail: Note  Q1  01-00-1900; Q2   Payment  Q4    Q5    Additional Notes:   Insurance: No Insurance</v>
      </c>
      <c r="C921" s="60" t="str">
        <f>'Level 1'!Y921</f>
        <v>Action</v>
      </c>
      <c r="D921" s="44" t="str">
        <f>VLOOKUP(C921,Table2[#All],3,FALSE)</f>
        <v>What we need from you/Reason</v>
      </c>
      <c r="E921" s="75" t="s">
        <v>199</v>
      </c>
      <c r="F921" s="96"/>
      <c r="G921" s="97"/>
    </row>
    <row r="922" spans="1:7" ht="21" x14ac:dyDescent="0.25">
      <c r="A922" s="43" t="str">
        <f>CONCATENATE("Pt Id:",'Level 1'!E922," ","Pt Name: ",'Level 1'!F922," ","DOS: ", TEXT('Level 1'!H922,"mm-dd-yyyy"),"  "," Amnt: ","$",'Level 1'!J922,"  ", 'Level 1'!N922)</f>
        <v>Pt Id:8001 Pt Name: Silva, Maria DOS: 10-09-2021   Amnt: $548.4  Note</v>
      </c>
      <c r="B922" s="43" t="str">
        <f>CONCATENATE("Detail: ",'Level 1'!N922,"  ",'Level 1'!O922,TEXT('Level 1'!P922,"  mm-dd-yyyy"),";"," ",'Level 1'!Q922,'Level 1'!R922,"  ",'Level 1'!T922," ","Payment "," ",'Level 1'!U922,"  ",'Level 1'!V922,"  ",'Level 1'!W922,"  ",'Level 1'!X922,"  ",'Level 1'!Z922, "  ",'Level 1'!AA922, " ","Insurance: ",'Level 1'!A922)</f>
        <v>Detail: Note  Q1  01-00-1900; Q2   Payment  Q4    Q5    Additional Notes:   Insurance: No Insurance</v>
      </c>
      <c r="C922" s="60" t="str">
        <f>'Level 1'!Y922</f>
        <v>Action</v>
      </c>
      <c r="D922" s="44" t="str">
        <f>VLOOKUP(C922,Table2[#All],3,FALSE)</f>
        <v>What we need from you/Reason</v>
      </c>
      <c r="E922" s="75" t="s">
        <v>199</v>
      </c>
      <c r="F922" s="96"/>
      <c r="G922" s="97"/>
    </row>
    <row r="923" spans="1:7" ht="42" x14ac:dyDescent="0.25">
      <c r="A923" s="43" t="str">
        <f>CONCATENATE("Pt Id:",'Level 1'!E923," ","Pt Name: ",'Level 1'!F923," ","DOS: ", TEXT('Level 1'!H923,"mm-dd-yyyy"),"  "," Amnt: ","$",'Level 1'!J923,"  ", 'Level 1'!N923)</f>
        <v>Pt Id:4935 Pt Name: Nizar Fattah , Obaida DOS: 10-02-2021   Amnt: $346.8  Note</v>
      </c>
      <c r="B923" s="43" t="str">
        <f>CONCATENATE("Detail: ",'Level 1'!N923,"  ",'Level 1'!O923,TEXT('Level 1'!P923,"  mm-dd-yyyy"),";"," ",'Level 1'!Q923,'Level 1'!R923,"  ",'Level 1'!T923," ","Payment "," ",'Level 1'!U923,"  ",'Level 1'!V923,"  ",'Level 1'!W923,"  ",'Level 1'!X923,"  ",'Level 1'!Z923, "  ",'Level 1'!AA923, " ","Insurance: ",'Level 1'!A923)</f>
        <v>Detail: Note  Q1  01-00-1900; Q2   Payment  Q4    Q5    Additional Notes:   Insurance: No Insurance</v>
      </c>
      <c r="C923" s="60" t="str">
        <f>'Level 1'!Y923</f>
        <v>Action</v>
      </c>
      <c r="D923" s="44" t="str">
        <f>VLOOKUP(C923,Table2[#All],3,FALSE)</f>
        <v>What we need from you/Reason</v>
      </c>
      <c r="E923" s="75" t="s">
        <v>199</v>
      </c>
      <c r="F923" s="96"/>
      <c r="G923" s="97"/>
    </row>
    <row r="924" spans="1:7" ht="21" x14ac:dyDescent="0.25">
      <c r="A924" s="43" t="str">
        <f>CONCATENATE("Pt Id:",'Level 1'!E924," ","Pt Name: ",'Level 1'!F924," ","DOS: ", TEXT('Level 1'!H924,"mm-dd-yyyy"),"  "," Amnt: ","$",'Level 1'!J924,"  ", 'Level 1'!N924)</f>
        <v>Pt Id:8113 Pt Name: Miller, Donald DOS: 10-01-2021   Amnt: $613.2  Note</v>
      </c>
      <c r="B924" s="43" t="str">
        <f>CONCATENATE("Detail: ",'Level 1'!N924,"  ",'Level 1'!O924,TEXT('Level 1'!P924,"  mm-dd-yyyy"),";"," ",'Level 1'!Q924,'Level 1'!R924,"  ",'Level 1'!T924," ","Payment "," ",'Level 1'!U924,"  ",'Level 1'!V924,"  ",'Level 1'!W924,"  ",'Level 1'!X924,"  ",'Level 1'!Z924, "  ",'Level 1'!AA924, " ","Insurance: ",'Level 1'!A924)</f>
        <v>Detail: Note  Q1  01-00-1900; Q2   Payment  Q4    Q5    Additional Notes:   Insurance: No Insurance</v>
      </c>
      <c r="C924" s="60" t="str">
        <f>'Level 1'!Y924</f>
        <v>Action</v>
      </c>
      <c r="D924" s="44" t="str">
        <f>VLOOKUP(C924,Table2[#All],3,FALSE)</f>
        <v>What we need from you/Reason</v>
      </c>
      <c r="E924" s="75" t="s">
        <v>199</v>
      </c>
      <c r="F924" s="96"/>
      <c r="G924" s="97"/>
    </row>
    <row r="925" spans="1:7" ht="21" x14ac:dyDescent="0.25">
      <c r="A925" s="43" t="str">
        <f>CONCATENATE("Pt Id:",'Level 1'!E925," ","Pt Name: ",'Level 1'!F925," ","DOS: ", TEXT('Level 1'!H925,"mm-dd-yyyy"),"  "," Amnt: ","$",'Level 1'!J925,"  ", 'Level 1'!N925)</f>
        <v>Pt Id:2384 Pt Name: Mohamed, Suher DOS: 10-02-2021   Amnt: $123.6  Note</v>
      </c>
      <c r="B925" s="43" t="str">
        <f>CONCATENATE("Detail: ",'Level 1'!N925,"  ",'Level 1'!O925,TEXT('Level 1'!P925,"  mm-dd-yyyy"),";"," ",'Level 1'!Q925,'Level 1'!R925,"  ",'Level 1'!T925," ","Payment "," ",'Level 1'!U925,"  ",'Level 1'!V925,"  ",'Level 1'!W925,"  ",'Level 1'!X925,"  ",'Level 1'!Z925, "  ",'Level 1'!AA925, " ","Insurance: ",'Level 1'!A925)</f>
        <v>Detail: Note  Q1  01-00-1900; Q2   Payment  Q4    Q5    Additional Notes:   Insurance: No Insurance</v>
      </c>
      <c r="C925" s="60" t="str">
        <f>'Level 1'!Y925</f>
        <v>Action</v>
      </c>
      <c r="D925" s="44" t="str">
        <f>VLOOKUP(C925,Table2[#All],3,FALSE)</f>
        <v>What we need from you/Reason</v>
      </c>
      <c r="E925" s="75" t="s">
        <v>199</v>
      </c>
      <c r="F925" s="96"/>
      <c r="G925" s="97"/>
    </row>
    <row r="926" spans="1:7" ht="21" x14ac:dyDescent="0.25">
      <c r="A926" s="43" t="str">
        <f>CONCATENATE("Pt Id:",'Level 1'!E926," ","Pt Name: ",'Level 1'!F926," ","DOS: ", TEXT('Level 1'!H926,"mm-dd-yyyy"),"  "," Amnt: ","$",'Level 1'!J926,"  ", 'Level 1'!N926)</f>
        <v>Pt Id:8077 Pt Name: Hussein , Morad DOS: 09-28-2021   Amnt: $332.4  Note</v>
      </c>
      <c r="B926" s="43" t="str">
        <f>CONCATENATE("Detail: ",'Level 1'!N926,"  ",'Level 1'!O926,TEXT('Level 1'!P926,"  mm-dd-yyyy"),";"," ",'Level 1'!Q926,'Level 1'!R926,"  ",'Level 1'!T926," ","Payment "," ",'Level 1'!U926,"  ",'Level 1'!V926,"  ",'Level 1'!W926,"  ",'Level 1'!X926,"  ",'Level 1'!Z926, "  ",'Level 1'!AA926, " ","Insurance: ",'Level 1'!A926)</f>
        <v>Detail: Note  Q1  01-00-1900; Q2   Payment  Q4    Q5    Additional Notes:   Insurance: No Insurance</v>
      </c>
      <c r="C926" s="60" t="str">
        <f>'Level 1'!Y926</f>
        <v>Action</v>
      </c>
      <c r="D926" s="44" t="str">
        <f>VLOOKUP(C926,Table2[#All],3,FALSE)</f>
        <v>What we need from you/Reason</v>
      </c>
      <c r="E926" s="75" t="s">
        <v>199</v>
      </c>
      <c r="F926" s="96"/>
      <c r="G926" s="97"/>
    </row>
    <row r="927" spans="1:7" ht="21" x14ac:dyDescent="0.25">
      <c r="A927" s="43" t="str">
        <f>CONCATENATE("Pt Id:",'Level 1'!E927," ","Pt Name: ",'Level 1'!F927," ","DOS: ", TEXT('Level 1'!H927,"mm-dd-yyyy"),"  "," Amnt: ","$",'Level 1'!J927,"  ", 'Level 1'!N927)</f>
        <v>Pt Id:7776 Pt Name: Petsin, Ashley DOS: 09-22-2021   Amnt: $1412.4  Note</v>
      </c>
      <c r="B927" s="43" t="str">
        <f>CONCATENATE("Detail: ",'Level 1'!N927,"  ",'Level 1'!O927,TEXT('Level 1'!P927,"  mm-dd-yyyy"),";"," ",'Level 1'!Q927,'Level 1'!R927,"  ",'Level 1'!T927," ","Payment "," ",'Level 1'!U927,"  ",'Level 1'!V927,"  ",'Level 1'!W927,"  ",'Level 1'!X927,"  ",'Level 1'!Z927, "  ",'Level 1'!AA927, " ","Insurance: ",'Level 1'!A927)</f>
        <v>Detail: Note  Q1  01-00-1900; Q2   Payment  Q4    Q5    Additional Notes:   Insurance: No Insurance</v>
      </c>
      <c r="C927" s="60" t="str">
        <f>'Level 1'!Y927</f>
        <v>Action</v>
      </c>
      <c r="D927" s="44" t="str">
        <f>VLOOKUP(C927,Table2[#All],3,FALSE)</f>
        <v>What we need from you/Reason</v>
      </c>
      <c r="E927" s="75" t="s">
        <v>199</v>
      </c>
      <c r="F927" s="96"/>
      <c r="G927" s="97"/>
    </row>
    <row r="928" spans="1:7" ht="42" x14ac:dyDescent="0.25">
      <c r="A928" s="43" t="str">
        <f>CONCATENATE("Pt Id:",'Level 1'!E928," ","Pt Name: ",'Level 1'!F928," ","DOS: ", TEXT('Level 1'!H928,"mm-dd-yyyy"),"  "," Amnt: ","$",'Level 1'!J928,"  ", 'Level 1'!N928)</f>
        <v>Pt Id:7939 Pt Name: VALAZQUEZ, VIRGINIA DOS: 09-21-2021   Amnt: $644.4  Note</v>
      </c>
      <c r="B928" s="43" t="str">
        <f>CONCATENATE("Detail: ",'Level 1'!N928,"  ",'Level 1'!O928,TEXT('Level 1'!P928,"  mm-dd-yyyy"),";"," ",'Level 1'!Q928,'Level 1'!R928,"  ",'Level 1'!T928," ","Payment "," ",'Level 1'!U928,"  ",'Level 1'!V928,"  ",'Level 1'!W928,"  ",'Level 1'!X928,"  ",'Level 1'!Z928, "  ",'Level 1'!AA928, " ","Insurance: ",'Level 1'!A928)</f>
        <v>Detail: Note  Q1  01-00-1900; Q2   Payment  Q4    Q5    Additional Notes:   Insurance: No Insurance</v>
      </c>
      <c r="C928" s="60" t="str">
        <f>'Level 1'!Y928</f>
        <v>Action</v>
      </c>
      <c r="D928" s="44" t="str">
        <f>VLOOKUP(C928,Table2[#All],3,FALSE)</f>
        <v>What we need from you/Reason</v>
      </c>
      <c r="E928" s="75" t="s">
        <v>199</v>
      </c>
      <c r="F928" s="96"/>
      <c r="G928" s="97"/>
    </row>
    <row r="929" spans="1:7" ht="21" x14ac:dyDescent="0.25">
      <c r="A929" s="43" t="str">
        <f>CONCATENATE("Pt Id:",'Level 1'!E929," ","Pt Name: ",'Level 1'!F929," ","DOS: ", TEXT('Level 1'!H929,"mm-dd-yyyy"),"  "," Amnt: ","$",'Level 1'!J929,"  ", 'Level 1'!N929)</f>
        <v>Pt Id:7988 Pt Name: Arellano, Angel DOS: 09-18-2021   Amnt: $210  Note</v>
      </c>
      <c r="B929" s="43" t="str">
        <f>CONCATENATE("Detail: ",'Level 1'!N929,"  ",'Level 1'!O929,TEXT('Level 1'!P929,"  mm-dd-yyyy"),";"," ",'Level 1'!Q929,'Level 1'!R929,"  ",'Level 1'!T929," ","Payment "," ",'Level 1'!U929,"  ",'Level 1'!V929,"  ",'Level 1'!W929,"  ",'Level 1'!X929,"  ",'Level 1'!Z929, "  ",'Level 1'!AA929, " ","Insurance: ",'Level 1'!A929)</f>
        <v>Detail: Note  Q1  01-00-1900; Q2   Payment  Q4    Q5    Additional Notes:   Insurance: No Insurance</v>
      </c>
      <c r="C929" s="60" t="str">
        <f>'Level 1'!Y929</f>
        <v>Action</v>
      </c>
      <c r="D929" s="44" t="str">
        <f>VLOOKUP(C929,Table2[#All],3,FALSE)</f>
        <v>What we need from you/Reason</v>
      </c>
      <c r="E929" s="75" t="s">
        <v>199</v>
      </c>
      <c r="F929" s="96"/>
      <c r="G929" s="97"/>
    </row>
    <row r="930" spans="1:7" ht="42" x14ac:dyDescent="0.25">
      <c r="A930" s="43" t="str">
        <f>CONCATENATE("Pt Id:",'Level 1'!E930," ","Pt Name: ",'Level 1'!F930," ","DOS: ", TEXT('Level 1'!H930,"mm-dd-yyyy"),"  "," Amnt: ","$",'Level 1'!J930,"  ", 'Level 1'!N930)</f>
        <v>Pt Id:7939 Pt Name: VALAZQUEZ, VIRGINIA DOS: 09-14-2021   Amnt: $210  Note</v>
      </c>
      <c r="B930" s="43" t="str">
        <f>CONCATENATE("Detail: ",'Level 1'!N930,"  ",'Level 1'!O930,TEXT('Level 1'!P930,"  mm-dd-yyyy"),";"," ",'Level 1'!Q930,'Level 1'!R930,"  ",'Level 1'!T930," ","Payment "," ",'Level 1'!U930,"  ",'Level 1'!V930,"  ",'Level 1'!W930,"  ",'Level 1'!X930,"  ",'Level 1'!Z930, "  ",'Level 1'!AA930, " ","Insurance: ",'Level 1'!A930)</f>
        <v>Detail: Note  Q1  01-00-1900; Q2   Payment  Q4    Q5    Additional Notes:   Insurance: No Insurance</v>
      </c>
      <c r="C930" s="60" t="str">
        <f>'Level 1'!Y930</f>
        <v>Action</v>
      </c>
      <c r="D930" s="44" t="str">
        <f>VLOOKUP(C930,Table2[#All],3,FALSE)</f>
        <v>What we need from you/Reason</v>
      </c>
      <c r="E930" s="75" t="s">
        <v>199</v>
      </c>
      <c r="F930" s="96"/>
      <c r="G930" s="97"/>
    </row>
    <row r="931" spans="1:7" ht="21" x14ac:dyDescent="0.25">
      <c r="A931" s="43" t="str">
        <f>CONCATENATE("Pt Id:",'Level 1'!E931," ","Pt Name: ",'Level 1'!F931," ","DOS: ", TEXT('Level 1'!H931,"mm-dd-yyyy"),"  "," Amnt: ","$",'Level 1'!J931,"  ", 'Level 1'!N931)</f>
        <v>Pt Id:7776 Pt Name: Petsin, Ashley DOS: 08-18-2021   Amnt: $72  Note</v>
      </c>
      <c r="B931" s="43" t="str">
        <f>CONCATENATE("Detail: ",'Level 1'!N931,"  ",'Level 1'!O931,TEXT('Level 1'!P931,"  mm-dd-yyyy"),";"," ",'Level 1'!Q931,'Level 1'!R931,"  ",'Level 1'!T931," ","Payment "," ",'Level 1'!U931,"  ",'Level 1'!V931,"  ",'Level 1'!W931,"  ",'Level 1'!X931,"  ",'Level 1'!Z931, "  ",'Level 1'!AA931, " ","Insurance: ",'Level 1'!A931)</f>
        <v>Detail: Note  Q1  01-00-1900; Q2   Payment  Q4    Q5    Additional Notes:   Insurance: No Insurance</v>
      </c>
      <c r="C931" s="60" t="str">
        <f>'Level 1'!Y931</f>
        <v>Action</v>
      </c>
      <c r="D931" s="44" t="str">
        <f>VLOOKUP(C931,Table2[#All],3,FALSE)</f>
        <v>What we need from you/Reason</v>
      </c>
      <c r="E931" s="75" t="s">
        <v>199</v>
      </c>
      <c r="F931" s="96"/>
      <c r="G931" s="97"/>
    </row>
    <row r="932" spans="1:7" ht="21" x14ac:dyDescent="0.25">
      <c r="A932" s="43" t="str">
        <f>CONCATENATE("Pt Id:",'Level 1'!E932," ","Pt Name: ",'Level 1'!F932," ","DOS: ", TEXT('Level 1'!H932,"mm-dd-yyyy"),"  "," Amnt: ","$",'Level 1'!J932,"  ", 'Level 1'!N932)</f>
        <v>Pt Id:7672 Pt Name: Brock , William DOS: 08-12-2021   Amnt: $552  Note</v>
      </c>
      <c r="B932" s="43" t="str">
        <f>CONCATENATE("Detail: ",'Level 1'!N932,"  ",'Level 1'!O932,TEXT('Level 1'!P932,"  mm-dd-yyyy"),";"," ",'Level 1'!Q932,'Level 1'!R932,"  ",'Level 1'!T932," ","Payment "," ",'Level 1'!U932,"  ",'Level 1'!V932,"  ",'Level 1'!W932,"  ",'Level 1'!X932,"  ",'Level 1'!Z932, "  ",'Level 1'!AA932, " ","Insurance: ",'Level 1'!A932)</f>
        <v>Detail: Note  Q1  01-00-1900; Q2   Payment  Q4    Q5    Additional Notes:   Insurance: No Insurance</v>
      </c>
      <c r="C932" s="60" t="str">
        <f>'Level 1'!Y932</f>
        <v>Action</v>
      </c>
      <c r="D932" s="44" t="str">
        <f>VLOOKUP(C932,Table2[#All],3,FALSE)</f>
        <v>What we need from you/Reason</v>
      </c>
      <c r="E932" s="75" t="s">
        <v>199</v>
      </c>
      <c r="F932" s="96"/>
      <c r="G932" s="97"/>
    </row>
    <row r="933" spans="1:7" ht="42" x14ac:dyDescent="0.25">
      <c r="A933" s="43" t="str">
        <f>CONCATENATE("Pt Id:",'Level 1'!E933," ","Pt Name: ",'Level 1'!F933," ","DOS: ", TEXT('Level 1'!H933,"mm-dd-yyyy"),"  "," Amnt: ","$",'Level 1'!J933,"  ", 'Level 1'!N933)</f>
        <v>Pt Id:7678 Pt Name: Singh Khashre, Manjeet  DOS: 08-04-2021   Amnt: $199.2  Note</v>
      </c>
      <c r="B933" s="43" t="str">
        <f>CONCATENATE("Detail: ",'Level 1'!N933,"  ",'Level 1'!O933,TEXT('Level 1'!P933,"  mm-dd-yyyy"),";"," ",'Level 1'!Q933,'Level 1'!R933,"  ",'Level 1'!T933," ","Payment "," ",'Level 1'!U933,"  ",'Level 1'!V933,"  ",'Level 1'!W933,"  ",'Level 1'!X933,"  ",'Level 1'!Z933, "  ",'Level 1'!AA933, " ","Insurance: ",'Level 1'!A933)</f>
        <v>Detail: Note  Q1  01-00-1900; Q2   Payment  Q4    Q5    Additional Notes:   Insurance: No Insurance</v>
      </c>
      <c r="C933" s="60" t="str">
        <f>'Level 1'!Y933</f>
        <v>Action</v>
      </c>
      <c r="D933" s="44" t="str">
        <f>VLOOKUP(C933,Table2[#All],3,FALSE)</f>
        <v>What we need from you/Reason</v>
      </c>
      <c r="E933" s="75" t="s">
        <v>199</v>
      </c>
      <c r="F933" s="96"/>
      <c r="G933" s="97"/>
    </row>
    <row r="934" spans="1:7" ht="21" x14ac:dyDescent="0.25">
      <c r="A934" s="43" t="str">
        <f>CONCATENATE("Pt Id:",'Level 1'!E934," ","Pt Name: ",'Level 1'!F934," ","DOS: ", TEXT('Level 1'!H934,"mm-dd-yyyy"),"  "," Amnt: ","$",'Level 1'!J934,"  ", 'Level 1'!N934)</f>
        <v>Pt Id:3721 Pt Name: Story, Mary DOS: 07-30-2021   Amnt: $199.2  Note</v>
      </c>
      <c r="B934" s="43" t="str">
        <f>CONCATENATE("Detail: ",'Level 1'!N934,"  ",'Level 1'!O934,TEXT('Level 1'!P934,"  mm-dd-yyyy"),";"," ",'Level 1'!Q934,'Level 1'!R934,"  ",'Level 1'!T934," ","Payment "," ",'Level 1'!U934,"  ",'Level 1'!V934,"  ",'Level 1'!W934,"  ",'Level 1'!X934,"  ",'Level 1'!Z934, "  ",'Level 1'!AA934, " ","Insurance: ",'Level 1'!A934)</f>
        <v>Detail: Note  Q1  01-00-1900; Q2   Payment  Q4    Q5    Additional Notes:   Insurance: No Insurance</v>
      </c>
      <c r="C934" s="60" t="str">
        <f>'Level 1'!Y934</f>
        <v>Action</v>
      </c>
      <c r="D934" s="44" t="str">
        <f>VLOOKUP(C934,Table2[#All],3,FALSE)</f>
        <v>What we need from you/Reason</v>
      </c>
      <c r="E934" s="75" t="s">
        <v>199</v>
      </c>
      <c r="F934" s="96"/>
      <c r="G934" s="97"/>
    </row>
    <row r="935" spans="1:7" ht="21" x14ac:dyDescent="0.25">
      <c r="A935" s="43" t="str">
        <f>CONCATENATE("Pt Id:",'Level 1'!E935," ","Pt Name: ",'Level 1'!F935," ","DOS: ", TEXT('Level 1'!H935,"mm-dd-yyyy"),"  "," Amnt: ","$",'Level 1'!J935,"  ", 'Level 1'!N935)</f>
        <v>Pt Id:6943 Pt Name: Hasting, Donald  DOS: 05-18-2021   Amnt: $250.8  Note</v>
      </c>
      <c r="B935" s="43" t="str">
        <f>CONCATENATE("Detail: ",'Level 1'!N935,"  ",'Level 1'!O935,TEXT('Level 1'!P935,"  mm-dd-yyyy"),";"," ",'Level 1'!Q935,'Level 1'!R935,"  ",'Level 1'!T935," ","Payment "," ",'Level 1'!U935,"  ",'Level 1'!V935,"  ",'Level 1'!W935,"  ",'Level 1'!X935,"  ",'Level 1'!Z935, "  ",'Level 1'!AA935, " ","Insurance: ",'Level 1'!A935)</f>
        <v>Detail: Note  Q1  01-00-1900; Q2   Payment  Q4    Q5    Additional Notes:   Insurance: No Insurance</v>
      </c>
      <c r="C935" s="60" t="str">
        <f>'Level 1'!Y935</f>
        <v>Action</v>
      </c>
      <c r="D935" s="44" t="str">
        <f>VLOOKUP(C935,Table2[#All],3,FALSE)</f>
        <v>What we need from you/Reason</v>
      </c>
      <c r="E935" s="75" t="s">
        <v>199</v>
      </c>
      <c r="F935" s="96"/>
      <c r="G935" s="97"/>
    </row>
    <row r="936" spans="1:7" ht="21" x14ac:dyDescent="0.25">
      <c r="A936" s="43" t="str">
        <f>CONCATENATE("Pt Id:",'Level 1'!E936," ","Pt Name: ",'Level 1'!F936," ","DOS: ", TEXT('Level 1'!H936,"mm-dd-yyyy"),"  "," Amnt: ","$",'Level 1'!J936,"  ", 'Level 1'!N936)</f>
        <v>Pt Id:6884 Pt Name: Saldivar , Silvia  DOS: 05-17-2021   Amnt: $480  Note</v>
      </c>
      <c r="B936" s="43" t="str">
        <f>CONCATENATE("Detail: ",'Level 1'!N936,"  ",'Level 1'!O936,TEXT('Level 1'!P936,"  mm-dd-yyyy"),";"," ",'Level 1'!Q936,'Level 1'!R936,"  ",'Level 1'!T936," ","Payment "," ",'Level 1'!U936,"  ",'Level 1'!V936,"  ",'Level 1'!W936,"  ",'Level 1'!X936,"  ",'Level 1'!Z936, "  ",'Level 1'!AA936, " ","Insurance: ",'Level 1'!A936)</f>
        <v>Detail: Note  Q1  01-00-1900; Q2   Payment  Q4    Q5    Additional Notes:   Insurance: No Insurance</v>
      </c>
      <c r="C936" s="60" t="str">
        <f>'Level 1'!Y936</f>
        <v>Action</v>
      </c>
      <c r="D936" s="44" t="str">
        <f>VLOOKUP(C936,Table2[#All],3,FALSE)</f>
        <v>What we need from you/Reason</v>
      </c>
      <c r="E936" s="75" t="s">
        <v>199</v>
      </c>
      <c r="F936" s="96"/>
      <c r="G936" s="97"/>
    </row>
    <row r="937" spans="1:7" ht="21" x14ac:dyDescent="0.25">
      <c r="A937" s="43" t="str">
        <f>CONCATENATE("Pt Id:",'Level 1'!E937," ","Pt Name: ",'Level 1'!F937," ","DOS: ", TEXT('Level 1'!H937,"mm-dd-yyyy"),"  "," Amnt: ","$",'Level 1'!J937,"  ", 'Level 1'!N937)</f>
        <v>Pt Id:7070 Pt Name: Kaur, Kuldip DOS: 05-11-2021   Amnt: $425.6  Note</v>
      </c>
      <c r="B937" s="43" t="str">
        <f>CONCATENATE("Detail: ",'Level 1'!N937,"  ",'Level 1'!O937,TEXT('Level 1'!P937,"  mm-dd-yyyy"),";"," ",'Level 1'!Q937,'Level 1'!R937,"  ",'Level 1'!T937," ","Payment "," ",'Level 1'!U937,"  ",'Level 1'!V937,"  ",'Level 1'!W937,"  ",'Level 1'!X937,"  ",'Level 1'!Z937, "  ",'Level 1'!AA937, " ","Insurance: ",'Level 1'!A937)</f>
        <v>Detail: Note  Q1  01-00-1900; Q2   Payment  Q4    Q5    Additional Notes:   Insurance: No Insurance</v>
      </c>
      <c r="C937" s="60" t="str">
        <f>'Level 1'!Y937</f>
        <v>Action</v>
      </c>
      <c r="D937" s="44" t="str">
        <f>VLOOKUP(C937,Table2[#All],3,FALSE)</f>
        <v>What we need from you/Reason</v>
      </c>
      <c r="E937" s="75" t="s">
        <v>199</v>
      </c>
      <c r="F937" s="96"/>
      <c r="G937" s="97"/>
    </row>
    <row r="938" spans="1:7" ht="21" x14ac:dyDescent="0.25">
      <c r="A938" s="43" t="str">
        <f>CONCATENATE("Pt Id:",'Level 1'!E938," ","Pt Name: ",'Level 1'!F938," ","DOS: ", TEXT('Level 1'!H938,"mm-dd-yyyy"),"  "," Amnt: ","$",'Level 1'!J938,"  ", 'Level 1'!N938)</f>
        <v>Pt Id:7071 Pt Name: Singh, Satnam DOS: 05-11-2021   Amnt: $186  Note</v>
      </c>
      <c r="B938" s="43" t="str">
        <f>CONCATENATE("Detail: ",'Level 1'!N938,"  ",'Level 1'!O938,TEXT('Level 1'!P938,"  mm-dd-yyyy"),";"," ",'Level 1'!Q938,'Level 1'!R938,"  ",'Level 1'!T938," ","Payment "," ",'Level 1'!U938,"  ",'Level 1'!V938,"  ",'Level 1'!W938,"  ",'Level 1'!X938,"  ",'Level 1'!Z938, "  ",'Level 1'!AA938, " ","Insurance: ",'Level 1'!A938)</f>
        <v>Detail: Note  Q1  01-00-1900; Q2   Payment  Q4    Q5    Additional Notes:   Insurance: No Insurance</v>
      </c>
      <c r="C938" s="60" t="str">
        <f>'Level 1'!Y938</f>
        <v>Action</v>
      </c>
      <c r="D938" s="44" t="str">
        <f>VLOOKUP(C938,Table2[#All],3,FALSE)</f>
        <v>What we need from you/Reason</v>
      </c>
      <c r="E938" s="75" t="s">
        <v>199</v>
      </c>
      <c r="F938" s="96"/>
      <c r="G938" s="97"/>
    </row>
    <row r="939" spans="1:7" ht="42" x14ac:dyDescent="0.25">
      <c r="A939" s="43" t="str">
        <f>CONCATENATE("Pt Id:",'Level 1'!E939," ","Pt Name: ",'Level 1'!F939," ","DOS: ", TEXT('Level 1'!H939,"mm-dd-yyyy"),"  "," Amnt: ","$",'Level 1'!J939,"  ", 'Level 1'!N939)</f>
        <v>Pt Id:6629 Pt Name: Pacheco  Lopez, Guillermo DOS: 05-11-2021   Amnt: $61.2  Note</v>
      </c>
      <c r="B939" s="43" t="str">
        <f>CONCATENATE("Detail: ",'Level 1'!N939,"  ",'Level 1'!O939,TEXT('Level 1'!P939,"  mm-dd-yyyy"),";"," ",'Level 1'!Q939,'Level 1'!R939,"  ",'Level 1'!T939," ","Payment "," ",'Level 1'!U939,"  ",'Level 1'!V939,"  ",'Level 1'!W939,"  ",'Level 1'!X939,"  ",'Level 1'!Z939, "  ",'Level 1'!AA939, " ","Insurance: ",'Level 1'!A939)</f>
        <v>Detail: Note  Q1  01-00-1900; Q2   Payment  Q4    Q5    Additional Notes:   Insurance: No Insurance</v>
      </c>
      <c r="C939" s="60" t="str">
        <f>'Level 1'!Y939</f>
        <v>Action</v>
      </c>
      <c r="D939" s="44" t="str">
        <f>VLOOKUP(C939,Table2[#All],3,FALSE)</f>
        <v>What we need from you/Reason</v>
      </c>
      <c r="E939" s="75" t="s">
        <v>199</v>
      </c>
      <c r="F939" s="96"/>
      <c r="G939" s="97"/>
    </row>
    <row r="940" spans="1:7" ht="21" x14ac:dyDescent="0.25">
      <c r="A940" s="43" t="str">
        <f>CONCATENATE("Pt Id:",'Level 1'!E940," ","Pt Name: ",'Level 1'!F940," ","DOS: ", TEXT('Level 1'!H940,"mm-dd-yyyy"),"  "," Amnt: ","$",'Level 1'!J940,"  ", 'Level 1'!N940)</f>
        <v>Pt Id:7020 Pt Name: Garcia , Martin DOS: 05-03-2021   Amnt: $414  Note</v>
      </c>
      <c r="B940" s="43" t="str">
        <f>CONCATENATE("Detail: ",'Level 1'!N940,"  ",'Level 1'!O940,TEXT('Level 1'!P940,"  mm-dd-yyyy"),";"," ",'Level 1'!Q940,'Level 1'!R940,"  ",'Level 1'!T940," ","Payment "," ",'Level 1'!U940,"  ",'Level 1'!V940,"  ",'Level 1'!W940,"  ",'Level 1'!X940,"  ",'Level 1'!Z940, "  ",'Level 1'!AA940, " ","Insurance: ",'Level 1'!A940)</f>
        <v>Detail: Note  Q1  01-00-1900; Q2   Payment  Q4    Q5    Additional Notes:   Insurance: No Insurance</v>
      </c>
      <c r="C940" s="60" t="str">
        <f>'Level 1'!Y940</f>
        <v>Action</v>
      </c>
      <c r="D940" s="44" t="str">
        <f>VLOOKUP(C940,Table2[#All],3,FALSE)</f>
        <v>What we need from you/Reason</v>
      </c>
      <c r="E940" s="75" t="s">
        <v>199</v>
      </c>
      <c r="F940" s="96"/>
      <c r="G940" s="97"/>
    </row>
    <row r="941" spans="1:7" ht="21" x14ac:dyDescent="0.25">
      <c r="A941" s="43" t="str">
        <f>CONCATENATE("Pt Id:",'Level 1'!E941," ","Pt Name: ",'Level 1'!F941," ","DOS: ", TEXT('Level 1'!H941,"mm-dd-yyyy"),"  "," Amnt: ","$",'Level 1'!J941,"  ", 'Level 1'!N941)</f>
        <v>Pt Id:6943 Pt Name: Hasting, Donald  DOS: 05-03-2021   Amnt: $138  Note</v>
      </c>
      <c r="B941" s="43" t="str">
        <f>CONCATENATE("Detail: ",'Level 1'!N941,"  ",'Level 1'!O941,TEXT('Level 1'!P941,"  mm-dd-yyyy"),";"," ",'Level 1'!Q941,'Level 1'!R941,"  ",'Level 1'!T941," ","Payment "," ",'Level 1'!U941,"  ",'Level 1'!V941,"  ",'Level 1'!W941,"  ",'Level 1'!X941,"  ",'Level 1'!Z941, "  ",'Level 1'!AA941, " ","Insurance: ",'Level 1'!A941)</f>
        <v>Detail: Note  Q1  01-00-1900; Q2   Payment  Q4    Q5    Additional Notes:   Insurance: No Insurance</v>
      </c>
      <c r="C941" s="60" t="str">
        <f>'Level 1'!Y941</f>
        <v>Action</v>
      </c>
      <c r="D941" s="44" t="str">
        <f>VLOOKUP(C941,Table2[#All],3,FALSE)</f>
        <v>What we need from you/Reason</v>
      </c>
      <c r="E941" s="75" t="s">
        <v>199</v>
      </c>
      <c r="F941" s="96"/>
      <c r="G941" s="97"/>
    </row>
    <row r="942" spans="1:7" ht="21" x14ac:dyDescent="0.25">
      <c r="A942" s="43" t="str">
        <f>CONCATENATE("Pt Id:",'Level 1'!E942," ","Pt Name: ",'Level 1'!F942," ","DOS: ", TEXT('Level 1'!H942,"mm-dd-yyyy"),"  "," Amnt: ","$",'Level 1'!J942,"  ", 'Level 1'!N942)</f>
        <v>Pt Id:6937 Pt Name: Cox , Sherry DOS: 04-27-2021   Amnt: $199.2  Note</v>
      </c>
      <c r="B942" s="43" t="str">
        <f>CONCATENATE("Detail: ",'Level 1'!N942,"  ",'Level 1'!O942,TEXT('Level 1'!P942,"  mm-dd-yyyy"),";"," ",'Level 1'!Q942,'Level 1'!R942,"  ",'Level 1'!T942," ","Payment "," ",'Level 1'!U942,"  ",'Level 1'!V942,"  ",'Level 1'!W942,"  ",'Level 1'!X942,"  ",'Level 1'!Z942, "  ",'Level 1'!AA942, " ","Insurance: ",'Level 1'!A942)</f>
        <v>Detail: Note  Q1  01-00-1900; Q2   Payment  Q4    Q5    Additional Notes:   Insurance: No Insurance</v>
      </c>
      <c r="C942" s="60" t="str">
        <f>'Level 1'!Y942</f>
        <v>Action</v>
      </c>
      <c r="D942" s="44" t="str">
        <f>VLOOKUP(C942,Table2[#All],3,FALSE)</f>
        <v>What we need from you/Reason</v>
      </c>
      <c r="E942" s="75" t="s">
        <v>199</v>
      </c>
      <c r="F942" s="96"/>
      <c r="G942" s="97"/>
    </row>
    <row r="943" spans="1:7" ht="21" x14ac:dyDescent="0.25">
      <c r="A943" s="43" t="str">
        <f>CONCATENATE("Pt Id:",'Level 1'!E943," ","Pt Name: ",'Level 1'!F943," ","DOS: ", TEXT('Level 1'!H943,"mm-dd-yyyy"),"  "," Amnt: ","$",'Level 1'!J943,"  ", 'Level 1'!N943)</f>
        <v>Pt Id:6947 Pt Name: Oliver , Kelly  DOS: 04-27-2021   Amnt: $261.6  Note</v>
      </c>
      <c r="B943" s="43" t="str">
        <f>CONCATENATE("Detail: ",'Level 1'!N943,"  ",'Level 1'!O943,TEXT('Level 1'!P943,"  mm-dd-yyyy"),";"," ",'Level 1'!Q943,'Level 1'!R943,"  ",'Level 1'!T943," ","Payment "," ",'Level 1'!U943,"  ",'Level 1'!V943,"  ",'Level 1'!W943,"  ",'Level 1'!X943,"  ",'Level 1'!Z943, "  ",'Level 1'!AA943, " ","Insurance: ",'Level 1'!A943)</f>
        <v>Detail: Note  Q1  01-00-1900; Q2   Payment  Q4    Q5    Additional Notes:   Insurance: No Insurance</v>
      </c>
      <c r="C943" s="60" t="str">
        <f>'Level 1'!Y943</f>
        <v>Action</v>
      </c>
      <c r="D943" s="44" t="str">
        <f>VLOOKUP(C943,Table2[#All],3,FALSE)</f>
        <v>What we need from you/Reason</v>
      </c>
      <c r="E943" s="75" t="s">
        <v>199</v>
      </c>
      <c r="F943" s="96"/>
      <c r="G943" s="97"/>
    </row>
    <row r="944" spans="1:7" ht="21" x14ac:dyDescent="0.25">
      <c r="A944" s="43" t="str">
        <f>CONCATENATE("Pt Id:",'Level 1'!E944," ","Pt Name: ",'Level 1'!F944," ","DOS: ", TEXT('Level 1'!H944,"mm-dd-yyyy"),"  "," Amnt: ","$",'Level 1'!J944,"  ", 'Level 1'!N944)</f>
        <v>Pt Id:6943 Pt Name: Hasting, Donald  DOS: 04-24-2021   Amnt: $88.8  Note</v>
      </c>
      <c r="B944" s="43" t="str">
        <f>CONCATENATE("Detail: ",'Level 1'!N944,"  ",'Level 1'!O944,TEXT('Level 1'!P944,"  mm-dd-yyyy"),";"," ",'Level 1'!Q944,'Level 1'!R944,"  ",'Level 1'!T944," ","Payment "," ",'Level 1'!U944,"  ",'Level 1'!V944,"  ",'Level 1'!W944,"  ",'Level 1'!X944,"  ",'Level 1'!Z944, "  ",'Level 1'!AA944, " ","Insurance: ",'Level 1'!A944)</f>
        <v>Detail: Note  Q1  01-00-1900; Q2   Payment  Q4    Q5    Additional Notes:   Insurance: No Insurance</v>
      </c>
      <c r="C944" s="60" t="str">
        <f>'Level 1'!Y944</f>
        <v>Action</v>
      </c>
      <c r="D944" s="44" t="str">
        <f>VLOOKUP(C944,Table2[#All],3,FALSE)</f>
        <v>What we need from you/Reason</v>
      </c>
      <c r="E944" s="75" t="s">
        <v>199</v>
      </c>
      <c r="F944" s="96"/>
      <c r="G944" s="97"/>
    </row>
    <row r="945" spans="1:7" ht="21" x14ac:dyDescent="0.25">
      <c r="A945" s="43" t="str">
        <f>CONCATENATE("Pt Id:",'Level 1'!E945," ","Pt Name: ",'Level 1'!F945," ","DOS: ", TEXT('Level 1'!H945,"mm-dd-yyyy"),"  "," Amnt: ","$",'Level 1'!J945,"  ", 'Level 1'!N945)</f>
        <v>Pt Id:6884 Pt Name: Saldivar , Silvia  DOS: 04-19-2021   Amnt: $552  Note</v>
      </c>
      <c r="B945" s="43" t="str">
        <f>CONCATENATE("Detail: ",'Level 1'!N945,"  ",'Level 1'!O945,TEXT('Level 1'!P945,"  mm-dd-yyyy"),";"," ",'Level 1'!Q945,'Level 1'!R945,"  ",'Level 1'!T945," ","Payment "," ",'Level 1'!U945,"  ",'Level 1'!V945,"  ",'Level 1'!W945,"  ",'Level 1'!X945,"  ",'Level 1'!Z945, "  ",'Level 1'!AA945, " ","Insurance: ",'Level 1'!A945)</f>
        <v>Detail: Note  Q1  01-00-1900; Q2   Payment  Q4    Q5    Additional Notes:   Insurance: No Insurance</v>
      </c>
      <c r="C945" s="60" t="str">
        <f>'Level 1'!Y945</f>
        <v>Action</v>
      </c>
      <c r="D945" s="44" t="str">
        <f>VLOOKUP(C945,Table2[#All],3,FALSE)</f>
        <v>What we need from you/Reason</v>
      </c>
      <c r="E945" s="75" t="s">
        <v>199</v>
      </c>
      <c r="F945" s="96"/>
      <c r="G945" s="97"/>
    </row>
    <row r="946" spans="1:7" ht="21" x14ac:dyDescent="0.25">
      <c r="A946" s="43" t="str">
        <f>CONCATENATE("Pt Id:",'Level 1'!E946," ","Pt Name: ",'Level 1'!F946," ","DOS: ", TEXT('Level 1'!H946,"mm-dd-yyyy"),"  "," Amnt: ","$",'Level 1'!J946,"  ", 'Level 1'!N946)</f>
        <v>Pt Id:6806 Pt Name: Jaitly, Kiran DOS: 04-07-2021   Amnt: $72  Note</v>
      </c>
      <c r="B946" s="43" t="str">
        <f>CONCATENATE("Detail: ",'Level 1'!N946,"  ",'Level 1'!O946,TEXT('Level 1'!P946,"  mm-dd-yyyy"),";"," ",'Level 1'!Q946,'Level 1'!R946,"  ",'Level 1'!T946," ","Payment "," ",'Level 1'!U946,"  ",'Level 1'!V946,"  ",'Level 1'!W946,"  ",'Level 1'!X946,"  ",'Level 1'!Z946, "  ",'Level 1'!AA946, " ","Insurance: ",'Level 1'!A946)</f>
        <v>Detail: Note  Q1  01-00-1900; Q2   Payment  Q4    Q5    Additional Notes:   Insurance: No Insurance</v>
      </c>
      <c r="C946" s="60" t="str">
        <f>'Level 1'!Y946</f>
        <v>Action</v>
      </c>
      <c r="D946" s="44" t="str">
        <f>VLOOKUP(C946,Table2[#All],3,FALSE)</f>
        <v>What we need from you/Reason</v>
      </c>
      <c r="E946" s="75" t="s">
        <v>199</v>
      </c>
      <c r="F946" s="96"/>
      <c r="G946" s="97"/>
    </row>
    <row r="947" spans="1:7" ht="21" x14ac:dyDescent="0.25">
      <c r="A947" s="43" t="str">
        <f>CONCATENATE("Pt Id:",'Level 1'!E947," ","Pt Name: ",'Level 1'!F947," ","DOS: ", TEXT('Level 1'!H947,"mm-dd-yyyy"),"  "," Amnt: ","$",'Level 1'!J947,"  ", 'Level 1'!N947)</f>
        <v>Pt Id:6748 Pt Name: Kaur , Rajwinder DOS: 03-31-2021   Amnt: $61.2  Note</v>
      </c>
      <c r="B947" s="43" t="str">
        <f>CONCATENATE("Detail: ",'Level 1'!N947,"  ",'Level 1'!O947,TEXT('Level 1'!P947,"  mm-dd-yyyy"),";"," ",'Level 1'!Q947,'Level 1'!R947,"  ",'Level 1'!T947," ","Payment "," ",'Level 1'!U947,"  ",'Level 1'!V947,"  ",'Level 1'!W947,"  ",'Level 1'!X947,"  ",'Level 1'!Z947, "  ",'Level 1'!AA947, " ","Insurance: ",'Level 1'!A947)</f>
        <v>Detail: Note  Q1  01-00-1900; Q2   Payment  Q4    Q5    Additional Notes:   Insurance: No Insurance</v>
      </c>
      <c r="C947" s="60" t="str">
        <f>'Level 1'!Y947</f>
        <v>Action</v>
      </c>
      <c r="D947" s="44" t="str">
        <f>VLOOKUP(C947,Table2[#All],3,FALSE)</f>
        <v>What we need from you/Reason</v>
      </c>
      <c r="E947" s="75" t="s">
        <v>199</v>
      </c>
      <c r="F947" s="96"/>
      <c r="G947" s="97"/>
    </row>
    <row r="948" spans="1:7" ht="42" x14ac:dyDescent="0.25">
      <c r="A948" s="43" t="str">
        <f>CONCATENATE("Pt Id:",'Level 1'!E948," ","Pt Name: ",'Level 1'!F948," ","DOS: ", TEXT('Level 1'!H948,"mm-dd-yyyy"),"  "," Amnt: ","$",'Level 1'!J948,"  ", 'Level 1'!N948)</f>
        <v>Pt Id:9306 Pt Name: Mcdougalds, James DOS: 04-01-2022   Amnt: $430.4  Note</v>
      </c>
      <c r="B948" s="43" t="str">
        <f>CONCATENATE("Detail: ",'Level 1'!N948,"  ",'Level 1'!O948,TEXT('Level 1'!P948,"  mm-dd-yyyy"),";"," ",'Level 1'!Q948,'Level 1'!R948,"  ",'Level 1'!T948," ","Payment "," ",'Level 1'!U948,"  ",'Level 1'!V948,"  ",'Level 1'!W948,"  ",'Level 1'!X948,"  ",'Level 1'!Z948, "  ",'Level 1'!AA948, " ","Insurance: ",'Level 1'!A948)</f>
        <v>Detail: Note  Q1  01-00-1900; Q2   Payment  Q4    Q5    Additional Notes:   Insurance: Reliance Standard Insurance Co</v>
      </c>
      <c r="C948" s="60" t="str">
        <f>'Level 1'!Y948</f>
        <v>Action</v>
      </c>
      <c r="D948" s="44" t="str">
        <f>VLOOKUP(C948,Table2[#All],3,FALSE)</f>
        <v>What we need from you/Reason</v>
      </c>
      <c r="E948" s="75" t="s">
        <v>199</v>
      </c>
      <c r="F948" s="96"/>
      <c r="G948" s="97"/>
    </row>
    <row r="949" spans="1:7" ht="42" x14ac:dyDescent="0.25">
      <c r="A949" s="43" t="str">
        <f>CONCATENATE("Pt Id:",'Level 1'!E949," ","Pt Name: ",'Level 1'!F949," ","DOS: ", TEXT('Level 1'!H949,"mm-dd-yyyy"),"  "," Amnt: ","$",'Level 1'!J949,"  ", 'Level 1'!N949)</f>
        <v>Pt Id:5380 Pt Name: Rabideau, Wayne  DOS: 12-02-2021   Amnt: $1062  Note</v>
      </c>
      <c r="B949" s="43" t="str">
        <f>CONCATENATE("Detail: ",'Level 1'!N949,"  ",'Level 1'!O949,TEXT('Level 1'!P949,"  mm-dd-yyyy"),";"," ",'Level 1'!Q949,'Level 1'!R949,"  ",'Level 1'!T949," ","Payment "," ",'Level 1'!U949,"  ",'Level 1'!V949,"  ",'Level 1'!W949,"  ",'Level 1'!X949,"  ",'Level 1'!Z949, "  ",'Level 1'!AA949, " ","Insurance: ",'Level 1'!A949)</f>
        <v xml:space="preserve">Detail: Note  Q1  01-00-1900; Q2   Payment  Q4    Q5    Additional Notes:   Insurance: UHC PPO </v>
      </c>
      <c r="C949" s="60" t="str">
        <f>'Level 1'!Y949</f>
        <v>Action</v>
      </c>
      <c r="D949" s="44" t="str">
        <f>VLOOKUP(C949,Table2[#All],3,FALSE)</f>
        <v>What we need from you/Reason</v>
      </c>
      <c r="E949" s="75" t="s">
        <v>199</v>
      </c>
      <c r="F949" s="96"/>
      <c r="G949" s="97"/>
    </row>
    <row r="950" spans="1:7" ht="63" x14ac:dyDescent="0.25">
      <c r="A950" s="43" t="str">
        <f>CONCATENATE("Pt Id:",'Level 1'!E950," ","Pt Name: ",'Level 1'!F950," ","DOS: ", TEXT('Level 1'!H950,"mm-dd-yyyy"),"  "," Amnt: ","$",'Level 1'!J950,"  ", 'Level 1'!N950)</f>
        <v>Pt Id:879 Pt Name: Rangel, Anastacia DOS: 01-28-2022   Amnt: $138  Claim Paid by EFT;</v>
      </c>
      <c r="B950" s="43" t="str">
        <f>CONCATENATE("Detail: ",'Level 1'!N950,"  ",'Level 1'!O950,TEXT('Level 1'!P950,"  mm-dd-yyyy"),";"," ",'Level 1'!Q950,'Level 1'!R950,"  ",'Level 1'!T950," ","Payment "," ",'Level 1'!U950,"  ",'Level 1'!V950,"  ",'Level 1'!W950,"  ",'Level 1'!X950,"  ",'Level 1'!Z950, "  ",'Level 1'!AA950, " ","Insurance: ",'Level 1'!A950)</f>
        <v xml:space="preserve">Detail: Claim Paid by EFT;  Issue Date:  02-02-2022; EFT#216124322  SEPRATE Payment  Call Ref#:  D2823  Cust Rep:  A  Additional Notes:  Rep State that Claim Paid,Clm No: 220322219300,Paid Amt: $54,Patient Resp: $54 Insurance: UHC PPO </v>
      </c>
      <c r="C950" s="60" t="str">
        <f>'Level 1'!Y950</f>
        <v xml:space="preserve">Task Post Pmt Queue </v>
      </c>
      <c r="D950" s="44" t="str">
        <f>VLOOKUP(C950,Table2[#All],3,FALSE)</f>
        <v>N/A</v>
      </c>
      <c r="E950" s="75" t="s">
        <v>192</v>
      </c>
      <c r="F950" s="96" t="s">
        <v>3698</v>
      </c>
      <c r="G950" s="97"/>
    </row>
    <row r="951" spans="1:7" ht="63" x14ac:dyDescent="0.25">
      <c r="A951" s="43" t="str">
        <f>CONCATENATE("Pt Id:",'Level 1'!E951," ","Pt Name: ",'Level 1'!F951," ","DOS: ", TEXT('Level 1'!H951,"mm-dd-yyyy"),"  "," Amnt: ","$",'Level 1'!J951,"  ", 'Level 1'!N951)</f>
        <v>Pt Id:879 Pt Name: Rangel, Anastacia DOS: 01-25-2022   Amnt: $138  Claim not on file. Patient is active ;</v>
      </c>
      <c r="B951" s="43" t="str">
        <f>CONCATENATE("Detail: ",'Level 1'!N951,"  ",'Level 1'!O951,TEXT('Level 1'!P951,"  mm-dd-yyyy"),";"," ",'Level 1'!Q951,'Level 1'!R951,"  ",'Level 1'!T951," ","Payment "," ",'Level 1'!U951,"  ",'Level 1'!V951,"  ",'Level 1'!W951,"  ",'Level 1'!X951,"  ",'Level 1'!Z951, "  ",'Level 1'!AA951, " ","Insurance: ",'Level 1'!A951)</f>
        <v xml:space="preserve">Detail: Claim not on file. Patient is active ;  Payor ID &amp; Address:  09-24-2042; Fax # (If Fax Yes):2487336372  No Limit Payment  Call Ref#:  D3522  Cust Rep:  LIAA  Additional Notes:  Reps states that, Claim Status - Claim not on file. Patient Active. Insurance: UHC PPO </v>
      </c>
      <c r="C951" s="60" t="str">
        <f>'Level 1'!Y951</f>
        <v>Task Sub Pending Claims Queue</v>
      </c>
      <c r="D951" s="44" t="str">
        <f>VLOOKUP(C951,Table2[#All],3,FALSE)</f>
        <v>N/A</v>
      </c>
      <c r="E951" s="75" t="s">
        <v>192</v>
      </c>
      <c r="F951" s="96" t="s">
        <v>3698</v>
      </c>
      <c r="G951" s="97"/>
    </row>
    <row r="952" spans="1:7" ht="42" x14ac:dyDescent="0.25">
      <c r="A952" s="43" t="str">
        <f>CONCATENATE("Pt Id:",'Level 1'!E952," ","Pt Name: ",'Level 1'!F952," ","DOS: ", TEXT('Level 1'!H952,"mm-dd-yyyy"),"  "," Amnt: ","$",'Level 1'!J952,"  ", 'Level 1'!N952)</f>
        <v>Pt Id:879 Pt Name: Rangel, Anastacia DOS: 01-14-2022   Amnt: $138  Claim Paid by EFT;</v>
      </c>
      <c r="B952" s="43" t="str">
        <f>CONCATENATE("Detail: ",'Level 1'!N952,"  ",'Level 1'!O952,TEXT('Level 1'!P952,"  mm-dd-yyyy"),";"," ",'Level 1'!Q952,'Level 1'!R952,"  ",'Level 1'!T952," ","Payment "," ",'Level 1'!U952,"  ",'Level 1'!V952,"  ",'Level 1'!W952,"  ",'Level 1'!X952,"  ",'Level 1'!Z952, "  ",'Level 1'!AA952, " ","Insurance: ",'Level 1'!A952)</f>
        <v xml:space="preserve">Detail: Claim Paid by EFT;  Issue Date:  01-19-2022; EFT#216119061  BULK Payment  Call Ref#:  D8878  Cust Rep:  Rebecca  Additional Notes:  CLM # 220183704700; Pd Amt : $54; Pt Resp : $54; Bulk Amt $420 Insurance: UHC PPO </v>
      </c>
      <c r="C952" s="60" t="str">
        <f>'Level 1'!Y952</f>
        <v xml:space="preserve">Task Post Pmt Queue </v>
      </c>
      <c r="D952" s="44" t="str">
        <f>VLOOKUP(C952,Table2[#All],3,FALSE)</f>
        <v>N/A</v>
      </c>
      <c r="E952" s="75" t="s">
        <v>193</v>
      </c>
      <c r="F952" s="96" t="s">
        <v>3698</v>
      </c>
      <c r="G952" s="97"/>
    </row>
    <row r="953" spans="1:7" ht="63" x14ac:dyDescent="0.25">
      <c r="A953" s="43" t="str">
        <f>CONCATENATE("Pt Id:",'Level 1'!E953," ","Pt Name: ",'Level 1'!F953," ","DOS: ", TEXT('Level 1'!H953,"mm-dd-yyyy"),"  "," Amnt: ","$",'Level 1'!J953,"  ", 'Level 1'!N953)</f>
        <v>Pt Id:879 Pt Name: Rangel, Anastacia DOS: 12-31-2021   Amnt: $226.8  Claim Paid by EFT;</v>
      </c>
      <c r="B953" s="43" t="str">
        <f>CONCATENATE("Detail: ",'Level 1'!N953,"  ",'Level 1'!O953,TEXT('Level 1'!P953,"  mm-dd-yyyy"),";"," ",'Level 1'!Q953,'Level 1'!R953,"  ",'Level 1'!T953," ","Payment "," ",'Level 1'!U953,"  ",'Level 1'!V953,"  ",'Level 1'!W953,"  ",'Level 1'!X953,"  ",'Level 1'!Z953, "  ",'Level 1'!AA953, " ","Insurance: ",'Level 1'!A953)</f>
        <v xml:space="preserve">Detail: Claim Paid by EFT;  Issue Date:  01-11-2022; EFT#210804433  BULK Payment  Call Ref#:  D20531741236689  Cust Rep:  XAVIER  Additional Notes:  CLM # 220103067000; Pd Amt : $127; Pt Resp : $54; Bulk Amt : $437 Insurance: UHC PPO </v>
      </c>
      <c r="C953" s="60" t="str">
        <f>'Level 1'!Y953</f>
        <v xml:space="preserve">Task Post Pmt Queue </v>
      </c>
      <c r="D953" s="44" t="str">
        <f>VLOOKUP(C953,Table2[#All],3,FALSE)</f>
        <v>N/A</v>
      </c>
      <c r="E953" s="75" t="s">
        <v>193</v>
      </c>
      <c r="F953" s="96" t="s">
        <v>3698</v>
      </c>
      <c r="G953" s="97"/>
    </row>
    <row r="954" spans="1:7" ht="105" x14ac:dyDescent="0.25">
      <c r="A954" s="43" t="str">
        <f>CONCATENATE("Pt Id:",'Level 1'!E954," ","Pt Name: ",'Level 1'!F954," ","DOS: ", TEXT('Level 1'!H954,"mm-dd-yyyy"),"  "," Amnt: ","$",'Level 1'!J954,"  ", 'Level 1'!N954)</f>
        <v>Pt Id:5370 Pt Name: Reed , Janet  DOS: 04-16-2021   Amnt: $2124  Ins needs more info, need to submit;</v>
      </c>
      <c r="B954" s="43" t="str">
        <f>CONCATENATE("Detail: ",'Level 1'!N954,"  ",'Level 1'!O954,TEXT('Level 1'!P954,"  mm-dd-yyyy"),";"," ",'Level 1'!Q954,'Level 1'!R954,"  ",'Level 1'!T954," ","Payment "," ",'Level 1'!U954,"  ",'Level 1'!V954,"  ",'Level 1'!W954,"  ",'Level 1'!X954,"  ",'Level 1'!Z954, "  ",'Level 1'!AA954, " ","Insurance: ",'Level 1'!A954)</f>
        <v xml:space="preserve">Detail: Ins needs more info, need to submit;  Attachments/Info needed?Narrative &amp; Amount; Fax # (If Fax Yes):NA  Rebecca02/22/2022 Payment  Cust Rep:  REBECA  0    Additional Notes:  CLM # : 2111115624300 - D2740 for Tooth #29 &amp; 31 - Denied as incorrect procedure performed. D6245 - Denied as it is considered as Sec treatment and Prim treatment was not approved. Also, there is 0 submitted amount for this code. Hence, we need to resubmit the claim mentioning the amount and also the narrative for performing D2740. TFL : None. Insurance: UHC PPO </v>
      </c>
      <c r="C954" s="60" t="str">
        <f>'Level 1'!Y954</f>
        <v xml:space="preserve">Task Sub Pending Claims Queue </v>
      </c>
      <c r="D954" s="44" t="str">
        <f>VLOOKUP(C954,Table2[#All],3,FALSE)</f>
        <v>N/A</v>
      </c>
      <c r="E954" s="75" t="s">
        <v>193</v>
      </c>
      <c r="F954" s="96" t="s">
        <v>3698</v>
      </c>
      <c r="G954" s="97"/>
    </row>
    <row r="955" spans="1:7" ht="42" x14ac:dyDescent="0.25">
      <c r="A955" s="43" t="str">
        <f>CONCATENATE("Pt Id:",'Level 1'!E955," ","Pt Name: ",'Level 1'!F955," ","DOS: ", TEXT('Level 1'!H955,"mm-dd-yyyy"),"  "," Amnt: ","$",'Level 1'!J955,"  ", 'Level 1'!N955)</f>
        <v>Pt Id:9137 Pt Name: Payne , Daniel  DOS: 04-01-2022   Amnt: $480  Note</v>
      </c>
      <c r="B955" s="43" t="str">
        <f>CONCATENATE("Detail: ",'Level 1'!N955,"  ",'Level 1'!O955,TEXT('Level 1'!P955,"  mm-dd-yyyy"),";"," ",'Level 1'!Q955,'Level 1'!R955,"  ",'Level 1'!T955," ","Payment "," ",'Level 1'!U955,"  ",'Level 1'!V955,"  ",'Level 1'!W955,"  ",'Level 1'!X955,"  ",'Level 1'!Z955, "  ",'Level 1'!AA955, " ","Insurance: ",'Level 1'!A955)</f>
        <v>Detail: Note  Q1  01-00-1900; Q2   Payment  Q4    Q5    Additional Notes:   Insurance: UNITED HEALTH CARE DENTAL</v>
      </c>
      <c r="C955" s="60" t="str">
        <f>'Level 1'!Y955</f>
        <v>Action</v>
      </c>
      <c r="D955" s="44" t="str">
        <f>VLOOKUP(C955,Table2[#All],3,FALSE)</f>
        <v>What we need from you/Reason</v>
      </c>
      <c r="E955" s="75" t="s">
        <v>199</v>
      </c>
      <c r="F955" s="96"/>
      <c r="G955" s="97"/>
    </row>
    <row r="956" spans="1:7" ht="42" x14ac:dyDescent="0.25">
      <c r="A956" s="43" t="str">
        <f>CONCATENATE("Pt Id:",'Level 1'!E956," ","Pt Name: ",'Level 1'!F956," ","DOS: ", TEXT('Level 1'!H956,"mm-dd-yyyy"),"  "," Amnt: ","$",'Level 1'!J956,"  ", 'Level 1'!N956)</f>
        <v>Pt Id:9359 Pt Name: Modesti, Eugene DOS: 04-01-2022   Amnt: $258.8  Note</v>
      </c>
      <c r="B956" s="43" t="str">
        <f>CONCATENATE("Detail: ",'Level 1'!N956,"  ",'Level 1'!O956,TEXT('Level 1'!P956,"  mm-dd-yyyy"),";"," ",'Level 1'!Q956,'Level 1'!R956,"  ",'Level 1'!T956," ","Payment "," ",'Level 1'!U956,"  ",'Level 1'!V956,"  ",'Level 1'!W956,"  ",'Level 1'!X956,"  ",'Level 1'!Z956, "  ",'Level 1'!AA956, " ","Insurance: ",'Level 1'!A956)</f>
        <v>Detail: Note  Q1  01-00-1900; Q2   Payment  Q4    Q5    Additional Notes:   Insurance: UNITED HEALTH CARE DENTAL</v>
      </c>
      <c r="C956" s="60" t="str">
        <f>'Level 1'!Y956</f>
        <v>Action</v>
      </c>
      <c r="D956" s="44" t="str">
        <f>VLOOKUP(C956,Table2[#All],3,FALSE)</f>
        <v>What we need from you/Reason</v>
      </c>
      <c r="E956" s="75" t="s">
        <v>199</v>
      </c>
      <c r="F956" s="96"/>
      <c r="G956" s="97"/>
    </row>
    <row r="957" spans="1:7" ht="42" x14ac:dyDescent="0.25">
      <c r="A957" s="43" t="str">
        <f>CONCATENATE("Pt Id:",'Level 1'!E957," ","Pt Name: ",'Level 1'!F957," ","DOS: ", TEXT('Level 1'!H957,"mm-dd-yyyy"),"  "," Amnt: ","$",'Level 1'!J957,"  ", 'Level 1'!N957)</f>
        <v>Pt Id:5260 Pt Name: Smith, Amy DOS: 03-29-2022   Amnt: $230  Note</v>
      </c>
      <c r="B957" s="43" t="str">
        <f>CONCATENATE("Detail: ",'Level 1'!N957,"  ",'Level 1'!O957,TEXT('Level 1'!P957,"  mm-dd-yyyy"),";"," ",'Level 1'!Q957,'Level 1'!R957,"  ",'Level 1'!T957," ","Payment "," ",'Level 1'!U957,"  ",'Level 1'!V957,"  ",'Level 1'!W957,"  ",'Level 1'!X957,"  ",'Level 1'!Z957, "  ",'Level 1'!AA957, " ","Insurance: ",'Level 1'!A957)</f>
        <v>Detail: Note  Q1  01-00-1900; Q2   Payment  Q4    Q5    Additional Notes:   Insurance: UNITED HEALTH CARE DENTAL</v>
      </c>
      <c r="C957" s="60" t="str">
        <f>'Level 1'!Y957</f>
        <v>Action</v>
      </c>
      <c r="D957" s="44" t="str">
        <f>VLOOKUP(C957,Table2[#All],3,FALSE)</f>
        <v>What we need from you/Reason</v>
      </c>
      <c r="E957" s="75" t="s">
        <v>199</v>
      </c>
      <c r="F957" s="96"/>
      <c r="G957" s="97"/>
    </row>
    <row r="958" spans="1:7" ht="42" x14ac:dyDescent="0.25">
      <c r="A958" s="43" t="str">
        <f>CONCATENATE("Pt Id:",'Level 1'!E958," ","Pt Name: ",'Level 1'!F958," ","DOS: ", TEXT('Level 1'!H958,"mm-dd-yyyy"),"  "," Amnt: ","$",'Level 1'!J958,"  ", 'Level 1'!N958)</f>
        <v>Pt Id:9137 Pt Name: Payne , Daniel  DOS: 03-23-2022   Amnt: $272.4  Note</v>
      </c>
      <c r="B958" s="43" t="str">
        <f>CONCATENATE("Detail: ",'Level 1'!N958,"  ",'Level 1'!O958,TEXT('Level 1'!P958,"  mm-dd-yyyy"),";"," ",'Level 1'!Q958,'Level 1'!R958,"  ",'Level 1'!T958," ","Payment "," ",'Level 1'!U958,"  ",'Level 1'!V958,"  ",'Level 1'!W958,"  ",'Level 1'!X958,"  ",'Level 1'!Z958, "  ",'Level 1'!AA958, " ","Insurance: ",'Level 1'!A958)</f>
        <v>Detail: Note  Q1  01-00-1900; Q2   Payment  Q4    Q5    Additional Notes:   Insurance: UNITED HEALTH CARE DENTAL</v>
      </c>
      <c r="C958" s="60" t="str">
        <f>'Level 1'!Y958</f>
        <v>Action</v>
      </c>
      <c r="D958" s="44" t="str">
        <f>VLOOKUP(C958,Table2[#All],3,FALSE)</f>
        <v>What we need from you/Reason</v>
      </c>
      <c r="E958" s="75" t="s">
        <v>199</v>
      </c>
      <c r="F958" s="96"/>
      <c r="G958" s="97"/>
    </row>
    <row r="959" spans="1:7" ht="42" x14ac:dyDescent="0.25">
      <c r="A959" s="43" t="str">
        <f>CONCATENATE("Pt Id:",'Level 1'!E959," ","Pt Name: ",'Level 1'!F959," ","DOS: ", TEXT('Level 1'!H959,"mm-dd-yyyy"),"  "," Amnt: ","$",'Level 1'!J959,"  ", 'Level 1'!N959)</f>
        <v>Pt Id:9241 Pt Name: Shannon, Versie  DOS: 03-18-2022   Amnt: $258.8  Note</v>
      </c>
      <c r="B959" s="43" t="str">
        <f>CONCATENATE("Detail: ",'Level 1'!N959,"  ",'Level 1'!O959,TEXT('Level 1'!P959,"  mm-dd-yyyy"),";"," ",'Level 1'!Q959,'Level 1'!R959,"  ",'Level 1'!T959," ","Payment "," ",'Level 1'!U959,"  ",'Level 1'!V959,"  ",'Level 1'!W959,"  ",'Level 1'!X959,"  ",'Level 1'!Z959, "  ",'Level 1'!AA959, " ","Insurance: ",'Level 1'!A959)</f>
        <v>Detail: Note  Q1  01-00-1900; Q2   Payment  Q4    Q5    Additional Notes:   Insurance: UNITED HEALTH CARE DENTAL</v>
      </c>
      <c r="C959" s="60" t="str">
        <f>'Level 1'!Y959</f>
        <v>Action</v>
      </c>
      <c r="D959" s="44" t="str">
        <f>VLOOKUP(C959,Table2[#All],3,FALSE)</f>
        <v>What we need from you/Reason</v>
      </c>
      <c r="E959" s="75" t="s">
        <v>199</v>
      </c>
      <c r="F959" s="96"/>
      <c r="G959" s="97"/>
    </row>
    <row r="960" spans="1:7" ht="42" x14ac:dyDescent="0.25">
      <c r="A960" s="43" t="str">
        <f>CONCATENATE("Pt Id:",'Level 1'!E960," ","Pt Name: ",'Level 1'!F960," ","DOS: ", TEXT('Level 1'!H960,"mm-dd-yyyy"),"  "," Amnt: ","$",'Level 1'!J960,"  ", 'Level 1'!N960)</f>
        <v>Pt Id:6648 Pt Name: Jorgensen , Michael DOS: 05-10-2021   Amnt: $61.2  Note</v>
      </c>
      <c r="B960" s="43" t="str">
        <f>CONCATENATE("Detail: ",'Level 1'!N960,"  ",'Level 1'!O960,TEXT('Level 1'!P960,"  mm-dd-yyyy"),";"," ",'Level 1'!Q960,'Level 1'!R960,"  ",'Level 1'!T960," ","Payment "," ",'Level 1'!U960,"  ",'Level 1'!V960,"  ",'Level 1'!W960,"  ",'Level 1'!X960,"  ",'Level 1'!Z960, "  ",'Level 1'!AA960, " ","Insurance: ",'Level 1'!A960)</f>
        <v>Detail: Note  Q1  01-00-1900; Q2   Payment  Q4    Q5    Additional Notes:   Insurance: UNITED HEALTH CARE DENTAL</v>
      </c>
      <c r="C960" s="60" t="str">
        <f>'Level 1'!Y960</f>
        <v>Action</v>
      </c>
      <c r="D960" s="44" t="str">
        <f>VLOOKUP(C960,Table2[#All],3,FALSE)</f>
        <v>What we need from you/Reason</v>
      </c>
      <c r="E960" s="75" t="s">
        <v>199</v>
      </c>
      <c r="F960" s="96"/>
      <c r="G960" s="97"/>
    </row>
    <row r="961" spans="1:7" ht="42" x14ac:dyDescent="0.25">
      <c r="A961" s="43" t="str">
        <f>CONCATENATE("Pt Id:",'Level 1'!E961," ","Pt Name: ",'Level 1'!F961," ","DOS: ", TEXT('Level 1'!H961,"mm-dd-yyyy"),"  "," Amnt: ","$",'Level 1'!J961,"  ", 'Level 1'!N961)</f>
        <v>Pt Id:7621 Pt Name: Bostick, Dale DOS: 02-14-2022   Amnt: $186  Note</v>
      </c>
      <c r="B961" s="43" t="str">
        <f>CONCATENATE("Detail: ",'Level 1'!N961,"  ",'Level 1'!O961,TEXT('Level 1'!P961,"  mm-dd-yyyy"),";"," ",'Level 1'!Q961,'Level 1'!R961,"  ",'Level 1'!T961," ","Payment "," ",'Level 1'!U961,"  ",'Level 1'!V961,"  ",'Level 1'!W961,"  ",'Level 1'!X961,"  ",'Level 1'!Z961, "  ",'Level 1'!AA961, " ","Insurance: ",'Level 1'!A961)</f>
        <v>Detail: Note  Q1  01-00-1900; Q2   Payment  Q4    Q5    Additional Notes:   Insurance: UNITED HEALTH CARE DENTAL</v>
      </c>
      <c r="C961" s="60" t="str">
        <f>'Level 1'!Y961</f>
        <v>Action</v>
      </c>
      <c r="D961" s="44" t="str">
        <f>VLOOKUP(C961,Table2[#All],3,FALSE)</f>
        <v>What we need from you/Reason</v>
      </c>
      <c r="E961" s="75" t="s">
        <v>199</v>
      </c>
      <c r="F961" s="96"/>
      <c r="G961" s="97"/>
    </row>
    <row r="962" spans="1:7" ht="42" x14ac:dyDescent="0.25">
      <c r="A962" s="43" t="str">
        <f>CONCATENATE("Pt Id:",'Level 1'!E962," ","Pt Name: ",'Level 1'!F962," ","DOS: ", TEXT('Level 1'!H962,"mm-dd-yyyy"),"  "," Amnt: ","$",'Level 1'!J962,"  ", 'Level 1'!N962)</f>
        <v>Pt Id:172 Pt Name: Sanderson, Karen DOS: 01-04-2022   Amnt: $266  Claim Paid by EFT;</v>
      </c>
      <c r="B962" s="43" t="str">
        <f>CONCATENATE("Detail: ",'Level 1'!N962,"  ",'Level 1'!O962,TEXT('Level 1'!P962,"  mm-dd-yyyy"),";"," ",'Level 1'!Q962,'Level 1'!R962,"  ",'Level 1'!T962," ","Payment "," ",'Level 1'!U962,"  ",'Level 1'!V962,"  ",'Level 1'!W962,"  ",'Level 1'!X962,"  ",'Level 1'!Z962, "  ",'Level 1'!AA962, " ","Insurance: ",'Level 1'!A962)</f>
        <v>Detail: Claim Paid by EFT;  Issue Date:  01-00-1900; EFT#218204527  SEPRATE Payment  Call Ref#:  D9220  Cust Rep:  MARY  Additional Notes:  CLM#220404203100  Procedure code Insurance: UNITED HEALTH CARE DENTAL</v>
      </c>
      <c r="C962" s="60" t="str">
        <f>'Level 1'!Y962</f>
        <v xml:space="preserve">Task Post Pmt Queue </v>
      </c>
      <c r="D962" s="44" t="str">
        <f>VLOOKUP(C962,Table2[#All],3,FALSE)</f>
        <v>N/A</v>
      </c>
      <c r="E962" s="75" t="s">
        <v>192</v>
      </c>
      <c r="F962" s="96" t="s">
        <v>3698</v>
      </c>
      <c r="G962" s="97"/>
    </row>
    <row r="963" spans="1:7" ht="63" x14ac:dyDescent="0.25">
      <c r="A963" s="43" t="str">
        <f>CONCATENATE("Pt Id:",'Level 1'!E963," ","Pt Name: ",'Level 1'!F963," ","DOS: ", TEXT('Level 1'!H963,"mm-dd-yyyy"),"  "," Amnt: ","$",'Level 1'!J963,"  ", 'Level 1'!N963)</f>
        <v>Pt Id:8408 Pt Name: Walker, Nehemiah DOS: 11-08-2021   Amnt: $1082  Claim Paid by EFT;</v>
      </c>
      <c r="B963" s="43" t="str">
        <f>CONCATENATE("Detail: ",'Level 1'!N963,"  ",'Level 1'!O963,TEXT('Level 1'!P963,"  mm-dd-yyyy"),";"," ",'Level 1'!Q963,'Level 1'!R963,"  ",'Level 1'!T963," ","Payment "," ",'Level 1'!U963,"  ",'Level 1'!V963,"  ",'Level 1'!W963,"  ",'Level 1'!X963,"  ",'Level 1'!Z963, "  ",'Level 1'!AA963, " ","Insurance: ",'Level 1'!A963)</f>
        <v>Detail: Claim Paid by EFT;  Issue Date:  01-28-2022; EFT#214954071  BULK Payment  Call Ref#:  D8405  Cust Rep:  Kathy  Additional Notes:  Rep States that, Claim Status - Claim Paid by EFT Mode. EFT#214954071 for Amount Paid $520. Claim#220271835900 Insurance: UNITED HEALTH CARE DENTAL</v>
      </c>
      <c r="C963" s="60" t="str">
        <f>'Level 1'!Y963</f>
        <v xml:space="preserve">Task Post Pmt Queue </v>
      </c>
      <c r="D963" s="44" t="str">
        <f>VLOOKUP(C963,Table2[#All],3,FALSE)</f>
        <v>N/A</v>
      </c>
      <c r="E963" s="75" t="s">
        <v>192</v>
      </c>
      <c r="F963" s="96" t="s">
        <v>3698</v>
      </c>
      <c r="G963" s="97"/>
    </row>
    <row r="964" spans="1:7" ht="63" x14ac:dyDescent="0.25">
      <c r="A964" s="43" t="str">
        <f>CONCATENATE("Pt Id:",'Level 1'!E964," ","Pt Name: ",'Level 1'!F964," ","DOS: ", TEXT('Level 1'!H964,"mm-dd-yyyy"),"  "," Amnt: ","$",'Level 1'!J964,"  ", 'Level 1'!N964)</f>
        <v>Pt Id:8408 Pt Name: Walker, Nehemiah DOS: 01-26-2022   Amnt: $82.8  Patient not active/no active policy;</v>
      </c>
      <c r="B964" s="43" t="str">
        <f>CONCATENATE("Detail: ",'Level 1'!N964,"  ",'Level 1'!O964,TEXT('Level 1'!P964,"  mm-dd-yyyy"),";"," ",'Level 1'!Q964,'Level 1'!R964,"  ",'Level 1'!T964," ","Payment "," ",'Level 1'!U964,"  ",'Level 1'!V964,"  ",'Level 1'!W964,"  ",'Level 1'!X964,"  ",'Level 1'!Z964, "  ",'Level 1'!AA964, " ","Insurance: ",'Level 1'!A964)</f>
        <v>Detail: Patient not active/no active policy;  Policy Term Dt:12/312021; Call Ref#:D6459  Arlene Payment  0    0    Additional Notes:  Rep states that CNOF - Policy terminated on12/31/2021. Need to close this claim and submit the claim to Molina. Insurance: UNITED HEALTH CARE DENTAL</v>
      </c>
      <c r="C964" s="60" t="str">
        <f>'Level 1'!Y964</f>
        <v>Task Denied Claims Queue</v>
      </c>
      <c r="D964" s="44" t="str">
        <f>VLOOKUP(C964,Table2[#All],3,FALSE)</f>
        <v xml:space="preserve">What We Need From You: Reason: </v>
      </c>
      <c r="E964" s="75" t="s">
        <v>193</v>
      </c>
      <c r="F964" s="96" t="s">
        <v>3698</v>
      </c>
      <c r="G964" s="97"/>
    </row>
    <row r="965" spans="1:7" ht="63" x14ac:dyDescent="0.25">
      <c r="A965" s="43" t="str">
        <f>CONCATENATE("Pt Id:",'Level 1'!E965," ","Pt Name: ",'Level 1'!F965," ","DOS: ", TEXT('Level 1'!H965,"mm-dd-yyyy"),"  "," Amnt: ","$",'Level 1'!J965,"  ", 'Level 1'!N965)</f>
        <v>Pt Id:8408 Pt Name: Walker, Nehemiah DOS: 12-31-2021   Amnt: $204  Claim Paid by EFT;</v>
      </c>
      <c r="B965" s="43" t="str">
        <f>CONCATENATE("Detail: ",'Level 1'!N965,"  ",'Level 1'!O965,TEXT('Level 1'!P965,"  mm-dd-yyyy"),";"," ",'Level 1'!Q965,'Level 1'!R965,"  ",'Level 1'!T965," ","Payment "," ",'Level 1'!U965,"  ",'Level 1'!V965,"  ",'Level 1'!W965,"  ",'Level 1'!X965,"  ",'Level 1'!Z965, "  ",'Level 1'!AA965, " ","Insurance: ",'Level 1'!A965)</f>
        <v>Detail: Claim Paid by EFT;  Issue Date:  01-28-2022; EFT#214954017  Bulk Payment  Call Ref#:  D6459  Cust Rep:  Arlene  Additional Notes:  Rep States that, Claim Paid. EFT Mode. Amount $109.60 Claim#230272099100 Insurance: UNITED HEALTH CARE DENTAL</v>
      </c>
      <c r="C965" s="60" t="str">
        <f>'Level 1'!Y965</f>
        <v xml:space="preserve">Task Post Pmt Queue </v>
      </c>
      <c r="D965" s="44" t="str">
        <f>VLOOKUP(C965,Table2[#All],3,FALSE)</f>
        <v>N/A</v>
      </c>
      <c r="E965" s="75" t="s">
        <v>192</v>
      </c>
      <c r="F965" s="96" t="s">
        <v>3698</v>
      </c>
      <c r="G965" s="97"/>
    </row>
    <row r="966" spans="1:7" ht="63" x14ac:dyDescent="0.25">
      <c r="A966" s="43" t="str">
        <f>CONCATENATE("Pt Id:",'Level 1'!E966," ","Pt Name: ",'Level 1'!F966," ","DOS: ", TEXT('Level 1'!H966,"mm-dd-yyyy"),"  "," Amnt: ","$",'Level 1'!J966,"  ", 'Level 1'!N966)</f>
        <v>Pt Id:7554 Pt Name: Beatovic , Dennis  DOS: 01-18-2022   Amnt: $463.2  Claim not on file. Patient is active ;</v>
      </c>
      <c r="B966" s="43" t="str">
        <f>CONCATENATE("Detail: ",'Level 1'!N966,"  ",'Level 1'!O966,TEXT('Level 1'!P966,"  mm-dd-yyyy"),";"," ",'Level 1'!Q966,'Level 1'!R966,"  ",'Level 1'!T966," ","Payment "," ",'Level 1'!U966,"  ",'Level 1'!V966,"  ",'Level 1'!W966,"  ",'Level 1'!X966,"  ",'Level 1'!Z966, "  ",'Level 1'!AA966, " ","Insurance: ",'Level 1'!A966)</f>
        <v>Detail: Claim not on file. Patient is active ;  Payor ID &amp; Address:  09-24-2042; Fax # (If Fax Yes):2487336372  No Limit Payment  Call Ref#:  REIGN  Cust Rep:  D2981  Additional Notes:  Rep States that CNOF - Patient Active. Insurance: UNITED HEALTH CARE DENTAL</v>
      </c>
      <c r="C966" s="60" t="str">
        <f>'Level 1'!Y966</f>
        <v>Task Sub Pending Claims Queue</v>
      </c>
      <c r="D966" s="44" t="str">
        <f>VLOOKUP(C966,Table2[#All],3,FALSE)</f>
        <v>N/A</v>
      </c>
      <c r="E966" s="75" t="s">
        <v>192</v>
      </c>
      <c r="F966" s="96" t="s">
        <v>3698</v>
      </c>
      <c r="G966" s="97"/>
    </row>
    <row r="967" spans="1:7" ht="63" x14ac:dyDescent="0.25">
      <c r="A967" s="43" t="str">
        <f>CONCATENATE("Pt Id:",'Level 1'!E967," ","Pt Name: ",'Level 1'!F967," ","DOS: ", TEXT('Level 1'!H967,"mm-dd-yyyy"),"  "," Amnt: ","$",'Level 1'!J967,"  ", 'Level 1'!N967)</f>
        <v>Pt Id:2857 Pt Name: PLUMB, STELLA DOS: 01-14-2022   Amnt: $478.4  Claim Paid by EFT;</v>
      </c>
      <c r="B967" s="43" t="str">
        <f>CONCATENATE("Detail: ",'Level 1'!N967,"  ",'Level 1'!O967,TEXT('Level 1'!P967,"  mm-dd-yyyy"),";"," ",'Level 1'!Q967,'Level 1'!R967,"  ",'Level 1'!T967," ","Payment "," ",'Level 1'!U967,"  ",'Level 1'!V967,"  ",'Level 1'!W967,"  ",'Level 1'!X967,"  ",'Level 1'!Z967, "  ",'Level 1'!AA967, " ","Insurance: ",'Level 1'!A967)</f>
        <v>Detail: Claim Paid by EFT;  Issue Date:  01-19-2022; EFT#216119061  BULK Payment  Call Ref#:  D8934  Cust Rep:  TERESA  Additional Notes:  CLM # : 220183243900; Pd Amt : $366; Pt Resp : 0; Bulk Payment : $420. Insurance: UNITED HEALTH CARE DENTAL</v>
      </c>
      <c r="C967" s="60" t="str">
        <f>'Level 1'!Y967</f>
        <v xml:space="preserve">Task Post Pmt Queue </v>
      </c>
      <c r="D967" s="44" t="str">
        <f>VLOOKUP(C967,Table2[#All],3,FALSE)</f>
        <v>N/A</v>
      </c>
      <c r="E967" s="75" t="s">
        <v>193</v>
      </c>
      <c r="F967" s="96" t="s">
        <v>3698</v>
      </c>
      <c r="G967" s="97"/>
    </row>
    <row r="968" spans="1:7" ht="63" x14ac:dyDescent="0.25">
      <c r="A968" s="43" t="str">
        <f>CONCATENATE("Pt Id:",'Level 1'!E968," ","Pt Name: ",'Level 1'!F968," ","DOS: ", TEXT('Level 1'!H968,"mm-dd-yyyy"),"  "," Amnt: ","$",'Level 1'!J968,"  ", 'Level 1'!N968)</f>
        <v>Pt Id:8748 Pt Name: Udvare, Sherry DOS: 12-31-2021   Amnt: $408.8  Claim Paid by EFT;</v>
      </c>
      <c r="B968" s="43" t="str">
        <f>CONCATENATE("Detail: ",'Level 1'!N968,"  ",'Level 1'!O968,TEXT('Level 1'!P968,"  mm-dd-yyyy"),";"," ",'Level 1'!Q968,'Level 1'!R968,"  ",'Level 1'!T968," ","Payment "," ",'Level 1'!U968,"  ",'Level 1'!V968,"  ",'Level 1'!W968,"  ",'Level 1'!X968,"  ",'Level 1'!Z968, "  ",'Level 1'!AA968, " ","Insurance: ",'Level 1'!A968)</f>
        <v>Detail: Claim Paid by EFT;  Issue Date:  01-11-2022; EFT#210804433  BULK Payment  Call Ref#:  D20531741236689  Cust Rep:  Xavier  Additional Notes:  CLM # 220103477300; Pd Amt : $310; Bulk Amt : $437 Insurance: UNITED HEALTH CARE DENTAL</v>
      </c>
      <c r="C968" s="60" t="str">
        <f>'Level 1'!Y968</f>
        <v xml:space="preserve">Task Post Pmt Queue </v>
      </c>
      <c r="D968" s="44" t="str">
        <f>VLOOKUP(C968,Table2[#All],3,FALSE)</f>
        <v>N/A</v>
      </c>
      <c r="E968" s="75" t="s">
        <v>193</v>
      </c>
      <c r="F968" s="96" t="s">
        <v>3698</v>
      </c>
      <c r="G968" s="97"/>
    </row>
    <row r="969" spans="1:7" ht="63" x14ac:dyDescent="0.25">
      <c r="A969" s="43" t="str">
        <f>CONCATENATE("Pt Id:",'Level 1'!E969," ","Pt Name: ",'Level 1'!F969," ","DOS: ", TEXT('Level 1'!H969,"mm-dd-yyyy"),"  "," Amnt: ","$",'Level 1'!J969,"  ", 'Level 1'!N969)</f>
        <v>Pt Id:8542 Pt Name: Waterstraat , Brian DOS: 12-28-2021   Amnt: $480  Claim Paid by EFT;</v>
      </c>
      <c r="B969" s="43" t="str">
        <f>CONCATENATE("Detail: ",'Level 1'!N969,"  ",'Level 1'!O969,TEXT('Level 1'!P969,"  mm-dd-yyyy"),";"," ",'Level 1'!Q969,'Level 1'!R969,"  ",'Level 1'!T969," ","Payment "," ",'Level 1'!U969,"  ",'Level 1'!V969,"  ",'Level 1'!W969,"  ",'Level 1'!X969,"  ",'Level 1'!Z969, "  ",'Level 1'!AA969, " ","Insurance: ",'Level 1'!A969)</f>
        <v>Detail: Claim Paid by EFT;  Issue Date:  01-12-2022; EFT#210987394  BULK Payment  Call Ref#:  D20531745278146  Cust Rep:  Xavier  Additional Notes:  CLM # 220112315800; Pd Amt : $190; Pt Resp : $190; Bulk Amt : $539 Insurance: UNITED HEALTH CARE DENTAL</v>
      </c>
      <c r="C969" s="60" t="str">
        <f>'Level 1'!Y969</f>
        <v xml:space="preserve">Task Post Pmt Queue </v>
      </c>
      <c r="D969" s="44" t="str">
        <f>VLOOKUP(C969,Table2[#All],3,FALSE)</f>
        <v>N/A</v>
      </c>
      <c r="E969" s="75" t="s">
        <v>193</v>
      </c>
      <c r="F969" s="96" t="s">
        <v>3698</v>
      </c>
      <c r="G969" s="97"/>
    </row>
    <row r="970" spans="1:7" ht="63" x14ac:dyDescent="0.25">
      <c r="A970" s="43" t="str">
        <f>CONCATENATE("Pt Id:",'Level 1'!E970," ","Pt Name: ",'Level 1'!F970," ","DOS: ", TEXT('Level 1'!H970,"mm-dd-yyyy"),"  "," Amnt: ","$",'Level 1'!J970,"  ", 'Level 1'!N970)</f>
        <v>Pt Id:8542 Pt Name: Waterstraat , Brian DOS: 12-28-2021   Amnt: $696  Claim Paid by EFT;</v>
      </c>
      <c r="B970" s="43" t="str">
        <f>CONCATENATE("Detail: ",'Level 1'!N970,"  ",'Level 1'!O970,TEXT('Level 1'!P970,"  mm-dd-yyyy"),";"," ",'Level 1'!Q970,'Level 1'!R970,"  ",'Level 1'!T970," ","Payment "," ",'Level 1'!U970,"  ",'Level 1'!V970,"  ",'Level 1'!W970,"  ",'Level 1'!X970,"  ",'Level 1'!Z970, "  ",'Level 1'!AA970, " ","Insurance: ",'Level 1'!A970)</f>
        <v>Detail: Claim Paid by EFT;  Issue Date:  01-12-2022; EFT#210987394  BULK Payment  Call Ref#:  D20531745278146  Cust Rep:  Xavier  Additional Notes:  CLM # 220113065500; Pd Amt : $349; Pt Resp : $190; Bulk Amt : $539. Insurance: UNITED HEALTH CARE DENTAL</v>
      </c>
      <c r="C970" s="60" t="str">
        <f>'Level 1'!Y970</f>
        <v xml:space="preserve">Task Post Pmt Queue </v>
      </c>
      <c r="D970" s="44" t="str">
        <f>VLOOKUP(C970,Table2[#All],3,FALSE)</f>
        <v>N/A</v>
      </c>
      <c r="E970" s="75" t="s">
        <v>193</v>
      </c>
      <c r="F970" s="96" t="s">
        <v>3698</v>
      </c>
      <c r="G970" s="97"/>
    </row>
    <row r="971" spans="1:7" ht="63" x14ac:dyDescent="0.25">
      <c r="A971" s="43" t="str">
        <f>CONCATENATE("Pt Id:",'Level 1'!E971," ","Pt Name: ",'Level 1'!F971," ","DOS: ", TEXT('Level 1'!H971,"mm-dd-yyyy"),"  "," Amnt: ","$",'Level 1'!J971,"  ", 'Level 1'!N971)</f>
        <v>Pt Id:7366 Pt Name: Titone , Ronald  DOS: 12-17-2021   Amnt: $2600.4  Claim Paid by EFT;</v>
      </c>
      <c r="B971" s="43" t="str">
        <f>CONCATENATE("Detail: ",'Level 1'!N971,"  ",'Level 1'!O971,TEXT('Level 1'!P971,"  mm-dd-yyyy"),";"," ",'Level 1'!Q971,'Level 1'!R971,"  ",'Level 1'!T971," ","Payment "," ",'Level 1'!U971,"  ",'Level 1'!V971,"  ",'Level 1'!W971,"  ",'Level 1'!X971,"  ",'Level 1'!Z971, "  ",'Level 1'!AA971, " ","Insurance: ",'Level 1'!A971)</f>
        <v>Detail: Claim Paid by EFT;  Issue Date:  12-28-2021; EFT#207217036  BULK Payment  Call Ref#:  D20531758197400  Cust Rep:  Xavier  Additional Notes:  ClM # 213611883100; Pd Amt : $2064; Pt Resp : $109; Bulk Amt : $2098.50 Insurance: UNITED HEALTH CARE DENTAL</v>
      </c>
      <c r="C971" s="60" t="str">
        <f>'Level 1'!Y971</f>
        <v xml:space="preserve">Task Post Pmt Queue </v>
      </c>
      <c r="D971" s="44" t="str">
        <f>VLOOKUP(C971,Table2[#All],3,FALSE)</f>
        <v>N/A</v>
      </c>
      <c r="E971" s="75" t="s">
        <v>193</v>
      </c>
      <c r="F971" s="96" t="s">
        <v>3698</v>
      </c>
      <c r="G971" s="97"/>
    </row>
    <row r="972" spans="1:7" ht="63" x14ac:dyDescent="0.25">
      <c r="A972" s="43" t="str">
        <f>CONCATENATE("Pt Id:",'Level 1'!E972," ","Pt Name: ",'Level 1'!F972," ","DOS: ", TEXT('Level 1'!H972,"mm-dd-yyyy"),"  "," Amnt: ","$",'Level 1'!J972,"  ", 'Level 1'!N972)</f>
        <v>Pt Id:8542 Pt Name: Waterstraat , Brian DOS: 12-15-2021   Amnt: $178.4  Claim Paid by EFT;</v>
      </c>
      <c r="B972" s="43" t="str">
        <f>CONCATENATE("Detail: ",'Level 1'!N972,"  ",'Level 1'!O972,TEXT('Level 1'!P972,"  mm-dd-yyyy"),";"," ",'Level 1'!Q972,'Level 1'!R972,"  ",'Level 1'!T972," ","Payment "," ",'Level 1'!U972,"  ",'Level 1'!V972,"  ",'Level 1'!W972,"  ",'Level 1'!X972,"  ",'Level 1'!Z972, "  ",'Level 1'!AA972, " ","Insurance: ",'Level 1'!A972)</f>
        <v>Detail: Claim Paid by EFT;  Issue Date:  12-22-2021; EFT#205892366  SINGLE Payment  Call Ref#:  D20531745278146  Cust Rep:  Xavier  Additional Notes:  ClM # 213552244900; Pd Amt : $134; Pt Resp : $0. Insurance: UNITED HEALTH CARE DENTAL</v>
      </c>
      <c r="C972" s="60" t="str">
        <f>'Level 1'!Y972</f>
        <v xml:space="preserve">Task Post Pmt Queue </v>
      </c>
      <c r="D972" s="44" t="str">
        <f>VLOOKUP(C972,Table2[#All],3,FALSE)</f>
        <v>N/A</v>
      </c>
      <c r="E972" s="75" t="s">
        <v>193</v>
      </c>
      <c r="F972" s="96" t="s">
        <v>3698</v>
      </c>
      <c r="G972" s="97"/>
    </row>
    <row r="973" spans="1:7" ht="63" x14ac:dyDescent="0.25">
      <c r="A973" s="43" t="str">
        <f>CONCATENATE("Pt Id:",'Level 1'!E973," ","Pt Name: ",'Level 1'!F973," ","DOS: ", TEXT('Level 1'!H973,"mm-dd-yyyy"),"  "," Amnt: ","$",'Level 1'!J973,"  ", 'Level 1'!N973)</f>
        <v>Pt Id:7554 Pt Name: Beatovic , Dennis  DOS: 12-07-2021   Amnt: $82.8  Claim Paid by EFT;</v>
      </c>
      <c r="B973" s="43" t="str">
        <f>CONCATENATE("Detail: ",'Level 1'!N973,"  ",'Level 1'!O973,TEXT('Level 1'!P973,"  mm-dd-yyyy"),";"," ",'Level 1'!Q973,'Level 1'!R973,"  ",'Level 1'!T973," ","Payment "," ",'Level 1'!U973,"  ",'Level 1'!V973,"  ",'Level 1'!W973,"  ",'Level 1'!X973,"  ",'Level 1'!Z973, "  ",'Level 1'!AA973, " ","Insurance: ",'Level 1'!A973)</f>
        <v>Detail: Claim Paid by EFT;  Issue Date:  12-28-2021; EFT#207217036  Bulk Payment  Call Ref#:  D20531802049163  Cust Rep:  Xavier  Additional Notes:  CLM # 213612019000; Pd Amt : $34.50; Pt Resp : $34.50; Bulk Amt : $298.50 Insurance: UNITED HEALTH CARE DENTAL</v>
      </c>
      <c r="C973" s="60" t="str">
        <f>'Level 1'!Y973</f>
        <v xml:space="preserve">Task Post Pmt Queue </v>
      </c>
      <c r="D973" s="44" t="str">
        <f>VLOOKUP(C973,Table2[#All],3,FALSE)</f>
        <v>N/A</v>
      </c>
      <c r="E973" s="75" t="s">
        <v>193</v>
      </c>
      <c r="F973" s="96" t="s">
        <v>3698</v>
      </c>
      <c r="G973" s="97"/>
    </row>
    <row r="974" spans="1:7" ht="63" x14ac:dyDescent="0.25">
      <c r="A974" s="43" t="str">
        <f>CONCATENATE("Pt Id:",'Level 1'!E974," ","Pt Name: ",'Level 1'!F974," ","DOS: ", TEXT('Level 1'!H974,"mm-dd-yyyy"),"  "," Amnt: ","$",'Level 1'!J974,"  ", 'Level 1'!N974)</f>
        <v>Pt Id:6342 Pt Name: Parnell, Dajsha DOS: 03-31-2021   Amnt: $61.2  Ins needs more info, need to submit;</v>
      </c>
      <c r="B974" s="43" t="str">
        <f>CONCATENATE("Detail: ",'Level 1'!N974,"  ",'Level 1'!O974,TEXT('Level 1'!P974,"  mm-dd-yyyy"),";"," ",'Level 1'!Q974,'Level 1'!R974,"  ",'Level 1'!T974," ","Payment "," ",'Level 1'!U974,"  ",'Level 1'!V974,"  ",'Level 1'!W974,"  ",'Level 1'!X974,"  ",'Level 1'!Z974, "  ",'Level 1'!AA974, " ","Insurance: ",'Level 1'!A974)</f>
        <v>Detail: Ins needs more info, need to submit;  Attachments/Info needed?Prim EOB required; Fax # (If Fax Yes):2487336372  D5441 Payment  Cust Rep:  Nicole  0    Additional Notes:  Claim denied requesting for Prim EOB. CLM # 210935452600; TFL : NIL Insurance: UNITED HEALTH CARE DENTAL</v>
      </c>
      <c r="C974" s="60" t="str">
        <f>'Level 1'!Y974</f>
        <v xml:space="preserve">Task Sub Pending Claims Queue </v>
      </c>
      <c r="D974" s="44" t="str">
        <f>VLOOKUP(C974,Table2[#All],3,FALSE)</f>
        <v>N/A</v>
      </c>
      <c r="E974" s="75" t="s">
        <v>193</v>
      </c>
      <c r="F974" s="96" t="s">
        <v>3698</v>
      </c>
      <c r="G974" s="97"/>
    </row>
    <row r="975" spans="1:7" ht="63" x14ac:dyDescent="0.25">
      <c r="A975" s="43" t="str">
        <f>CONCATENATE("Pt Id:",'Level 1'!E975," ","Pt Name: ",'Level 1'!F975," ","DOS: ", TEXT('Level 1'!H975,"mm-dd-yyyy"),"  "," Amnt: ","$",'Level 1'!J975,"  ", 'Level 1'!N975)</f>
        <v>Pt Id:6342 Pt Name: Parnell, Dajsha DOS: 03-23-2021   Amnt: $253.2  Ins needs more info, need to submit;</v>
      </c>
      <c r="B975" s="43" t="str">
        <f>CONCATENATE("Detail: ",'Level 1'!N975,"  ",'Level 1'!O975,TEXT('Level 1'!P975,"  mm-dd-yyyy"),";"," ",'Level 1'!Q975,'Level 1'!R975,"  ",'Level 1'!T975," ","Payment "," ",'Level 1'!U975,"  ",'Level 1'!V975,"  ",'Level 1'!W975,"  ",'Level 1'!X975,"  ",'Level 1'!Z975, "  ",'Level 1'!AA975, " ","Insurance: ",'Level 1'!A975)</f>
        <v>Detail: Ins needs more info, need to submit;  Attachments/Info needed?Prim EOB required; Fax # (If Fax Yes):2487336372  D5441 Payment  Cust Rep:  Nicole  0    Additional Notes:  Claim denied requesting for Prim EOB. CLM # 210938988700; TFL : NIL Insurance: UNITED HEALTH CARE DENTAL</v>
      </c>
      <c r="C975" s="60" t="str">
        <f>'Level 1'!Y975</f>
        <v xml:space="preserve">Task Sub Pending Claims Queue </v>
      </c>
      <c r="D975" s="44" t="str">
        <f>VLOOKUP(C975,Table2[#All],3,FALSE)</f>
        <v>N/A</v>
      </c>
      <c r="E975" s="75" t="s">
        <v>193</v>
      </c>
      <c r="F975" s="96" t="s">
        <v>3698</v>
      </c>
      <c r="G975" s="97"/>
    </row>
    <row r="976" spans="1:7" ht="84" x14ac:dyDescent="0.25">
      <c r="A976" s="43" t="str">
        <f>CONCATENATE("Pt Id:",'Level 1'!E976," ","Pt Name: ",'Level 1'!F976," ","DOS: ", TEXT('Level 1'!H976,"mm-dd-yyyy"),"  "," Amnt: ","$",'Level 1'!J976,"  ", 'Level 1'!N976)</f>
        <v>Pt Id:6342 Pt Name: Parnell, Dajsha DOS: 02-13-2021   Amnt: $296.4  Ins needs more info, need to submit;</v>
      </c>
      <c r="B976" s="43" t="str">
        <f>CONCATENATE("Detail: ",'Level 1'!N976,"  ",'Level 1'!O976,TEXT('Level 1'!P976,"  mm-dd-yyyy"),";"," ",'Level 1'!Q976,'Level 1'!R976,"  ",'Level 1'!T976," ","Payment "," ",'Level 1'!U976,"  ",'Level 1'!V976,"  ",'Level 1'!W976,"  ",'Level 1'!X976,"  ",'Level 1'!Z976, "  ",'Level 1'!AA976, " ","Insurance: ",'Level 1'!A976)</f>
        <v>Detail: Ins needs more info, need to submit;  Attachments/Info needed?Prim EOB required; Fax # (If Fax Yes):2487336372  D5441 Payment  Cust Rep:  Nicole  0    Additional Notes:  Claim closed as the Tax ID mentioned on the claim is incorrect. We need to resubmit the claim along with the Prim EOB for processing. CLM # 210493954900; TFL : NIL Insurance: UNITED HEALTH CARE DENTAL</v>
      </c>
      <c r="C976" s="60" t="str">
        <f>'Level 1'!Y976</f>
        <v xml:space="preserve">Task Sub Pending Claims Queue </v>
      </c>
      <c r="D976" s="44" t="str">
        <f>VLOOKUP(C976,Table2[#All],3,FALSE)</f>
        <v>N/A</v>
      </c>
      <c r="E976" s="75" t="s">
        <v>193</v>
      </c>
      <c r="F976" s="96" t="s">
        <v>3698</v>
      </c>
      <c r="G976" s="97"/>
    </row>
    <row r="977" spans="1:7" ht="42" x14ac:dyDescent="0.25">
      <c r="A977" s="43" t="str">
        <f>CONCATENATE("Pt Id:",'Level 1'!E977," ","Pt Name: ",'Level 1'!F977," ","DOS: ", TEXT('Level 1'!H977,"mm-dd-yyyy"),"  "," Amnt: ","$",'Level 1'!J977,"  ", 'Level 1'!N977)</f>
        <v>Pt Id:8598 Pt Name: Landreman , Carolyn  DOS: 04-01-2022   Amnt: $1861.2  Note</v>
      </c>
      <c r="B977" s="43" t="str">
        <f>CONCATENATE("Detail: ",'Level 1'!N977,"  ",'Level 1'!O977,TEXT('Level 1'!P977,"  mm-dd-yyyy"),";"," ",'Level 1'!Q977,'Level 1'!R977,"  ",'Level 1'!T977," ","Payment "," ",'Level 1'!U977,"  ",'Level 1'!V977,"  ",'Level 1'!W977,"  ",'Level 1'!X977,"  ",'Level 1'!Z977, "  ",'Level 1'!AA977, " ","Insurance: ",'Level 1'!A977)</f>
        <v>Detail: Note  Q1  01-00-1900; Q2   Payment  Q4    Q5    Additional Notes:   Insurance: United Health Care Dental</v>
      </c>
      <c r="C977" s="60" t="str">
        <f>'Level 1'!Y977</f>
        <v>Action</v>
      </c>
      <c r="D977" s="44" t="str">
        <f>VLOOKUP(C977,Table2[#All],3,FALSE)</f>
        <v>What we need from you/Reason</v>
      </c>
      <c r="E977" s="75" t="s">
        <v>199</v>
      </c>
      <c r="F977" s="96"/>
      <c r="G977" s="97"/>
    </row>
    <row r="978" spans="1:7" ht="21" x14ac:dyDescent="0.25">
      <c r="A978" s="43" t="str">
        <f>CONCATENATE("Pt Id:",'Level 1'!E978," ","Pt Name: ",'Level 1'!F978," ","DOS: ", TEXT('Level 1'!H978,"mm-dd-yyyy"),"  "," Amnt: ","$",'Level 1'!J978,"  ", 'Level 1'!N978)</f>
        <v>Pt Id:9319 Pt Name: Pecard , Lorna DOS: 03-29-2022   Amnt: $612  Note</v>
      </c>
      <c r="B978" s="43" t="str">
        <f>CONCATENATE("Detail: ",'Level 1'!N978,"  ",'Level 1'!O978,TEXT('Level 1'!P978,"  mm-dd-yyyy"),";"," ",'Level 1'!Q978,'Level 1'!R978,"  ",'Level 1'!T978," ","Payment "," ",'Level 1'!U978,"  ",'Level 1'!V978,"  ",'Level 1'!W978,"  ",'Level 1'!X978,"  ",'Level 1'!Z978, "  ",'Level 1'!AA978, " ","Insurance: ",'Level 1'!A978)</f>
        <v>Detail: Note  Q1  01-00-1900; Q2   Payment  Q4    Q5    Additional Notes:   Insurance: United Health Care Dental</v>
      </c>
      <c r="C978" s="60" t="str">
        <f>'Level 1'!Y978</f>
        <v>Action</v>
      </c>
      <c r="D978" s="44" t="str">
        <f>VLOOKUP(C978,Table2[#All],3,FALSE)</f>
        <v>What we need from you/Reason</v>
      </c>
      <c r="E978" s="75" t="s">
        <v>199</v>
      </c>
      <c r="F978" s="96"/>
      <c r="G978" s="97"/>
    </row>
    <row r="979" spans="1:7" ht="21" x14ac:dyDescent="0.25">
      <c r="A979" s="43" t="str">
        <f>CONCATENATE("Pt Id:",'Level 1'!E979," ","Pt Name: ",'Level 1'!F979," ","DOS: ", TEXT('Level 1'!H979,"mm-dd-yyyy"),"  "," Amnt: ","$",'Level 1'!J979,"  ", 'Level 1'!N979)</f>
        <v>Pt Id:9319 Pt Name: Pecard , Lorna DOS: 03-22-2022   Amnt: $258.8  Note</v>
      </c>
      <c r="B979" s="43" t="str">
        <f>CONCATENATE("Detail: ",'Level 1'!N979,"  ",'Level 1'!O979,TEXT('Level 1'!P979,"  mm-dd-yyyy"),";"," ",'Level 1'!Q979,'Level 1'!R979,"  ",'Level 1'!T979," ","Payment "," ",'Level 1'!U979,"  ",'Level 1'!V979,"  ",'Level 1'!W979,"  ",'Level 1'!X979,"  ",'Level 1'!Z979, "  ",'Level 1'!AA979, " ","Insurance: ",'Level 1'!A979)</f>
        <v>Detail: Note  Q1  01-00-1900; Q2   Payment  Q4    Q5    Additional Notes:   Insurance: United Health Care Dental</v>
      </c>
      <c r="C979" s="60" t="str">
        <f>'Level 1'!Y979</f>
        <v>Action</v>
      </c>
      <c r="D979" s="44" t="str">
        <f>VLOOKUP(C979,Table2[#All],3,FALSE)</f>
        <v>What we need from you/Reason</v>
      </c>
      <c r="E979" s="75" t="s">
        <v>199</v>
      </c>
      <c r="F979" s="96"/>
      <c r="G979" s="97"/>
    </row>
    <row r="980" spans="1:7" ht="42" x14ac:dyDescent="0.25">
      <c r="A980" s="43" t="str">
        <f>CONCATENATE("Pt Id:",'Level 1'!E980," ","Pt Name: ",'Level 1'!F980," ","DOS: ", TEXT('Level 1'!H980,"mm-dd-yyyy"),"  "," Amnt: ","$",'Level 1'!J980,"  ", 'Level 1'!N980)</f>
        <v>Pt Id:3372 Pt Name: STOCKER , ETHAN  DOS: 03-21-2022   Amnt: $266  Note</v>
      </c>
      <c r="B980" s="43" t="str">
        <f>CONCATENATE("Detail: ",'Level 1'!N980,"  ",'Level 1'!O980,TEXT('Level 1'!P980,"  mm-dd-yyyy"),";"," ",'Level 1'!Q980,'Level 1'!R980,"  ",'Level 1'!T980," ","Payment "," ",'Level 1'!U980,"  ",'Level 1'!V980,"  ",'Level 1'!W980,"  ",'Level 1'!X980,"  ",'Level 1'!Z980, "  ",'Level 1'!AA980, " ","Insurance: ",'Level 1'!A980)</f>
        <v>Detail: Note  Q1  01-00-1900; Q2   Payment  Q4    Q5    Additional Notes:   Insurance: United Health Care Dental</v>
      </c>
      <c r="C980" s="60" t="str">
        <f>'Level 1'!Y980</f>
        <v>Action</v>
      </c>
      <c r="D980" s="44" t="str">
        <f>VLOOKUP(C980,Table2[#All],3,FALSE)</f>
        <v>What we need from you/Reason</v>
      </c>
      <c r="E980" s="75" t="s">
        <v>199</v>
      </c>
      <c r="F980" s="96"/>
      <c r="G980" s="97"/>
    </row>
    <row r="981" spans="1:7" ht="21" x14ac:dyDescent="0.25">
      <c r="A981" s="43" t="str">
        <f>CONCATENATE("Pt Id:",'Level 1'!E981," ","Pt Name: ",'Level 1'!F981," ","DOS: ", TEXT('Level 1'!H981,"mm-dd-yyyy"),"  "," Amnt: ","$",'Level 1'!J981,"  ", 'Level 1'!N981)</f>
        <v>Pt Id:7701 Pt Name: Dickman, David DOS: 03-11-2022   Amnt: $138  Note</v>
      </c>
      <c r="B981" s="43" t="str">
        <f>CONCATENATE("Detail: ",'Level 1'!N981,"  ",'Level 1'!O981,TEXT('Level 1'!P981,"  mm-dd-yyyy"),";"," ",'Level 1'!Q981,'Level 1'!R981,"  ",'Level 1'!T981," ","Payment "," ",'Level 1'!U981,"  ",'Level 1'!V981,"  ",'Level 1'!W981,"  ",'Level 1'!X981,"  ",'Level 1'!Z981, "  ",'Level 1'!AA981, " ","Insurance: ",'Level 1'!A981)</f>
        <v>Detail: Note  Q1  01-00-1900; Q2   Payment  Q4    Q5    Additional Notes:   Insurance: United Health Care Dental</v>
      </c>
      <c r="C981" s="60" t="str">
        <f>'Level 1'!Y981</f>
        <v>Action</v>
      </c>
      <c r="D981" s="44" t="str">
        <f>VLOOKUP(C981,Table2[#All],3,FALSE)</f>
        <v>What we need from you/Reason</v>
      </c>
      <c r="E981" s="75" t="s">
        <v>199</v>
      </c>
      <c r="F981" s="96"/>
      <c r="G981" s="97"/>
    </row>
    <row r="982" spans="1:7" ht="21" x14ac:dyDescent="0.25">
      <c r="A982" s="43" t="str">
        <f>CONCATENATE("Pt Id:",'Level 1'!E982," ","Pt Name: ",'Level 1'!F982," ","DOS: ", TEXT('Level 1'!H982,"mm-dd-yyyy"),"  "," Amnt: ","$",'Level 1'!J982,"  ", 'Level 1'!N982)</f>
        <v>Pt Id:7701 Pt Name: Dickman, David DOS: 03-11-2022   Amnt: $138  Note</v>
      </c>
      <c r="B982" s="43" t="str">
        <f>CONCATENATE("Detail: ",'Level 1'!N982,"  ",'Level 1'!O982,TEXT('Level 1'!P982,"  mm-dd-yyyy"),";"," ",'Level 1'!Q982,'Level 1'!R982,"  ",'Level 1'!T982," ","Payment "," ",'Level 1'!U982,"  ",'Level 1'!V982,"  ",'Level 1'!W982,"  ",'Level 1'!X982,"  ",'Level 1'!Z982, "  ",'Level 1'!AA982, " ","Insurance: ",'Level 1'!A982)</f>
        <v>Detail: Note  Q1  01-00-1900; Q2   Payment  Q4    Q5    Additional Notes:   Insurance: United Health Care Dental</v>
      </c>
      <c r="C982" s="60" t="str">
        <f>'Level 1'!Y982</f>
        <v>Action</v>
      </c>
      <c r="D982" s="44" t="str">
        <f>VLOOKUP(C982,Table2[#All],3,FALSE)</f>
        <v>What we need from you/Reason</v>
      </c>
      <c r="E982" s="75" t="s">
        <v>199</v>
      </c>
      <c r="F982" s="96"/>
      <c r="G982" s="97"/>
    </row>
    <row r="983" spans="1:7" ht="21" x14ac:dyDescent="0.25">
      <c r="A983" s="43" t="str">
        <f>CONCATENATE("Pt Id:",'Level 1'!E983," ","Pt Name: ",'Level 1'!F983," ","DOS: ", TEXT('Level 1'!H983,"mm-dd-yyyy"),"  "," Amnt: ","$",'Level 1'!J983,"  ", 'Level 1'!N983)</f>
        <v>Pt Id:8753 Pt Name: Kahlani, Medina DOS: 02-22-2022   Amnt: $216  Note</v>
      </c>
      <c r="B983" s="43" t="str">
        <f>CONCATENATE("Detail: ",'Level 1'!N983,"  ",'Level 1'!O983,TEXT('Level 1'!P983,"  mm-dd-yyyy"),";"," ",'Level 1'!Q983,'Level 1'!R983,"  ",'Level 1'!T983," ","Payment "," ",'Level 1'!U983,"  ",'Level 1'!V983,"  ",'Level 1'!W983,"  ",'Level 1'!X983,"  ",'Level 1'!Z983, "  ",'Level 1'!AA983, " ","Insurance: ",'Level 1'!A983)</f>
        <v>Detail: Note  Q1  01-00-1900; Q2   Payment  Q4    Q5    Additional Notes:   Insurance: United Health Care Dental</v>
      </c>
      <c r="C983" s="60" t="str">
        <f>'Level 1'!Y983</f>
        <v>Action</v>
      </c>
      <c r="D983" s="44" t="str">
        <f>VLOOKUP(C983,Table2[#All],3,FALSE)</f>
        <v>What we need from you/Reason</v>
      </c>
      <c r="E983" s="75" t="s">
        <v>199</v>
      </c>
      <c r="F983" s="96"/>
      <c r="G983" s="97"/>
    </row>
    <row r="984" spans="1:7" ht="21" x14ac:dyDescent="0.25">
      <c r="A984" s="43" t="str">
        <f>CONCATENATE("Pt Id:",'Level 1'!E984," ","Pt Name: ",'Level 1'!F984," ","DOS: ", TEXT('Level 1'!H984,"mm-dd-yyyy"),"  "," Amnt: ","$",'Level 1'!J984,"  ", 'Level 1'!N984)</f>
        <v>Pt Id:8838 Pt Name: Eckert, Justin DOS: 02-11-2022   Amnt: $480  Note</v>
      </c>
      <c r="B984" s="43" t="str">
        <f>CONCATENATE("Detail: ",'Level 1'!N984,"  ",'Level 1'!O984,TEXT('Level 1'!P984,"  mm-dd-yyyy"),";"," ",'Level 1'!Q984,'Level 1'!R984,"  ",'Level 1'!T984," ","Payment "," ",'Level 1'!U984,"  ",'Level 1'!V984,"  ",'Level 1'!W984,"  ",'Level 1'!X984,"  ",'Level 1'!Z984, "  ",'Level 1'!AA984, " ","Insurance: ",'Level 1'!A984)</f>
        <v>Detail: Note  Q1  01-00-1900; Q2   Payment  Q4    Q5    Additional Notes:   Insurance: United Health Care Dental</v>
      </c>
      <c r="C984" s="60" t="str">
        <f>'Level 1'!Y984</f>
        <v>Action</v>
      </c>
      <c r="D984" s="44" t="str">
        <f>VLOOKUP(C984,Table2[#All],3,FALSE)</f>
        <v>What we need from you/Reason</v>
      </c>
      <c r="E984" s="75" t="s">
        <v>199</v>
      </c>
      <c r="F984" s="96"/>
      <c r="G984" s="97"/>
    </row>
    <row r="985" spans="1:7" ht="21" x14ac:dyDescent="0.25">
      <c r="A985" s="43" t="str">
        <f>CONCATENATE("Pt Id:",'Level 1'!E985," ","Pt Name: ",'Level 1'!F985," ","DOS: ", TEXT('Level 1'!H985,"mm-dd-yyyy"),"  "," Amnt: ","$",'Level 1'!J985,"  ", 'Level 1'!N985)</f>
        <v>Pt Id:6776 Pt Name: Atkinson , Anita  DOS: 11-22-2021   Amnt: $416.4  Note</v>
      </c>
      <c r="B985" s="43" t="str">
        <f>CONCATENATE("Detail: ",'Level 1'!N985,"  ",'Level 1'!O985,TEXT('Level 1'!P985,"  mm-dd-yyyy"),";"," ",'Level 1'!Q985,'Level 1'!R985,"  ",'Level 1'!T985," ","Payment "," ",'Level 1'!U985,"  ",'Level 1'!V985,"  ",'Level 1'!W985,"  ",'Level 1'!X985,"  ",'Level 1'!Z985, "  ",'Level 1'!AA985, " ","Insurance: ",'Level 1'!A985)</f>
        <v>Detail: Note  Q1  01-00-1900; Q2   Payment  Q4    Q5    Additional Notes:   Insurance: United Health Care Dental</v>
      </c>
      <c r="C985" s="60" t="str">
        <f>'Level 1'!Y985</f>
        <v>Action</v>
      </c>
      <c r="D985" s="44" t="str">
        <f>VLOOKUP(C985,Table2[#All],3,FALSE)</f>
        <v>What we need from you/Reason</v>
      </c>
      <c r="E985" s="75" t="s">
        <v>199</v>
      </c>
      <c r="F985" s="96"/>
      <c r="G985" s="97"/>
    </row>
    <row r="986" spans="1:7" ht="42" x14ac:dyDescent="0.25">
      <c r="A986" s="43" t="str">
        <f>CONCATENATE("Pt Id:",'Level 1'!E986," ","Pt Name: ",'Level 1'!F986," ","DOS: ", TEXT('Level 1'!H986,"mm-dd-yyyy"),"  "," Amnt: ","$",'Level 1'!J986,"  ", 'Level 1'!N986)</f>
        <v>Pt Id:6102 Pt Name: Evangelista, Yazmin DOS: 03-08-2021   Amnt: $1213.2  Note</v>
      </c>
      <c r="B986" s="43" t="str">
        <f>CONCATENATE("Detail: ",'Level 1'!N986,"  ",'Level 1'!O986,TEXT('Level 1'!P986,"  mm-dd-yyyy"),";"," ",'Level 1'!Q986,'Level 1'!R986,"  ",'Level 1'!T986," ","Payment "," ",'Level 1'!U986,"  ",'Level 1'!V986,"  ",'Level 1'!W986,"  ",'Level 1'!X986,"  ",'Level 1'!Z986, "  ",'Level 1'!AA986, " ","Insurance: ",'Level 1'!A986)</f>
        <v>Detail: Note  Q1  01-00-1900; Q2   Payment  Q4    Q5    Additional Notes:   Insurance: United Health Care Dental</v>
      </c>
      <c r="C986" s="60" t="str">
        <f>'Level 1'!Y986</f>
        <v>Action</v>
      </c>
      <c r="D986" s="44" t="str">
        <f>VLOOKUP(C986,Table2[#All],3,FALSE)</f>
        <v>What we need from you/Reason</v>
      </c>
      <c r="E986" s="75" t="s">
        <v>199</v>
      </c>
      <c r="F986" s="96"/>
      <c r="G986" s="97"/>
    </row>
    <row r="987" spans="1:7" ht="21" x14ac:dyDescent="0.25">
      <c r="A987" s="43" t="str">
        <f>CONCATENATE("Pt Id:",'Level 1'!E987," ","Pt Name: ",'Level 1'!F987," ","DOS: ", TEXT('Level 1'!H987,"mm-dd-yyyy"),"  "," Amnt: ","$",'Level 1'!J987,"  ", 'Level 1'!N987)</f>
        <v>Pt Id:8016 Pt Name: Rattle , Loree DOS: 02-11-2022   Amnt: $22.8  Note</v>
      </c>
      <c r="B987" s="43" t="str">
        <f>CONCATENATE("Detail: ",'Level 1'!N987,"  ",'Level 1'!O987,TEXT('Level 1'!P987,"  mm-dd-yyyy"),";"," ",'Level 1'!Q987,'Level 1'!R987,"  ",'Level 1'!T987," ","Payment "," ",'Level 1'!U987,"  ",'Level 1'!V987,"  ",'Level 1'!W987,"  ",'Level 1'!X987,"  ",'Level 1'!Z987, "  ",'Level 1'!AA987, " ","Insurance: ",'Level 1'!A987)</f>
        <v>Detail: Note  Q1  01-00-1900; Q2   Payment  Q4    Q5    Additional Notes:   Insurance: United Health Care Dental</v>
      </c>
      <c r="C987" s="60" t="str">
        <f>'Level 1'!Y987</f>
        <v>Action</v>
      </c>
      <c r="D987" s="44" t="str">
        <f>VLOOKUP(C987,Table2[#All],3,FALSE)</f>
        <v>What we need from you/Reason</v>
      </c>
      <c r="E987" s="75" t="s">
        <v>199</v>
      </c>
      <c r="F987" s="96"/>
      <c r="G987" s="97"/>
    </row>
    <row r="988" spans="1:7" ht="21" x14ac:dyDescent="0.25">
      <c r="A988" s="43" t="str">
        <f>CONCATENATE("Pt Id:",'Level 1'!E988," ","Pt Name: ",'Level 1'!F988," ","DOS: ", TEXT('Level 1'!H988,"mm-dd-yyyy"),"  "," Amnt: ","$",'Level 1'!J988,"  ", 'Level 1'!N988)</f>
        <v>Pt Id:8978 Pt Name: Vargas, Mariah DOS: 02-11-2022   Amnt: $294.8  Note</v>
      </c>
      <c r="B988" s="43" t="str">
        <f>CONCATENATE("Detail: ",'Level 1'!N988,"  ",'Level 1'!O988,TEXT('Level 1'!P988,"  mm-dd-yyyy"),";"," ",'Level 1'!Q988,'Level 1'!R988,"  ",'Level 1'!T988," ","Payment "," ",'Level 1'!U988,"  ",'Level 1'!V988,"  ",'Level 1'!W988,"  ",'Level 1'!X988,"  ",'Level 1'!Z988, "  ",'Level 1'!AA988, " ","Insurance: ",'Level 1'!A988)</f>
        <v>Detail: Note  Q1  01-00-1900; Q2   Payment  Q4    Q5    Additional Notes:   Insurance: United Health Care Dental</v>
      </c>
      <c r="C988" s="60" t="str">
        <f>'Level 1'!Y988</f>
        <v>Action</v>
      </c>
      <c r="D988" s="44" t="str">
        <f>VLOOKUP(C988,Table2[#All],3,FALSE)</f>
        <v>What we need from you/Reason</v>
      </c>
      <c r="E988" s="75" t="s">
        <v>199</v>
      </c>
      <c r="F988" s="96"/>
      <c r="G988" s="97"/>
    </row>
    <row r="989" spans="1:7" ht="42" x14ac:dyDescent="0.25">
      <c r="A989" s="43" t="str">
        <f>CONCATENATE("Pt Id:",'Level 1'!E989," ","Pt Name: ",'Level 1'!F989," ","DOS: ", TEXT('Level 1'!H989,"mm-dd-yyyy"),"  "," Amnt: ","$",'Level 1'!J989,"  ", 'Level 1'!N989)</f>
        <v>Pt Id:6102 Pt Name: Evangelista, Yazmin DOS: 02-11-2022   Amnt: $912.8  Note</v>
      </c>
      <c r="B989" s="43" t="str">
        <f>CONCATENATE("Detail: ",'Level 1'!N989,"  ",'Level 1'!O989,TEXT('Level 1'!P989,"  mm-dd-yyyy"),";"," ",'Level 1'!Q989,'Level 1'!R989,"  ",'Level 1'!T989," ","Payment "," ",'Level 1'!U989,"  ",'Level 1'!V989,"  ",'Level 1'!W989,"  ",'Level 1'!X989,"  ",'Level 1'!Z989, "  ",'Level 1'!AA989, " ","Insurance: ",'Level 1'!A989)</f>
        <v>Detail: Note  Q1  01-00-1900; Q2   Payment  Q4    Q5    Additional Notes:   Insurance: United Health Care Dental</v>
      </c>
      <c r="C989" s="60" t="str">
        <f>'Level 1'!Y989</f>
        <v>Action</v>
      </c>
      <c r="D989" s="44" t="str">
        <f>VLOOKUP(C989,Table2[#All],3,FALSE)</f>
        <v>What we need from you/Reason</v>
      </c>
      <c r="E989" s="75" t="s">
        <v>199</v>
      </c>
      <c r="F989" s="96"/>
      <c r="G989" s="97"/>
    </row>
    <row r="990" spans="1:7" ht="21" x14ac:dyDescent="0.25">
      <c r="A990" s="43" t="str">
        <f>CONCATENATE("Pt Id:",'Level 1'!E990," ","Pt Name: ",'Level 1'!F990," ","DOS: ", TEXT('Level 1'!H990,"mm-dd-yyyy"),"  "," Amnt: ","$",'Level 1'!J990,"  ", 'Level 1'!N990)</f>
        <v>Pt Id:6492 Pt Name: Williams , Treanta  DOS: 02-04-2022   Amnt: $612  Note</v>
      </c>
      <c r="B990" s="43" t="str">
        <f>CONCATENATE("Detail: ",'Level 1'!N990,"  ",'Level 1'!O990,TEXT('Level 1'!P990,"  mm-dd-yyyy"),";"," ",'Level 1'!Q990,'Level 1'!R990,"  ",'Level 1'!T990," ","Payment "," ",'Level 1'!U990,"  ",'Level 1'!V990,"  ",'Level 1'!W990,"  ",'Level 1'!X990,"  ",'Level 1'!Z990, "  ",'Level 1'!AA990, " ","Insurance: ",'Level 1'!A990)</f>
        <v>Detail: Note  Q1  01-00-1900; Q2   Payment  Q4    Q5    Additional Notes:   Insurance: United Health Care Dental</v>
      </c>
      <c r="C990" s="60" t="str">
        <f>'Level 1'!Y990</f>
        <v>Action</v>
      </c>
      <c r="D990" s="44" t="str">
        <f>VLOOKUP(C990,Table2[#All],3,FALSE)</f>
        <v>What we need from you/Reason</v>
      </c>
      <c r="E990" s="75" t="s">
        <v>199</v>
      </c>
      <c r="F990" s="96"/>
      <c r="G990" s="97"/>
    </row>
    <row r="991" spans="1:7" ht="63" x14ac:dyDescent="0.25">
      <c r="A991" s="43" t="str">
        <f>CONCATENATE("Pt Id:",'Level 1'!E991," ","Pt Name: ",'Level 1'!F991," ","DOS: ", TEXT('Level 1'!H991,"mm-dd-yyyy"),"  "," Amnt: ","$",'Level 1'!J991,"  ", 'Level 1'!N991)</f>
        <v>Pt Id:8753 Pt Name: Kahlani, Medina DOS: 01-18-2022   Amnt: $432  Ins needs more info, need to submit;</v>
      </c>
      <c r="B991" s="43" t="str">
        <f>CONCATENATE("Detail: ",'Level 1'!N991,"  ",'Level 1'!O991,TEXT('Level 1'!P991,"  mm-dd-yyyy"),";"," ",'Level 1'!Q991,'Level 1'!R991,"  ",'Level 1'!T991," ","Payment "," ",'Level 1'!U991,"  ",'Level 1'!V991,"  ",'Level 1'!W991,"  ",'Level 1'!X991,"  ",'Level 1'!Z991, "  ",'Level 1'!AA991, " ","Insurance: ",'Level 1'!A991)</f>
        <v>Detail: Ins needs more info, need to submit;  Attachments/Info needed?  01-00-1900; Fax # (If Fax Yes):Prim EOB required   Payment  Cust Rep:    0    Additional Notes:  CLM # 20220114133162, Required Primary EOB for processing. Insurance: United Health Care Dental</v>
      </c>
      <c r="C991" s="60" t="str">
        <f>'Level 1'!Y991</f>
        <v xml:space="preserve">Task Sub Pending Claims Queue </v>
      </c>
      <c r="D991" s="44" t="str">
        <f>VLOOKUP(C991,Table2[#All],3,FALSE)</f>
        <v>N/A</v>
      </c>
      <c r="E991" s="75" t="s">
        <v>193</v>
      </c>
      <c r="F991" s="96" t="s">
        <v>3698</v>
      </c>
      <c r="G991" s="97"/>
    </row>
    <row r="992" spans="1:7" ht="42" x14ac:dyDescent="0.25">
      <c r="A992" s="43" t="str">
        <f>CONCATENATE("Pt Id:",'Level 1'!E992," ","Pt Name: ",'Level 1'!F992," ","DOS: ", TEXT('Level 1'!H992,"mm-dd-yyyy"),"  "," Amnt: ","$",'Level 1'!J992,"  ", 'Level 1'!N992)</f>
        <v>Pt Id:7139 Pt Name: Naumczik , Stacey  DOS: 01-12-2022   Amnt: $253.2  Write information in Addl Notes</v>
      </c>
      <c r="B992" s="43" t="str">
        <f>CONCATENATE("Detail: ",'Level 1'!N992,"  ",'Level 1'!O992,TEXT('Level 1'!P992,"  mm-dd-yyyy"),";"," ",'Level 1'!Q992,'Level 1'!R992,"  ",'Level 1'!T992," ","Payment "," ",'Level 1'!U992,"  ",'Level 1'!V992,"  ",'Level 1'!W992,"  ",'Level 1'!X992,"  ",'Level 1'!Z992, "  ",'Level 1'!AA992, " ","Insurance: ",'Level 1'!A992)</f>
        <v>Detail: Write information in Addl Notes  Call Ref#:  01-00-1900; Cust Rep:   Payment            Additional Notes:   Insurance: United Health Care Dental</v>
      </c>
      <c r="C992" s="60" t="str">
        <f>'Level 1'!Y992</f>
        <v xml:space="preserve"> Team Lead to review &amp; Follow-Up</v>
      </c>
      <c r="D992" s="44" t="e">
        <f>VLOOKUP(C992,Table2[#All],3,FALSE)</f>
        <v>#N/A</v>
      </c>
      <c r="E992" s="75" t="s">
        <v>199</v>
      </c>
      <c r="F992" s="96"/>
      <c r="G992" s="97"/>
    </row>
    <row r="993" spans="1:7" ht="63" x14ac:dyDescent="0.25">
      <c r="A993" s="43" t="str">
        <f>CONCATENATE("Pt Id:",'Level 1'!E993," ","Pt Name: ",'Level 1'!F993," ","DOS: ", TEXT('Level 1'!H993,"mm-dd-yyyy"),"  "," Amnt: ","$",'Level 1'!J993,"  ", 'Level 1'!N993)</f>
        <v>Pt Id:8775 Pt Name: Vargas Ruiz , Alfredo DOS: 01-04-2022   Amnt: $608.4  Claim Paid by EFT;</v>
      </c>
      <c r="B993" s="43" t="str">
        <f>CONCATENATE("Detail: ",'Level 1'!N993,"  ",'Level 1'!O993,TEXT('Level 1'!P993,"  mm-dd-yyyy"),";"," ",'Level 1'!Q993,'Level 1'!R993,"  ",'Level 1'!T993," ","Payment "," ",'Level 1'!U993,"  ",'Level 1'!V993,"  ",'Level 1'!W993,"  ",'Level 1'!X993,"  ",'Level 1'!Z993, "  ",'Level 1'!AA993, " ","Insurance: ",'Level 1'!A993)</f>
        <v>Detail: Claim Paid by EFT;  Issue Date:  01-19-2022; EFT#7293793  Bulk Payment  Call Ref#:    Cust Rep:    Additional Notes:  Clm # 20220114133121; Pd Amt : $338.39, Bulk Amt : $3842.38 Insurance: United Health Care Dental</v>
      </c>
      <c r="C993" s="60" t="str">
        <f>'Level 1'!Y993</f>
        <v xml:space="preserve">Task Post Pmt Queue </v>
      </c>
      <c r="D993" s="44" t="str">
        <f>VLOOKUP(C993,Table2[#All],3,FALSE)</f>
        <v>N/A</v>
      </c>
      <c r="E993" s="75" t="s">
        <v>193</v>
      </c>
      <c r="F993" s="96" t="s">
        <v>3698</v>
      </c>
      <c r="G993" s="97"/>
    </row>
    <row r="994" spans="1:7" ht="63" x14ac:dyDescent="0.25">
      <c r="A994" s="43" t="str">
        <f>CONCATENATE("Pt Id:",'Level 1'!E994," ","Pt Name: ",'Level 1'!F994," ","DOS: ", TEXT('Level 1'!H994,"mm-dd-yyyy"),"  "," Amnt: ","$",'Level 1'!J994,"  ", 'Level 1'!N994)</f>
        <v>Pt Id:8753 Pt Name: Kahlani, Medina DOS: 01-04-2022   Amnt: $585.6  Ins needs more info, need to submit;</v>
      </c>
      <c r="B994" s="43" t="str">
        <f>CONCATENATE("Detail: ",'Level 1'!N994,"  ",'Level 1'!O994,TEXT('Level 1'!P994,"  mm-dd-yyyy"),";"," ",'Level 1'!Q994,'Level 1'!R994,"  ",'Level 1'!T994," ","Payment "," ",'Level 1'!U994,"  ",'Level 1'!V994,"  ",'Level 1'!W994,"  ",'Level 1'!X994,"  ",'Level 1'!Z994, "  ",'Level 1'!AA994, " ","Insurance: ",'Level 1'!A994)</f>
        <v>Detail: Ins needs more info, need to submit;  Attachments/Info needed?Prim EOB required; Fax # (If Fax Yes):   Payment  Cust Rep:    0    Additional Notes:  CLM # 20220114133162, Required Primary EOB for processing. Insurance: United Health Care Dental</v>
      </c>
      <c r="C994" s="60" t="str">
        <f>'Level 1'!Y994</f>
        <v xml:space="preserve">Task Sub Pending Claims Queue </v>
      </c>
      <c r="D994" s="44" t="str">
        <f>VLOOKUP(C994,Table2[#All],3,FALSE)</f>
        <v>N/A</v>
      </c>
      <c r="E994" s="75" t="s">
        <v>199</v>
      </c>
      <c r="F994" s="96"/>
      <c r="G994" s="97"/>
    </row>
    <row r="995" spans="1:7" ht="63" x14ac:dyDescent="0.25">
      <c r="A995" s="43" t="str">
        <f>CONCATENATE("Pt Id:",'Level 1'!E995," ","Pt Name: ",'Level 1'!F995," ","DOS: ", TEXT('Level 1'!H995,"mm-dd-yyyy"),"  "," Amnt: ","$",'Level 1'!J995,"  ", 'Level 1'!N995)</f>
        <v>Pt Id:7891 Pt Name: Pollack , Kai DOS: 12-17-2021   Amnt: $0  Claim not on file. Patient is active ;</v>
      </c>
      <c r="B995" s="43" t="str">
        <f>CONCATENATE("Detail: ",'Level 1'!N995,"  ",'Level 1'!O995,TEXT('Level 1'!P995,"  mm-dd-yyyy"),";"," ",'Level 1'!Q995,'Level 1'!R995,"  ",'Level 1'!T995," ","Payment "," ",'Level 1'!U995,"  ",'Level 1'!V995,"  ",'Level 1'!W995,"  ",'Level 1'!X995,"  ",'Level 1'!Z995, "  ",'Level 1'!AA995, " ","Insurance: ",'Level 1'!A995)</f>
        <v>Detail: Claim not on file. Patient is active ;  Payor ID &amp; Address:GP133 &amp; P O Box 583; Milwaukee; WI - 53201; Fax # (If Fax Yes):NA  90 days from DOS Payment  Call Ref#:  TeresaR02/22/2022  Cust Rep:  Teresa  Additional Notes:  Need to resubmit the claim &amp; Procedure code looks incorrect. Insurance: United Health Care Dental</v>
      </c>
      <c r="C995" s="60" t="str">
        <f>'Level 1'!Y995</f>
        <v>Task Sub Pending Claims Queue</v>
      </c>
      <c r="D995" s="44" t="str">
        <f>VLOOKUP(C995,Table2[#All],3,FALSE)</f>
        <v>N/A</v>
      </c>
      <c r="E995" s="75" t="s">
        <v>199</v>
      </c>
      <c r="F995" s="96"/>
      <c r="G995" s="97"/>
    </row>
    <row r="996" spans="1:7" ht="63" x14ac:dyDescent="0.25">
      <c r="A996" s="43" t="str">
        <f>CONCATENATE("Pt Id:",'Level 1'!E996," ","Pt Name: ",'Level 1'!F996," ","DOS: ", TEXT('Level 1'!H996,"mm-dd-yyyy"),"  "," Amnt: ","$",'Level 1'!J996,"  ", 'Level 1'!N996)</f>
        <v>Pt Id:7481 Pt Name: Salamone Cacciotti , Kimberle DOS: 12-10-2021   Amnt: $314.4  Claim Paid by EFT;</v>
      </c>
      <c r="B996" s="43" t="str">
        <f>CONCATENATE("Detail: ",'Level 1'!N996,"  ",'Level 1'!O996,TEXT('Level 1'!P996,"  mm-dd-yyyy"),";"," ",'Level 1'!Q996,'Level 1'!R996,"  ",'Level 1'!T996," ","Payment "," ",'Level 1'!U996,"  ",'Level 1'!V996,"  ",'Level 1'!W996,"  ",'Level 1'!X996,"  ",'Level 1'!Z996, "  ",'Level 1'!AA996, " ","Insurance: ",'Level 1'!A996)</f>
        <v>Detail: Claim Paid by EFT;  Issue Date:  12-21-2021; EFT#7258482  Single  Payment  Call Ref#:  TeresaR02/22/2022  Cust Rep:  Teresa  Additional Notes:  CLM # 20211215150948; D0140 - Denied for Freq - Once per Cal year; History Date : 07/07/2021; D7210 - Paid Amt : $100 (Pt maxed out) Pt Resp : $108. Insurance: United Health Care Dental</v>
      </c>
      <c r="C996" s="60" t="str">
        <f>'Level 1'!Y996</f>
        <v xml:space="preserve">Task Post Pmt Queue </v>
      </c>
      <c r="D996" s="44" t="str">
        <f>VLOOKUP(C996,Table2[#All],3,FALSE)</f>
        <v>N/A</v>
      </c>
      <c r="E996" s="75" t="s">
        <v>199</v>
      </c>
      <c r="F996" s="96"/>
      <c r="G996" s="97"/>
    </row>
    <row r="997" spans="1:7" ht="63" x14ac:dyDescent="0.25">
      <c r="A997" s="43" t="str">
        <f>CONCATENATE("Pt Id:",'Level 1'!E997," ","Pt Name: ",'Level 1'!F997," ","DOS: ", TEXT('Level 1'!H997,"mm-dd-yyyy"),"  "," Amnt: ","$",'Level 1'!J997,"  ", 'Level 1'!N997)</f>
        <v>Pt Id:8601 Pt Name: Jaeger , Brooke  DOS: 12-10-2021   Amnt: $332.4  Ins needs more info, need to submit;</v>
      </c>
      <c r="B997" s="43" t="str">
        <f>CONCATENATE("Detail: ",'Level 1'!N997,"  ",'Level 1'!O997,TEXT('Level 1'!P997,"  mm-dd-yyyy"),";"," ",'Level 1'!Q997,'Level 1'!R997,"  ",'Level 1'!T997," ","Payment "," ",'Level 1'!U997,"  ",'Level 1'!V997,"  ",'Level 1'!W997,"  ",'Level 1'!X997,"  ",'Level 1'!Z997, "  ",'Level 1'!AA997, " ","Insurance: ",'Level 1'!A997)</f>
        <v>Detail: Ins needs more info, need to submit;  Attachments/Info needed?Prim EOB required; Fax # (If Fax Yes):   Payment  Cust Rep:    0    Additional Notes:  CLM # 2021121515180; Need to submit Primary EOB Insurance: United Health Care Dental</v>
      </c>
      <c r="C997" s="60" t="str">
        <f>'Level 1'!Y997</f>
        <v xml:space="preserve">Task Sub Pending Claims Queue </v>
      </c>
      <c r="D997" s="44" t="str">
        <f>VLOOKUP(C997,Table2[#All],3,FALSE)</f>
        <v>N/A</v>
      </c>
      <c r="E997" s="75" t="s">
        <v>199</v>
      </c>
      <c r="F997" s="96"/>
      <c r="G997" s="97"/>
    </row>
    <row r="998" spans="1:7" ht="42" x14ac:dyDescent="0.25">
      <c r="A998" s="43" t="str">
        <f>CONCATENATE("Pt Id:",'Level 1'!E998," ","Pt Name: ",'Level 1'!F998," ","DOS: ", TEXT('Level 1'!H998,"mm-dd-yyyy"),"  "," Amnt: ","$",'Level 1'!J998,"  ", 'Level 1'!N998)</f>
        <v>Pt Id:1747 Pt Name: Velazquez, Spencer DOS: 12-06-2021   Amnt: $227.6  Ins needs more info, need to submit;</v>
      </c>
      <c r="B998" s="43" t="str">
        <f>CONCATENATE("Detail: ",'Level 1'!N998,"  ",'Level 1'!O998,TEXT('Level 1'!P998,"  mm-dd-yyyy"),";"," ",'Level 1'!Q998,'Level 1'!R998,"  ",'Level 1'!T998," ","Payment "," ",'Level 1'!U998,"  ",'Level 1'!V998,"  ",'Level 1'!W998,"  ",'Level 1'!X998,"  ",'Level 1'!Z998, "  ",'Level 1'!AA998, " ","Insurance: ",'Level 1'!A998)</f>
        <v>Detail: Ins needs more info, need to submit;  Attachments/Info needed?Prim EOB required; Fax # (If Fax Yes):NA   Payment  Cust Rep:    0    Additional Notes:  CLM # 20211213119732 Insurance: United Health Care Dental</v>
      </c>
      <c r="C998" s="60" t="str">
        <f>'Level 1'!Y998</f>
        <v xml:space="preserve">Task Sub Pending Claims Queue </v>
      </c>
      <c r="D998" s="44" t="str">
        <f>VLOOKUP(C998,Table2[#All],3,FALSE)</f>
        <v>N/A</v>
      </c>
      <c r="E998" s="75" t="s">
        <v>199</v>
      </c>
      <c r="F998" s="96"/>
      <c r="G998" s="97"/>
    </row>
    <row r="999" spans="1:7" ht="63" x14ac:dyDescent="0.25">
      <c r="A999" s="43" t="str">
        <f>CONCATENATE("Pt Id:",'Level 1'!E999," ","Pt Name: ",'Level 1'!F999," ","DOS: ", TEXT('Level 1'!H999,"mm-dd-yyyy"),"  "," Amnt: ","$",'Level 1'!J999,"  ", 'Level 1'!N999)</f>
        <v>Pt Id:7647 Pt Name: Siebold , Ruth  DOS: 11-29-2021   Amnt: $226.8  Claim Paid by EFT;</v>
      </c>
      <c r="B999" s="43" t="str">
        <f>CONCATENATE("Detail: ",'Level 1'!N999,"  ",'Level 1'!O999,TEXT('Level 1'!P999,"  mm-dd-yyyy"),";"," ",'Level 1'!Q999,'Level 1'!R999,"  ",'Level 1'!T999," ","Payment "," ",'Level 1'!U999,"  ",'Level 1'!V999,"  ",'Level 1'!W999,"  ",'Level 1'!X999,"  ",'Level 1'!Z999, "  ",'Level 1'!AA999, " ","Insurance: ",'Level 1'!A999)</f>
        <v>Detail: Claim Paid by EFT;  Issue Date:  12-07-2021; EFT#7237071  Bulk Payment  Call Ref#:  SadeC02222022  Cust Rep:  Sade  Additional Notes:  CLM # 20211202102664; D0140 - Denied for Freq, Once a cal year - History Date : 08/17/2021 Insurance: United Health Care Dental</v>
      </c>
      <c r="C999" s="60" t="str">
        <f>'Level 1'!Y999</f>
        <v xml:space="preserve">Task Post Pmt Queue </v>
      </c>
      <c r="D999" s="44" t="str">
        <f>VLOOKUP(C999,Table2[#All],3,FALSE)</f>
        <v>N/A</v>
      </c>
      <c r="E999" s="75" t="s">
        <v>199</v>
      </c>
      <c r="F999" s="96"/>
      <c r="G999" s="97"/>
    </row>
    <row r="1000" spans="1:7" ht="63" x14ac:dyDescent="0.25">
      <c r="A1000" s="43" t="str">
        <f>CONCATENATE("Pt Id:",'Level 1'!E1000," ","Pt Name: ",'Level 1'!F1000," ","DOS: ", TEXT('Level 1'!H1000,"mm-dd-yyyy"),"  "," Amnt: ","$",'Level 1'!J1000,"  ", 'Level 1'!N1000)</f>
        <v>Pt Id:8533 Pt Name: Martinez Mendez , Kiara DOS: 11-23-2021   Amnt: $294.8  Claim Paid by EFT;</v>
      </c>
      <c r="B1000" s="43" t="str">
        <f>CONCATENATE("Detail: ",'Level 1'!N1000,"  ",'Level 1'!O1000,TEXT('Level 1'!P1000,"  mm-dd-yyyy"),";"," ",'Level 1'!Q1000,'Level 1'!R1000,"  ",'Level 1'!T1000," ","Payment "," ",'Level 1'!U1000,"  ",'Level 1'!V1000,"  ",'Level 1'!W1000,"  ",'Level 1'!X1000,"  ",'Level 1'!Z1000, "  ",'Level 1'!AA1000, " ","Insurance: ",'Level 1'!A1000)</f>
        <v>Detail: Claim Paid by EFT;  Issue Date:  12-07-2021; EFT#7235767  Bulk Payment  Call Ref#:  Maganr02172022  Cust Rep:  Magan  Additional Notes:  CLM # 20211202103411. D0220, D0230 &amp; D0274 are bundled to D0210 which is denied due to freq, Once in 3 years - History Date : 02/25/2020 Insurance: United Health Care Dental</v>
      </c>
      <c r="C1000" s="60" t="str">
        <f>'Level 1'!Y1000</f>
        <v xml:space="preserve">Task Post Pmt Queue </v>
      </c>
      <c r="D1000" s="44" t="str">
        <f>VLOOKUP(C1000,Table2[#All],3,FALSE)</f>
        <v>N/A</v>
      </c>
      <c r="E1000" s="75" t="s">
        <v>199</v>
      </c>
      <c r="F1000" s="96"/>
      <c r="G1000" s="97"/>
    </row>
    <row r="1001" spans="1:7" ht="63" x14ac:dyDescent="0.25">
      <c r="A1001" s="43" t="str">
        <f>CONCATENATE("Pt Id:",'Level 1'!E1001," ","Pt Name: ",'Level 1'!F1001," ","DOS: ", TEXT('Level 1'!H1001,"mm-dd-yyyy"),"  "," Amnt: ","$",'Level 1'!J1001,"  ", 'Level 1'!N1001)</f>
        <v>Pt Id:8358 Pt Name: Kraft, Douglas DOS: 11-12-2021   Amnt: $148.8  Claim not on file. Patient is active ;</v>
      </c>
      <c r="B1001" s="43" t="str">
        <f>CONCATENATE("Detail: ",'Level 1'!N1001,"  ",'Level 1'!O1001,TEXT('Level 1'!P1001,"  mm-dd-yyyy"),";"," ",'Level 1'!Q1001,'Level 1'!R1001,"  ",'Level 1'!T1001," ","Payment "," ",'Level 1'!U1001,"  ",'Level 1'!V1001,"  ",'Level 1'!W1001,"  ",'Level 1'!X1001,"  ",'Level 1'!Z1001, "  ",'Level 1'!AA1001, " ","Insurance: ",'Level 1'!A1001)</f>
        <v>Detail: Claim not on file. Patient is active ;  Payor ID &amp; Address:GP133; Fax # (If Fax Yes):   Payment  Call Ref#:  Portal  Cust Rep:    Additional Notes:  Need to resubmit the claim along with the PANO. - Task Response Insurance: United Health Care Dental</v>
      </c>
      <c r="C1001" s="60" t="str">
        <f>'Level 1'!Y1001</f>
        <v>Task Sub Pending Claims Queue</v>
      </c>
      <c r="D1001" s="44" t="str">
        <f>VLOOKUP(C1001,Table2[#All],3,FALSE)</f>
        <v>N/A</v>
      </c>
      <c r="E1001" s="75" t="s">
        <v>199</v>
      </c>
      <c r="F1001" s="96"/>
      <c r="G1001" s="97"/>
    </row>
    <row r="1002" spans="1:7" ht="63" x14ac:dyDescent="0.25">
      <c r="A1002" s="43" t="str">
        <f>CONCATENATE("Pt Id:",'Level 1'!E1002," ","Pt Name: ",'Level 1'!F1002," ","DOS: ", TEXT('Level 1'!H1002,"mm-dd-yyyy"),"  "," Amnt: ","$",'Level 1'!J1002,"  ", 'Level 1'!N1002)</f>
        <v>Pt Id:5180 Pt Name: Chavez, Britney DOS: 11-10-2021   Amnt: $61.2  Claim Paid by EFT;</v>
      </c>
      <c r="B1002" s="43" t="str">
        <f>CONCATENATE("Detail: ",'Level 1'!N1002,"  ",'Level 1'!O1002,TEXT('Level 1'!P1002,"  mm-dd-yyyy"),";"," ",'Level 1'!Q1002,'Level 1'!R1002,"  ",'Level 1'!T1002," ","Payment "," ",'Level 1'!U1002,"  ",'Level 1'!V1002,"  ",'Level 1'!W1002,"  ",'Level 1'!X1002,"  ",'Level 1'!Z1002, "  ",'Level 1'!AA1002, " ","Insurance: ",'Level 1'!A1002)</f>
        <v>Detail: Claim Paid by EFT;  Issue Date:  11-18-2021; EFT#7214927  BULK Payment  Call Ref#:  Priscillas02172022  Cust Rep:  Priscilla  Additional Notes:  CLM # 20211116133789; Pd Amt : $55.20; Bulk Amt : $1634.28. Insurance: United Health Care Dental</v>
      </c>
      <c r="C1002" s="60" t="str">
        <f>'Level 1'!Y1002</f>
        <v xml:space="preserve">Task Post Pmt Queue </v>
      </c>
      <c r="D1002" s="44" t="str">
        <f>VLOOKUP(C1002,Table2[#All],3,FALSE)</f>
        <v>N/A</v>
      </c>
      <c r="E1002" s="75" t="s">
        <v>199</v>
      </c>
      <c r="F1002" s="96"/>
      <c r="G1002" s="97"/>
    </row>
    <row r="1003" spans="1:7" ht="84" x14ac:dyDescent="0.25">
      <c r="A1003" s="43" t="str">
        <f>CONCATENATE("Pt Id:",'Level 1'!E1003," ","Pt Name: ",'Level 1'!F1003," ","DOS: ", TEXT('Level 1'!H1003,"mm-dd-yyyy"),"  "," Amnt: ","$",'Level 1'!J1003,"  ", 'Level 1'!N1003)</f>
        <v>Pt Id:2009 Pt Name: Bautista, Nathan DOS: 07-30-2021   Amnt: $1515.6  Denied due to Timely Filing Limit;</v>
      </c>
      <c r="B1003" s="43" t="str">
        <f>CONCATENATE("Detail: ",'Level 1'!N1003,"  ",'Level 1'!O1003,TEXT('Level 1'!P1003,"  mm-dd-yyyy"),";"," ",'Level 1'!Q1003,'Level 1'!R1003,"  ",'Level 1'!T1003," ","Payment "," ",'Level 1'!U1003,"  ",'Level 1'!V1003,"  ",'Level 1'!W1003,"  ",'Level 1'!X1003,"  ",'Level 1'!Z1003, "  ",'Level 1'!AA1003, " ","Insurance: ",'Level 1'!A1003)</f>
        <v>Detail: Denied due to Timely Filing Limit;  TFL in months:90 days from DOS; Claim Rec'd on:44880  Priscillas02172022 Payment  Cust Rep:  Priscilla  0    Additional Notes:  Need to resubmit the claim along with Narrative (Mentioning the reason for delay in submission) as we have exceeded TFL. Insurance: United Health Care Dental</v>
      </c>
      <c r="C1003" s="60" t="str">
        <f>'Level 1'!Y1003</f>
        <v xml:space="preserve">Task Appeals Queue </v>
      </c>
      <c r="D1003" s="44" t="str">
        <f>VLOOKUP(C1003,Table2[#All],3,FALSE)</f>
        <v>N/A</v>
      </c>
      <c r="E1003" s="75" t="s">
        <v>199</v>
      </c>
      <c r="F1003" s="96"/>
      <c r="G1003" s="97"/>
    </row>
    <row r="1004" spans="1:7" ht="105" x14ac:dyDescent="0.25">
      <c r="A1004" s="43" t="str">
        <f>CONCATENATE("Pt Id:",'Level 1'!E1004," ","Pt Name: ",'Level 1'!F1004," ","DOS: ", TEXT('Level 1'!H1004,"mm-dd-yyyy"),"  "," Amnt: ","$",'Level 1'!J1004,"  ", 'Level 1'!N1004)</f>
        <v>Pt Id:5078 Pt Name: Pandey, Asha DOS: 09-14-2021   Amnt: $199.2  Claim Paid by EFT;</v>
      </c>
      <c r="B1004" s="43" t="str">
        <f>CONCATENATE("Detail: ",'Level 1'!N1004,"  ",'Level 1'!O1004,TEXT('Level 1'!P1004,"  mm-dd-yyyy"),";"," ",'Level 1'!Q1004,'Level 1'!R1004,"  ",'Level 1'!T1004," ","Payment "," ",'Level 1'!U1004,"  ",'Level 1'!V1004,"  ",'Level 1'!W1004,"  ",'Level 1'!X1004,"  ",'Level 1'!Z1004, "  ",'Level 1'!AA1004, " ","Insurance: ",'Level 1'!A1004)</f>
        <v>Detail: Claim Paid by EFT;  Issue Date:  09-27-2021; EFT#7133676 &amp; 7140963  BULK Payment  Call Ref#:  Priscillas02172022  Cust Rep:  Priscilla  Additional Notes:  CLM # : 20210921101272 - Pd amt : $108, Bulk : $3643, Issue Date : 09/27/2021, D7140 was paid, D0140 was denied due to freq (Once in a cal year) History Date : 09/14/2021 (Sent multiple claims on same day, this code paid in different claim). CLM # 20210921M01272; D0140 - Pd Amt : $52, Bulk : $211.30, Issue Date : 09/20/2021.. Insurance: United Health Care Dental</v>
      </c>
      <c r="C1004" s="60" t="str">
        <f>'Level 1'!Y1004</f>
        <v xml:space="preserve">Task Post Pmt Queue </v>
      </c>
      <c r="D1004" s="44" t="str">
        <f>VLOOKUP(C1004,Table2[#All],3,FALSE)</f>
        <v>N/A</v>
      </c>
      <c r="E1004" s="75" t="s">
        <v>199</v>
      </c>
      <c r="F1004" s="96"/>
      <c r="G1004" s="97"/>
    </row>
    <row r="1005" spans="1:7" ht="63" x14ac:dyDescent="0.25">
      <c r="A1005" s="43" t="str">
        <f>CONCATENATE("Pt Id:",'Level 1'!E1005," ","Pt Name: ",'Level 1'!F1005," ","DOS: ", TEXT('Level 1'!H1005,"mm-dd-yyyy"),"  "," Amnt: ","$",'Level 1'!J1005,"  ", 'Level 1'!N1005)</f>
        <v>Pt Id:5078 Pt Name: Pandey, Asha DOS: 09-28-2021   Amnt: $138  Claim Paid by EFT;</v>
      </c>
      <c r="B1005" s="43" t="str">
        <f>CONCATENATE("Detail: ",'Level 1'!N1005,"  ",'Level 1'!O1005,TEXT('Level 1'!P1005,"  mm-dd-yyyy"),";"," ",'Level 1'!Q1005,'Level 1'!R1005,"  ",'Level 1'!T1005," ","Payment "," ",'Level 1'!U1005,"  ",'Level 1'!V1005,"  ",'Level 1'!W1005,"  ",'Level 1'!X1005,"  ",'Level 1'!Z1005, "  ",'Level 1'!AA1005, " ","Insurance: ",'Level 1'!A1005)</f>
        <v>Detail: Claim Paid by EFT;  Issue Date:  10-12-2021; EFT#7153976  Single check Payment  Call Ref#:  Priscillas02172022  Cust Rep:  Priscilla  Additional Notes:  CLM # 20211004138685; Pd Amt : $108;  Insurance: United Health Care Dental</v>
      </c>
      <c r="C1005" s="60" t="str">
        <f>'Level 1'!Y1005</f>
        <v xml:space="preserve">Task Post Pmt Queue </v>
      </c>
      <c r="D1005" s="44" t="str">
        <f>VLOOKUP(C1005,Table2[#All],3,FALSE)</f>
        <v>N/A</v>
      </c>
      <c r="E1005" s="75" t="s">
        <v>199</v>
      </c>
      <c r="F1005" s="96"/>
      <c r="G1005" s="97"/>
    </row>
    <row r="1006" spans="1:7" ht="63" x14ac:dyDescent="0.25">
      <c r="A1006" s="43" t="str">
        <f>CONCATENATE("Pt Id:",'Level 1'!E1006," ","Pt Name: ",'Level 1'!F1006," ","DOS: ", TEXT('Level 1'!H1006,"mm-dd-yyyy"),"  "," Amnt: ","$",'Level 1'!J1006,"  ", 'Level 1'!N1006)</f>
        <v>Pt Id:5078 Pt Name: Pandey, Asha DOS: 10-11-2021   Amnt: $276  Claim Paid by EFT;</v>
      </c>
      <c r="B1006" s="43" t="str">
        <f>CONCATENATE("Detail: ",'Level 1'!N1006,"  ",'Level 1'!O1006,TEXT('Level 1'!P1006,"  mm-dd-yyyy"),";"," ",'Level 1'!Q1006,'Level 1'!R1006,"  ",'Level 1'!T1006," ","Payment "," ",'Level 1'!U1006,"  ",'Level 1'!V1006,"  ",'Level 1'!W1006,"  ",'Level 1'!X1006,"  ",'Level 1'!Z1006, "  ",'Level 1'!AA1006, " ","Insurance: ",'Level 1'!A1006)</f>
        <v>Detail: Claim Paid by EFT;  Issue Date:  10-19-2021; EFT#7165073  BULK Payment  Call Ref#:  Priscillas02172022  Cust Rep:  Priscilla  Additional Notes:  CLM # 20211015181678; Pd Amt : $216;  Insurance: United Health Care Dental</v>
      </c>
      <c r="C1006" s="60" t="str">
        <f>'Level 1'!Y1006</f>
        <v xml:space="preserve">Task Post Pmt Queue </v>
      </c>
      <c r="D1006" s="44" t="str">
        <f>VLOOKUP(C1006,Table2[#All],3,FALSE)</f>
        <v>N/A</v>
      </c>
      <c r="E1006" s="75" t="s">
        <v>199</v>
      </c>
      <c r="F1006" s="96"/>
      <c r="G1006" s="97"/>
    </row>
    <row r="1007" spans="1:7" ht="84" x14ac:dyDescent="0.25">
      <c r="A1007" s="43" t="str">
        <f>CONCATENATE("Pt Id:",'Level 1'!E1007," ","Pt Name: ",'Level 1'!F1007," ","DOS: ", TEXT('Level 1'!H1007,"mm-dd-yyyy"),"  "," Amnt: ","$",'Level 1'!J1007,"  ", 'Level 1'!N1007)</f>
        <v>Pt Id:8047 Pt Name: Mason, Umar DOS: 11-05-2021   Amnt: $480  Ins needs more info, need to submit;</v>
      </c>
      <c r="B1007" s="43" t="str">
        <f>CONCATENATE("Detail: ",'Level 1'!N1007,"  ",'Level 1'!O1007,TEXT('Level 1'!P1007,"  mm-dd-yyyy"),";"," ",'Level 1'!Q1007,'Level 1'!R1007,"  ",'Level 1'!T1007," ","Payment "," ",'Level 1'!U1007,"  ",'Level 1'!V1007,"  ",'Level 1'!W1007,"  ",'Level 1'!X1007,"  ",'Level 1'!Z1007, "  ",'Level 1'!AA1007, " ","Insurance: ",'Level 1'!A1007)</f>
        <v>Detail: Ins needs more info, need to submit;  Attachments/Info needed?Prim EOB required; Fax # (If Fax Yes):NA  Priscillas02172022 Payment  Cust Rep:  Priscilla  0    Additional Notes:  Rec Date : 11/12/2021. Need to appeal with Narrative (mentioning the reason for delay in reponding), Prim EOB &amp; other supportive docs if any. Payer ID: GP133, Mailling Address : PO Box 481, Milwaukee, WI - 53201 Insurance: United Health Care Dental</v>
      </c>
      <c r="C1007" s="60" t="str">
        <f>'Level 1'!Y1007</f>
        <v xml:space="preserve">Task Sub Pending Claims Queue </v>
      </c>
      <c r="D1007" s="44" t="str">
        <f>VLOOKUP(C1007,Table2[#All],3,FALSE)</f>
        <v>N/A</v>
      </c>
      <c r="E1007" s="75" t="s">
        <v>199</v>
      </c>
      <c r="F1007" s="96"/>
      <c r="G1007" s="97"/>
    </row>
    <row r="1008" spans="1:7" ht="84" x14ac:dyDescent="0.25">
      <c r="A1008" s="43" t="str">
        <f>CONCATENATE("Pt Id:",'Level 1'!E1008," ","Pt Name: ",'Level 1'!F1008," ","DOS: ", TEXT('Level 1'!H1008,"mm-dd-yyyy"),"  "," Amnt: ","$",'Level 1'!J1008,"  ", 'Level 1'!N1008)</f>
        <v>Pt Id:8254 Pt Name: Rojas, Emiliano DOS: 11-02-2021   Amnt: $158.4  Claim Paid by EFT;</v>
      </c>
      <c r="B1008" s="43" t="str">
        <f>CONCATENATE("Detail: ",'Level 1'!N1008,"  ",'Level 1'!O1008,TEXT('Level 1'!P1008,"  mm-dd-yyyy"),";"," ",'Level 1'!Q1008,'Level 1'!R1008,"  ",'Level 1'!T1008," ","Payment "," ",'Level 1'!U1008,"  ",'Level 1'!V1008,"  ",'Level 1'!W1008,"  ",'Level 1'!X1008,"  ",'Level 1'!Z1008, "  ",'Level 1'!AA1008, " ","Insurance: ",'Level 1'!A1008)</f>
        <v>Detail: Claim Paid by EFT;  Issue Date:  11-10-2021; EFT#7205926  BULK Payment  Call Ref#:  Priscilla02/17/2022  Cust Rep:  Priscilla  Additional Notes:  D0220 was denied - bundled with other procedure D0220, D0272 was denied due to frequency (Once in 6 months). History Date : 11/02/2021 (Claim sent by other provider on the same date). Insurance: United Health Care Dental</v>
      </c>
      <c r="C1008" s="60" t="str">
        <f>'Level 1'!Y1008</f>
        <v xml:space="preserve">Task Post Pmt Queue </v>
      </c>
      <c r="D1008" s="44" t="str">
        <f>VLOOKUP(C1008,Table2[#All],3,FALSE)</f>
        <v>N/A</v>
      </c>
      <c r="E1008" s="75" t="s">
        <v>199</v>
      </c>
      <c r="F1008" s="96"/>
      <c r="G1008" s="97"/>
    </row>
    <row r="1009" spans="1:7" ht="105" x14ac:dyDescent="0.25">
      <c r="A1009" s="43" t="str">
        <f>CONCATENATE("Pt Id:",'Level 1'!E1009," ","Pt Name: ",'Level 1'!F1009," ","DOS: ", TEXT('Level 1'!H1009,"mm-dd-yyyy"),"  "," Amnt: ","$",'Level 1'!J1009,"  ", 'Level 1'!N1009)</f>
        <v>Pt Id:8377 Pt Name: Castillo, Maria  DOS: 11-04-2021   Amnt: $816  Claim Paid by Check;</v>
      </c>
      <c r="B1009" s="43" t="str">
        <f>CONCATENATE("Detail: ",'Level 1'!N1009,"  ",'Level 1'!O1009,TEXT('Level 1'!P1009,"  mm-dd-yyyy"),";"," ",'Level 1'!Q1009,'Level 1'!R1009,"  ",'Level 1'!T1009," ","Payment "," ",'Level 1'!U1009,"  ",'Level 1'!V1009,"  ",'Level 1'!W1009,"  ",'Level 1'!X1009,"  ",'Level 1'!Z1009, "  ",'Level 1'!AA1009, " ","Insurance: ",'Level 1'!A1009)</f>
        <v>Detail: Claim Paid by Check;  Issue Date:  11-10-2021; CHK#7205926  BULK Payment  Call Ref#:  Priscilla02/17/2022  Cust Rep:  Priscilla  Additional Notes:  CLM # 20211110173030, TFL : 90 days from DOS. D0210 &amp; D0150 are paid. D4342 (4 same codes) aren't paid due to preauthorization denial. Preauth denied requesting for Perio Charting. We need to get preauth approved before in order to get the claim approved. Also, need to submit narrative (mentioning the reason for delay) as we exceeded TFL. Insurance: United Health Care Dental</v>
      </c>
      <c r="C1009" s="60" t="str">
        <f>'Level 1'!Y1009</f>
        <v xml:space="preserve">Task Cashed Chk Queue </v>
      </c>
      <c r="D1009" s="44" t="str">
        <f>VLOOKUP(C1009,Table2[#All],3,FALSE)</f>
        <v>What We Need From You: Please confirm Check was received. Reason: To close claim.</v>
      </c>
      <c r="E1009" s="75" t="s">
        <v>193</v>
      </c>
      <c r="F1009" s="96" t="s">
        <v>3698</v>
      </c>
      <c r="G1009" s="97"/>
    </row>
    <row r="1010" spans="1:7" ht="189" x14ac:dyDescent="0.25">
      <c r="A1010" s="43" t="str">
        <f>CONCATENATE("Pt Id:",'Level 1'!E1010," ","Pt Name: ",'Level 1'!F1010," ","DOS: ", TEXT('Level 1'!H1010,"mm-dd-yyyy"),"  "," Amnt: ","$",'Level 1'!J1010,"  ", 'Level 1'!N1010)</f>
        <v>Pt Id:8379 Pt Name: Jackson, Kiara  DOS: 11-04-2021   Amnt: $88.8  Claim is in Process;</v>
      </c>
      <c r="B1010" s="43" t="str">
        <f>CONCATENATE("Detail: ",'Level 1'!N1010,"  ",'Level 1'!O1010,TEXT('Level 1'!P1010,"  mm-dd-yyyy"),";"," ",'Level 1'!Q1010,'Level 1'!R1010,"  ",'Level 1'!T1010," ","Payment "," ",'Level 1'!U1010,"  ",'Level 1'!V1010,"  ",'Level 1'!W1010,"  ",'Level 1'!X1010,"  ",'Level 1'!Z1010, "  ",'Level 1'!AA1010, " ","Insurance: ",'Level 1'!A1010)</f>
        <v>Detail: Claim is in Process;  Call Ref#:  05-23-7855; Cust Rep:David   Payment  0    0    Additional Notes:  Get the current status - SN   //    Rep State that Clm No:2021110172419 Denied due to Duplicate and it is paid to Different provider.,Received Date: 11/10/2021,  Processed Date: 11/10/2021 Rep Name: Sade  Call Ref: 192200//Rep states that clm#20211108151724, this clm has been denied due to not covered because D0140 is allowable once in per 6 months period, D0220 is allowable once per day. Rep Tianna id #182291.   ///    PRIORITIZE THE CLAIM - SN   //     Rep states that clm #20211108151724, the clm is still under the process, need to allow more 30buisnes days. Rep Brook Id # brook 3/15/2022//Claim denied as duplicate. Earlier paid to different provider, informed this to rep and asked to send it for reprocessing and need to allow 30 days. Call back 02/21/2022 Insurance: United Health Care Dental</v>
      </c>
      <c r="C1010" s="60" t="str">
        <f>'Level 1'!Y1010</f>
        <v>No Action</v>
      </c>
      <c r="D1010" s="44" t="str">
        <f>VLOOKUP(C1010,Table2[#All],3,FALSE)</f>
        <v>N/A</v>
      </c>
      <c r="E1010" s="75" t="s">
        <v>199</v>
      </c>
      <c r="F1010" s="96"/>
      <c r="G1010" s="97"/>
    </row>
    <row r="1011" spans="1:7" ht="84" x14ac:dyDescent="0.25">
      <c r="A1011" s="43" t="str">
        <f>CONCATENATE("Pt Id:",'Level 1'!E1011," ","Pt Name: ",'Level 1'!F1011," ","DOS: ", TEXT('Level 1'!H1011,"mm-dd-yyyy"),"  "," Amnt: ","$",'Level 1'!J1011,"  ", 'Level 1'!N1011)</f>
        <v>Pt Id:8047 Pt Name: Mason, Umar DOS: 11-03-2021   Amnt: $480  Ins needs more info, need to submit;</v>
      </c>
      <c r="B1011" s="43" t="str">
        <f>CONCATENATE("Detail: ",'Level 1'!N1011,"  ",'Level 1'!O1011,TEXT('Level 1'!P1011,"  mm-dd-yyyy"),";"," ",'Level 1'!Q1011,'Level 1'!R1011,"  ",'Level 1'!T1011," ","Payment "," ",'Level 1'!U1011,"  ",'Level 1'!V1011,"  ",'Level 1'!W1011,"  ",'Level 1'!X1011,"  ",'Level 1'!Z1011, "  ",'Level 1'!AA1011, " ","Insurance: ",'Level 1'!A1011)</f>
        <v>Detail: Ins needs more info, need to submit;  Attachments/Info needed?Prim EOB required; Fax # (If Fax Yes):NA  2175163 Payment  Cust Rep:  David  0    Additional Notes:  Denied requesting Primary EOB. Need to resubmit the claim along with the Prim EOB. Payer ID: GP133, Mailling Address : PO Box 583, Milwaukee, WI - 53201 Insurance: United Health Care Dental</v>
      </c>
      <c r="C1011" s="60" t="str">
        <f>'Level 1'!Y1011</f>
        <v xml:space="preserve">Task Sub Pending Claims Queue </v>
      </c>
      <c r="D1011" s="44" t="str">
        <f>VLOOKUP(C1011,Table2[#All],3,FALSE)</f>
        <v>N/A</v>
      </c>
      <c r="E1011" s="75" t="s">
        <v>193</v>
      </c>
      <c r="F1011" s="96" t="s">
        <v>3698</v>
      </c>
      <c r="G1011" s="97"/>
    </row>
    <row r="1012" spans="1:7" ht="168" x14ac:dyDescent="0.25">
      <c r="A1012" s="43" t="str">
        <f>CONCATENATE("Pt Id:",'Level 1'!E1012," ","Pt Name: ",'Level 1'!F1012," ","DOS: ", TEXT('Level 1'!H1012,"mm-dd-yyyy"),"  "," Amnt: ","$",'Level 1'!J1012,"  ", 'Level 1'!N1012)</f>
        <v>Pt Id:8352 Pt Name: Golden , Elvin DOS: 11-02-2021   Amnt: $439.2  Claim Paid by EFT;</v>
      </c>
      <c r="B1012" s="43" t="str">
        <f>CONCATENATE("Detail: ",'Level 1'!N1012,"  ",'Level 1'!O1012,TEXT('Level 1'!P1012,"  mm-dd-yyyy"),";"," ",'Level 1'!Q1012,'Level 1'!R1012,"  ",'Level 1'!T1012," ","Payment "," ",'Level 1'!U1012,"  ",'Level 1'!V1012,"  ",'Level 1'!W1012,"  ",'Level 1'!X1012,"  ",'Level 1'!Z1012, "  ",'Level 1'!AA1012, " ","Insurance: ",'Level 1'!A1012)</f>
        <v>Detail: Claim Paid by EFT;  Issue Date:  11-16-2021; EFT#7205926  BULK Payment  Call Ref#:  2175163  Cust Rep:  David  Additional Notes:  Need to send a clinical description (narrative) reagrdng code D7210 because as per INS totth # 14 was already been extracted in 2018..  Call Ref # 143974  Rep : Jessie.   //     Claim sent for reprocessing and need to allow 10 business days for status on D7210.  Call Ref # : MatreshkaM02/18/2022  Rep : Matreshka.  //  D0150 &amp; D0330 were paid. D7210 was denied stating as per Ins records, tooth # 14 was already extracted on July, 2018 by another provider Dr. Tae Kang (Familiar Dental). In order to get this code paid, rep suggested to inform patient to check with the other provider about the incorrect claim. Once they correct the claim, Ins will process our claim. Insurance: United Health Care Dental</v>
      </c>
      <c r="C1012" s="60" t="str">
        <f>'Level 1'!Y1012</f>
        <v xml:space="preserve">Task Post Pmt Queue </v>
      </c>
      <c r="D1012" s="44" t="str">
        <f>VLOOKUP(C1012,Table2[#All],3,FALSE)</f>
        <v>N/A</v>
      </c>
      <c r="E1012" s="75" t="s">
        <v>193</v>
      </c>
      <c r="F1012" s="96" t="s">
        <v>3698</v>
      </c>
      <c r="G1012" s="97"/>
    </row>
    <row r="1013" spans="1:7" ht="147" x14ac:dyDescent="0.25">
      <c r="A1013" s="43" t="str">
        <f>CONCATENATE("Pt Id:",'Level 1'!E1013," ","Pt Name: ",'Level 1'!F1013," ","DOS: ", TEXT('Level 1'!H1013,"mm-dd-yyyy"),"  "," Amnt: ","$",'Level 1'!J1013,"  ", 'Level 1'!N1013)</f>
        <v>Pt Id:8224 Pt Name: Perkins, Ronald  DOS: 10-28-2021   Amnt: $516  Ins needs more info, need to submit;</v>
      </c>
      <c r="B1013" s="43" t="str">
        <f>CONCATENATE("Detail: ",'Level 1'!N1013,"  ",'Level 1'!O1013,TEXT('Level 1'!P1013,"  mm-dd-yyyy"),";"," ",'Level 1'!Q1013,'Level 1'!R1013,"  ",'Level 1'!T1013," ","Payment "," ",'Level 1'!U1013,"  ",'Level 1'!V1013,"  ",'Level 1'!W1013,"  ",'Level 1'!X1013,"  ",'Level 1'!Z1013, "  ",'Level 1'!AA1013, " ","Insurance: ",'Level 1'!A1013)</f>
        <v>Detail: Ins needs more info, need to submit;  Attachments/Info needed?Need to Submit Prio-Dental Charting for Pre Auth to approve; Fax # (If Fax Yes):Only Mailing Address:P.O.BOX 383,Milwaukee,WI 53201  Dawng01312022 Payment  Cust Rep:  Dawn  0    Additional Notes:  Rep State that Claim Denied,Claim No:20211110171312, Patiient Resp:43.41. Code D0210 is denied due to Frequency,Limit:once in  every 3 year, History Date:11/20/2018,  ,   D4342 - Claim denied as Pre Auth needs to be approved.Per Ins, Pre Auth is pending and require Perio Charting to get approved. Once te Pre Auth is approve, we can resubmit the claim for claim reprocessing. Insurance: United Health Care Dental</v>
      </c>
      <c r="C1013" s="60" t="str">
        <f>'Level 1'!Y1013</f>
        <v xml:space="preserve">Task Sub Pending Claims Queue </v>
      </c>
      <c r="D1013" s="44" t="str">
        <f>VLOOKUP(C1013,Table2[#All],3,FALSE)</f>
        <v>N/A</v>
      </c>
      <c r="E1013" s="75" t="s">
        <v>193</v>
      </c>
      <c r="F1013" s="96" t="s">
        <v>3698</v>
      </c>
      <c r="G1013" s="97"/>
    </row>
    <row r="1014" spans="1:7" ht="147" x14ac:dyDescent="0.25">
      <c r="A1014" s="43" t="str">
        <f>CONCATENATE("Pt Id:",'Level 1'!E1014," ","Pt Name: ",'Level 1'!F1014," ","DOS: ", TEXT('Level 1'!H1014,"mm-dd-yyyy"),"  "," Amnt: ","$",'Level 1'!J1014,"  ", 'Level 1'!N1014)</f>
        <v>Pt Id:2734 Pt Name: Knepper, Emmalyn DOS: 10-28-2021   Amnt: $61.2  Ins needs more info, need to submit;</v>
      </c>
      <c r="B1014" s="43" t="str">
        <f>CONCATENATE("Detail: ",'Level 1'!N1014,"  ",'Level 1'!O1014,TEXT('Level 1'!P1014,"  mm-dd-yyyy"),";"," ",'Level 1'!Q1014,'Level 1'!R1014,"  ",'Level 1'!T1014," ","Payment "," ",'Level 1'!U1014,"  ",'Level 1'!V1014,"  ",'Level 1'!W1014,"  ",'Level 1'!X1014,"  ",'Level 1'!Z1014, "  ",'Level 1'!AA1014, " ","Insurance: ",'Level 1'!A1014)</f>
        <v>Detail: Ins needs more info, need to submit;  Attachments/Info needed?Require Prim EOB; Fax # (If Fax Yes):NA  B222T Payment  Cust Rep:  Bridget  0    Additional Notes:  Rep states that they haven't recieve the claim for the reprocessing, Rep says that new claim has to be submitted with the empty boxes nothing to mark with the other insurance to process the claim. Payor id #GP133, mailing addres: P.O box 583 noouwaki 53201.//Rep State that Claim Denied,Claim No:20211102167297,  Processed &amp; Denied Date:11/09/2021,   Patiient Resp:NIL. As there is only one Ins details updated in Eagle Soft, informed the same and claim sent for reprocessing and need to allow 30 business days from DOS Insurance: United Health Care Dental</v>
      </c>
      <c r="C1014" s="60" t="str">
        <f>'Level 1'!Y1014</f>
        <v xml:space="preserve">Task Sub Pending Claims Queue </v>
      </c>
      <c r="D1014" s="44" t="str">
        <f>VLOOKUP(C1014,Table2[#All],3,FALSE)</f>
        <v>N/A</v>
      </c>
      <c r="E1014" s="75" t="s">
        <v>193</v>
      </c>
      <c r="F1014" s="96" t="s">
        <v>3698</v>
      </c>
      <c r="G1014" s="97"/>
    </row>
    <row r="1015" spans="1:7" ht="147" x14ac:dyDescent="0.25">
      <c r="A1015" s="43" t="str">
        <f>CONCATENATE("Pt Id:",'Level 1'!E1015," ","Pt Name: ",'Level 1'!F1015," ","DOS: ", TEXT('Level 1'!H1015,"mm-dd-yyyy"),"  "," Amnt: ","$",'Level 1'!J1015,"  ", 'Level 1'!N1015)</f>
        <v>Pt Id:2735 Pt Name: Knepper, Bennet DOS: 10-28-2021   Amnt: $338.4  Ins needs more info, need to submit;</v>
      </c>
      <c r="B1015" s="43" t="str">
        <f>CONCATENATE("Detail: ",'Level 1'!N1015,"  ",'Level 1'!O1015,TEXT('Level 1'!P1015,"  mm-dd-yyyy"),";"," ",'Level 1'!Q1015,'Level 1'!R1015,"  ",'Level 1'!T1015," ","Payment "," ",'Level 1'!U1015,"  ",'Level 1'!V1015,"  ",'Level 1'!W1015,"  ",'Level 1'!X1015,"  ",'Level 1'!Z1015, "  ",'Level 1'!AA1015, " ","Insurance: ",'Level 1'!A1015)</f>
        <v>Detail: Ins needs more info, need to submit;  Attachments/Info needed?Require Prim EOB; Fax # (If Fax Yes):NA  B222T Payment  Cust Rep:  Bridget  0    Additional Notes:  Rep states that they haven't recieve the claim for the reprocessing, Rep says that new claim has to be submitted with the empty boxes nothing to mark with the other insurance to process the claim. Payor id #GP133, mailing addres: P.O box 583 noouwaki 53201 //Rep State that Claim Denied,Claim No:20211102167296,  Processed &amp; Denied Date:11/09/2021,   Patiient Resp:NIL. As there is only one Ins details updated in Eagle Soft, informed the same and claim sent for reprocessing and need to allow 30 business days from DOS Insurance: United Health Care Dental</v>
      </c>
      <c r="C1015" s="60" t="str">
        <f>'Level 1'!Y1015</f>
        <v xml:space="preserve">Task Sub Pending Claims Queue </v>
      </c>
      <c r="D1015" s="44" t="str">
        <f>VLOOKUP(C1015,Table2[#All],3,FALSE)</f>
        <v>N/A</v>
      </c>
      <c r="E1015" s="75" t="s">
        <v>193</v>
      </c>
      <c r="F1015" s="96" t="s">
        <v>3698</v>
      </c>
      <c r="G1015" s="97"/>
    </row>
    <row r="1016" spans="1:7" ht="84" x14ac:dyDescent="0.25">
      <c r="A1016" s="43" t="str">
        <f>CONCATENATE("Pt Id:",'Level 1'!E1016," ","Pt Name: ",'Level 1'!F1016," ","DOS: ", TEXT('Level 1'!H1016,"mm-dd-yyyy"),"  "," Amnt: ","$",'Level 1'!J1016,"  ", 'Level 1'!N1016)</f>
        <v>Pt Id:5074 Pt Name: Nealduncan , Charlotte  DOS: 10-26-2021   Amnt: $266  Claim Paid by EFT;</v>
      </c>
      <c r="B1016" s="43" t="str">
        <f>CONCATENATE("Detail: ",'Level 1'!N1016,"  ",'Level 1'!O1016,TEXT('Level 1'!P1016,"  mm-dd-yyyy"),";"," ",'Level 1'!Q1016,'Level 1'!R1016,"  ",'Level 1'!T1016," ","Payment "," ",'Level 1'!U1016,"  ",'Level 1'!V1016,"  ",'Level 1'!W1016,"  ",'Level 1'!X1016,"  ",'Level 1'!Z1016, "  ",'Level 1'!AA1016, " ","Insurance: ",'Level 1'!A1016)</f>
        <v>Detail: Claim Paid by EFT;  Issue Date:  11-02-2021; EFT#7184971  BULK Payment  Call Ref#:  1262022  Cust Rep:  Erica  Additional Notes:  Rep State that Claim Paid,  Claim No: 20211029137512, Paid Amt: $52.95,   Bulk Amount: $3931.95,  Processed and Denied Date: 11/02/2021 (D0230,D0220,D0274 is Replace by full month x-RAY and has not been Paid Insurance: United Health Care Dental</v>
      </c>
      <c r="C1016" s="60" t="str">
        <f>'Level 1'!Y1016</f>
        <v xml:space="preserve">Task Post Pmt Queue </v>
      </c>
      <c r="D1016" s="44" t="str">
        <f>VLOOKUP(C1016,Table2[#All],3,FALSE)</f>
        <v>N/A</v>
      </c>
      <c r="E1016" s="75" t="s">
        <v>193</v>
      </c>
      <c r="F1016" s="96" t="s">
        <v>3698</v>
      </c>
      <c r="G1016" s="97"/>
    </row>
    <row r="1017" spans="1:7" ht="84" x14ac:dyDescent="0.25">
      <c r="A1017" s="43" t="str">
        <f>CONCATENATE("Pt Id:",'Level 1'!E1017," ","Pt Name: ",'Level 1'!F1017," ","DOS: ", TEXT('Level 1'!H1017,"mm-dd-yyyy"),"  "," Amnt: ","$",'Level 1'!J1017,"  ", 'Level 1'!N1017)</f>
        <v>Pt Id:8222 Pt Name: Koch, Gabriella  DOS: 10-26-2021   Amnt: $100  Claim not on file. Patient is active ;</v>
      </c>
      <c r="B1017" s="43" t="str">
        <f>CONCATENATE("Detail: ",'Level 1'!N1017,"  ",'Level 1'!O1017,TEXT('Level 1'!P1017,"  mm-dd-yyyy"),";"," ",'Level 1'!Q1017,'Level 1'!R1017,"  ",'Level 1'!T1017," ","Payment "," ",'Level 1'!U1017,"  ",'Level 1'!V1017,"  ",'Level 1'!W1017,"  ",'Level 1'!X1017,"  ",'Level 1'!Z1017, "  ",'Level 1'!AA1017, " ","Insurance: ",'Level 1'!A1017)</f>
        <v>Detail: Claim not on file. Patient is active ;  Payor ID &amp; Address:GP133; Fax # (If Fax Yes):Only Mailing Address:P.O.BOX 583,Miwaukee,WI 53201  90 cal days Payment  Call Ref#:  SadeC01262022  Cust Rep:  Sade  Additional Notes:  Need to resubmit the claim along with Narrative (Mentioning the reason for delay in submission) as we have exceeded TFL. Insurance: United Health Care Dental</v>
      </c>
      <c r="C1017" s="60" t="str">
        <f>'Level 1'!Y1017</f>
        <v>Task Sub Pending Claims Queue</v>
      </c>
      <c r="D1017" s="44" t="str">
        <f>VLOOKUP(C1017,Table2[#All],3,FALSE)</f>
        <v>N/A</v>
      </c>
      <c r="E1017" s="75" t="s">
        <v>193</v>
      </c>
      <c r="F1017" s="96" t="s">
        <v>3698</v>
      </c>
      <c r="G1017" s="97"/>
    </row>
    <row r="1018" spans="1:7" ht="84" x14ac:dyDescent="0.25">
      <c r="A1018" s="43" t="str">
        <f>CONCATENATE("Pt Id:",'Level 1'!E1018," ","Pt Name: ",'Level 1'!F1018," ","DOS: ", TEXT('Level 1'!H1018,"mm-dd-yyyy"),"  "," Amnt: ","$",'Level 1'!J1018,"  ", 'Level 1'!N1018)</f>
        <v>Pt Id:3643 Pt Name: Armstrong, Linda DOS: 10-11-2021   Amnt: $106.4  Claim Paid by EFT;</v>
      </c>
      <c r="B1018" s="43" t="str">
        <f>CONCATENATE("Detail: ",'Level 1'!N1018,"  ",'Level 1'!O1018,TEXT('Level 1'!P1018,"  mm-dd-yyyy"),";"," ",'Level 1'!Q1018,'Level 1'!R1018,"  ",'Level 1'!T1018," ","Payment "," ",'Level 1'!U1018,"  ",'Level 1'!V1018,"  ",'Level 1'!W1018,"  ",'Level 1'!X1018,"  ",'Level 1'!Z1018, "  ",'Level 1'!AA1018, " ","Insurance: ",'Level 1'!A1018)</f>
        <v>Detail: Claim Paid by EFT;  Issue Date:  10-19-2021; EFT#7167452  BULK Payment  Call Ref#:  65832  Cust Rep:  Brinana  Additional Notes:  Rep State that Paid,Claim No:20211015182418,Paid Amt:$52.95,  Bulk Amt:$4706.55. D0220, D0230 &amp;D0274 are bundled with D0210 which was denied due to frequency. Insurance: United Health Care Dental</v>
      </c>
      <c r="C1018" s="60" t="str">
        <f>'Level 1'!Y1018</f>
        <v xml:space="preserve">Task Post Pmt Queue </v>
      </c>
      <c r="D1018" s="44" t="str">
        <f>VLOOKUP(C1018,Table2[#All],3,FALSE)</f>
        <v>N/A</v>
      </c>
      <c r="E1018" s="75" t="s">
        <v>193</v>
      </c>
      <c r="F1018" s="96" t="s">
        <v>3698</v>
      </c>
      <c r="G1018" s="97"/>
    </row>
    <row r="1019" spans="1:7" ht="84" x14ac:dyDescent="0.25">
      <c r="A1019" s="43" t="str">
        <f>CONCATENATE("Pt Id:",'Level 1'!E1019," ","Pt Name: ",'Level 1'!F1019," ","DOS: ", TEXT('Level 1'!H1019,"mm-dd-yyyy"),"  "," Amnt: ","$",'Level 1'!J1019,"  ", 'Level 1'!N1019)</f>
        <v>Pt Id:8138 Pt Name: Wellhausen , William DOS: 10-21-2021   Amnt: $253.2  Claim not on file. Patient is active ;</v>
      </c>
      <c r="B1019" s="43" t="str">
        <f>CONCATENATE("Detail: ",'Level 1'!N1019,"  ",'Level 1'!O1019,TEXT('Level 1'!P1019,"  mm-dd-yyyy"),";"," ",'Level 1'!Q1019,'Level 1'!R1019,"  ",'Level 1'!T1019," ","Payment "," ",'Level 1'!U1019,"  ",'Level 1'!V1019,"  ",'Level 1'!W1019,"  ",'Level 1'!X1019,"  ",'Level 1'!Z1019, "  ",'Level 1'!AA1019, " ","Insurance: ",'Level 1'!A1019)</f>
        <v>Detail: Claim not on file. Patient is active ;  Payor ID &amp; Address:GP133; Fax # (If Fax Yes):Only Mailing Address:P.O.BOX 583,Miwaukee,WI 53201  90 cal days Payment  Call Ref#:  SadeC01262022  Cust Rep:  Sade  Additional Notes:  Need to resubmit the claim along with Narrative (Mentioning the reason for delay in submission) as we have exceeded TFL. Insurance: United Health Care Dental</v>
      </c>
      <c r="C1019" s="60" t="str">
        <f>'Level 1'!Y1019</f>
        <v>Task Sub Pending Claims Queue</v>
      </c>
      <c r="D1019" s="44" t="str">
        <f>VLOOKUP(C1019,Table2[#All],3,FALSE)</f>
        <v>N/A</v>
      </c>
      <c r="E1019" s="75" t="s">
        <v>193</v>
      </c>
      <c r="F1019" s="96" t="s">
        <v>3698</v>
      </c>
      <c r="G1019" s="97"/>
    </row>
    <row r="1020" spans="1:7" ht="84" x14ac:dyDescent="0.25">
      <c r="A1020" s="43" t="str">
        <f>CONCATENATE("Pt Id:",'Level 1'!E1020," ","Pt Name: ",'Level 1'!F1020," ","DOS: ", TEXT('Level 1'!H1020,"mm-dd-yyyy"),"  "," Amnt: ","$",'Level 1'!J1020,"  ", 'Level 1'!N1020)</f>
        <v>Pt Id:8252 Pt Name: Deal, Michelle DOS: 10-18-2021   Amnt: $595.2  Claim not on file. Patient is active ;</v>
      </c>
      <c r="B1020" s="43" t="str">
        <f>CONCATENATE("Detail: ",'Level 1'!N1020,"  ",'Level 1'!O1020,TEXT('Level 1'!P1020,"  mm-dd-yyyy"),";"," ",'Level 1'!Q1020,'Level 1'!R1020,"  ",'Level 1'!T1020," ","Payment "," ",'Level 1'!U1020,"  ",'Level 1'!V1020,"  ",'Level 1'!W1020,"  ",'Level 1'!X1020,"  ",'Level 1'!Z1020, "  ",'Level 1'!AA1020, " ","Insurance: ",'Level 1'!A1020)</f>
        <v>Detail: Claim not on file. Patient is active ;  Payor ID &amp; Address:GP133; Fax # (If Fax Yes):Only Mailing Address:P.O.BOX 583,Miwaukee,WI 53201  90 cal days Payment  Call Ref#:  SadeC01262022  Cust Rep:  Sade  Additional Notes:  Need to resubmit the claim along with Narrative (Mentioning the reason for delay in submission) as we have exceeded TFL. Insurance: United Health Care Dental</v>
      </c>
      <c r="C1020" s="60" t="str">
        <f>'Level 1'!Y1020</f>
        <v>Task Sub Pending Claims Queue</v>
      </c>
      <c r="D1020" s="44" t="str">
        <f>VLOOKUP(C1020,Table2[#All],3,FALSE)</f>
        <v>N/A</v>
      </c>
      <c r="E1020" s="75" t="s">
        <v>193</v>
      </c>
      <c r="F1020" s="96" t="s">
        <v>3698</v>
      </c>
      <c r="G1020" s="97"/>
    </row>
    <row r="1021" spans="1:7" ht="84" x14ac:dyDescent="0.25">
      <c r="A1021" s="43" t="str">
        <f>CONCATENATE("Pt Id:",'Level 1'!E1021," ","Pt Name: ",'Level 1'!F1021," ","DOS: ", TEXT('Level 1'!H1021,"mm-dd-yyyy"),"  "," Amnt: ","$",'Level 1'!J1021,"  ", 'Level 1'!N1021)</f>
        <v>Pt Id:8018 Pt Name: RANDLE, RACHAEL DOS: 10-21-2021   Amnt: $253.2  Claim not on file. Patient is active ;</v>
      </c>
      <c r="B1021" s="43" t="str">
        <f>CONCATENATE("Detail: ",'Level 1'!N1021,"  ",'Level 1'!O1021,TEXT('Level 1'!P1021,"  mm-dd-yyyy"),";"," ",'Level 1'!Q1021,'Level 1'!R1021,"  ",'Level 1'!T1021," ","Payment "," ",'Level 1'!U1021,"  ",'Level 1'!V1021,"  ",'Level 1'!W1021,"  ",'Level 1'!X1021,"  ",'Level 1'!Z1021, "  ",'Level 1'!AA1021, " ","Insurance: ",'Level 1'!A1021)</f>
        <v>Detail: Claim not on file. Patient is active ;  Payor ID &amp; Address:GP133; Fax # (If Fax Yes):Only Mailing Address:P.O.BOX 583,Miwaukee,WI 53201  90 cal days Payment  Call Ref#:  SadeC01262022  Cust Rep:  Sade  Additional Notes:  Need to resubmit the claim along with Narrative (Mentioning the reason for delay in submission) as we have exceeded TFL. Insurance: United Health Care Dental</v>
      </c>
      <c r="C1021" s="60" t="str">
        <f>'Level 1'!Y1021</f>
        <v>Task Sub Pending Claims Queue</v>
      </c>
      <c r="D1021" s="44" t="str">
        <f>VLOOKUP(C1021,Table2[#All],3,FALSE)</f>
        <v>N/A</v>
      </c>
      <c r="E1021" s="75" t="s">
        <v>193</v>
      </c>
      <c r="F1021" s="96" t="s">
        <v>3698</v>
      </c>
      <c r="G1021" s="97"/>
    </row>
    <row r="1022" spans="1:7" ht="63" x14ac:dyDescent="0.25">
      <c r="A1022" s="43" t="str">
        <f>CONCATENATE("Pt Id:",'Level 1'!E1022," ","Pt Name: ",'Level 1'!F1022," ","DOS: ", TEXT('Level 1'!H1022,"mm-dd-yyyy"),"  "," Amnt: ","$",'Level 1'!J1022,"  ", 'Level 1'!N1022)</f>
        <v>Pt Id:4531 Pt Name: Mokry , Bianca  DOS: 10-15-2021   Amnt: $266  Claim denied due to Frequency;</v>
      </c>
      <c r="B1022" s="43" t="str">
        <f>CONCATENATE("Detail: ",'Level 1'!N1022,"  ",'Level 1'!O1022,TEXT('Level 1'!P1022,"  mm-dd-yyyy"),";"," ",'Level 1'!Q1022,'Level 1'!R1022,"  ",'Level 1'!T1022," ","Payment "," ",'Level 1'!U1022,"  ",'Level 1'!V1022,"  ",'Level 1'!W1022,"  ",'Level 1'!X1022,"  ",'Level 1'!Z1022, "  ",'Level 1'!AA1022, " ","Insurance: ",'Level 1'!A1022)</f>
        <v>Detail: Claim denied due to Frequency;  Freq for Proc:1 every 3 year; Hist dts:44028  DollieH01262022 Payment  Cust Rep:  Dollie  0    Additional Notes:  Rep State that Claim Denied due to Freq,Claim No:20211022161139,   Processed &amp; Denied Date: 10/26/2021,   Patient Resp: Nil Insurance: United Health Care Dental</v>
      </c>
      <c r="C1022" s="60" t="str">
        <f>'Level 1'!Y1022</f>
        <v xml:space="preserve">Task Post Pmt Queue </v>
      </c>
      <c r="D1022" s="44" t="str">
        <f>VLOOKUP(C1022,Table2[#All],3,FALSE)</f>
        <v>N/A</v>
      </c>
      <c r="E1022" s="75" t="s">
        <v>193</v>
      </c>
      <c r="F1022" s="96" t="s">
        <v>3698</v>
      </c>
      <c r="G1022" s="97"/>
    </row>
    <row r="1023" spans="1:7" ht="105" x14ac:dyDescent="0.25">
      <c r="A1023" s="43" t="str">
        <f>CONCATENATE("Pt Id:",'Level 1'!E1023," ","Pt Name: ",'Level 1'!F1023," ","DOS: ", TEXT('Level 1'!H1023,"mm-dd-yyyy"),"  "," Amnt: ","$",'Level 1'!J1023,"  ", 'Level 1'!N1023)</f>
        <v>Pt Id:8047 Pt Name: Mason, Umar DOS: 10-06-2021   Amnt: $216  Ins needs more info, need to submit;</v>
      </c>
      <c r="B1023" s="43" t="str">
        <f>CONCATENATE("Detail: ",'Level 1'!N1023,"  ",'Level 1'!O1023,TEXT('Level 1'!P1023,"  mm-dd-yyyy"),";"," ",'Level 1'!Q1023,'Level 1'!R1023,"  ",'Level 1'!T1023," ","Payment "," ",'Level 1'!U1023,"  ",'Level 1'!V1023,"  ",'Level 1'!W1023,"  ",'Level 1'!X1023,"  ",'Level 1'!Z1023, "  ",'Level 1'!AA1023, " ","Insurance: ",'Level 1'!A1023)</f>
        <v>Detail: Ins needs more info, need to submit;  Attachments/Info needed?Prim EOB required; Fax # (If Fax Yes):NA  B222T Payment  Cust Rep:  Bridget  0    Additional Notes:  Rep State that Claim Denied as they need us to resubmit claim with Prim Ins EOB. If UHC is Prim, patient needs to call Ins and update the info. Claim No:20211011124390,   Processed &amp; Denied Date: 10/19/2021,   Patient Resp: Nil, TFL:90 Calender Day Insurance: United Health Care Dental</v>
      </c>
      <c r="C1023" s="60" t="str">
        <f>'Level 1'!Y1023</f>
        <v xml:space="preserve">Task Sub Pending Claims Queue </v>
      </c>
      <c r="D1023" s="44" t="str">
        <f>VLOOKUP(C1023,Table2[#All],3,FALSE)</f>
        <v>N/A</v>
      </c>
      <c r="E1023" s="75" t="s">
        <v>193</v>
      </c>
      <c r="F1023" s="96" t="s">
        <v>3698</v>
      </c>
      <c r="G1023" s="97"/>
    </row>
    <row r="1024" spans="1:7" ht="63" x14ac:dyDescent="0.25">
      <c r="A1024" s="43" t="str">
        <f>CONCATENATE("Pt Id:",'Level 1'!E1024," ","Pt Name: ",'Level 1'!F1024," ","DOS: ", TEXT('Level 1'!H1024,"mm-dd-yyyy"),"  "," Amnt: ","$",'Level 1'!J1024,"  ", 'Level 1'!N1024)</f>
        <v>Pt Id:5867 Pt Name: Eckblad , Amanda  DOS: 10-06-2021   Amnt: $470  Claim Paid by EFT;</v>
      </c>
      <c r="B1024" s="43" t="str">
        <f>CONCATENATE("Detail: ",'Level 1'!N1024,"  ",'Level 1'!O1024,TEXT('Level 1'!P1024,"  mm-dd-yyyy"),";"," ",'Level 1'!Q1024,'Level 1'!R1024,"  ",'Level 1'!T1024," ","Payment "," ",'Level 1'!U1024,"  ",'Level 1'!V1024,"  ",'Level 1'!W1024,"  ",'Level 1'!X1024,"  ",'Level 1'!Z1024, "  ",'Level 1'!AA1024, " ","Insurance: ",'Level 1'!A1024)</f>
        <v>Detail: Claim Paid by EFT;  Issue Date:  10-19-2021; EFT#7164752  Single check Payment  Call Ref#:    Cust Rep:    Additional Notes:  Pd $4706.55  Pt res is none Clm #20211011122821. Net yet cashed  and D1110 denied due to frquency (Once in 3 years) and D0220, D230 &amp; D0274 are bundled with D0210 Insurance: United Health Care Dental</v>
      </c>
      <c r="C1024" s="60" t="str">
        <f>'Level 1'!Y1024</f>
        <v xml:space="preserve">Task Post Pmt Queue </v>
      </c>
      <c r="D1024" s="44" t="str">
        <f>VLOOKUP(C1024,Table2[#All],3,FALSE)</f>
        <v>N/A</v>
      </c>
      <c r="E1024" s="75" t="s">
        <v>193</v>
      </c>
      <c r="F1024" s="96" t="s">
        <v>3698</v>
      </c>
      <c r="G1024" s="97"/>
    </row>
    <row r="1025" spans="1:7" ht="84" x14ac:dyDescent="0.25">
      <c r="A1025" s="43" t="str">
        <f>CONCATENATE("Pt Id:",'Level 1'!E1025," ","Pt Name: ",'Level 1'!F1025," ","DOS: ", TEXT('Level 1'!H1025,"mm-dd-yyyy"),"  "," Amnt: ","$",'Level 1'!J1025,"  ", 'Level 1'!N1025)</f>
        <v>Pt Id:7735 Pt Name: Shkreli, Aleks DOS: 10-02-2021   Amnt: $182.8  Claim Paid by EFT;</v>
      </c>
      <c r="B1025" s="43" t="str">
        <f>CONCATENATE("Detail: ",'Level 1'!N1025,"  ",'Level 1'!O1025,TEXT('Level 1'!P1025,"  mm-dd-yyyy"),";"," ",'Level 1'!Q1025,'Level 1'!R1025,"  ",'Level 1'!T1025," ","Payment "," ",'Level 1'!U1025,"  ",'Level 1'!V1025,"  ",'Level 1'!W1025,"  ",'Level 1'!X1025,"  ",'Level 1'!Z1025, "  ",'Level 1'!AA1025, " ","Insurance: ",'Level 1'!A1025)</f>
        <v>Detail: Claim Paid by EFT;  Issue Date:  10-12-2021; EFT#7154050  Single check Payment  Call Ref#:  1242022Lb  Cust Rep:  Louanna  Additional Notes:  Pd $44.00 Pt responsibility is none Clm #20211227156326. Net yet cashed  and D9110 is denied for service not submitted the same DOS of other procedure bill and  Rep states that we don't send the fax Insurance: United Health Care Dental</v>
      </c>
      <c r="C1025" s="60" t="str">
        <f>'Level 1'!Y1025</f>
        <v xml:space="preserve">Task Post Pmt Queue </v>
      </c>
      <c r="D1025" s="44" t="str">
        <f>VLOOKUP(C1025,Table2[#All],3,FALSE)</f>
        <v>N/A</v>
      </c>
      <c r="E1025" s="75" t="s">
        <v>193</v>
      </c>
      <c r="F1025" s="96" t="s">
        <v>3698</v>
      </c>
      <c r="G1025" s="97"/>
    </row>
    <row r="1026" spans="1:7" ht="63" x14ac:dyDescent="0.25">
      <c r="A1026" s="43" t="str">
        <f>CONCATENATE("Pt Id:",'Level 1'!E1026," ","Pt Name: ",'Level 1'!F1026," ","DOS: ", TEXT('Level 1'!H1026,"mm-dd-yyyy"),"  "," Amnt: ","$",'Level 1'!J1026,"  ", 'Level 1'!N1026)</f>
        <v>Pt Id:7481 Pt Name: Salamone Cacciotti , Kimberle DOS: 09-29-2021   Amnt: $930  Claim Paid by EFT;</v>
      </c>
      <c r="B1026" s="43" t="str">
        <f>CONCATENATE("Detail: ",'Level 1'!N1026,"  ",'Level 1'!O1026,TEXT('Level 1'!P1026,"  mm-dd-yyyy"),";"," ",'Level 1'!Q1026,'Level 1'!R1026,"  ",'Level 1'!T1026," ","Payment "," ",'Level 1'!U1026,"  ",'Level 1'!V1026,"  ",'Level 1'!W1026,"  ",'Level 1'!X1026,"  ",'Level 1'!Z1026, "  ",'Level 1'!AA1026, " ","Insurance: ",'Level 1'!A1026)</f>
        <v>Detail: Claim Paid by EFT;  Issue Date:  10-19-2021; EFT#7165073  BULK Payment  Call Ref#:  1242022Lblaca  Cust Rep:  Louanna  Additional Notes:  Pd $702; Pt responsibility none  Clm #20211011122868. Net yet cashed  Insurance: United Health Care Dental</v>
      </c>
      <c r="C1026" s="60" t="str">
        <f>'Level 1'!Y1026</f>
        <v xml:space="preserve">Task Post Pmt Queue </v>
      </c>
      <c r="D1026" s="44" t="str">
        <f>VLOOKUP(C1026,Table2[#All],3,FALSE)</f>
        <v>N/A</v>
      </c>
      <c r="E1026" s="75" t="s">
        <v>193</v>
      </c>
      <c r="F1026" s="96" t="s">
        <v>3698</v>
      </c>
      <c r="G1026" s="97"/>
    </row>
    <row r="1027" spans="1:7" ht="84" x14ac:dyDescent="0.25">
      <c r="A1027" s="43" t="str">
        <f>CONCATENATE("Pt Id:",'Level 1'!E1027," ","Pt Name: ",'Level 1'!F1027," ","DOS: ", TEXT('Level 1'!H1027,"mm-dd-yyyy"),"  "," Amnt: ","$",'Level 1'!J1027,"  ", 'Level 1'!N1027)</f>
        <v>Pt Id:7677 Pt Name: FONK, JOLENE DOS: 09-29-2021   Amnt: $190.8  Claim Paid by EFT;</v>
      </c>
      <c r="B1027" s="43" t="str">
        <f>CONCATENATE("Detail: ",'Level 1'!N1027,"  ",'Level 1'!O1027,TEXT('Level 1'!P1027,"  mm-dd-yyyy"),";"," ",'Level 1'!Q1027,'Level 1'!R1027,"  ",'Level 1'!T1027," ","Payment "," ",'Level 1'!U1027,"  ",'Level 1'!V1027,"  ",'Level 1'!W1027,"  ",'Level 1'!X1027,"  ",'Level 1'!Z1027, "  ",'Level 1'!AA1027, " ","Insurance: ",'Level 1'!A1027)</f>
        <v>Detail: Claim Paid by EFT;  Issue Date:  12-12-2021; EFT#7154050  Single check Payment  Call Ref#:  Lisa01/21/2022  Cust Rep:  Lisa  Additional Notes:  Pd $47.72  Pt responsibility $ '0'  Clm #20211005156209. Net yet cashed  and  D9110  denied for service not submitted on same DOS the procedure bill Insurance: United Health Care Dental</v>
      </c>
      <c r="C1027" s="60" t="str">
        <f>'Level 1'!Y1027</f>
        <v xml:space="preserve">Task Post Pmt Queue </v>
      </c>
      <c r="D1027" s="44" t="str">
        <f>VLOOKUP(C1027,Table2[#All],3,FALSE)</f>
        <v>N/A</v>
      </c>
      <c r="E1027" s="75" t="s">
        <v>193</v>
      </c>
      <c r="F1027" s="96" t="s">
        <v>3698</v>
      </c>
      <c r="G1027" s="97"/>
    </row>
    <row r="1028" spans="1:7" ht="63" x14ac:dyDescent="0.25">
      <c r="A1028" s="43" t="str">
        <f>CONCATENATE("Pt Id:",'Level 1'!E1028," ","Pt Name: ",'Level 1'!F1028," ","DOS: ", TEXT('Level 1'!H1028,"mm-dd-yyyy"),"  "," Amnt: ","$",'Level 1'!J1028,"  ", 'Level 1'!N1028)</f>
        <v>Pt Id:1245 Pt Name: BETTACK, EMBER DOS: 09-29-2021   Amnt: $250.8  Claim Paid by EFT;</v>
      </c>
      <c r="B1028" s="43" t="str">
        <f>CONCATENATE("Detail: ",'Level 1'!N1028,"  ",'Level 1'!O1028,TEXT('Level 1'!P1028,"  mm-dd-yyyy"),";"," ",'Level 1'!Q1028,'Level 1'!R1028,"  ",'Level 1'!T1028," ","Payment "," ",'Level 1'!U1028,"  ",'Level 1'!V1028,"  ",'Level 1'!W1028,"  ",'Level 1'!X1028,"  ",'Level 1'!Z1028, "  ",'Level 1'!AA1028, " ","Insurance: ",'Level 1'!A1028)</f>
        <v>Detail: Claim Paid by EFT;  Issue Date:  10-12-2021; EFT#7154050   Payment  Call Ref#:    Cust Rep:    Additional Notes:  Processed on 10/12/2021  Clm # 20211004139328 Pd Amt : $64.44. Bulk payment : $ 5362.71 Insurance: United Health Care Dental</v>
      </c>
      <c r="C1028" s="60" t="str">
        <f>'Level 1'!Y1028</f>
        <v xml:space="preserve">Task Post Pmt Queue </v>
      </c>
      <c r="D1028" s="44" t="str">
        <f>VLOOKUP(C1028,Table2[#All],3,FALSE)</f>
        <v>N/A</v>
      </c>
      <c r="E1028" s="75" t="s">
        <v>193</v>
      </c>
      <c r="F1028" s="96" t="s">
        <v>3698</v>
      </c>
      <c r="G1028" s="97"/>
    </row>
    <row r="1029" spans="1:7" ht="63" x14ac:dyDescent="0.25">
      <c r="A1029" s="43" t="str">
        <f>CONCATENATE("Pt Id:",'Level 1'!E1029," ","Pt Name: ",'Level 1'!F1029," ","DOS: ", TEXT('Level 1'!H1029,"mm-dd-yyyy"),"  "," Amnt: ","$",'Level 1'!J1029,"  ", 'Level 1'!N1029)</f>
        <v>Pt Id:7586 Pt Name: Love , Sandra  DOS: 09-28-2021   Amnt: $2600.4  Claim Paid by EFT;</v>
      </c>
      <c r="B1029" s="43" t="str">
        <f>CONCATENATE("Detail: ",'Level 1'!N1029,"  ",'Level 1'!O1029,TEXT('Level 1'!P1029,"  mm-dd-yyyy"),";"," ",'Level 1'!Q1029,'Level 1'!R1029,"  ",'Level 1'!T1029," ","Payment "," ",'Level 1'!U1029,"  ",'Level 1'!V1029,"  ",'Level 1'!W1029,"  ",'Level 1'!X1029,"  ",'Level 1'!Z1029, "  ",'Level 1'!AA1029, " ","Insurance: ",'Level 1'!A1029)</f>
        <v>Detail: Claim Paid by EFT;  Issue Date:  10-19-2021; EFT#7165073  3965 Payment  Call Ref#:  Benp1212022  Cust Rep:  Benp  Additional Notes:  Pd $2173 Pt responsibility $'0'  Clm #20211011122591 Insurance: United Health Care Dental</v>
      </c>
      <c r="C1029" s="60" t="str">
        <f>'Level 1'!Y1029</f>
        <v xml:space="preserve">Task Post Pmt Queue </v>
      </c>
      <c r="D1029" s="44" t="str">
        <f>VLOOKUP(C1029,Table2[#All],3,FALSE)</f>
        <v>N/A</v>
      </c>
      <c r="E1029" s="75" t="s">
        <v>193</v>
      </c>
      <c r="F1029" s="96" t="s">
        <v>3698</v>
      </c>
      <c r="G1029" s="97"/>
    </row>
    <row r="1030" spans="1:7" ht="42" x14ac:dyDescent="0.25">
      <c r="A1030" s="43" t="str">
        <f>CONCATENATE("Pt Id:",'Level 1'!E1030," ","Pt Name: ",'Level 1'!F1030," ","DOS: ", TEXT('Level 1'!H1030,"mm-dd-yyyy"),"  "," Amnt: ","$",'Level 1'!J1030,"  ", 'Level 1'!N1030)</f>
        <v>Pt Id:8071 Pt Name: Sahebi, Jahan  DOS: 09-28-2021   Amnt: $88.8  Primary Ins paid Max allowable;</v>
      </c>
      <c r="B1030" s="43" t="str">
        <f>CONCATENATE("Detail: ",'Level 1'!N1030,"  ",'Level 1'!O1030,TEXT('Level 1'!P1030,"  mm-dd-yyyy"),";"," ",'Level 1'!Q1030,'Level 1'!R1030,"  ",'Level 1'!T1030," ","Payment "," ",'Level 1'!U1030,"  ",'Level 1'!V1030,"  ",'Level 1'!W1030,"  ",'Level 1'!X1030,"  ",'Level 1'!Z1030, "  ",'Level 1'!AA1030, " ","Insurance: ",'Level 1'!A1030)</f>
        <v>Detail: Primary Ins paid Max allowable;  Call Ref#:BilianaD02212022; Cust Rep:Biliana   Payment  0    0    Additional Notes:  Pd $0.00 Clm #2022011189509. Primary Paid Max Insurance: United Health Care Dental</v>
      </c>
      <c r="C1030" s="60" t="str">
        <f>'Level 1'!Y1030</f>
        <v xml:space="preserve">Task Post Pmt Queue </v>
      </c>
      <c r="D1030" s="44" t="str">
        <f>VLOOKUP(C1030,Table2[#All],3,FALSE)</f>
        <v>N/A</v>
      </c>
      <c r="E1030" s="75" t="s">
        <v>193</v>
      </c>
      <c r="F1030" s="96" t="s">
        <v>3698</v>
      </c>
      <c r="G1030" s="97"/>
    </row>
    <row r="1031" spans="1:7" ht="63" x14ac:dyDescent="0.25">
      <c r="A1031" s="43" t="str">
        <f>CONCATENATE("Pt Id:",'Level 1'!E1031," ","Pt Name: ",'Level 1'!F1031," ","DOS: ", TEXT('Level 1'!H1031,"mm-dd-yyyy"),"  "," Amnt: ","$",'Level 1'!J1031,"  ", 'Level 1'!N1031)</f>
        <v>Pt Id:8023 Pt Name: Shelby , David DOS: 09-28-2021   Amnt: $341.6  Claim Paid by EFT;</v>
      </c>
      <c r="B1031" s="43" t="str">
        <f>CONCATENATE("Detail: ",'Level 1'!N1031,"  ",'Level 1'!O1031,TEXT('Level 1'!P1031,"  mm-dd-yyyy"),";"," ",'Level 1'!Q1031,'Level 1'!R1031,"  ",'Level 1'!T1031," ","Payment "," ",'Level 1'!U1031,"  ",'Level 1'!V1031,"  ",'Level 1'!W1031,"  ",'Level 1'!X1031,"  ",'Level 1'!Z1031, "  ",'Level 1'!AA1031, " ","Insurance: ",'Level 1'!A1031)</f>
        <v>Detail: Claim Paid by EFT;  Issue Date:  10-12-2021; EFT#7154050  Single check Payment  Call Ref#:  Lisa01/21/2022  Cust Rep:  Lisa  Additional Notes:  Pd $46.87 Pt reponsibility $'0'  Clm #20211004138684  and D0220 is denied for the service is replace by full mouth x-rays Insurance: United Health Care Dental</v>
      </c>
      <c r="C1031" s="60" t="str">
        <f>'Level 1'!Y1031</f>
        <v xml:space="preserve">Task Post Pmt Queue </v>
      </c>
      <c r="D1031" s="44" t="str">
        <f>VLOOKUP(C1031,Table2[#All],3,FALSE)</f>
        <v>N/A</v>
      </c>
      <c r="E1031" s="75" t="s">
        <v>193</v>
      </c>
      <c r="F1031" s="96" t="s">
        <v>3698</v>
      </c>
      <c r="G1031" s="97"/>
    </row>
    <row r="1032" spans="1:7" ht="63" x14ac:dyDescent="0.25">
      <c r="A1032" s="43" t="str">
        <f>CONCATENATE("Pt Id:",'Level 1'!E1032," ","Pt Name: ",'Level 1'!F1032," ","DOS: ", TEXT('Level 1'!H1032,"mm-dd-yyyy"),"  "," Amnt: ","$",'Level 1'!J1032,"  ", 'Level 1'!N1032)</f>
        <v>Pt Id:7636 Pt Name: Cortez, Theresa DOS: 08-02-2021   Amnt: $61.2  Claim Paid by EFT;</v>
      </c>
      <c r="B1032" s="43" t="str">
        <f>CONCATENATE("Detail: ",'Level 1'!N1032,"  ",'Level 1'!O1032,TEXT('Level 1'!P1032,"  mm-dd-yyyy"),";"," ",'Level 1'!Q1032,'Level 1'!R1032,"  ",'Level 1'!T1032," ","Payment "," ",'Level 1'!U1032,"  ",'Level 1'!V1032,"  ",'Level 1'!W1032,"  ",'Level 1'!X1032,"  ",'Level 1'!Z1032, "  ",'Level 1'!AA1032, " ","Insurance: ",'Level 1'!A1032)</f>
        <v>Detail: Claim Paid by EFT;  Issue Date:  08-19-2021; EFT#7o82974  1714.35 Payment  Call Ref#:  Peggy1212022  Cust Rep:  Peggy  Additional Notes:  Pd $52.00 Pt responsibility '0'  Clm #20210811M85612. Net yet cashed Insurance: United Health Care Dental</v>
      </c>
      <c r="C1032" s="60" t="str">
        <f>'Level 1'!Y1032</f>
        <v xml:space="preserve">Task Post Pmt Queue </v>
      </c>
      <c r="D1032" s="44" t="str">
        <f>VLOOKUP(C1032,Table2[#All],3,FALSE)</f>
        <v>N/A</v>
      </c>
      <c r="E1032" s="75" t="s">
        <v>193</v>
      </c>
      <c r="F1032" s="96" t="s">
        <v>3698</v>
      </c>
      <c r="G1032" s="97"/>
    </row>
    <row r="1033" spans="1:7" ht="63" x14ac:dyDescent="0.25">
      <c r="A1033" s="43" t="str">
        <f>CONCATENATE("Pt Id:",'Level 1'!E1033," ","Pt Name: ",'Level 1'!F1033," ","DOS: ", TEXT('Level 1'!H1033,"mm-dd-yyyy"),"  "," Amnt: ","$",'Level 1'!J1033,"  ", 'Level 1'!N1033)</f>
        <v>Pt Id:8016 Pt Name: Rattle , Loree DOS: 09-21-2021   Amnt: $200.4  Claim Paid by EFT;</v>
      </c>
      <c r="B1033" s="43" t="str">
        <f>CONCATENATE("Detail: ",'Level 1'!N1033,"  ",'Level 1'!O1033,TEXT('Level 1'!P1033,"  mm-dd-yyyy"),";"," ",'Level 1'!Q1033,'Level 1'!R1033,"  ",'Level 1'!T1033," ","Payment "," ",'Level 1'!U1033,"  ",'Level 1'!V1033,"  ",'Level 1'!W1033,"  ",'Level 1'!X1033,"  ",'Level 1'!Z1033, "  ",'Level 1'!AA1033, " ","Insurance: ",'Level 1'!A1033)</f>
        <v>Detail: Claim Paid by EFT;  Issue Date:  10-15-2021; EFT#7143997  3145 Payment  Call Ref#:  Benp02/21/2022  Cust Rep:  Ben  Additional Notes:  Pd $90.00  Pt responsibility '0'  Clm #20210927167773. D0140 and D0270  is denied for frequency; 1 time for year and history: 06/24/2021 &amp; 09/21/2021 Insurance: United Health Care Dental</v>
      </c>
      <c r="C1033" s="60" t="str">
        <f>'Level 1'!Y1033</f>
        <v xml:space="preserve">Task Post Pmt Queue </v>
      </c>
      <c r="D1033" s="44" t="str">
        <f>VLOOKUP(C1033,Table2[#All],3,FALSE)</f>
        <v>N/A</v>
      </c>
      <c r="E1033" s="75" t="s">
        <v>193</v>
      </c>
      <c r="F1033" s="96" t="s">
        <v>3698</v>
      </c>
      <c r="G1033" s="97"/>
    </row>
    <row r="1034" spans="1:7" ht="63" x14ac:dyDescent="0.25">
      <c r="A1034" s="43" t="str">
        <f>CONCATENATE("Pt Id:",'Level 1'!E1034," ","Pt Name: ",'Level 1'!F1034," ","DOS: ", TEXT('Level 1'!H1034,"mm-dd-yyyy"),"  "," Amnt: ","$",'Level 1'!J1034,"  ", 'Level 1'!N1034)</f>
        <v>Pt Id:3879 Pt Name: RILEY, LONNIE DOS: 09-14-2021   Amnt: $1062  Claim Paid by EFT;</v>
      </c>
      <c r="B1034" s="43" t="str">
        <f>CONCATENATE("Detail: ",'Level 1'!N1034,"  ",'Level 1'!O1034,TEXT('Level 1'!P1034,"  mm-dd-yyyy"),";"," ",'Level 1'!Q1034,'Level 1'!R1034,"  ",'Level 1'!T1034," ","Payment "," ",'Level 1'!U1034,"  ",'Level 1'!V1034,"  ",'Level 1'!W1034,"  ",'Level 1'!X1034,"  ",'Level 1'!Z1034, "  ",'Level 1'!AA1034, " ","Insurance: ",'Level 1'!A1034)</f>
        <v>Detail: Claim Paid by EFT;  Issue Date:  09-27-2021; EFT#7133676  3643 Payment  Call Ref#:  Peggy1212022  Cust Rep:  Peggy  Additional Notes:  Pd $874 Pt responsibility '0' Clm #20210222123328. no cash date Insurance: United Health Care Dental</v>
      </c>
      <c r="C1034" s="60" t="str">
        <f>'Level 1'!Y1034</f>
        <v xml:space="preserve">Task Post Pmt Queue </v>
      </c>
      <c r="D1034" s="44" t="str">
        <f>VLOOKUP(C1034,Table2[#All],3,FALSE)</f>
        <v>N/A</v>
      </c>
      <c r="E1034" s="75" t="s">
        <v>193</v>
      </c>
      <c r="F1034" s="96" t="s">
        <v>3698</v>
      </c>
      <c r="G1034" s="97"/>
    </row>
    <row r="1035" spans="1:7" ht="21" x14ac:dyDescent="0.25">
      <c r="A1035" s="43" t="str">
        <f>CONCATENATE("Pt Id:",'Level 1'!E1035," ","Pt Name: ",'Level 1'!F1035," ","DOS: ", TEXT('Level 1'!H1035,"mm-dd-yyyy"),"  "," Amnt: ","$",'Level 1'!J1035,"  ", 'Level 1'!N1035)</f>
        <v>Pt Id:7636 Pt Name: Cortez, Theresa DOS: 09-13-2021   Amnt: $138  Note</v>
      </c>
      <c r="B1035" s="43" t="str">
        <f>CONCATENATE("Detail: ",'Level 1'!N1035,"  ",'Level 1'!O1035,TEXT('Level 1'!P1035,"  mm-dd-yyyy"),";"," ",'Level 1'!Q1035,'Level 1'!R1035,"  ",'Level 1'!T1035," ","Payment "," ",'Level 1'!U1035,"  ",'Level 1'!V1035,"  ",'Level 1'!W1035,"  ",'Level 1'!X1035,"  ",'Level 1'!Z1035, "  ",'Level 1'!AA1035, " ","Insurance: ",'Level 1'!A1035)</f>
        <v>Detail: Note  Q1  01-00-1900; Q2   Payment  Q4    Q5    Additional Notes:   Insurance: United Health Care Dental</v>
      </c>
      <c r="C1035" s="60" t="str">
        <f>'Level 1'!Y1035</f>
        <v>Action</v>
      </c>
      <c r="D1035" s="44" t="str">
        <f>VLOOKUP(C1035,Table2[#All],3,FALSE)</f>
        <v>What we need from you/Reason</v>
      </c>
      <c r="E1035" s="75" t="s">
        <v>199</v>
      </c>
      <c r="F1035" s="96"/>
      <c r="G1035" s="97"/>
    </row>
    <row r="1036" spans="1:7" ht="84" x14ac:dyDescent="0.25">
      <c r="A1036" s="43" t="str">
        <f>CONCATENATE("Pt Id:",'Level 1'!E1036," ","Pt Name: ",'Level 1'!F1036," ","DOS: ", TEXT('Level 1'!H1036,"mm-dd-yyyy"),"  "," Amnt: ","$",'Level 1'!J1036,"  ", 'Level 1'!N1036)</f>
        <v>Pt Id:2184 Pt Name: Perkins, Noah DOS: 09-02-2021   Amnt: $441.2  Claim Paid by EFT;</v>
      </c>
      <c r="B1036" s="43" t="str">
        <f>CONCATENATE("Detail: ",'Level 1'!N1036,"  ",'Level 1'!O1036,TEXT('Level 1'!P1036,"  mm-dd-yyyy"),";"," ",'Level 1'!Q1036,'Level 1'!R1036,"  ",'Level 1'!T1036," ","Payment "," ",'Level 1'!U1036,"  ",'Level 1'!V1036,"  ",'Level 1'!W1036,"  ",'Level 1'!X1036,"  ",'Level 1'!Z1036, "  ",'Level 1'!AA1036, " ","Insurance: ",'Level 1'!A1036)</f>
        <v>Detail: Claim Paid by EFT;  Issue Date:  09-14-2021; EFT#7114668  1563 Payment  Call Ref#:  Peggy1212022  Cust Rep:  Peggy  Additional Notes:  Pd $194.40 Pt responsibility $ '0' Clm #20210908175789. Net yet cashed and  D1351  T3, 14, 19, 30  denied for frequency-1 in every 3 years  and history: 01/07/2019 Insurance: United Health Care Dental</v>
      </c>
      <c r="C1036" s="60" t="str">
        <f>'Level 1'!Y1036</f>
        <v xml:space="preserve">Task Post Pmt Queue </v>
      </c>
      <c r="D1036" s="44" t="str">
        <f>VLOOKUP(C1036,Table2[#All],3,FALSE)</f>
        <v>N/A</v>
      </c>
      <c r="E1036" s="75" t="s">
        <v>193</v>
      </c>
      <c r="F1036" s="96" t="s">
        <v>3698</v>
      </c>
      <c r="G1036" s="97"/>
    </row>
    <row r="1037" spans="1:7" ht="63" x14ac:dyDescent="0.25">
      <c r="A1037" s="43" t="str">
        <f>CONCATENATE("Pt Id:",'Level 1'!E1037," ","Pt Name: ",'Level 1'!F1037," ","DOS: ", TEXT('Level 1'!H1037,"mm-dd-yyyy"),"  "," Amnt: ","$",'Level 1'!J1037,"  ", 'Level 1'!N1037)</f>
        <v>Pt Id:7402 Pt Name: Brown , Norma  DOS: 08-25-2021   Amnt: $2600.4  Claim Paid by EFT;</v>
      </c>
      <c r="B1037" s="43" t="str">
        <f>CONCATENATE("Detail: ",'Level 1'!N1037,"  ",'Level 1'!O1037,TEXT('Level 1'!P1037,"  mm-dd-yyyy"),";"," ",'Level 1'!Q1037,'Level 1'!R1037,"  ",'Level 1'!T1037," ","Payment "," ",'Level 1'!U1037,"  ",'Level 1'!V1037,"  ",'Level 1'!W1037,"  ",'Level 1'!X1037,"  ",'Level 1'!Z1037, "  ",'Level 1'!AA1037, " ","Insurance: ",'Level 1'!A1037)</f>
        <v>Detail: Claim Paid by EFT;  Issue Date:  09-27-2021; EFT#7133676  3643 Payment  Call Ref#:  Peggy1212022  Cust Rep:  Peggy  Additional Notes:  Pd $2173 Pt res $'0'  Clm #20210924153507. Net yet cashed  Insurance: United Health Care Dental</v>
      </c>
      <c r="C1037" s="60" t="str">
        <f>'Level 1'!Y1037</f>
        <v xml:space="preserve">Task Post Pmt Queue </v>
      </c>
      <c r="D1037" s="44" t="str">
        <f>VLOOKUP(C1037,Table2[#All],3,FALSE)</f>
        <v>N/A</v>
      </c>
      <c r="E1037" s="75" t="s">
        <v>193</v>
      </c>
      <c r="F1037" s="96" t="s">
        <v>3698</v>
      </c>
      <c r="G1037" s="97"/>
    </row>
    <row r="1038" spans="1:7" ht="42" x14ac:dyDescent="0.25">
      <c r="A1038" s="43" t="str">
        <f>CONCATENATE("Pt Id:",'Level 1'!E1038," ","Pt Name: ",'Level 1'!F1038," ","DOS: ", TEXT('Level 1'!H1038,"mm-dd-yyyy"),"  "," Amnt: ","$",'Level 1'!J1038,"  ", 'Level 1'!N1038)</f>
        <v>Pt Id:6666 Pt Name: Titone, Diane DOS: 08-21-2021   Amnt: $2794.8  Claim Paid by EFT;</v>
      </c>
      <c r="B1038" s="43" t="str">
        <f>CONCATENATE("Detail: ",'Level 1'!N1038,"  ",'Level 1'!O1038,TEXT('Level 1'!P1038,"  mm-dd-yyyy"),";"," ",'Level 1'!Q1038,'Level 1'!R1038,"  ",'Level 1'!T1038," ","Payment "," ",'Level 1'!U1038,"  ",'Level 1'!V1038,"  ",'Level 1'!W1038,"  ",'Level 1'!X1038,"  ",'Level 1'!Z1038, "  ",'Level 1'!AA1038, " ","Insurance: ",'Level 1'!A1038)</f>
        <v>Detail: Claim Paid by EFT;  Issue Date:  10-05-2021; EFT#7143997  3145 Payment  Call Ref#:  Peggy1212022  Cust Rep:  Peggy  Additional Notes:  Pd $2246  Clm #20210927166283 Insurance: United Health Care Dental</v>
      </c>
      <c r="C1038" s="60" t="str">
        <f>'Level 1'!Y1038</f>
        <v xml:space="preserve">Task Post Pmt Queue </v>
      </c>
      <c r="D1038" s="44" t="str">
        <f>VLOOKUP(C1038,Table2[#All],3,FALSE)</f>
        <v>N/A</v>
      </c>
      <c r="E1038" s="75" t="s">
        <v>193</v>
      </c>
      <c r="F1038" s="96" t="s">
        <v>3698</v>
      </c>
      <c r="G1038" s="97"/>
    </row>
    <row r="1039" spans="1:7" ht="63" x14ac:dyDescent="0.25">
      <c r="A1039" s="43" t="str">
        <f>CONCATENATE("Pt Id:",'Level 1'!E1039," ","Pt Name: ",'Level 1'!F1039," ","DOS: ", TEXT('Level 1'!H1039,"mm-dd-yyyy"),"  "," Amnt: ","$",'Level 1'!J1039,"  ", 'Level 1'!N1039)</f>
        <v>Pt Id:7722 Pt Name: Lawrence, Jaxon  DOS: 08-19-2021   Amnt: $337.6  Claim Paid by EFT;</v>
      </c>
      <c r="B1039" s="43" t="str">
        <f>CONCATENATE("Detail: ",'Level 1'!N1039,"  ",'Level 1'!O1039,TEXT('Level 1'!P1039,"  mm-dd-yyyy"),";"," ",'Level 1'!Q1039,'Level 1'!R1039,"  ",'Level 1'!T1039," ","Payment "," ",'Level 1'!U1039,"  ",'Level 1'!V1039,"  ",'Level 1'!W1039,"  ",'Level 1'!X1039,"  ",'Level 1'!Z1039, "  ",'Level 1'!AA1039, " ","Insurance: ",'Level 1'!A1039)</f>
        <v>Detail: Claim Paid by EFT;  Issue Date:  08-31-2021; EFT#7095378  3393.28 Payment  Call Ref#:  Erica1212022  Cust Rep:  Erica  Additional Notes:  Pd $245. 60  Clm #20210825141062. Not yet cashed. D2941 denied for not covered benefits in plan Insurance: United Health Care Dental</v>
      </c>
      <c r="C1039" s="60" t="str">
        <f>'Level 1'!Y1039</f>
        <v xml:space="preserve">Task Post Pmt Queue </v>
      </c>
      <c r="D1039" s="44" t="str">
        <f>VLOOKUP(C1039,Table2[#All],3,FALSE)</f>
        <v>N/A</v>
      </c>
      <c r="E1039" s="75" t="s">
        <v>193</v>
      </c>
      <c r="F1039" s="96" t="s">
        <v>3698</v>
      </c>
      <c r="G1039" s="97"/>
    </row>
    <row r="1040" spans="1:7" ht="63" x14ac:dyDescent="0.25">
      <c r="A1040" s="43" t="str">
        <f>CONCATENATE("Pt Id:",'Level 1'!E1040," ","Pt Name: ",'Level 1'!F1040," ","DOS: ", TEXT('Level 1'!H1040,"mm-dd-yyyy"),"  "," Amnt: ","$",'Level 1'!J1040,"  ", 'Level 1'!N1040)</f>
        <v>Pt Id:3879 Pt Name: RILEY, LONNIE DOS: 08-17-2021   Amnt: $1009.2  Claim Paid by EFT;</v>
      </c>
      <c r="B1040" s="43" t="str">
        <f>CONCATENATE("Detail: ",'Level 1'!N1040,"  ",'Level 1'!O1040,TEXT('Level 1'!P1040,"  mm-dd-yyyy"),";"," ",'Level 1'!Q1040,'Level 1'!R1040,"  ",'Level 1'!T1040," ","Payment "," ",'Level 1'!U1040,"  ",'Level 1'!V1040,"  ",'Level 1'!W1040,"  ",'Level 1'!X1040,"  ",'Level 1'!Z1040, "  ",'Level 1'!AA1040, " ","Insurance: ",'Level 1'!A1040)</f>
        <v>Detail: Claim Paid by EFT;  Issue Date:  08-31-2021; EFT#7095865  884 Payment  Call Ref#:  Peggy1212022  Cust Rep:  Peggy  Additional Notes:  Pd $189 Pt responsibility '0'  Clm #20210824130523.  Insurance: United Health Care Dental</v>
      </c>
      <c r="C1040" s="60" t="str">
        <f>'Level 1'!Y1040</f>
        <v xml:space="preserve">Task Post Pmt Queue </v>
      </c>
      <c r="D1040" s="44" t="str">
        <f>VLOOKUP(C1040,Table2[#All],3,FALSE)</f>
        <v>N/A</v>
      </c>
      <c r="E1040" s="75" t="s">
        <v>193</v>
      </c>
      <c r="F1040" s="96" t="s">
        <v>3698</v>
      </c>
      <c r="G1040" s="97"/>
    </row>
    <row r="1041" spans="1:7" ht="84" x14ac:dyDescent="0.25">
      <c r="A1041" s="43" t="str">
        <f>CONCATENATE("Pt Id:",'Level 1'!E1041," ","Pt Name: ",'Level 1'!F1041," ","DOS: ", TEXT('Level 1'!H1041,"mm-dd-yyyy"),"  "," Amnt: ","$",'Level 1'!J1041,"  ", 'Level 1'!N1041)</f>
        <v>Pt Id:3333 Pt Name: Morrison, Holly DOS: 08-07-2021   Amnt: $1142.4  Claim not on file. Patient is active ;</v>
      </c>
      <c r="B1041" s="43" t="str">
        <f>CONCATENATE("Detail: ",'Level 1'!N1041,"  ",'Level 1'!O1041,TEXT('Level 1'!P1041,"  mm-dd-yyyy"),";"," ",'Level 1'!Q1041,'Level 1'!R1041,"  ",'Level 1'!T1041," ","Payment "," ",'Level 1'!U1041,"  ",'Level 1'!V1041,"  ",'Level 1'!W1041,"  ",'Level 1'!X1041,"  ",'Level 1'!Z1041, "  ",'Level 1'!AA1041, " ","Insurance: ",'Level 1'!A1041)</f>
        <v>Detail: Claim not on file. Patient is active ;  Payor ID &amp; Address:GP133; Fax # (If Fax Yes):Mailing Address: Po. Box. 583, Nilwaukee, WI-Zip code: 53201  90 cal days Payment  Call Ref#:  Peggy1212022  Cust Rep:  Peggy  Additional Notes:  Need to resubmit the claim along with Narrative (Mentioning the reason for delay in submission) as we have exceeded TFL. Insurance: United Health Care Dental</v>
      </c>
      <c r="C1041" s="60" t="str">
        <f>'Level 1'!Y1041</f>
        <v>Task Sub Pending Claims Queue</v>
      </c>
      <c r="D1041" s="44" t="str">
        <f>VLOOKUP(C1041,Table2[#All],3,FALSE)</f>
        <v>N/A</v>
      </c>
      <c r="E1041" s="75" t="s">
        <v>193</v>
      </c>
      <c r="F1041" s="96" t="s">
        <v>3698</v>
      </c>
      <c r="G1041" s="97"/>
    </row>
    <row r="1042" spans="1:7" ht="63" x14ac:dyDescent="0.25">
      <c r="A1042" s="43" t="str">
        <f>CONCATENATE("Pt Id:",'Level 1'!E1042," ","Pt Name: ",'Level 1'!F1042," ","DOS: ", TEXT('Level 1'!H1042,"mm-dd-yyyy"),"  "," Amnt: ","$",'Level 1'!J1042,"  ", 'Level 1'!N1042)</f>
        <v>Pt Id:6102 Pt Name: Evangelista, Yazmin DOS: 07-24-2021   Amnt: $1062  Procedure is not a covered benefit;</v>
      </c>
      <c r="B1042" s="43" t="str">
        <f>CONCATENATE("Detail: ",'Level 1'!N1042,"  ",'Level 1'!O1042,TEXT('Level 1'!P1042,"  mm-dd-yyyy"),";"," ",'Level 1'!Q1042,'Level 1'!R1042,"  ",'Level 1'!T1042," ","Payment "," ",'Level 1'!U1042,"  ",'Level 1'!V1042,"  ",'Level 1'!W1042,"  ",'Level 1'!X1042,"  ",'Level 1'!Z1042, "  ",'Level 1'!AA1042, " ","Insurance: ",'Level 1'!A1042)</f>
        <v>Detail: Procedure is not a covered benefit;  Why? " D2740 is not covered benefits under the plan; Call Ref#:S01212022  Gaberiela Payment  0    0    Additional Notes:  Processed on 09/28/2021  Clm #20210924152828 Insurance: United Health Care Dental</v>
      </c>
      <c r="C1042" s="60" t="str">
        <f>'Level 1'!Y1042</f>
        <v xml:space="preserve">Task Client - Denied Claim Queue </v>
      </c>
      <c r="D1042" s="44" t="str">
        <f>VLOOKUP(C1042,Table2[#All],3,FALSE)</f>
        <v>What We Need From You: Pls confirm if we can close the claims Reason: To close claim</v>
      </c>
      <c r="E1042" s="75" t="s">
        <v>193</v>
      </c>
      <c r="F1042" s="96" t="s">
        <v>3698</v>
      </c>
      <c r="G1042" s="97"/>
    </row>
    <row r="1043" spans="1:7" ht="63" x14ac:dyDescent="0.25">
      <c r="A1043" s="43" t="str">
        <f>CONCATENATE("Pt Id:",'Level 1'!E1043," ","Pt Name: ",'Level 1'!F1043," ","DOS: ", TEXT('Level 1'!H1043,"mm-dd-yyyy"),"  "," Amnt: ","$",'Level 1'!J1043,"  ", 'Level 1'!N1043)</f>
        <v>Pt Id:7469 Pt Name: Daher, Aziza  DOS: 07-26-2021   Amnt: $106.4  Claim denied due to Frequency;</v>
      </c>
      <c r="B1043" s="43" t="str">
        <f>CONCATENATE("Detail: ",'Level 1'!N1043,"  ",'Level 1'!O1043,TEXT('Level 1'!P1043,"  mm-dd-yyyy"),";"," ",'Level 1'!Q1043,'Level 1'!R1043,"  ",'Level 1'!T1043," ","Payment "," ",'Level 1'!U1043,"  ",'Level 1'!V1043,"  ",'Level 1'!W1043,"  ",'Level 1'!X1043,"  ",'Level 1'!Z1043, "  ",'Level 1'!AA1043, " ","Insurance: ",'Level 1'!A1043)</f>
        <v>Detail: Claim denied due to Frequency;  Freq for Proc:once in 3 years; Hist dts:43955  NormaB02/22/2022 Payment  Cust Rep:  Norma  0    Additional Notes:  D0220,D0230 &amp; D0274 are bundled with D0210 which is denied due to freq. Insurance: United Health Care Dental</v>
      </c>
      <c r="C1043" s="60" t="str">
        <f>'Level 1'!Y1043</f>
        <v xml:space="preserve">Task Post Pmt Queue </v>
      </c>
      <c r="D1043" s="44" t="str">
        <f>VLOOKUP(C1043,Table2[#All],3,FALSE)</f>
        <v>N/A</v>
      </c>
      <c r="E1043" s="75" t="s">
        <v>193</v>
      </c>
      <c r="F1043" s="96" t="s">
        <v>3698</v>
      </c>
      <c r="G1043" s="97"/>
    </row>
    <row r="1044" spans="1:7" ht="63" x14ac:dyDescent="0.25">
      <c r="A1044" s="43" t="str">
        <f>CONCATENATE("Pt Id:",'Level 1'!E1044," ","Pt Name: ",'Level 1'!F1044," ","DOS: ", TEXT('Level 1'!H1044,"mm-dd-yyyy"),"  "," Amnt: ","$",'Level 1'!J1044,"  ", 'Level 1'!N1044)</f>
        <v>Pt Id:203 Pt Name: Castor, Casandra DOS: 07-19-2021   Amnt: $61.2  Duplicate Submission;</v>
      </c>
      <c r="B1044" s="43" t="str">
        <f>CONCATENATE("Detail: ",'Level 1'!N1044,"  ",'Level 1'!O1044,TEXT('Level 1'!P1044,"  mm-dd-yyyy"),";"," ",'Level 1'!Q1044,'Level 1'!R1044,"  ",'Level 1'!T1044," ","Payment "," ",'Level 1'!U1044,"  ",'Level 1'!V1044,"  ",'Level 1'!W1044,"  ",'Level 1'!X1044,"  ",'Level 1'!Z1044, "  ",'Level 1'!AA1044, " ","Insurance: ",'Level 1'!A1044)</f>
        <v>Detail: Duplicate Submission;  Dt orig. claim submitted:  07-27-2021; Status of original Claim: Paid to different Provider  Jordan Payment  Cust Rep:    0    Additional Notes:  Claim denied as duplicate. Earlier paid to different provider. Insurance: United Health Care Dental</v>
      </c>
      <c r="C1044" s="60" t="str">
        <f>'Level 1'!Y1044</f>
        <v>No Action</v>
      </c>
      <c r="D1044" s="44" t="str">
        <f>VLOOKUP(C1044,Table2[#All],3,FALSE)</f>
        <v>N/A</v>
      </c>
      <c r="E1044" s="75" t="s">
        <v>193</v>
      </c>
      <c r="F1044" s="96" t="s">
        <v>3698</v>
      </c>
      <c r="G1044" s="97"/>
    </row>
    <row r="1045" spans="1:7" ht="63" x14ac:dyDescent="0.25">
      <c r="A1045" s="43" t="str">
        <f>CONCATENATE("Pt Id:",'Level 1'!E1045," ","Pt Name: ",'Level 1'!F1045," ","DOS: ", TEXT('Level 1'!H1045,"mm-dd-yyyy"),"  "," Amnt: ","$",'Level 1'!J1045,"  ", 'Level 1'!N1045)</f>
        <v>Pt Id:1245 Pt Name: BETTACK, EMBER DOS: 05-17-2021   Amnt: $98.8  Claim denied due to Frequency;</v>
      </c>
      <c r="B1045" s="43" t="str">
        <f>CONCATENATE("Detail: ",'Level 1'!N1045,"  ",'Level 1'!O1045,TEXT('Level 1'!P1045,"  mm-dd-yyyy"),";"," ",'Level 1'!Q1045,'Level 1'!R1045,"  ",'Level 1'!T1045," ","Payment "," ",'Level 1'!U1045,"  ",'Level 1'!V1045,"  ",'Level 1'!W1045,"  ",'Level 1'!X1045,"  ",'Level 1'!Z1045, "  ",'Level 1'!AA1045, " ","Insurance: ",'Level 1'!A1045)</f>
        <v>Detail: Claim denied due to Frequency;  Freq for Proc:1-3 years; Hist dts:43566  S01212022 Payment  Cust Rep:  Gaberiela  0    Additional Notes:  Processed on 05/28/2021  Clm #20210519102154, D0230 &amp;D0274 are bundled in D0210 which is denied due to freq Insurance: United Health Care Dental</v>
      </c>
      <c r="C1045" s="60" t="str">
        <f>'Level 1'!Y1045</f>
        <v xml:space="preserve">Task Post Pmt Queue </v>
      </c>
      <c r="D1045" s="44" t="str">
        <f>VLOOKUP(C1045,Table2[#All],3,FALSE)</f>
        <v>N/A</v>
      </c>
      <c r="E1045" s="75" t="s">
        <v>193</v>
      </c>
      <c r="F1045" s="96" t="s">
        <v>3698</v>
      </c>
      <c r="G1045" s="97"/>
    </row>
    <row r="1046" spans="1:7" ht="105" x14ac:dyDescent="0.25">
      <c r="A1046" s="43" t="str">
        <f>CONCATENATE("Pt Id:",'Level 1'!E1046," ","Pt Name: ",'Level 1'!F1046," ","DOS: ", TEXT('Level 1'!H1046,"mm-dd-yyyy"),"  "," Amnt: ","$",'Level 1'!J1046,"  ", 'Level 1'!N1046)</f>
        <v>Pt Id:6923 Pt Name: Tutaj, Rylee  DOS: 05-24-2021   Amnt: $960  Ins needs more info, need to submit;</v>
      </c>
      <c r="B1046" s="43" t="str">
        <f>CONCATENATE("Detail: ",'Level 1'!N1046,"  ",'Level 1'!O1046,TEXT('Level 1'!P1046,"  mm-dd-yyyy"),";"," ",'Level 1'!Q1046,'Level 1'!R1046,"  ",'Level 1'!T1046," ","Payment "," ",'Level 1'!U1046,"  ",'Level 1'!V1046,"  ",'Level 1'!W1046,"  ",'Level 1'!X1046,"  ",'Level 1'!Z1046, "  ",'Level 1'!AA1046, " ","Insurance: ",'Level 1'!A1046)</f>
        <v>Detail: Ins needs more info, need to submit;  Attachments/Info needed?" missing x-rays; Fax # (If Fax Yes):Mailing Address: Po. Box. 583, Nilwaukee, WI-Zip code: 53201  S01212022 Payment  Cust Rep:  Gaberiela  0    Additional Notes:  Processed on 06/04/2021 Clm #20210604179095. Rep states that there is no Eob. Need to resubmit the claim with Xrays, Narrative (as we have exceeded the TFL) along with the supportive documents if any for processing. Insurance: United Health Care Dental</v>
      </c>
      <c r="C1046" s="60" t="str">
        <f>'Level 1'!Y1046</f>
        <v xml:space="preserve">Task Sub Pending Claims Queue </v>
      </c>
      <c r="D1046" s="44" t="str">
        <f>VLOOKUP(C1046,Table2[#All],3,FALSE)</f>
        <v>N/A</v>
      </c>
      <c r="E1046" s="75" t="s">
        <v>193</v>
      </c>
      <c r="F1046" s="96" t="s">
        <v>3698</v>
      </c>
      <c r="G1046" s="97"/>
    </row>
    <row r="1047" spans="1:7" ht="63" x14ac:dyDescent="0.25">
      <c r="A1047" s="43" t="str">
        <f>CONCATENATE("Pt Id:",'Level 1'!E1047," ","Pt Name: ",'Level 1'!F1047," ","DOS: ", TEXT('Level 1'!H1047,"mm-dd-yyyy"),"  "," Amnt: ","$",'Level 1'!J1047,"  ", 'Level 1'!N1047)</f>
        <v>Pt Id:7009 Pt Name: Turcios , Maribel  DOS: 05-11-2021   Amnt: $302.4  Claim Paid by EFT;</v>
      </c>
      <c r="B1047" s="43" t="str">
        <f>CONCATENATE("Detail: ",'Level 1'!N1047,"  ",'Level 1'!O1047,TEXT('Level 1'!P1047,"  mm-dd-yyyy"),";"," ",'Level 1'!Q1047,'Level 1'!R1047,"  ",'Level 1'!T1047," ","Payment "," ",'Level 1'!U1047,"  ",'Level 1'!V1047,"  ",'Level 1'!W1047,"  ",'Level 1'!X1047,"  ",'Level 1'!Z1047, "  ",'Level 1'!AA1047, " ","Insurance: ",'Level 1'!A1047)</f>
        <v>Detail: Claim Paid by EFT;  Issue Date:  05-28-2021; EFT#10064031  1316.84 Payment  Call Ref#:  Ginas1212022  Cust Rep:  Ginas  Additional Notes:  Pd $119.24 Pt responsibility '0'  Clm #20210519101483 Insurance: United Health Care Dental</v>
      </c>
      <c r="C1047" s="60" t="str">
        <f>'Level 1'!Y1047</f>
        <v xml:space="preserve">Task Post Pmt Queue </v>
      </c>
      <c r="D1047" s="44" t="str">
        <f>VLOOKUP(C1047,Table2[#All],3,FALSE)</f>
        <v>N/A</v>
      </c>
      <c r="E1047" s="75" t="s">
        <v>193</v>
      </c>
      <c r="F1047" s="96" t="s">
        <v>3698</v>
      </c>
      <c r="G1047" s="97"/>
    </row>
    <row r="1048" spans="1:7" ht="84" x14ac:dyDescent="0.25">
      <c r="A1048" s="43" t="str">
        <f>CONCATENATE("Pt Id:",'Level 1'!E1048," ","Pt Name: ",'Level 1'!F1048," ","DOS: ", TEXT('Level 1'!H1048,"mm-dd-yyyy"),"  "," Amnt: ","$",'Level 1'!J1048,"  ", 'Level 1'!N1048)</f>
        <v>Pt Id:5588 Pt Name: Love , Rebecca  DOS: 04-26-2021   Amnt: $1032  Claim not on file. Patient is active ;</v>
      </c>
      <c r="B1048" s="43" t="str">
        <f>CONCATENATE("Detail: ",'Level 1'!N1048,"  ",'Level 1'!O1048,TEXT('Level 1'!P1048,"  mm-dd-yyyy"),";"," ",'Level 1'!Q1048,'Level 1'!R1048,"  ",'Level 1'!T1048," ","Payment "," ",'Level 1'!U1048,"  ",'Level 1'!V1048,"  ",'Level 1'!W1048,"  ",'Level 1'!X1048,"  ",'Level 1'!Z1048, "  ",'Level 1'!AA1048, " ","Insurance: ",'Level 1'!A1048)</f>
        <v>Detail: Claim not on file. Patient is active ;  Payor ID &amp; Address:GP133; Fax # (If Fax Yes):Mailing Address: Po. Box. 583, Nilwaukee, WI-Zip code: 53201  90 days from DOS Payment  Call Ref#:  Ginas1212022  Cust Rep:  Ginas  Additional Notes:  Need to resubmit the claim along with Narrative (Mentioning the reason for delay in submission) as we have exceeded TFL. Insurance: United Health Care Dental</v>
      </c>
      <c r="C1048" s="60" t="str">
        <f>'Level 1'!Y1048</f>
        <v>Task Sub Pending Claims Queue</v>
      </c>
      <c r="D1048" s="44" t="str">
        <f>VLOOKUP(C1048,Table2[#All],3,FALSE)</f>
        <v>N/A</v>
      </c>
      <c r="E1048" s="75" t="s">
        <v>193</v>
      </c>
      <c r="F1048" s="96" t="s">
        <v>3698</v>
      </c>
      <c r="G1048" s="97"/>
    </row>
    <row r="1049" spans="1:7" ht="84" x14ac:dyDescent="0.25">
      <c r="A1049" s="43" t="str">
        <f>CONCATENATE("Pt Id:",'Level 1'!E1049," ","Pt Name: ",'Level 1'!F1049," ","DOS: ", TEXT('Level 1'!H1049,"mm-dd-yyyy"),"  "," Amnt: ","$",'Level 1'!J1049,"  ", 'Level 1'!N1049)</f>
        <v>Pt Id:5588 Pt Name: Love , Rebecca  DOS: 04-21-2021   Amnt: $290  Claim not on file. Patient is active ;</v>
      </c>
      <c r="B1049" s="43" t="str">
        <f>CONCATENATE("Detail: ",'Level 1'!N1049,"  ",'Level 1'!O1049,TEXT('Level 1'!P1049,"  mm-dd-yyyy"),";"," ",'Level 1'!Q1049,'Level 1'!R1049,"  ",'Level 1'!T1049," ","Payment "," ",'Level 1'!U1049,"  ",'Level 1'!V1049,"  ",'Level 1'!W1049,"  ",'Level 1'!X1049,"  ",'Level 1'!Z1049, "  ",'Level 1'!AA1049, " ","Insurance: ",'Level 1'!A1049)</f>
        <v>Detail: Claim not on file. Patient is active ;  Payor ID &amp; Address:GP133; Fax # (If Fax Yes):Mailing Address: Po. Box. 583, Nilwaukee, WI-Zip code: 53201  90 days from DOS Payment  Call Ref#:  Ginas1212022  Cust Rep:  Ginas  Additional Notes:  Need to resubmit the claim along with Narrative (Mentioning the reason for delay in submission) as we have exceeded TFL. Insurance: United Health Care Dental</v>
      </c>
      <c r="C1049" s="60" t="str">
        <f>'Level 1'!Y1049</f>
        <v>Task Sub Pending Claims Queue</v>
      </c>
      <c r="D1049" s="44" t="str">
        <f>VLOOKUP(C1049,Table2[#All],3,FALSE)</f>
        <v>N/A</v>
      </c>
      <c r="E1049" s="75" t="s">
        <v>193</v>
      </c>
      <c r="F1049" s="96" t="s">
        <v>3698</v>
      </c>
      <c r="G1049" s="97"/>
    </row>
    <row r="1050" spans="1:7" ht="63" x14ac:dyDescent="0.25">
      <c r="A1050" s="43" t="str">
        <f>CONCATENATE("Pt Id:",'Level 1'!E1050," ","Pt Name: ",'Level 1'!F1050," ","DOS: ", TEXT('Level 1'!H1050,"mm-dd-yyyy"),"  "," Amnt: ","$",'Level 1'!J1050,"  ", 'Level 1'!N1050)</f>
        <v>Pt Id:6589 Pt Name: Capol , Joseph DOS: 03-31-2021   Amnt: $238  Claim Paid by EFT;</v>
      </c>
      <c r="B1050" s="43" t="str">
        <f>CONCATENATE("Detail: ",'Level 1'!N1050,"  ",'Level 1'!O1050,TEXT('Level 1'!P1050,"  mm-dd-yyyy"),";"," ",'Level 1'!Q1050,'Level 1'!R1050,"  ",'Level 1'!T1050," ","Payment "," ",'Level 1'!U1050,"  ",'Level 1'!V1050,"  ",'Level 1'!W1050,"  ",'Level 1'!X1050,"  ",'Level 1'!Z1050, "  ",'Level 1'!AA1050, " ","Insurance: ",'Level 1'!A1050)</f>
        <v>Detail: Claim Paid by EFT;  Issue Date:  04-09-2021; EFT#10041576  5220 Payment  Call Ref#:  Ginas1212022  Cust Rep:  Ginas  Additional Notes:  Pd $161.60 Pt res $'0'  Clm #20210402104332. Net yet cashed  Insurance: United Health Care Dental</v>
      </c>
      <c r="C1050" s="60" t="str">
        <f>'Level 1'!Y1050</f>
        <v xml:space="preserve">Task Post Pmt Queue </v>
      </c>
      <c r="D1050" s="44" t="str">
        <f>VLOOKUP(C1050,Table2[#All],3,FALSE)</f>
        <v>N/A</v>
      </c>
      <c r="E1050" s="75" t="s">
        <v>193</v>
      </c>
      <c r="F1050" s="96" t="s">
        <v>3698</v>
      </c>
      <c r="G1050" s="97"/>
    </row>
    <row r="1051" spans="1:7" ht="63" x14ac:dyDescent="0.25">
      <c r="A1051" s="43" t="str">
        <f>CONCATENATE("Pt Id:",'Level 1'!E1051," ","Pt Name: ",'Level 1'!F1051," ","DOS: ", TEXT('Level 1'!H1051,"mm-dd-yyyy"),"  "," Amnt: ","$",'Level 1'!J1051,"  ", 'Level 1'!N1051)</f>
        <v>Pt Id:6737 Pt Name: Alioto , Rose DOS: 03-31-2021   Amnt: $178.4  Claim Paid by EFT;</v>
      </c>
      <c r="B1051" s="43" t="str">
        <f>CONCATENATE("Detail: ",'Level 1'!N1051,"  ",'Level 1'!O1051,TEXT('Level 1'!P1051,"  mm-dd-yyyy"),";"," ",'Level 1'!Q1051,'Level 1'!R1051,"  ",'Level 1'!T1051," ","Payment "," ",'Level 1'!U1051,"  ",'Level 1'!V1051,"  ",'Level 1'!W1051,"  ",'Level 1'!X1051,"  ",'Level 1'!Z1051, "  ",'Level 1'!AA1051, " ","Insurance: ",'Level 1'!A1051)</f>
        <v>Detail: Claim Paid by EFT;  Issue Date:  04-09-2021; EFT#10041576  BULK Payment  Call Ref#:    Cust Rep:    Additional Notes:  Processed on 03/31/2021  Clm #20210402101932, Pd Amt : $ 63.38, Bulk Payment : $5220; D0220, D230 &amp; D0274 are bundled to D0210 and paid. Insurance: United Health Care Dental</v>
      </c>
      <c r="C1051" s="60" t="str">
        <f>'Level 1'!Y1051</f>
        <v xml:space="preserve">Task Post Pmt Queue </v>
      </c>
      <c r="D1051" s="44" t="str">
        <f>VLOOKUP(C1051,Table2[#All],3,FALSE)</f>
        <v>N/A</v>
      </c>
      <c r="E1051" s="75" t="s">
        <v>193</v>
      </c>
      <c r="F1051" s="96" t="s">
        <v>3698</v>
      </c>
      <c r="G1051" s="97"/>
    </row>
    <row r="1052" spans="1:7" ht="42" x14ac:dyDescent="0.25">
      <c r="A1052" s="43" t="str">
        <f>CONCATENATE("Pt Id:",'Level 1'!E1052," ","Pt Name: ",'Level 1'!F1052," ","DOS: ", TEXT('Level 1'!H1052,"mm-dd-yyyy"),"  "," Amnt: ","$",'Level 1'!J1052,"  ", 'Level 1'!N1052)</f>
        <v>Pt Id:5668 Pt Name: Nunez, Gema DOS: 12-16-2020   Amnt: $532  Primary Ins paid Max allowable;</v>
      </c>
      <c r="B1052" s="43" t="str">
        <f>CONCATENATE("Detail: ",'Level 1'!N1052,"  ",'Level 1'!O1052,TEXT('Level 1'!P1052,"  mm-dd-yyyy"),";"," ",'Level 1'!Q1052,'Level 1'!R1052,"  ",'Level 1'!T1052," ","Payment "," ",'Level 1'!U1052,"  ",'Level 1'!V1052,"  ",'Level 1'!W1052,"  ",'Level 1'!X1052,"  ",'Level 1'!Z1052, "  ",'Level 1'!AA1052, " ","Insurance: ",'Level 1'!A1052)</f>
        <v>Detail: Primary Ins paid Max allowable;  Call Ref#:B222T; Cust Rep:Bridget   Payment  0    0    Additional Notes:  Clm #20210303102574. Prim Paid Max Insurance: United Health Care Dental</v>
      </c>
      <c r="C1052" s="60" t="str">
        <f>'Level 1'!Y1052</f>
        <v xml:space="preserve">Task Post Pmt Queue </v>
      </c>
      <c r="D1052" s="44" t="str">
        <f>VLOOKUP(C1052,Table2[#All],3,FALSE)</f>
        <v>N/A</v>
      </c>
      <c r="E1052" s="75" t="s">
        <v>193</v>
      </c>
      <c r="F1052" s="96" t="s">
        <v>3698</v>
      </c>
      <c r="G1052" s="97"/>
    </row>
    <row r="1053" spans="1:7" ht="21" x14ac:dyDescent="0.25">
      <c r="A1053" s="43" t="str">
        <f>CONCATENATE("Pt Id:",'Level 1'!E1053," ","Pt Name: ",'Level 1'!F1053," ","DOS: ", TEXT('Level 1'!H1053,"mm-dd-yyyy"),"  "," Amnt: ","$",'Level 1'!J1053,"  ", 'Level 1'!N1053)</f>
        <v>Pt Id:0 Pt Name: 0 DOS: 01-00-1900   Amnt: $0  Note</v>
      </c>
      <c r="B1053" s="43" t="str">
        <f>CONCATENATE("Detail: ",'Level 1'!N1053,"  ",'Level 1'!O1053,TEXT('Level 1'!P1053,"  mm-dd-yyyy"),";"," ",'Level 1'!Q1053,'Level 1'!R1053,"  ",'Level 1'!T1053," ","Payment "," ",'Level 1'!U1053,"  ",'Level 1'!V1053,"  ",'Level 1'!W1053,"  ",'Level 1'!X1053,"  ",'Level 1'!Z1053, "  ",'Level 1'!AA1053, " ","Insurance: ",'Level 1'!A1053)</f>
        <v>Detail: Note  Q1  01-00-1900; Q2   Payment  Q4    Q5    Additional Notes:   Insurance: 0</v>
      </c>
      <c r="C1053" s="60" t="str">
        <f>'Level 1'!Y1053</f>
        <v>Action</v>
      </c>
      <c r="D1053" s="44" t="str">
        <f>VLOOKUP(C1053,Table2[#All],3,FALSE)</f>
        <v>What we need from you/Reason</v>
      </c>
      <c r="E1053" s="75" t="s">
        <v>199</v>
      </c>
      <c r="F1053" s="96"/>
      <c r="G1053" s="97"/>
    </row>
    <row r="1054" spans="1:7" ht="21" x14ac:dyDescent="0.25">
      <c r="A1054" s="43" t="str">
        <f>CONCATENATE("Pt Id:",'Level 1'!E1054," ","Pt Name: ",'Level 1'!F1054," ","DOS: ", TEXT('Level 1'!H1054,"mm-dd-yyyy"),"  "," Amnt: ","$",'Level 1'!J1054,"  ", 'Level 1'!N1054)</f>
        <v>Pt Id:0 Pt Name: 0 DOS: 01-00-1900   Amnt: $0  Note</v>
      </c>
      <c r="B1054" s="43" t="str">
        <f>CONCATENATE("Detail: ",'Level 1'!N1054,"  ",'Level 1'!O1054,TEXT('Level 1'!P1054,"  mm-dd-yyyy"),";"," ",'Level 1'!Q1054,'Level 1'!R1054,"  ",'Level 1'!T1054," ","Payment "," ",'Level 1'!U1054,"  ",'Level 1'!V1054,"  ",'Level 1'!W1054,"  ",'Level 1'!X1054,"  ",'Level 1'!Z1054, "  ",'Level 1'!AA1054, " ","Insurance: ",'Level 1'!A1054)</f>
        <v>Detail: Note  Q1  01-00-1900; Q2   Payment  Q4    Q5    Additional Notes:   Insurance: 0</v>
      </c>
      <c r="C1054" s="60" t="str">
        <f>'Level 1'!Y1054</f>
        <v>Action</v>
      </c>
      <c r="D1054" s="44" t="str">
        <f>VLOOKUP(C1054,Table2[#All],3,FALSE)</f>
        <v>What we need from you/Reason</v>
      </c>
      <c r="E1054" s="75" t="s">
        <v>199</v>
      </c>
      <c r="F1054" s="96"/>
      <c r="G1054" s="97"/>
    </row>
    <row r="1055" spans="1:7" ht="21" x14ac:dyDescent="0.25">
      <c r="A1055" s="43" t="str">
        <f>CONCATENATE("Pt Id:",'Level 1'!E1055," ","Pt Name: ",'Level 1'!F1055," ","DOS: ", TEXT('Level 1'!H1055,"mm-dd-yyyy"),"  "," Amnt: ","$",'Level 1'!J1055,"  ", 'Level 1'!N1055)</f>
        <v>Pt Id:0 Pt Name: 0 DOS: 01-00-1900   Amnt: $0  Note</v>
      </c>
      <c r="B1055" s="43" t="str">
        <f>CONCATENATE("Detail: ",'Level 1'!N1055,"  ",'Level 1'!O1055,TEXT('Level 1'!P1055,"  mm-dd-yyyy"),";"," ",'Level 1'!Q1055,'Level 1'!R1055,"  ",'Level 1'!T1055," ","Payment "," ",'Level 1'!U1055,"  ",'Level 1'!V1055,"  ",'Level 1'!W1055,"  ",'Level 1'!X1055,"  ",'Level 1'!Z1055, "  ",'Level 1'!AA1055, " ","Insurance: ",'Level 1'!A1055)</f>
        <v>Detail: Note  Q1  01-00-1900; Q2   Payment  Q4    Q5    Additional Notes:   Insurance: 0</v>
      </c>
      <c r="C1055" s="60" t="str">
        <f>'Level 1'!Y1055</f>
        <v>Action</v>
      </c>
      <c r="D1055" s="44" t="str">
        <f>VLOOKUP(C1055,Table2[#All],3,FALSE)</f>
        <v>What we need from you/Reason</v>
      </c>
      <c r="E1055" s="75" t="s">
        <v>199</v>
      </c>
      <c r="F1055" s="96"/>
      <c r="G1055" s="97"/>
    </row>
    <row r="1056" spans="1:7" ht="21" x14ac:dyDescent="0.25">
      <c r="A1056" s="43" t="str">
        <f>CONCATENATE("Pt Id:",'Level 1'!E1056," ","Pt Name: ",'Level 1'!F1056," ","DOS: ", TEXT('Level 1'!H1056,"mm-dd-yyyy"),"  "," Amnt: ","$",'Level 1'!J1056,"  ", 'Level 1'!N1056)</f>
        <v>Pt Id:0 Pt Name: 0 DOS: 01-00-1900   Amnt: $0  Note</v>
      </c>
      <c r="B1056" s="43" t="str">
        <f>CONCATENATE("Detail: ",'Level 1'!N1056,"  ",'Level 1'!O1056,TEXT('Level 1'!P1056,"  mm-dd-yyyy"),";"," ",'Level 1'!Q1056,'Level 1'!R1056,"  ",'Level 1'!T1056," ","Payment "," ",'Level 1'!U1056,"  ",'Level 1'!V1056,"  ",'Level 1'!W1056,"  ",'Level 1'!X1056,"  ",'Level 1'!Z1056, "  ",'Level 1'!AA1056, " ","Insurance: ",'Level 1'!A1056)</f>
        <v>Detail: Note  Q1  01-00-1900; Q2   Payment  Q4    Q5    Additional Notes:   Insurance: 0</v>
      </c>
      <c r="C1056" s="60" t="str">
        <f>'Level 1'!Y1056</f>
        <v>Action</v>
      </c>
      <c r="D1056" s="44" t="str">
        <f>VLOOKUP(C1056,Table2[#All],3,FALSE)</f>
        <v>What we need from you/Reason</v>
      </c>
      <c r="E1056" s="75" t="s">
        <v>199</v>
      </c>
      <c r="F1056" s="96"/>
      <c r="G1056" s="97"/>
    </row>
    <row r="1057" spans="1:7" ht="21" x14ac:dyDescent="0.25">
      <c r="A1057" s="43" t="str">
        <f>CONCATENATE("Pt Id:",'Level 1'!E1057," ","Pt Name: ",'Level 1'!F1057," ","DOS: ", TEXT('Level 1'!H1057,"mm-dd-yyyy"),"  "," Amnt: ","$",'Level 1'!J1057,"  ", 'Level 1'!N1057)</f>
        <v>Pt Id:0 Pt Name: 0 DOS: 01-00-1900   Amnt: $0  Note</v>
      </c>
      <c r="B1057" s="43" t="str">
        <f>CONCATENATE("Detail: ",'Level 1'!N1057,"  ",'Level 1'!O1057,TEXT('Level 1'!P1057,"  mm-dd-yyyy"),";"," ",'Level 1'!Q1057,'Level 1'!R1057,"  ",'Level 1'!T1057," ","Payment "," ",'Level 1'!U1057,"  ",'Level 1'!V1057,"  ",'Level 1'!W1057,"  ",'Level 1'!X1057,"  ",'Level 1'!Z1057, "  ",'Level 1'!AA1057, " ","Insurance: ",'Level 1'!A1057)</f>
        <v>Detail: Note  Q1  01-00-1900; Q2   Payment  Q4    Q5    Additional Notes:   Insurance: 0</v>
      </c>
      <c r="C1057" s="60" t="str">
        <f>'Level 1'!Y1057</f>
        <v>Action</v>
      </c>
      <c r="D1057" s="44" t="str">
        <f>VLOOKUP(C1057,Table2[#All],3,FALSE)</f>
        <v>What we need from you/Reason</v>
      </c>
      <c r="E1057" s="75" t="s">
        <v>199</v>
      </c>
      <c r="F1057" s="96"/>
      <c r="G1057" s="97"/>
    </row>
    <row r="1058" spans="1:7" ht="21" x14ac:dyDescent="0.25">
      <c r="A1058" s="43" t="str">
        <f>CONCATENATE("Pt Id:",'Level 1'!E1058," ","Pt Name: ",'Level 1'!F1058," ","DOS: ", TEXT('Level 1'!H1058,"mm-dd-yyyy"),"  "," Amnt: ","$",'Level 1'!J1058,"  ", 'Level 1'!N1058)</f>
        <v>Pt Id:0 Pt Name: 0 DOS: 01-00-1900   Amnt: $0  Note</v>
      </c>
      <c r="B1058" s="43" t="str">
        <f>CONCATENATE("Detail: ",'Level 1'!N1058,"  ",'Level 1'!O1058,TEXT('Level 1'!P1058,"  mm-dd-yyyy"),";"," ",'Level 1'!Q1058,'Level 1'!R1058,"  ",'Level 1'!T1058," ","Payment "," ",'Level 1'!U1058,"  ",'Level 1'!V1058,"  ",'Level 1'!W1058,"  ",'Level 1'!X1058,"  ",'Level 1'!Z1058, "  ",'Level 1'!AA1058, " ","Insurance: ",'Level 1'!A1058)</f>
        <v>Detail: Note  Q1  01-00-1900; Q2   Payment  Q4    Q5    Additional Notes:   Insurance: 0</v>
      </c>
      <c r="C1058" s="60" t="str">
        <f>'Level 1'!Y1058</f>
        <v>Action</v>
      </c>
      <c r="D1058" s="44" t="str">
        <f>VLOOKUP(C1058,Table2[#All],3,FALSE)</f>
        <v>What we need from you/Reason</v>
      </c>
      <c r="E1058" s="75" t="s">
        <v>199</v>
      </c>
      <c r="F1058" s="96"/>
      <c r="G1058" s="97"/>
    </row>
    <row r="1059" spans="1:7" ht="21" x14ac:dyDescent="0.25">
      <c r="A1059" s="43" t="str">
        <f>CONCATENATE("Pt Id:",'Level 1'!E1059," ","Pt Name: ",'Level 1'!F1059," ","DOS: ", TEXT('Level 1'!H1059,"mm-dd-yyyy"),"  "," Amnt: ","$",'Level 1'!J1059,"  ", 'Level 1'!N1059)</f>
        <v>Pt Id:0 Pt Name: 0 DOS: 01-00-1900   Amnt: $0  Note</v>
      </c>
      <c r="B1059" s="43" t="str">
        <f>CONCATENATE("Detail: ",'Level 1'!N1059,"  ",'Level 1'!O1059,TEXT('Level 1'!P1059,"  mm-dd-yyyy"),";"," ",'Level 1'!Q1059,'Level 1'!R1059,"  ",'Level 1'!T1059," ","Payment "," ",'Level 1'!U1059,"  ",'Level 1'!V1059,"  ",'Level 1'!W1059,"  ",'Level 1'!X1059,"  ",'Level 1'!Z1059, "  ",'Level 1'!AA1059, " ","Insurance: ",'Level 1'!A1059)</f>
        <v>Detail: Note  Q1  01-00-1900; Q2   Payment  Q4    Q5    Additional Notes:   Insurance: 0</v>
      </c>
      <c r="C1059" s="60" t="str">
        <f>'Level 1'!Y1059</f>
        <v>Action</v>
      </c>
      <c r="D1059" s="44" t="str">
        <f>VLOOKUP(C1059,Table2[#All],3,FALSE)</f>
        <v>What we need from you/Reason</v>
      </c>
      <c r="E1059" s="75" t="s">
        <v>199</v>
      </c>
      <c r="F1059" s="96"/>
      <c r="G1059" s="97"/>
    </row>
    <row r="1060" spans="1:7" ht="21" x14ac:dyDescent="0.25">
      <c r="A1060" s="43" t="str">
        <f>CONCATENATE("Pt Id:",'Level 1'!E1060," ","Pt Name: ",'Level 1'!F1060," ","DOS: ", TEXT('Level 1'!H1060,"mm-dd-yyyy"),"  "," Amnt: ","$",'Level 1'!J1060,"  ", 'Level 1'!N1060)</f>
        <v>Pt Id:0 Pt Name: 0 DOS: 01-00-1900   Amnt: $0  Note</v>
      </c>
      <c r="B1060" s="43" t="str">
        <f>CONCATENATE("Detail: ",'Level 1'!N1060,"  ",'Level 1'!O1060,TEXT('Level 1'!P1060,"  mm-dd-yyyy"),";"," ",'Level 1'!Q1060,'Level 1'!R1060,"  ",'Level 1'!T1060," ","Payment "," ",'Level 1'!U1060,"  ",'Level 1'!V1060,"  ",'Level 1'!W1060,"  ",'Level 1'!X1060,"  ",'Level 1'!Z1060, "  ",'Level 1'!AA1060, " ","Insurance: ",'Level 1'!A1060)</f>
        <v>Detail: Note  Q1  01-00-1900; Q2   Payment  Q4    Q5    Additional Notes:   Insurance: 0</v>
      </c>
      <c r="C1060" s="60" t="str">
        <f>'Level 1'!Y1060</f>
        <v>Action</v>
      </c>
      <c r="D1060" s="44" t="str">
        <f>VLOOKUP(C1060,Table2[#All],3,FALSE)</f>
        <v>What we need from you/Reason</v>
      </c>
      <c r="E1060" s="75" t="s">
        <v>199</v>
      </c>
      <c r="F1060" s="96"/>
      <c r="G1060" s="97"/>
    </row>
    <row r="1061" spans="1:7" ht="21" x14ac:dyDescent="0.25">
      <c r="A1061" s="43" t="str">
        <f>CONCATENATE("Pt Id:",'Level 1'!E1061," ","Pt Name: ",'Level 1'!F1061," ","DOS: ", TEXT('Level 1'!H1061,"mm-dd-yyyy"),"  "," Amnt: ","$",'Level 1'!J1061,"  ", 'Level 1'!N1061)</f>
        <v>Pt Id:0 Pt Name: 0 DOS: 01-00-1900   Amnt: $0  Note</v>
      </c>
      <c r="B1061" s="43" t="str">
        <f>CONCATENATE("Detail: ",'Level 1'!N1061,"  ",'Level 1'!O1061,TEXT('Level 1'!P1061,"  mm-dd-yyyy"),";"," ",'Level 1'!Q1061,'Level 1'!R1061,"  ",'Level 1'!T1061," ","Payment "," ",'Level 1'!U1061,"  ",'Level 1'!V1061,"  ",'Level 1'!W1061,"  ",'Level 1'!X1061,"  ",'Level 1'!Z1061, "  ",'Level 1'!AA1061, " ","Insurance: ",'Level 1'!A1061)</f>
        <v>Detail: Note  Q1  01-00-1900; Q2   Payment  Q4    Q5    Additional Notes:   Insurance: 0</v>
      </c>
      <c r="C1061" s="60" t="str">
        <f>'Level 1'!Y1061</f>
        <v>Action</v>
      </c>
      <c r="D1061" s="44" t="str">
        <f>VLOOKUP(C1061,Table2[#All],3,FALSE)</f>
        <v>What we need from you/Reason</v>
      </c>
      <c r="E1061" s="75" t="s">
        <v>199</v>
      </c>
      <c r="F1061" s="96"/>
      <c r="G1061" s="97"/>
    </row>
    <row r="1062" spans="1:7" ht="21" x14ac:dyDescent="0.25">
      <c r="A1062" s="43" t="str">
        <f>CONCATENATE("Pt Id:",'Level 1'!E1062," ","Pt Name: ",'Level 1'!F1062," ","DOS: ", TEXT('Level 1'!H1062,"mm-dd-yyyy"),"  "," Amnt: ","$",'Level 1'!J1062,"  ", 'Level 1'!N1062)</f>
        <v>Pt Id:0 Pt Name: 0 DOS: 01-00-1900   Amnt: $0  Note</v>
      </c>
      <c r="B1062" s="43" t="str">
        <f>CONCATENATE("Detail: ",'Level 1'!N1062,"  ",'Level 1'!O1062,TEXT('Level 1'!P1062,"  mm-dd-yyyy"),";"," ",'Level 1'!Q1062,'Level 1'!R1062,"  ",'Level 1'!T1062," ","Payment "," ",'Level 1'!U1062,"  ",'Level 1'!V1062,"  ",'Level 1'!W1062,"  ",'Level 1'!X1062,"  ",'Level 1'!Z1062, "  ",'Level 1'!AA1062, " ","Insurance: ",'Level 1'!A1062)</f>
        <v>Detail: Note  Q1  01-00-1900; Q2   Payment  Q4    Q5    Additional Notes:   Insurance: 0</v>
      </c>
      <c r="C1062" s="60" t="str">
        <f>'Level 1'!Y1062</f>
        <v>Action</v>
      </c>
      <c r="D1062" s="44" t="str">
        <f>VLOOKUP(C1062,Table2[#All],3,FALSE)</f>
        <v>What we need from you/Reason</v>
      </c>
      <c r="E1062" s="75" t="s">
        <v>199</v>
      </c>
      <c r="F1062" s="96"/>
      <c r="G1062" s="97"/>
    </row>
    <row r="1063" spans="1:7" ht="21" x14ac:dyDescent="0.25">
      <c r="A1063" s="43" t="str">
        <f>CONCATENATE("Pt Id:",'Level 1'!E1063," ","Pt Name: ",'Level 1'!F1063," ","DOS: ", TEXT('Level 1'!H1063,"mm-dd-yyyy"),"  "," Amnt: ","$",'Level 1'!J1063,"  ", 'Level 1'!N1063)</f>
        <v>Pt Id:0 Pt Name: 0 DOS: 01-00-1900   Amnt: $0  Note</v>
      </c>
      <c r="B1063" s="43" t="str">
        <f>CONCATENATE("Detail: ",'Level 1'!N1063,"  ",'Level 1'!O1063,TEXT('Level 1'!P1063,"  mm-dd-yyyy"),";"," ",'Level 1'!Q1063,'Level 1'!R1063,"  ",'Level 1'!T1063," ","Payment "," ",'Level 1'!U1063,"  ",'Level 1'!V1063,"  ",'Level 1'!W1063,"  ",'Level 1'!X1063,"  ",'Level 1'!Z1063, "  ",'Level 1'!AA1063, " ","Insurance: ",'Level 1'!A1063)</f>
        <v>Detail: Note  Q1  01-00-1900; Q2   Payment  Q4    Q5    Additional Notes:   Insurance: 0</v>
      </c>
      <c r="C1063" s="60" t="str">
        <f>'Level 1'!Y1063</f>
        <v>Action</v>
      </c>
      <c r="D1063" s="44" t="str">
        <f>VLOOKUP(C1063,Table2[#All],3,FALSE)</f>
        <v>What we need from you/Reason</v>
      </c>
      <c r="E1063" s="75" t="s">
        <v>199</v>
      </c>
      <c r="F1063" s="96"/>
      <c r="G1063" s="97"/>
    </row>
    <row r="1064" spans="1:7" ht="21" x14ac:dyDescent="0.25">
      <c r="A1064" s="43" t="str">
        <f>CONCATENATE("Pt Id:",'Level 1'!E1064," ","Pt Name: ",'Level 1'!F1064," ","DOS: ", TEXT('Level 1'!H1064,"mm-dd-yyyy"),"  "," Amnt: ","$",'Level 1'!J1064,"  ", 'Level 1'!N1064)</f>
        <v>Pt Id:0 Pt Name: 0 DOS: 01-00-1900   Amnt: $0  Note</v>
      </c>
      <c r="B1064" s="43" t="str">
        <f>CONCATENATE("Detail: ",'Level 1'!N1064,"  ",'Level 1'!O1064,TEXT('Level 1'!P1064,"  mm-dd-yyyy"),";"," ",'Level 1'!Q1064,'Level 1'!R1064,"  ",'Level 1'!T1064," ","Payment "," ",'Level 1'!U1064,"  ",'Level 1'!V1064,"  ",'Level 1'!W1064,"  ",'Level 1'!X1064,"  ",'Level 1'!Z1064, "  ",'Level 1'!AA1064, " ","Insurance: ",'Level 1'!A1064)</f>
        <v>Detail: Note  Q1  01-00-1900; Q2   Payment  Q4    Q5    Additional Notes:   Insurance: 0</v>
      </c>
      <c r="C1064" s="60" t="str">
        <f>'Level 1'!Y1064</f>
        <v>Action</v>
      </c>
      <c r="D1064" s="44" t="str">
        <f>VLOOKUP(C1064,Table2[#All],3,FALSE)</f>
        <v>What we need from you/Reason</v>
      </c>
      <c r="E1064" s="75" t="s">
        <v>199</v>
      </c>
      <c r="F1064" s="96"/>
      <c r="G1064" s="97"/>
    </row>
    <row r="1065" spans="1:7" ht="21" x14ac:dyDescent="0.25">
      <c r="A1065" s="43" t="str">
        <f>CONCATENATE("Pt Id:",'Level 1'!E1065," ","Pt Name: ",'Level 1'!F1065," ","DOS: ", TEXT('Level 1'!H1065,"mm-dd-yyyy"),"  "," Amnt: ","$",'Level 1'!J1065,"  ", 'Level 1'!N1065)</f>
        <v>Pt Id:0 Pt Name: 0 DOS: 01-00-1900   Amnt: $0  Note</v>
      </c>
      <c r="B1065" s="43" t="str">
        <f>CONCATENATE("Detail: ",'Level 1'!N1065,"  ",'Level 1'!O1065,TEXT('Level 1'!P1065,"  mm-dd-yyyy"),";"," ",'Level 1'!Q1065,'Level 1'!R1065,"  ",'Level 1'!T1065," ","Payment "," ",'Level 1'!U1065,"  ",'Level 1'!V1065,"  ",'Level 1'!W1065,"  ",'Level 1'!X1065,"  ",'Level 1'!Z1065, "  ",'Level 1'!AA1065, " ","Insurance: ",'Level 1'!A1065)</f>
        <v>Detail: Note  Q1  01-00-1900; Q2   Payment  Q4    Q5    Additional Notes:   Insurance: 0</v>
      </c>
      <c r="C1065" s="60" t="str">
        <f>'Level 1'!Y1065</f>
        <v>Action</v>
      </c>
      <c r="D1065" s="44" t="str">
        <f>VLOOKUP(C1065,Table2[#All],3,FALSE)</f>
        <v>What we need from you/Reason</v>
      </c>
      <c r="E1065" s="75" t="s">
        <v>199</v>
      </c>
      <c r="F1065" s="96"/>
      <c r="G1065" s="97"/>
    </row>
    <row r="1066" spans="1:7" ht="21" x14ac:dyDescent="0.25">
      <c r="A1066" s="43" t="str">
        <f>CONCATENATE("Pt Id:",'Level 1'!E1066," ","Pt Name: ",'Level 1'!F1066," ","DOS: ", TEXT('Level 1'!H1066,"mm-dd-yyyy"),"  "," Amnt: ","$",'Level 1'!J1066,"  ", 'Level 1'!N1066)</f>
        <v>Pt Id:0 Pt Name: 0 DOS: 01-00-1900   Amnt: $0  Note</v>
      </c>
      <c r="B1066" s="43" t="str">
        <f>CONCATENATE("Detail: ",'Level 1'!N1066,"  ",'Level 1'!O1066,TEXT('Level 1'!P1066,"  mm-dd-yyyy"),";"," ",'Level 1'!Q1066,'Level 1'!R1066,"  ",'Level 1'!T1066," ","Payment "," ",'Level 1'!U1066,"  ",'Level 1'!V1066,"  ",'Level 1'!W1066,"  ",'Level 1'!X1066,"  ",'Level 1'!Z1066, "  ",'Level 1'!AA1066, " ","Insurance: ",'Level 1'!A1066)</f>
        <v>Detail: Note  Q1  01-00-1900; Q2   Payment  Q4    Q5    Additional Notes:   Insurance: 0</v>
      </c>
      <c r="C1066" s="60" t="str">
        <f>'Level 1'!Y1066</f>
        <v>Action</v>
      </c>
      <c r="D1066" s="44" t="str">
        <f>VLOOKUP(C1066,Table2[#All],3,FALSE)</f>
        <v>What we need from you/Reason</v>
      </c>
      <c r="E1066" s="75" t="s">
        <v>199</v>
      </c>
      <c r="F1066" s="96"/>
      <c r="G1066" s="97"/>
    </row>
    <row r="1067" spans="1:7" ht="21" x14ac:dyDescent="0.25">
      <c r="A1067" s="43" t="str">
        <f>CONCATENATE("Pt Id:",'Level 1'!E1067," ","Pt Name: ",'Level 1'!F1067," ","DOS: ", TEXT('Level 1'!H1067,"mm-dd-yyyy"),"  "," Amnt: ","$",'Level 1'!J1067,"  ", 'Level 1'!N1067)</f>
        <v>Pt Id:0 Pt Name: 0 DOS: 01-00-1900   Amnt: $0  Note</v>
      </c>
      <c r="B1067" s="43" t="str">
        <f>CONCATENATE("Detail: ",'Level 1'!N1067,"  ",'Level 1'!O1067,TEXT('Level 1'!P1067,"  mm-dd-yyyy"),";"," ",'Level 1'!Q1067,'Level 1'!R1067,"  ",'Level 1'!T1067," ","Payment "," ",'Level 1'!U1067,"  ",'Level 1'!V1067,"  ",'Level 1'!W1067,"  ",'Level 1'!X1067,"  ",'Level 1'!Z1067, "  ",'Level 1'!AA1067, " ","Insurance: ",'Level 1'!A1067)</f>
        <v>Detail: Note  Q1  01-00-1900; Q2   Payment  Q4    Q5    Additional Notes:   Insurance: 0</v>
      </c>
      <c r="C1067" s="60" t="str">
        <f>'Level 1'!Y1067</f>
        <v>Action</v>
      </c>
      <c r="D1067" s="44" t="str">
        <f>VLOOKUP(C1067,Table2[#All],3,FALSE)</f>
        <v>What we need from you/Reason</v>
      </c>
      <c r="E1067" s="75" t="s">
        <v>199</v>
      </c>
      <c r="F1067" s="96"/>
      <c r="G1067" s="97"/>
    </row>
    <row r="1068" spans="1:7" ht="21" x14ac:dyDescent="0.25">
      <c r="A1068" s="43" t="str">
        <f>CONCATENATE("Pt Id:",'Level 1'!E1068," ","Pt Name: ",'Level 1'!F1068," ","DOS: ", TEXT('Level 1'!H1068,"mm-dd-yyyy"),"  "," Amnt: ","$",'Level 1'!J1068,"  ", 'Level 1'!N1068)</f>
        <v>Pt Id:0 Pt Name: 0 DOS: 01-00-1900   Amnt: $0  Note</v>
      </c>
      <c r="B1068" s="43" t="str">
        <f>CONCATENATE("Detail: ",'Level 1'!N1068,"  ",'Level 1'!O1068,TEXT('Level 1'!P1068,"  mm-dd-yyyy"),";"," ",'Level 1'!Q1068,'Level 1'!R1068,"  ",'Level 1'!T1068," ","Payment "," ",'Level 1'!U1068,"  ",'Level 1'!V1068,"  ",'Level 1'!W1068,"  ",'Level 1'!X1068,"  ",'Level 1'!Z1068, "  ",'Level 1'!AA1068, " ","Insurance: ",'Level 1'!A1068)</f>
        <v>Detail: Note  Q1  01-00-1900; Q2   Payment  Q4    Q5    Additional Notes:   Insurance: 0</v>
      </c>
      <c r="C1068" s="60" t="str">
        <f>'Level 1'!Y1068</f>
        <v>Action</v>
      </c>
      <c r="D1068" s="44" t="str">
        <f>VLOOKUP(C1068,Table2[#All],3,FALSE)</f>
        <v>What we need from you/Reason</v>
      </c>
      <c r="E1068" s="75" t="s">
        <v>199</v>
      </c>
      <c r="F1068" s="96"/>
      <c r="G1068" s="97"/>
    </row>
    <row r="1069" spans="1:7" ht="21" x14ac:dyDescent="0.25">
      <c r="A1069" s="43" t="str">
        <f>CONCATENATE("Pt Id:",'Level 1'!E1069," ","Pt Name: ",'Level 1'!F1069," ","DOS: ", TEXT('Level 1'!H1069,"mm-dd-yyyy"),"  "," Amnt: ","$",'Level 1'!J1069,"  ", 'Level 1'!N1069)</f>
        <v>Pt Id:0 Pt Name: 0 DOS: 01-00-1900   Amnt: $0  Note</v>
      </c>
      <c r="B1069" s="43" t="str">
        <f>CONCATENATE("Detail: ",'Level 1'!N1069,"  ",'Level 1'!O1069,TEXT('Level 1'!P1069,"  mm-dd-yyyy"),";"," ",'Level 1'!Q1069,'Level 1'!R1069,"  ",'Level 1'!T1069," ","Payment "," ",'Level 1'!U1069,"  ",'Level 1'!V1069,"  ",'Level 1'!W1069,"  ",'Level 1'!X1069,"  ",'Level 1'!Z1069, "  ",'Level 1'!AA1069, " ","Insurance: ",'Level 1'!A1069)</f>
        <v>Detail: Note  Q1  01-00-1900; Q2   Payment  Q4    Q5    Additional Notes:   Insurance: 0</v>
      </c>
      <c r="C1069" s="60" t="str">
        <f>'Level 1'!Y1069</f>
        <v>Action</v>
      </c>
      <c r="D1069" s="44" t="str">
        <f>VLOOKUP(C1069,Table2[#All],3,FALSE)</f>
        <v>What we need from you/Reason</v>
      </c>
      <c r="E1069" s="75" t="s">
        <v>199</v>
      </c>
      <c r="F1069" s="96"/>
      <c r="G1069" s="97"/>
    </row>
    <row r="1070" spans="1:7" ht="21" x14ac:dyDescent="0.25">
      <c r="A1070" s="43" t="str">
        <f>CONCATENATE("Pt Id:",'Level 1'!E1070," ","Pt Name: ",'Level 1'!F1070," ","DOS: ", TEXT('Level 1'!H1070,"mm-dd-yyyy"),"  "," Amnt: ","$",'Level 1'!J1070,"  ", 'Level 1'!N1070)</f>
        <v>Pt Id:0 Pt Name: 0 DOS: 01-00-1900   Amnt: $0  Note</v>
      </c>
      <c r="B1070" s="43" t="str">
        <f>CONCATENATE("Detail: ",'Level 1'!N1070,"  ",'Level 1'!O1070,TEXT('Level 1'!P1070,"  mm-dd-yyyy"),";"," ",'Level 1'!Q1070,'Level 1'!R1070,"  ",'Level 1'!T1070," ","Payment "," ",'Level 1'!U1070,"  ",'Level 1'!V1070,"  ",'Level 1'!W1070,"  ",'Level 1'!X1070,"  ",'Level 1'!Z1070, "  ",'Level 1'!AA1070, " ","Insurance: ",'Level 1'!A1070)</f>
        <v>Detail: Note  Q1  01-00-1900; Q2   Payment  Q4    Q5    Additional Notes:   Insurance: 0</v>
      </c>
      <c r="C1070" s="60" t="str">
        <f>'Level 1'!Y1070</f>
        <v>Action</v>
      </c>
      <c r="D1070" s="44" t="str">
        <f>VLOOKUP(C1070,Table2[#All],3,FALSE)</f>
        <v>What we need from you/Reason</v>
      </c>
      <c r="E1070" s="75" t="s">
        <v>199</v>
      </c>
      <c r="F1070" s="96"/>
      <c r="G1070" s="97"/>
    </row>
    <row r="1071" spans="1:7" ht="21" x14ac:dyDescent="0.25">
      <c r="A1071" s="43" t="str">
        <f>CONCATENATE("Pt Id:",'Level 1'!E1071," ","Pt Name: ",'Level 1'!F1071," ","DOS: ", TEXT('Level 1'!H1071,"mm-dd-yyyy"),"  "," Amnt: ","$",'Level 1'!J1071,"  ", 'Level 1'!N1071)</f>
        <v>Pt Id:0 Pt Name: 0 DOS: 01-00-1900   Amnt: $0  Note</v>
      </c>
      <c r="B1071" s="43" t="str">
        <f>CONCATENATE("Detail: ",'Level 1'!N1071,"  ",'Level 1'!O1071,TEXT('Level 1'!P1071,"  mm-dd-yyyy"),";"," ",'Level 1'!Q1071,'Level 1'!R1071,"  ",'Level 1'!T1071," ","Payment "," ",'Level 1'!U1071,"  ",'Level 1'!V1071,"  ",'Level 1'!W1071,"  ",'Level 1'!X1071,"  ",'Level 1'!Z1071, "  ",'Level 1'!AA1071, " ","Insurance: ",'Level 1'!A1071)</f>
        <v>Detail: Note  Q1  01-00-1900; Q2   Payment  Q4    Q5    Additional Notes:   Insurance: 0</v>
      </c>
      <c r="C1071" s="60" t="str">
        <f>'Level 1'!Y1071</f>
        <v>Action</v>
      </c>
      <c r="D1071" s="44" t="str">
        <f>VLOOKUP(C1071,Table2[#All],3,FALSE)</f>
        <v>What we need from you/Reason</v>
      </c>
      <c r="E1071" s="75" t="s">
        <v>199</v>
      </c>
      <c r="F1071" s="96"/>
      <c r="G1071" s="97"/>
    </row>
    <row r="1072" spans="1:7" ht="21" x14ac:dyDescent="0.25">
      <c r="A1072" s="43" t="str">
        <f>CONCATENATE("Pt Id:",'Level 1'!E1072," ","Pt Name: ",'Level 1'!F1072," ","DOS: ", TEXT('Level 1'!H1072,"mm-dd-yyyy"),"  "," Amnt: ","$",'Level 1'!J1072,"  ", 'Level 1'!N1072)</f>
        <v>Pt Id:0 Pt Name: 0 DOS: 01-00-1900   Amnt: $0  Note</v>
      </c>
      <c r="B1072" s="43" t="str">
        <f>CONCATENATE("Detail: ",'Level 1'!N1072,"  ",'Level 1'!O1072,TEXT('Level 1'!P1072,"  mm-dd-yyyy"),";"," ",'Level 1'!Q1072,'Level 1'!R1072,"  ",'Level 1'!T1072," ","Payment "," ",'Level 1'!U1072,"  ",'Level 1'!V1072,"  ",'Level 1'!W1072,"  ",'Level 1'!X1072,"  ",'Level 1'!Z1072, "  ",'Level 1'!AA1072, " ","Insurance: ",'Level 1'!A1072)</f>
        <v>Detail: Note  Q1  01-00-1900; Q2   Payment  Q4    Q5    Additional Notes:   Insurance: 0</v>
      </c>
      <c r="C1072" s="60" t="str">
        <f>'Level 1'!Y1072</f>
        <v>Action</v>
      </c>
      <c r="D1072" s="44" t="str">
        <f>VLOOKUP(C1072,Table2[#All],3,FALSE)</f>
        <v>What we need from you/Reason</v>
      </c>
      <c r="E1072" s="75" t="s">
        <v>199</v>
      </c>
      <c r="F1072" s="96"/>
      <c r="G1072" s="97"/>
    </row>
    <row r="1073" spans="1:7" ht="21" x14ac:dyDescent="0.25">
      <c r="A1073" s="43" t="str">
        <f>CONCATENATE("Pt Id:",'Level 1'!E1073," ","Pt Name: ",'Level 1'!F1073," ","DOS: ", TEXT('Level 1'!H1073,"mm-dd-yyyy"),"  "," Amnt: ","$",'Level 1'!J1073,"  ", 'Level 1'!N1073)</f>
        <v>Pt Id:0 Pt Name: 0 DOS: 01-00-1900   Amnt: $0  Note</v>
      </c>
      <c r="B1073" s="43" t="str">
        <f>CONCATENATE("Detail: ",'Level 1'!N1073,"  ",'Level 1'!O1073,TEXT('Level 1'!P1073,"  mm-dd-yyyy"),";"," ",'Level 1'!Q1073,'Level 1'!R1073,"  ",'Level 1'!T1073," ","Payment "," ",'Level 1'!U1073,"  ",'Level 1'!V1073,"  ",'Level 1'!W1073,"  ",'Level 1'!X1073,"  ",'Level 1'!Z1073, "  ",'Level 1'!AA1073, " ","Insurance: ",'Level 1'!A1073)</f>
        <v>Detail: Note  Q1  01-00-1900; Q2   Payment  Q4    Q5    Additional Notes:   Insurance: 0</v>
      </c>
      <c r="C1073" s="60" t="str">
        <f>'Level 1'!Y1073</f>
        <v>Action</v>
      </c>
      <c r="D1073" s="44" t="str">
        <f>VLOOKUP(C1073,Table2[#All],3,FALSE)</f>
        <v>What we need from you/Reason</v>
      </c>
      <c r="E1073" s="75" t="s">
        <v>199</v>
      </c>
      <c r="F1073" s="96"/>
      <c r="G1073" s="97"/>
    </row>
    <row r="1074" spans="1:7" ht="21" x14ac:dyDescent="0.25">
      <c r="A1074" s="43" t="str">
        <f>CONCATENATE("Pt Id:",'Level 1'!E1074," ","Pt Name: ",'Level 1'!F1074," ","DOS: ", TEXT('Level 1'!H1074,"mm-dd-yyyy"),"  "," Amnt: ","$",'Level 1'!J1074,"  ", 'Level 1'!N1074)</f>
        <v>Pt Id:0 Pt Name: 0 DOS: 01-00-1900   Amnt: $0  Note</v>
      </c>
      <c r="B1074" s="43" t="str">
        <f>CONCATENATE("Detail: ",'Level 1'!N1074,"  ",'Level 1'!O1074,TEXT('Level 1'!P1074,"  mm-dd-yyyy"),";"," ",'Level 1'!Q1074,'Level 1'!R1074,"  ",'Level 1'!T1074," ","Payment "," ",'Level 1'!U1074,"  ",'Level 1'!V1074,"  ",'Level 1'!W1074,"  ",'Level 1'!X1074,"  ",'Level 1'!Z1074, "  ",'Level 1'!AA1074, " ","Insurance: ",'Level 1'!A1074)</f>
        <v>Detail: Note  Q1  01-00-1900; Q2   Payment  Q4    Q5    Additional Notes:   Insurance: 0</v>
      </c>
      <c r="C1074" s="60" t="str">
        <f>'Level 1'!Y1074</f>
        <v>Action</v>
      </c>
      <c r="D1074" s="44" t="str">
        <f>VLOOKUP(C1074,Table2[#All],3,FALSE)</f>
        <v>What we need from you/Reason</v>
      </c>
      <c r="E1074" s="75" t="s">
        <v>199</v>
      </c>
      <c r="F1074" s="96"/>
      <c r="G1074" s="97"/>
    </row>
    <row r="1075" spans="1:7" ht="21" x14ac:dyDescent="0.25">
      <c r="A1075" s="43" t="str">
        <f>CONCATENATE("Pt Id:",'Level 1'!E1075," ","Pt Name: ",'Level 1'!F1075," ","DOS: ", TEXT('Level 1'!H1075,"mm-dd-yyyy"),"  "," Amnt: ","$",'Level 1'!J1075,"  ", 'Level 1'!N1075)</f>
        <v>Pt Id:0 Pt Name: 0 DOS: 01-00-1900   Amnt: $0  Note</v>
      </c>
      <c r="B1075" s="43" t="str">
        <f>CONCATENATE("Detail: ",'Level 1'!N1075,"  ",'Level 1'!O1075,TEXT('Level 1'!P1075,"  mm-dd-yyyy"),";"," ",'Level 1'!Q1075,'Level 1'!R1075,"  ",'Level 1'!T1075," ","Payment "," ",'Level 1'!U1075,"  ",'Level 1'!V1075,"  ",'Level 1'!W1075,"  ",'Level 1'!X1075,"  ",'Level 1'!Z1075, "  ",'Level 1'!AA1075, " ","Insurance: ",'Level 1'!A1075)</f>
        <v>Detail: Note  Q1  01-00-1900; Q2   Payment  Q4    Q5    Additional Notes:   Insurance: 0</v>
      </c>
      <c r="C1075" s="60" t="str">
        <f>'Level 1'!Y1075</f>
        <v>Action</v>
      </c>
      <c r="D1075" s="44" t="str">
        <f>VLOOKUP(C1075,Table2[#All],3,FALSE)</f>
        <v>What we need from you/Reason</v>
      </c>
      <c r="E1075" s="75" t="s">
        <v>199</v>
      </c>
      <c r="F1075" s="96"/>
      <c r="G1075" s="97"/>
    </row>
    <row r="1076" spans="1:7" ht="21" x14ac:dyDescent="0.25">
      <c r="A1076" s="43" t="str">
        <f>CONCATENATE("Pt Id:",'Level 1'!E1076," ","Pt Name: ",'Level 1'!F1076," ","DOS: ", TEXT('Level 1'!H1076,"mm-dd-yyyy"),"  "," Amnt: ","$",'Level 1'!J1076,"  ", 'Level 1'!N1076)</f>
        <v>Pt Id:0 Pt Name: 0 DOS: 01-00-1900   Amnt: $0  Note</v>
      </c>
      <c r="B1076" s="43" t="str">
        <f>CONCATENATE("Detail: ",'Level 1'!N1076,"  ",'Level 1'!O1076,TEXT('Level 1'!P1076,"  mm-dd-yyyy"),";"," ",'Level 1'!Q1076,'Level 1'!R1076,"  ",'Level 1'!T1076," ","Payment "," ",'Level 1'!U1076,"  ",'Level 1'!V1076,"  ",'Level 1'!W1076,"  ",'Level 1'!X1076,"  ",'Level 1'!Z1076, "  ",'Level 1'!AA1076, " ","Insurance: ",'Level 1'!A1076)</f>
        <v>Detail: Note  Q1  01-00-1900; Q2   Payment  Q4    Q5    Additional Notes:   Insurance: 0</v>
      </c>
      <c r="C1076" s="60" t="str">
        <f>'Level 1'!Y1076</f>
        <v>Action</v>
      </c>
      <c r="D1076" s="44" t="str">
        <f>VLOOKUP(C1076,Table2[#All],3,FALSE)</f>
        <v>What we need from you/Reason</v>
      </c>
      <c r="E1076" s="75" t="s">
        <v>199</v>
      </c>
      <c r="F1076" s="96"/>
      <c r="G1076" s="97"/>
    </row>
    <row r="1077" spans="1:7" ht="21" x14ac:dyDescent="0.25">
      <c r="A1077" s="43" t="str">
        <f>CONCATENATE("Pt Id:",'Level 1'!E1077," ","Pt Name: ",'Level 1'!F1077," ","DOS: ", TEXT('Level 1'!H1077,"mm-dd-yyyy"),"  "," Amnt: ","$",'Level 1'!J1077,"  ", 'Level 1'!N1077)</f>
        <v>Pt Id:0 Pt Name: 0 DOS: 01-00-1900   Amnt: $0  Note</v>
      </c>
      <c r="B1077" s="43" t="str">
        <f>CONCATENATE("Detail: ",'Level 1'!N1077,"  ",'Level 1'!O1077,TEXT('Level 1'!P1077,"  mm-dd-yyyy"),";"," ",'Level 1'!Q1077,'Level 1'!R1077,"  ",'Level 1'!T1077," ","Payment "," ",'Level 1'!U1077,"  ",'Level 1'!V1077,"  ",'Level 1'!W1077,"  ",'Level 1'!X1077,"  ",'Level 1'!Z1077, "  ",'Level 1'!AA1077, " ","Insurance: ",'Level 1'!A1077)</f>
        <v>Detail: Note  Q1  01-00-1900; Q2   Payment  Q4    Q5    Additional Notes:   Insurance: 0</v>
      </c>
      <c r="C1077" s="60" t="str">
        <f>'Level 1'!Y1077</f>
        <v>Action</v>
      </c>
      <c r="D1077" s="44" t="str">
        <f>VLOOKUP(C1077,Table2[#All],3,FALSE)</f>
        <v>What we need from you/Reason</v>
      </c>
      <c r="E1077" s="75" t="s">
        <v>199</v>
      </c>
      <c r="F1077" s="96"/>
      <c r="G1077" s="97"/>
    </row>
    <row r="1078" spans="1:7" ht="21" x14ac:dyDescent="0.25">
      <c r="A1078" s="43" t="str">
        <f>CONCATENATE("Pt Id:",'Level 1'!E1078," ","Pt Name: ",'Level 1'!F1078," ","DOS: ", TEXT('Level 1'!H1078,"mm-dd-yyyy"),"  "," Amnt: ","$",'Level 1'!J1078,"  ", 'Level 1'!N1078)</f>
        <v>Pt Id:0 Pt Name: 0 DOS: 01-00-1900   Amnt: $0  Note</v>
      </c>
      <c r="B1078" s="43" t="str">
        <f>CONCATENATE("Detail: ",'Level 1'!N1078,"  ",'Level 1'!O1078,TEXT('Level 1'!P1078,"  mm-dd-yyyy"),";"," ",'Level 1'!Q1078,'Level 1'!R1078,"  ",'Level 1'!T1078," ","Payment "," ",'Level 1'!U1078,"  ",'Level 1'!V1078,"  ",'Level 1'!W1078,"  ",'Level 1'!X1078,"  ",'Level 1'!Z1078, "  ",'Level 1'!AA1078, " ","Insurance: ",'Level 1'!A1078)</f>
        <v>Detail: Note  Q1  01-00-1900; Q2   Payment  Q4    Q5    Additional Notes:   Insurance: 0</v>
      </c>
      <c r="C1078" s="60" t="str">
        <f>'Level 1'!Y1078</f>
        <v>Action</v>
      </c>
      <c r="D1078" s="44" t="str">
        <f>VLOOKUP(C1078,Table2[#All],3,FALSE)</f>
        <v>What we need from you/Reason</v>
      </c>
      <c r="E1078" s="75" t="s">
        <v>199</v>
      </c>
      <c r="F1078" s="96"/>
      <c r="G1078" s="97"/>
    </row>
    <row r="1079" spans="1:7" ht="21" x14ac:dyDescent="0.25">
      <c r="A1079" s="43" t="str">
        <f>CONCATENATE("Pt Id:",'Level 1'!E1079," ","Pt Name: ",'Level 1'!F1079," ","DOS: ", TEXT('Level 1'!H1079,"mm-dd-yyyy"),"  "," Amnt: ","$",'Level 1'!J1079,"  ", 'Level 1'!N1079)</f>
        <v>Pt Id:0 Pt Name: 0 DOS: 01-00-1900   Amnt: $0  Note</v>
      </c>
      <c r="B1079" s="43" t="str">
        <f>CONCATENATE("Detail: ",'Level 1'!N1079,"  ",'Level 1'!O1079,TEXT('Level 1'!P1079,"  mm-dd-yyyy"),";"," ",'Level 1'!Q1079,'Level 1'!R1079,"  ",'Level 1'!T1079," ","Payment "," ",'Level 1'!U1079,"  ",'Level 1'!V1079,"  ",'Level 1'!W1079,"  ",'Level 1'!X1079,"  ",'Level 1'!Z1079, "  ",'Level 1'!AA1079, " ","Insurance: ",'Level 1'!A1079)</f>
        <v>Detail: Note  Q1  01-00-1900; Q2   Payment  Q4    Q5    Additional Notes:   Insurance: 0</v>
      </c>
      <c r="C1079" s="60" t="str">
        <f>'Level 1'!Y1079</f>
        <v>Action</v>
      </c>
      <c r="D1079" s="44" t="str">
        <f>VLOOKUP(C1079,Table2[#All],3,FALSE)</f>
        <v>What we need from you/Reason</v>
      </c>
      <c r="E1079" s="75" t="s">
        <v>199</v>
      </c>
      <c r="F1079" s="96"/>
      <c r="G1079" s="97"/>
    </row>
    <row r="1080" spans="1:7" ht="21" x14ac:dyDescent="0.25">
      <c r="A1080" s="43" t="str">
        <f>CONCATENATE("Pt Id:",'Level 1'!E1080," ","Pt Name: ",'Level 1'!F1080," ","DOS: ", TEXT('Level 1'!H1080,"mm-dd-yyyy"),"  "," Amnt: ","$",'Level 1'!J1080,"  ", 'Level 1'!N1080)</f>
        <v>Pt Id:0 Pt Name: 0 DOS: 01-00-1900   Amnt: $0  Note</v>
      </c>
      <c r="B1080" s="43" t="str">
        <f>CONCATENATE("Detail: ",'Level 1'!N1080,"  ",'Level 1'!O1080,TEXT('Level 1'!P1080,"  mm-dd-yyyy"),";"," ",'Level 1'!Q1080,'Level 1'!R1080,"  ",'Level 1'!T1080," ","Payment "," ",'Level 1'!U1080,"  ",'Level 1'!V1080,"  ",'Level 1'!W1080,"  ",'Level 1'!X1080,"  ",'Level 1'!Z1080, "  ",'Level 1'!AA1080, " ","Insurance: ",'Level 1'!A1080)</f>
        <v>Detail: Note  Q1  01-00-1900; Q2   Payment  Q4    Q5    Additional Notes:   Insurance: 0</v>
      </c>
      <c r="C1080" s="60" t="str">
        <f>'Level 1'!Y1080</f>
        <v>Action</v>
      </c>
      <c r="D1080" s="44" t="str">
        <f>VLOOKUP(C1080,Table2[#All],3,FALSE)</f>
        <v>What we need from you/Reason</v>
      </c>
      <c r="E1080" s="75" t="s">
        <v>199</v>
      </c>
      <c r="F1080" s="96"/>
      <c r="G1080" s="97"/>
    </row>
    <row r="1081" spans="1:7" ht="21" x14ac:dyDescent="0.25">
      <c r="A1081" s="43" t="str">
        <f>CONCATENATE("Pt Id:",'Level 1'!E1081," ","Pt Name: ",'Level 1'!F1081," ","DOS: ", TEXT('Level 1'!H1081,"mm-dd-yyyy"),"  "," Amnt: ","$",'Level 1'!J1081,"  ", 'Level 1'!N1081)</f>
        <v>Pt Id:0 Pt Name: 0 DOS: 01-00-1900   Amnt: $0  Note</v>
      </c>
      <c r="B1081" s="43" t="str">
        <f>CONCATENATE("Detail: ",'Level 1'!N1081,"  ",'Level 1'!O1081,TEXT('Level 1'!P1081,"  mm-dd-yyyy"),";"," ",'Level 1'!Q1081,'Level 1'!R1081,"  ",'Level 1'!T1081," ","Payment "," ",'Level 1'!U1081,"  ",'Level 1'!V1081,"  ",'Level 1'!W1081,"  ",'Level 1'!X1081,"  ",'Level 1'!Z1081, "  ",'Level 1'!AA1081, " ","Insurance: ",'Level 1'!A1081)</f>
        <v>Detail: Note  Q1  01-00-1900; Q2   Payment  Q4    Q5    Additional Notes:   Insurance: 0</v>
      </c>
      <c r="C1081" s="60" t="str">
        <f>'Level 1'!Y1081</f>
        <v>Action</v>
      </c>
      <c r="D1081" s="44" t="str">
        <f>VLOOKUP(C1081,Table2[#All],3,FALSE)</f>
        <v>What we need from you/Reason</v>
      </c>
      <c r="E1081" s="75" t="s">
        <v>199</v>
      </c>
      <c r="F1081" s="96"/>
      <c r="G1081" s="97"/>
    </row>
    <row r="1082" spans="1:7" ht="21" x14ac:dyDescent="0.25">
      <c r="A1082" s="43" t="str">
        <f>CONCATENATE("Pt Id:",'Level 1'!E1082," ","Pt Name: ",'Level 1'!F1082," ","DOS: ", TEXT('Level 1'!H1082,"mm-dd-yyyy"),"  "," Amnt: ","$",'Level 1'!J1082,"  ", 'Level 1'!N1082)</f>
        <v>Pt Id:0 Pt Name: 0 DOS: 01-00-1900   Amnt: $0  Note</v>
      </c>
      <c r="B1082" s="43" t="str">
        <f>CONCATENATE("Detail: ",'Level 1'!N1082,"  ",'Level 1'!O1082,TEXT('Level 1'!P1082,"  mm-dd-yyyy"),";"," ",'Level 1'!Q1082,'Level 1'!R1082,"  ",'Level 1'!T1082," ","Payment "," ",'Level 1'!U1082,"  ",'Level 1'!V1082,"  ",'Level 1'!W1082,"  ",'Level 1'!X1082,"  ",'Level 1'!Z1082, "  ",'Level 1'!AA1082, " ","Insurance: ",'Level 1'!A1082)</f>
        <v>Detail: Note  Q1  01-00-1900; Q2   Payment  Q4    Q5    Additional Notes:   Insurance: 0</v>
      </c>
      <c r="C1082" s="60" t="str">
        <f>'Level 1'!Y1082</f>
        <v>Action</v>
      </c>
      <c r="D1082" s="44" t="str">
        <f>VLOOKUP(C1082,Table2[#All],3,FALSE)</f>
        <v>What we need from you/Reason</v>
      </c>
      <c r="E1082" s="75" t="s">
        <v>199</v>
      </c>
      <c r="F1082" s="96"/>
      <c r="G1082" s="97"/>
    </row>
    <row r="1083" spans="1:7" ht="21" x14ac:dyDescent="0.25">
      <c r="A1083" s="43" t="str">
        <f>CONCATENATE("Pt Id:",'Level 1'!E1083," ","Pt Name: ",'Level 1'!F1083," ","DOS: ", TEXT('Level 1'!H1083,"mm-dd-yyyy"),"  "," Amnt: ","$",'Level 1'!J1083,"  ", 'Level 1'!N1083)</f>
        <v>Pt Id:0 Pt Name: 0 DOS: 01-00-1900   Amnt: $0  Note</v>
      </c>
      <c r="B1083" s="43" t="str">
        <f>CONCATENATE("Detail: ",'Level 1'!N1083,"  ",'Level 1'!O1083,TEXT('Level 1'!P1083,"  mm-dd-yyyy"),";"," ",'Level 1'!Q1083,'Level 1'!R1083,"  ",'Level 1'!T1083," ","Payment "," ",'Level 1'!U1083,"  ",'Level 1'!V1083,"  ",'Level 1'!W1083,"  ",'Level 1'!X1083,"  ",'Level 1'!Z1083, "  ",'Level 1'!AA1083, " ","Insurance: ",'Level 1'!A1083)</f>
        <v>Detail: Note  Q1  01-00-1900; Q2   Payment  Q4    Q5    Additional Notes:   Insurance: 0</v>
      </c>
      <c r="C1083" s="60" t="str">
        <f>'Level 1'!Y1083</f>
        <v>Action</v>
      </c>
      <c r="D1083" s="44" t="str">
        <f>VLOOKUP(C1083,Table2[#All],3,FALSE)</f>
        <v>What we need from you/Reason</v>
      </c>
      <c r="E1083" s="75" t="s">
        <v>199</v>
      </c>
      <c r="F1083" s="96"/>
      <c r="G1083" s="97"/>
    </row>
    <row r="1084" spans="1:7" ht="21" x14ac:dyDescent="0.25">
      <c r="A1084" s="43" t="str">
        <f>CONCATENATE("Pt Id:",'Level 1'!E1084," ","Pt Name: ",'Level 1'!F1084," ","DOS: ", TEXT('Level 1'!H1084,"mm-dd-yyyy"),"  "," Amnt: ","$",'Level 1'!J1084,"  ", 'Level 1'!N1084)</f>
        <v>Pt Id:0 Pt Name: 0 DOS: 01-00-1900   Amnt: $0  Note</v>
      </c>
      <c r="B1084" s="43" t="str">
        <f>CONCATENATE("Detail: ",'Level 1'!N1084,"  ",'Level 1'!O1084,TEXT('Level 1'!P1084,"  mm-dd-yyyy"),";"," ",'Level 1'!Q1084,'Level 1'!R1084,"  ",'Level 1'!T1084," ","Payment "," ",'Level 1'!U1084,"  ",'Level 1'!V1084,"  ",'Level 1'!W1084,"  ",'Level 1'!X1084,"  ",'Level 1'!Z1084, "  ",'Level 1'!AA1084, " ","Insurance: ",'Level 1'!A1084)</f>
        <v>Detail: Note  Q1  01-00-1900; Q2   Payment  Q4    Q5    Additional Notes:   Insurance: 0</v>
      </c>
      <c r="C1084" s="60" t="str">
        <f>'Level 1'!Y1084</f>
        <v>Action</v>
      </c>
      <c r="D1084" s="44" t="str">
        <f>VLOOKUP(C1084,Table2[#All],3,FALSE)</f>
        <v>What we need from you/Reason</v>
      </c>
      <c r="E1084" s="75" t="s">
        <v>199</v>
      </c>
      <c r="F1084" s="96"/>
      <c r="G1084" s="97"/>
    </row>
    <row r="1085" spans="1:7" ht="21" x14ac:dyDescent="0.25">
      <c r="A1085" s="43" t="str">
        <f>CONCATENATE("Pt Id:",'Level 1'!E1085," ","Pt Name: ",'Level 1'!F1085," ","DOS: ", TEXT('Level 1'!H1085,"mm-dd-yyyy"),"  "," Amnt: ","$",'Level 1'!J1085,"  ", 'Level 1'!N1085)</f>
        <v>Pt Id:0 Pt Name: 0 DOS: 01-00-1900   Amnt: $0  Note</v>
      </c>
      <c r="B1085" s="43" t="str">
        <f>CONCATENATE("Detail: ",'Level 1'!N1085,"  ",'Level 1'!O1085,TEXT('Level 1'!P1085,"  mm-dd-yyyy"),";"," ",'Level 1'!Q1085,'Level 1'!R1085,"  ",'Level 1'!T1085," ","Payment "," ",'Level 1'!U1085,"  ",'Level 1'!V1085,"  ",'Level 1'!W1085,"  ",'Level 1'!X1085,"  ",'Level 1'!Z1085, "  ",'Level 1'!AA1085, " ","Insurance: ",'Level 1'!A1085)</f>
        <v>Detail: Note  Q1  01-00-1900; Q2   Payment  Q4    Q5    Additional Notes:   Insurance: 0</v>
      </c>
      <c r="C1085" s="60" t="str">
        <f>'Level 1'!Y1085</f>
        <v>Action</v>
      </c>
      <c r="D1085" s="44" t="str">
        <f>VLOOKUP(C1085,Table2[#All],3,FALSE)</f>
        <v>What we need from you/Reason</v>
      </c>
      <c r="E1085" s="75" t="s">
        <v>199</v>
      </c>
      <c r="F1085" s="96"/>
      <c r="G1085" s="97"/>
    </row>
    <row r="1086" spans="1:7" ht="21" x14ac:dyDescent="0.25">
      <c r="A1086" s="43" t="str">
        <f>CONCATENATE("Pt Id:",'Level 1'!E1086," ","Pt Name: ",'Level 1'!F1086," ","DOS: ", TEXT('Level 1'!H1086,"mm-dd-yyyy"),"  "," Amnt: ","$",'Level 1'!J1086,"  ", 'Level 1'!N1086)</f>
        <v>Pt Id:0 Pt Name: 0 DOS: 01-00-1900   Amnt: $0  Note</v>
      </c>
      <c r="B1086" s="43" t="str">
        <f>CONCATENATE("Detail: ",'Level 1'!N1086,"  ",'Level 1'!O1086,TEXT('Level 1'!P1086,"  mm-dd-yyyy"),";"," ",'Level 1'!Q1086,'Level 1'!R1086,"  ",'Level 1'!T1086," ","Payment "," ",'Level 1'!U1086,"  ",'Level 1'!V1086,"  ",'Level 1'!W1086,"  ",'Level 1'!X1086,"  ",'Level 1'!Z1086, "  ",'Level 1'!AA1086, " ","Insurance: ",'Level 1'!A1086)</f>
        <v>Detail: Note  Q1  01-00-1900; Q2   Payment  Q4    Q5    Additional Notes:   Insurance: 0</v>
      </c>
      <c r="C1086" s="60" t="str">
        <f>'Level 1'!Y1086</f>
        <v>Action</v>
      </c>
      <c r="D1086" s="44" t="str">
        <f>VLOOKUP(C1086,Table2[#All],3,FALSE)</f>
        <v>What we need from you/Reason</v>
      </c>
      <c r="E1086" s="75" t="s">
        <v>199</v>
      </c>
      <c r="F1086" s="96"/>
      <c r="G1086" s="97"/>
    </row>
    <row r="1087" spans="1:7" ht="21" x14ac:dyDescent="0.25">
      <c r="A1087" s="43" t="str">
        <f>CONCATENATE("Pt Id:",'Level 1'!E1087," ","Pt Name: ",'Level 1'!F1087," ","DOS: ", TEXT('Level 1'!H1087,"mm-dd-yyyy"),"  "," Amnt: ","$",'Level 1'!J1087,"  ", 'Level 1'!N1087)</f>
        <v>Pt Id:0 Pt Name: 0 DOS: 01-00-1900   Amnt: $0  Note</v>
      </c>
      <c r="B1087" s="43" t="str">
        <f>CONCATENATE("Detail: ",'Level 1'!N1087,"  ",'Level 1'!O1087,TEXT('Level 1'!P1087,"  mm-dd-yyyy"),";"," ",'Level 1'!Q1087,'Level 1'!R1087,"  ",'Level 1'!T1087," ","Payment "," ",'Level 1'!U1087,"  ",'Level 1'!V1087,"  ",'Level 1'!W1087,"  ",'Level 1'!X1087,"  ",'Level 1'!Z1087, "  ",'Level 1'!AA1087, " ","Insurance: ",'Level 1'!A1087)</f>
        <v>Detail: Note  Q1  01-00-1900; Q2   Payment  Q4    Q5    Additional Notes:   Insurance: 0</v>
      </c>
      <c r="C1087" s="60" t="str">
        <f>'Level 1'!Y1087</f>
        <v>Action</v>
      </c>
      <c r="D1087" s="44" t="str">
        <f>VLOOKUP(C1087,Table2[#All],3,FALSE)</f>
        <v>What we need from you/Reason</v>
      </c>
      <c r="E1087" s="75" t="s">
        <v>199</v>
      </c>
      <c r="F1087" s="96"/>
      <c r="G1087" s="97"/>
    </row>
    <row r="1088" spans="1:7" ht="21" x14ac:dyDescent="0.25">
      <c r="A1088" s="43" t="str">
        <f>CONCATENATE("Pt Id:",'Level 1'!E1088," ","Pt Name: ",'Level 1'!F1088," ","DOS: ", TEXT('Level 1'!H1088,"mm-dd-yyyy"),"  "," Amnt: ","$",'Level 1'!J1088,"  ", 'Level 1'!N1088)</f>
        <v>Pt Id:0 Pt Name: 0 DOS: 01-00-1900   Amnt: $0  Note</v>
      </c>
      <c r="B1088" s="43" t="str">
        <f>CONCATENATE("Detail: ",'Level 1'!N1088,"  ",'Level 1'!O1088,TEXT('Level 1'!P1088,"  mm-dd-yyyy"),";"," ",'Level 1'!Q1088,'Level 1'!R1088,"  ",'Level 1'!T1088," ","Payment "," ",'Level 1'!U1088,"  ",'Level 1'!V1088,"  ",'Level 1'!W1088,"  ",'Level 1'!X1088,"  ",'Level 1'!Z1088, "  ",'Level 1'!AA1088, " ","Insurance: ",'Level 1'!A1088)</f>
        <v>Detail: Note  Q1  01-00-1900; Q2   Payment  Q4    Q5    Additional Notes:   Insurance: 0</v>
      </c>
      <c r="C1088" s="60" t="str">
        <f>'Level 1'!Y1088</f>
        <v>Action</v>
      </c>
      <c r="D1088" s="44" t="str">
        <f>VLOOKUP(C1088,Table2[#All],3,FALSE)</f>
        <v>What we need from you/Reason</v>
      </c>
      <c r="E1088" s="75" t="s">
        <v>199</v>
      </c>
      <c r="F1088" s="96"/>
      <c r="G1088" s="97"/>
    </row>
    <row r="1089" spans="1:7" ht="21" x14ac:dyDescent="0.25">
      <c r="A1089" s="43" t="str">
        <f>CONCATENATE("Pt Id:",'Level 1'!E1089," ","Pt Name: ",'Level 1'!F1089," ","DOS: ", TEXT('Level 1'!H1089,"mm-dd-yyyy"),"  "," Amnt: ","$",'Level 1'!J1089,"  ", 'Level 1'!N1089)</f>
        <v>Pt Id:0 Pt Name: 0 DOS: 01-00-1900   Amnt: $0  Note</v>
      </c>
      <c r="B1089" s="43" t="str">
        <f>CONCATENATE("Detail: ",'Level 1'!N1089,"  ",'Level 1'!O1089,TEXT('Level 1'!P1089,"  mm-dd-yyyy"),";"," ",'Level 1'!Q1089,'Level 1'!R1089,"  ",'Level 1'!T1089," ","Payment "," ",'Level 1'!U1089,"  ",'Level 1'!V1089,"  ",'Level 1'!W1089,"  ",'Level 1'!X1089,"  ",'Level 1'!Z1089, "  ",'Level 1'!AA1089, " ","Insurance: ",'Level 1'!A1089)</f>
        <v>Detail: Note  Q1  01-00-1900; Q2   Payment  Q4    Q5    Additional Notes:   Insurance: 0</v>
      </c>
      <c r="C1089" s="60" t="str">
        <f>'Level 1'!Y1089</f>
        <v>Action</v>
      </c>
      <c r="D1089" s="44" t="str">
        <f>VLOOKUP(C1089,Table2[#All],3,FALSE)</f>
        <v>What we need from you/Reason</v>
      </c>
      <c r="E1089" s="75" t="s">
        <v>199</v>
      </c>
      <c r="F1089" s="96"/>
      <c r="G1089" s="97"/>
    </row>
    <row r="1090" spans="1:7" ht="21" x14ac:dyDescent="0.25">
      <c r="A1090" s="43" t="str">
        <f>CONCATENATE("Pt Id:",'Level 1'!E1090," ","Pt Name: ",'Level 1'!F1090," ","DOS: ", TEXT('Level 1'!H1090,"mm-dd-yyyy"),"  "," Amnt: ","$",'Level 1'!J1090,"  ", 'Level 1'!N1090)</f>
        <v>Pt Id:0 Pt Name: 0 DOS: 01-00-1900   Amnt: $0  Note</v>
      </c>
      <c r="B1090" s="43" t="str">
        <f>CONCATENATE("Detail: ",'Level 1'!N1090,"  ",'Level 1'!O1090,TEXT('Level 1'!P1090,"  mm-dd-yyyy"),";"," ",'Level 1'!Q1090,'Level 1'!R1090,"  ",'Level 1'!T1090," ","Payment "," ",'Level 1'!U1090,"  ",'Level 1'!V1090,"  ",'Level 1'!W1090,"  ",'Level 1'!X1090,"  ",'Level 1'!Z1090, "  ",'Level 1'!AA1090, " ","Insurance: ",'Level 1'!A1090)</f>
        <v>Detail: Note  Q1  01-00-1900; Q2   Payment  Q4    Q5    Additional Notes:   Insurance: 0</v>
      </c>
      <c r="C1090" s="60" t="str">
        <f>'Level 1'!Y1090</f>
        <v>Action</v>
      </c>
      <c r="D1090" s="44" t="str">
        <f>VLOOKUP(C1090,Table2[#All],3,FALSE)</f>
        <v>What we need from you/Reason</v>
      </c>
      <c r="E1090" s="75" t="s">
        <v>199</v>
      </c>
      <c r="F1090" s="96"/>
      <c r="G1090" s="97"/>
    </row>
    <row r="1091" spans="1:7" ht="21" x14ac:dyDescent="0.25">
      <c r="A1091" s="43" t="str">
        <f>CONCATENATE("Pt Id:",'Level 1'!E1091," ","Pt Name: ",'Level 1'!F1091," ","DOS: ", TEXT('Level 1'!H1091,"mm-dd-yyyy"),"  "," Amnt: ","$",'Level 1'!J1091,"  ", 'Level 1'!N1091)</f>
        <v>Pt Id:0 Pt Name: 0 DOS: 01-00-1900   Amnt: $0  Note</v>
      </c>
      <c r="B1091" s="43" t="str">
        <f>CONCATENATE("Detail: ",'Level 1'!N1091,"  ",'Level 1'!O1091,TEXT('Level 1'!P1091,"  mm-dd-yyyy"),";"," ",'Level 1'!Q1091,'Level 1'!R1091,"  ",'Level 1'!T1091," ","Payment "," ",'Level 1'!U1091,"  ",'Level 1'!V1091,"  ",'Level 1'!W1091,"  ",'Level 1'!X1091,"  ",'Level 1'!Z1091, "  ",'Level 1'!AA1091, " ","Insurance: ",'Level 1'!A1091)</f>
        <v>Detail: Note  Q1  01-00-1900; Q2   Payment  Q4    Q5    Additional Notes:   Insurance: 0</v>
      </c>
      <c r="C1091" s="60" t="str">
        <f>'Level 1'!Y1091</f>
        <v>Action</v>
      </c>
      <c r="D1091" s="44" t="str">
        <f>VLOOKUP(C1091,Table2[#All],3,FALSE)</f>
        <v>What we need from you/Reason</v>
      </c>
      <c r="E1091" s="75" t="s">
        <v>199</v>
      </c>
      <c r="F1091" s="96"/>
      <c r="G1091" s="97"/>
    </row>
    <row r="1092" spans="1:7" ht="21" x14ac:dyDescent="0.25">
      <c r="A1092" s="43" t="str">
        <f>CONCATENATE("Pt Id:",'Level 1'!E1092," ","Pt Name: ",'Level 1'!F1092," ","DOS: ", TEXT('Level 1'!H1092,"mm-dd-yyyy"),"  "," Amnt: ","$",'Level 1'!J1092,"  ", 'Level 1'!N1092)</f>
        <v>Pt Id:0 Pt Name: 0 DOS: 01-00-1900   Amnt: $0  Note</v>
      </c>
      <c r="B1092" s="43" t="str">
        <f>CONCATENATE("Detail: ",'Level 1'!N1092,"  ",'Level 1'!O1092,TEXT('Level 1'!P1092,"  mm-dd-yyyy"),";"," ",'Level 1'!Q1092,'Level 1'!R1092,"  ",'Level 1'!T1092," ","Payment "," ",'Level 1'!U1092,"  ",'Level 1'!V1092,"  ",'Level 1'!W1092,"  ",'Level 1'!X1092,"  ",'Level 1'!Z1092, "  ",'Level 1'!AA1092, " ","Insurance: ",'Level 1'!A1092)</f>
        <v>Detail: Note  Q1  01-00-1900; Q2   Payment  Q4    Q5    Additional Notes:   Insurance: 0</v>
      </c>
      <c r="C1092" s="60" t="str">
        <f>'Level 1'!Y1092</f>
        <v>Action</v>
      </c>
      <c r="D1092" s="44" t="str">
        <f>VLOOKUP(C1092,Table2[#All],3,FALSE)</f>
        <v>What we need from you/Reason</v>
      </c>
      <c r="E1092" s="75" t="s">
        <v>199</v>
      </c>
      <c r="F1092" s="96"/>
      <c r="G1092" s="97"/>
    </row>
    <row r="1093" spans="1:7" ht="21" x14ac:dyDescent="0.25">
      <c r="A1093" s="43" t="str">
        <f>CONCATENATE("Pt Id:",'Level 1'!E1093," ","Pt Name: ",'Level 1'!F1093," ","DOS: ", TEXT('Level 1'!H1093,"mm-dd-yyyy"),"  "," Amnt: ","$",'Level 1'!J1093,"  ", 'Level 1'!N1093)</f>
        <v>Pt Id:0 Pt Name: 0 DOS: 01-00-1900   Amnt: $0  Note</v>
      </c>
      <c r="B1093" s="43" t="str">
        <f>CONCATENATE("Detail: ",'Level 1'!N1093,"  ",'Level 1'!O1093,TEXT('Level 1'!P1093,"  mm-dd-yyyy"),";"," ",'Level 1'!Q1093,'Level 1'!R1093,"  ",'Level 1'!T1093," ","Payment "," ",'Level 1'!U1093,"  ",'Level 1'!V1093,"  ",'Level 1'!W1093,"  ",'Level 1'!X1093,"  ",'Level 1'!Z1093, "  ",'Level 1'!AA1093, " ","Insurance: ",'Level 1'!A1093)</f>
        <v>Detail: Note  Q1  01-00-1900; Q2   Payment  Q4    Q5    Additional Notes:   Insurance: 0</v>
      </c>
      <c r="C1093" s="60" t="str">
        <f>'Level 1'!Y1093</f>
        <v>Action</v>
      </c>
      <c r="D1093" s="44" t="str">
        <f>VLOOKUP(C1093,Table2[#All],3,FALSE)</f>
        <v>What we need from you/Reason</v>
      </c>
      <c r="E1093" s="75" t="s">
        <v>199</v>
      </c>
      <c r="F1093" s="96"/>
      <c r="G1093" s="97"/>
    </row>
    <row r="1094" spans="1:7" ht="21" x14ac:dyDescent="0.25">
      <c r="A1094" s="43" t="str">
        <f>CONCATENATE("Pt Id:",'Level 1'!E1094," ","Pt Name: ",'Level 1'!F1094," ","DOS: ", TEXT('Level 1'!H1094,"mm-dd-yyyy"),"  "," Amnt: ","$",'Level 1'!J1094,"  ", 'Level 1'!N1094)</f>
        <v>Pt Id:0 Pt Name: 0 DOS: 01-00-1900   Amnt: $0  Note</v>
      </c>
      <c r="B1094" s="43" t="str">
        <f>CONCATENATE("Detail: ",'Level 1'!N1094,"  ",'Level 1'!O1094,TEXT('Level 1'!P1094,"  mm-dd-yyyy"),";"," ",'Level 1'!Q1094,'Level 1'!R1094,"  ",'Level 1'!T1094," ","Payment "," ",'Level 1'!U1094,"  ",'Level 1'!V1094,"  ",'Level 1'!W1094,"  ",'Level 1'!X1094,"  ",'Level 1'!Z1094, "  ",'Level 1'!AA1094, " ","Insurance: ",'Level 1'!A1094)</f>
        <v>Detail: Note  Q1  01-00-1900; Q2   Payment  Q4    Q5    Additional Notes:   Insurance: 0</v>
      </c>
      <c r="C1094" s="60" t="str">
        <f>'Level 1'!Y1094</f>
        <v>Action</v>
      </c>
      <c r="D1094" s="44" t="str">
        <f>VLOOKUP(C1094,Table2[#All],3,FALSE)</f>
        <v>What we need from you/Reason</v>
      </c>
      <c r="E1094" s="75" t="s">
        <v>199</v>
      </c>
      <c r="F1094" s="96"/>
      <c r="G1094" s="97"/>
    </row>
    <row r="1095" spans="1:7" ht="21" x14ac:dyDescent="0.25">
      <c r="A1095" s="43" t="str">
        <f>CONCATENATE("Pt Id:",'Level 1'!E1095," ","Pt Name: ",'Level 1'!F1095," ","DOS: ", TEXT('Level 1'!H1095,"mm-dd-yyyy"),"  "," Amnt: ","$",'Level 1'!J1095,"  ", 'Level 1'!N1095)</f>
        <v>Pt Id:0 Pt Name: 0 DOS: 01-00-1900   Amnt: $0  Note</v>
      </c>
      <c r="B1095" s="43" t="str">
        <f>CONCATENATE("Detail: ",'Level 1'!N1095,"  ",'Level 1'!O1095,TEXT('Level 1'!P1095,"  mm-dd-yyyy"),";"," ",'Level 1'!Q1095,'Level 1'!R1095,"  ",'Level 1'!T1095," ","Payment "," ",'Level 1'!U1095,"  ",'Level 1'!V1095,"  ",'Level 1'!W1095,"  ",'Level 1'!X1095,"  ",'Level 1'!Z1095, "  ",'Level 1'!AA1095, " ","Insurance: ",'Level 1'!A1095)</f>
        <v>Detail: Note  Q1  01-00-1900; Q2   Payment  Q4    Q5    Additional Notes:   Insurance: 0</v>
      </c>
      <c r="C1095" s="60" t="str">
        <f>'Level 1'!Y1095</f>
        <v>Action</v>
      </c>
      <c r="D1095" s="44" t="str">
        <f>VLOOKUP(C1095,Table2[#All],3,FALSE)</f>
        <v>What we need from you/Reason</v>
      </c>
      <c r="E1095" s="75" t="s">
        <v>199</v>
      </c>
      <c r="F1095" s="96"/>
      <c r="G1095" s="97"/>
    </row>
    <row r="1096" spans="1:7" ht="21" x14ac:dyDescent="0.25">
      <c r="A1096" s="43" t="str">
        <f>CONCATENATE("Pt Id:",'Level 1'!E1096," ","Pt Name: ",'Level 1'!F1096," ","DOS: ", TEXT('Level 1'!H1096,"mm-dd-yyyy"),"  "," Amnt: ","$",'Level 1'!J1096,"  ", 'Level 1'!N1096)</f>
        <v>Pt Id:0 Pt Name: 0 DOS: 01-00-1900   Amnt: $0  Note</v>
      </c>
      <c r="B1096" s="43" t="str">
        <f>CONCATENATE("Detail: ",'Level 1'!N1096,"  ",'Level 1'!O1096,TEXT('Level 1'!P1096,"  mm-dd-yyyy"),";"," ",'Level 1'!Q1096,'Level 1'!R1096,"  ",'Level 1'!T1096," ","Payment "," ",'Level 1'!U1096,"  ",'Level 1'!V1096,"  ",'Level 1'!W1096,"  ",'Level 1'!X1096,"  ",'Level 1'!Z1096, "  ",'Level 1'!AA1096, " ","Insurance: ",'Level 1'!A1096)</f>
        <v>Detail: Note  Q1  01-00-1900; Q2   Payment  Q4    Q5    Additional Notes:   Insurance: 0</v>
      </c>
      <c r="C1096" s="60" t="str">
        <f>'Level 1'!Y1096</f>
        <v>Action</v>
      </c>
      <c r="D1096" s="44" t="str">
        <f>VLOOKUP(C1096,Table2[#All],3,FALSE)</f>
        <v>What we need from you/Reason</v>
      </c>
      <c r="E1096" s="75" t="s">
        <v>199</v>
      </c>
      <c r="F1096" s="96"/>
      <c r="G1096" s="97"/>
    </row>
    <row r="1097" spans="1:7" ht="21" x14ac:dyDescent="0.25">
      <c r="A1097" s="43" t="str">
        <f>CONCATENATE("Pt Id:",'Level 1'!E1097," ","Pt Name: ",'Level 1'!F1097," ","DOS: ", TEXT('Level 1'!H1097,"mm-dd-yyyy"),"  "," Amnt: ","$",'Level 1'!J1097,"  ", 'Level 1'!N1097)</f>
        <v>Pt Id:0 Pt Name: 0 DOS: 01-00-1900   Amnt: $0  Note</v>
      </c>
      <c r="B1097" s="43" t="str">
        <f>CONCATENATE("Detail: ",'Level 1'!N1097,"  ",'Level 1'!O1097,TEXT('Level 1'!P1097,"  mm-dd-yyyy"),";"," ",'Level 1'!Q1097,'Level 1'!R1097,"  ",'Level 1'!T1097," ","Payment "," ",'Level 1'!U1097,"  ",'Level 1'!V1097,"  ",'Level 1'!W1097,"  ",'Level 1'!X1097,"  ",'Level 1'!Z1097, "  ",'Level 1'!AA1097, " ","Insurance: ",'Level 1'!A1097)</f>
        <v>Detail: Note  Q1  01-00-1900; Q2   Payment  Q4    Q5    Additional Notes:   Insurance: 0</v>
      </c>
      <c r="C1097" s="60" t="str">
        <f>'Level 1'!Y1097</f>
        <v>Action</v>
      </c>
      <c r="D1097" s="44" t="str">
        <f>VLOOKUP(C1097,Table2[#All],3,FALSE)</f>
        <v>What we need from you/Reason</v>
      </c>
      <c r="E1097" s="75" t="s">
        <v>199</v>
      </c>
      <c r="F1097" s="96"/>
      <c r="G1097" s="97"/>
    </row>
    <row r="1098" spans="1:7" ht="21" x14ac:dyDescent="0.25">
      <c r="A1098" s="43" t="str">
        <f>CONCATENATE("Pt Id:",'Level 1'!E1098," ","Pt Name: ",'Level 1'!F1098," ","DOS: ", TEXT('Level 1'!H1098,"mm-dd-yyyy"),"  "," Amnt: ","$",'Level 1'!J1098,"  ", 'Level 1'!N1098)</f>
        <v>Pt Id:0 Pt Name: 0 DOS: 01-00-1900   Amnt: $0  Note</v>
      </c>
      <c r="B1098" s="43" t="str">
        <f>CONCATENATE("Detail: ",'Level 1'!N1098,"  ",'Level 1'!O1098,TEXT('Level 1'!P1098,"  mm-dd-yyyy"),";"," ",'Level 1'!Q1098,'Level 1'!R1098,"  ",'Level 1'!T1098," ","Payment "," ",'Level 1'!U1098,"  ",'Level 1'!V1098,"  ",'Level 1'!W1098,"  ",'Level 1'!X1098,"  ",'Level 1'!Z1098, "  ",'Level 1'!AA1098, " ","Insurance: ",'Level 1'!A1098)</f>
        <v>Detail: Note  Q1  01-00-1900; Q2   Payment  Q4    Q5    Additional Notes:   Insurance: 0</v>
      </c>
      <c r="C1098" s="60" t="str">
        <f>'Level 1'!Y1098</f>
        <v>Action</v>
      </c>
      <c r="D1098" s="44" t="str">
        <f>VLOOKUP(C1098,Table2[#All],3,FALSE)</f>
        <v>What we need from you/Reason</v>
      </c>
      <c r="E1098" s="75" t="s">
        <v>199</v>
      </c>
      <c r="F1098" s="96"/>
      <c r="G1098" s="97"/>
    </row>
    <row r="1099" spans="1:7" ht="21" x14ac:dyDescent="0.25">
      <c r="A1099" s="43" t="str">
        <f>CONCATENATE("Pt Id:",'Level 1'!E1099," ","Pt Name: ",'Level 1'!F1099," ","DOS: ", TEXT('Level 1'!H1099,"mm-dd-yyyy"),"  "," Amnt: ","$",'Level 1'!J1099,"  ", 'Level 1'!N1099)</f>
        <v>Pt Id:0 Pt Name: 0 DOS: 01-00-1900   Amnt: $0  Note</v>
      </c>
      <c r="B1099" s="43" t="str">
        <f>CONCATENATE("Detail: ",'Level 1'!N1099,"  ",'Level 1'!O1099,TEXT('Level 1'!P1099,"  mm-dd-yyyy"),";"," ",'Level 1'!Q1099,'Level 1'!R1099,"  ",'Level 1'!T1099," ","Payment "," ",'Level 1'!U1099,"  ",'Level 1'!V1099,"  ",'Level 1'!W1099,"  ",'Level 1'!X1099,"  ",'Level 1'!Z1099, "  ",'Level 1'!AA1099, " ","Insurance: ",'Level 1'!A1099)</f>
        <v>Detail: Note  Q1  01-00-1900; Q2   Payment  Q4    Q5    Additional Notes:   Insurance: 0</v>
      </c>
      <c r="C1099" s="60" t="str">
        <f>'Level 1'!Y1099</f>
        <v>Action</v>
      </c>
      <c r="D1099" s="44" t="str">
        <f>VLOOKUP(C1099,Table2[#All],3,FALSE)</f>
        <v>What we need from you/Reason</v>
      </c>
      <c r="E1099" s="75" t="s">
        <v>199</v>
      </c>
      <c r="F1099" s="96"/>
      <c r="G1099" s="97"/>
    </row>
    <row r="1100" spans="1:7" ht="21" x14ac:dyDescent="0.25">
      <c r="A1100" s="43" t="str">
        <f>CONCATENATE("Pt Id:",'Level 1'!E1100," ","Pt Name: ",'Level 1'!F1100," ","DOS: ", TEXT('Level 1'!H1100,"mm-dd-yyyy"),"  "," Amnt: ","$",'Level 1'!J1100,"  ", 'Level 1'!N1100)</f>
        <v>Pt Id:0 Pt Name: 0 DOS: 01-00-1900   Amnt: $0  Note</v>
      </c>
      <c r="B1100" s="43" t="str">
        <f>CONCATENATE("Detail: ",'Level 1'!N1100,"  ",'Level 1'!O1100,TEXT('Level 1'!P1100,"  mm-dd-yyyy"),";"," ",'Level 1'!Q1100,'Level 1'!R1100,"  ",'Level 1'!T1100," ","Payment "," ",'Level 1'!U1100,"  ",'Level 1'!V1100,"  ",'Level 1'!W1100,"  ",'Level 1'!X1100,"  ",'Level 1'!Z1100, "  ",'Level 1'!AA1100, " ","Insurance: ",'Level 1'!A1100)</f>
        <v>Detail: Note  Q1  01-00-1900; Q2   Payment  Q4    Q5    Additional Notes:   Insurance: 0</v>
      </c>
      <c r="C1100" s="60" t="str">
        <f>'Level 1'!Y1100</f>
        <v>Action</v>
      </c>
      <c r="D1100" s="44" t="str">
        <f>VLOOKUP(C1100,Table2[#All],3,FALSE)</f>
        <v>What we need from you/Reason</v>
      </c>
      <c r="E1100" s="75" t="s">
        <v>199</v>
      </c>
      <c r="F1100" s="96"/>
      <c r="G1100" s="97"/>
    </row>
    <row r="1101" spans="1:7" ht="21" x14ac:dyDescent="0.25">
      <c r="A1101" s="43" t="str">
        <f>CONCATENATE("Pt Id:",'Level 1'!E1101," ","Pt Name: ",'Level 1'!F1101," ","DOS: ", TEXT('Level 1'!H1101,"mm-dd-yyyy"),"  "," Amnt: ","$",'Level 1'!J1101,"  ", 'Level 1'!N1101)</f>
        <v>Pt Id:0 Pt Name: 0 DOS: 01-00-1900   Amnt: $0  Note</v>
      </c>
      <c r="B1101" s="43" t="str">
        <f>CONCATENATE("Detail: ",'Level 1'!N1101,"  ",'Level 1'!O1101,TEXT('Level 1'!P1101,"  mm-dd-yyyy"),";"," ",'Level 1'!Q1101,'Level 1'!R1101,"  ",'Level 1'!T1101," ","Payment "," ",'Level 1'!U1101,"  ",'Level 1'!V1101,"  ",'Level 1'!W1101,"  ",'Level 1'!X1101,"  ",'Level 1'!Z1101, "  ",'Level 1'!AA1101, " ","Insurance: ",'Level 1'!A1101)</f>
        <v>Detail: Note  Q1  01-00-1900; Q2   Payment  Q4    Q5    Additional Notes:   Insurance: 0</v>
      </c>
      <c r="C1101" s="60" t="str">
        <f>'Level 1'!Y1101</f>
        <v>Action</v>
      </c>
      <c r="D1101" s="44" t="str">
        <f>VLOOKUP(C1101,Table2[#All],3,FALSE)</f>
        <v>What we need from you/Reason</v>
      </c>
      <c r="E1101" s="75" t="s">
        <v>199</v>
      </c>
      <c r="F1101" s="96"/>
      <c r="G1101" s="97"/>
    </row>
    <row r="1102" spans="1:7" ht="21" x14ac:dyDescent="0.25">
      <c r="A1102" s="43" t="str">
        <f>CONCATENATE("Pt Id:",'Level 1'!E1102," ","Pt Name: ",'Level 1'!F1102," ","DOS: ", TEXT('Level 1'!H1102,"mm-dd-yyyy"),"  "," Amnt: ","$",'Level 1'!J1102,"  ", 'Level 1'!N1102)</f>
        <v>Pt Id:0 Pt Name: 0 DOS: 01-00-1900   Amnt: $0  Note</v>
      </c>
      <c r="B1102" s="43" t="str">
        <f>CONCATENATE("Detail: ",'Level 1'!N1102,"  ",'Level 1'!O1102,TEXT('Level 1'!P1102,"  mm-dd-yyyy"),";"," ",'Level 1'!Q1102,'Level 1'!R1102,"  ",'Level 1'!T1102," ","Payment "," ",'Level 1'!U1102,"  ",'Level 1'!V1102,"  ",'Level 1'!W1102,"  ",'Level 1'!X1102,"  ",'Level 1'!Z1102, "  ",'Level 1'!AA1102, " ","Insurance: ",'Level 1'!A1102)</f>
        <v>Detail: Note  Q1  01-00-1900; Q2   Payment  Q4    Q5    Additional Notes:   Insurance: 0</v>
      </c>
      <c r="C1102" s="60" t="str">
        <f>'Level 1'!Y1102</f>
        <v>Action</v>
      </c>
      <c r="D1102" s="44" t="str">
        <f>VLOOKUP(C1102,Table2[#All],3,FALSE)</f>
        <v>What we need from you/Reason</v>
      </c>
      <c r="E1102" s="75" t="s">
        <v>199</v>
      </c>
      <c r="F1102" s="96"/>
      <c r="G1102" s="97"/>
    </row>
    <row r="1103" spans="1:7" ht="21" x14ac:dyDescent="0.25">
      <c r="A1103" s="43" t="str">
        <f>CONCATENATE("Pt Id:",'Level 1'!E1103," ","Pt Name: ",'Level 1'!F1103," ","DOS: ", TEXT('Level 1'!H1103,"mm-dd-yyyy"),"  "," Amnt: ","$",'Level 1'!J1103,"  ", 'Level 1'!N1103)</f>
        <v>Pt Id:0 Pt Name: 0 DOS: 01-00-1900   Amnt: $0  Note</v>
      </c>
      <c r="B1103" s="43" t="str">
        <f>CONCATENATE("Detail: ",'Level 1'!N1103,"  ",'Level 1'!O1103,TEXT('Level 1'!P1103,"  mm-dd-yyyy"),";"," ",'Level 1'!Q1103,'Level 1'!R1103,"  ",'Level 1'!T1103," ","Payment "," ",'Level 1'!U1103,"  ",'Level 1'!V1103,"  ",'Level 1'!W1103,"  ",'Level 1'!X1103,"  ",'Level 1'!Z1103, "  ",'Level 1'!AA1103, " ","Insurance: ",'Level 1'!A1103)</f>
        <v>Detail: Note  Q1  01-00-1900; Q2   Payment  Q4    Q5    Additional Notes:   Insurance: 0</v>
      </c>
      <c r="C1103" s="60" t="str">
        <f>'Level 1'!Y1103</f>
        <v>Action</v>
      </c>
      <c r="D1103" s="44" t="str">
        <f>VLOOKUP(C1103,Table2[#All],3,FALSE)</f>
        <v>What we need from you/Reason</v>
      </c>
      <c r="E1103" s="75" t="s">
        <v>199</v>
      </c>
      <c r="F1103" s="96"/>
      <c r="G1103" s="97"/>
    </row>
    <row r="1104" spans="1:7" ht="21" x14ac:dyDescent="0.25">
      <c r="A1104" s="43" t="str">
        <f>CONCATENATE("Pt Id:",'Level 1'!E1104," ","Pt Name: ",'Level 1'!F1104," ","DOS: ", TEXT('Level 1'!H1104,"mm-dd-yyyy"),"  "," Amnt: ","$",'Level 1'!J1104,"  ", 'Level 1'!N1104)</f>
        <v>Pt Id:0 Pt Name: 0 DOS: 01-00-1900   Amnt: $0  Note</v>
      </c>
      <c r="B1104" s="43" t="str">
        <f>CONCATENATE("Detail: ",'Level 1'!N1104,"  ",'Level 1'!O1104,TEXT('Level 1'!P1104,"  mm-dd-yyyy"),";"," ",'Level 1'!Q1104,'Level 1'!R1104,"  ",'Level 1'!T1104," ","Payment "," ",'Level 1'!U1104,"  ",'Level 1'!V1104,"  ",'Level 1'!W1104,"  ",'Level 1'!X1104,"  ",'Level 1'!Z1104, "  ",'Level 1'!AA1104, " ","Insurance: ",'Level 1'!A1104)</f>
        <v>Detail: Note  Q1  01-00-1900; Q2   Payment  Q4    Q5    Additional Notes:   Insurance: 0</v>
      </c>
      <c r="C1104" s="60" t="str">
        <f>'Level 1'!Y1104</f>
        <v>Action</v>
      </c>
      <c r="D1104" s="44" t="str">
        <f>VLOOKUP(C1104,Table2[#All],3,FALSE)</f>
        <v>What we need from you/Reason</v>
      </c>
      <c r="E1104" s="75" t="s">
        <v>199</v>
      </c>
      <c r="F1104" s="96"/>
      <c r="G1104" s="97"/>
    </row>
    <row r="1105" spans="1:7" ht="21" x14ac:dyDescent="0.25">
      <c r="A1105" s="43" t="str">
        <f>CONCATENATE("Pt Id:",'Level 1'!E1105," ","Pt Name: ",'Level 1'!F1105," ","DOS: ", TEXT('Level 1'!H1105,"mm-dd-yyyy"),"  "," Amnt: ","$",'Level 1'!J1105,"  ", 'Level 1'!N1105)</f>
        <v>Pt Id:0 Pt Name: 0 DOS: 01-00-1900   Amnt: $0  Note</v>
      </c>
      <c r="B1105" s="43" t="str">
        <f>CONCATENATE("Detail: ",'Level 1'!N1105,"  ",'Level 1'!O1105,TEXT('Level 1'!P1105,"  mm-dd-yyyy"),";"," ",'Level 1'!Q1105,'Level 1'!R1105,"  ",'Level 1'!T1105," ","Payment "," ",'Level 1'!U1105,"  ",'Level 1'!V1105,"  ",'Level 1'!W1105,"  ",'Level 1'!X1105,"  ",'Level 1'!Z1105, "  ",'Level 1'!AA1105, " ","Insurance: ",'Level 1'!A1105)</f>
        <v>Detail: Note  Q1  01-00-1900; Q2   Payment  Q4    Q5    Additional Notes:   Insurance: 0</v>
      </c>
      <c r="C1105" s="60" t="str">
        <f>'Level 1'!Y1105</f>
        <v>Action</v>
      </c>
      <c r="D1105" s="44" t="str">
        <f>VLOOKUP(C1105,Table2[#All],3,FALSE)</f>
        <v>What we need from you/Reason</v>
      </c>
      <c r="E1105" s="75" t="s">
        <v>199</v>
      </c>
      <c r="F1105" s="96"/>
      <c r="G1105" s="97"/>
    </row>
    <row r="1106" spans="1:7" ht="21" x14ac:dyDescent="0.25">
      <c r="A1106" s="43" t="str">
        <f>CONCATENATE("Pt Id:",'Level 1'!E1106," ","Pt Name: ",'Level 1'!F1106," ","DOS: ", TEXT('Level 1'!H1106,"mm-dd-yyyy"),"  "," Amnt: ","$",'Level 1'!J1106,"  ", 'Level 1'!N1106)</f>
        <v>Pt Id:0 Pt Name: 0 DOS: 01-00-1900   Amnt: $0  Note</v>
      </c>
      <c r="B1106" s="43" t="str">
        <f>CONCATENATE("Detail: ",'Level 1'!N1106,"  ",'Level 1'!O1106,TEXT('Level 1'!P1106,"  mm-dd-yyyy"),";"," ",'Level 1'!Q1106,'Level 1'!R1106,"  ",'Level 1'!T1106," ","Payment "," ",'Level 1'!U1106,"  ",'Level 1'!V1106,"  ",'Level 1'!W1106,"  ",'Level 1'!X1106,"  ",'Level 1'!Z1106, "  ",'Level 1'!AA1106, " ","Insurance: ",'Level 1'!A1106)</f>
        <v>Detail: Note  Q1  01-00-1900; Q2   Payment  Q4    Q5    Additional Notes:   Insurance: 0</v>
      </c>
      <c r="C1106" s="60" t="str">
        <f>'Level 1'!Y1106</f>
        <v>Action</v>
      </c>
      <c r="D1106" s="44" t="str">
        <f>VLOOKUP(C1106,Table2[#All],3,FALSE)</f>
        <v>What we need from you/Reason</v>
      </c>
      <c r="E1106" s="75" t="s">
        <v>199</v>
      </c>
      <c r="F1106" s="96"/>
      <c r="G1106" s="97"/>
    </row>
    <row r="1107" spans="1:7" ht="21" x14ac:dyDescent="0.25">
      <c r="A1107" s="43" t="str">
        <f>CONCATENATE("Pt Id:",'Level 1'!E1107," ","Pt Name: ",'Level 1'!F1107," ","DOS: ", TEXT('Level 1'!H1107,"mm-dd-yyyy"),"  "," Amnt: ","$",'Level 1'!J1107,"  ", 'Level 1'!N1107)</f>
        <v>Pt Id:0 Pt Name: 0 DOS: 01-00-1900   Amnt: $0  Note</v>
      </c>
      <c r="B1107" s="43" t="str">
        <f>CONCATENATE("Detail: ",'Level 1'!N1107,"  ",'Level 1'!O1107,TEXT('Level 1'!P1107,"  mm-dd-yyyy"),";"," ",'Level 1'!Q1107,'Level 1'!R1107,"  ",'Level 1'!T1107," ","Payment "," ",'Level 1'!U1107,"  ",'Level 1'!V1107,"  ",'Level 1'!W1107,"  ",'Level 1'!X1107,"  ",'Level 1'!Z1107, "  ",'Level 1'!AA1107, " ","Insurance: ",'Level 1'!A1107)</f>
        <v>Detail: Note  Q1  01-00-1900; Q2   Payment  Q4    Q5    Additional Notes:   Insurance: 0</v>
      </c>
      <c r="C1107" s="60" t="str">
        <f>'Level 1'!Y1107</f>
        <v>Action</v>
      </c>
      <c r="D1107" s="44" t="str">
        <f>VLOOKUP(C1107,Table2[#All],3,FALSE)</f>
        <v>What we need from you/Reason</v>
      </c>
      <c r="E1107" s="75" t="s">
        <v>199</v>
      </c>
      <c r="F1107" s="96"/>
      <c r="G1107" s="97"/>
    </row>
    <row r="1108" spans="1:7" ht="21" x14ac:dyDescent="0.25">
      <c r="A1108" s="43" t="str">
        <f>CONCATENATE("Pt Id:",'Level 1'!E1108," ","Pt Name: ",'Level 1'!F1108," ","DOS: ", TEXT('Level 1'!H1108,"mm-dd-yyyy"),"  "," Amnt: ","$",'Level 1'!J1108,"  ", 'Level 1'!N1108)</f>
        <v>Pt Id:0 Pt Name: 0 DOS: 01-00-1900   Amnt: $0  Note</v>
      </c>
      <c r="B1108" s="43" t="str">
        <f>CONCATENATE("Detail: ",'Level 1'!N1108,"  ",'Level 1'!O1108,TEXT('Level 1'!P1108,"  mm-dd-yyyy"),";"," ",'Level 1'!Q1108,'Level 1'!R1108,"  ",'Level 1'!T1108," ","Payment "," ",'Level 1'!U1108,"  ",'Level 1'!V1108,"  ",'Level 1'!W1108,"  ",'Level 1'!X1108,"  ",'Level 1'!Z1108, "  ",'Level 1'!AA1108, " ","Insurance: ",'Level 1'!A1108)</f>
        <v>Detail: Note  Q1  01-00-1900; Q2   Payment  Q4    Q5    Additional Notes:   Insurance: 0</v>
      </c>
      <c r="C1108" s="60" t="str">
        <f>'Level 1'!Y1108</f>
        <v>Action</v>
      </c>
      <c r="D1108" s="44" t="str">
        <f>VLOOKUP(C1108,Table2[#All],3,FALSE)</f>
        <v>What we need from you/Reason</v>
      </c>
      <c r="E1108" s="75" t="s">
        <v>199</v>
      </c>
      <c r="F1108" s="96"/>
      <c r="G1108" s="97"/>
    </row>
    <row r="1109" spans="1:7" ht="21" x14ac:dyDescent="0.25">
      <c r="A1109" s="43" t="str">
        <f>CONCATENATE("Pt Id:",'Level 1'!E1109," ","Pt Name: ",'Level 1'!F1109," ","DOS: ", TEXT('Level 1'!H1109,"mm-dd-yyyy"),"  "," Amnt: ","$",'Level 1'!J1109,"  ", 'Level 1'!N1109)</f>
        <v>Pt Id:0 Pt Name: 0 DOS: 01-00-1900   Amnt: $0  Note</v>
      </c>
      <c r="B1109" s="43" t="str">
        <f>CONCATENATE("Detail: ",'Level 1'!N1109,"  ",'Level 1'!O1109,TEXT('Level 1'!P1109,"  mm-dd-yyyy"),";"," ",'Level 1'!Q1109,'Level 1'!R1109,"  ",'Level 1'!T1109," ","Payment "," ",'Level 1'!U1109,"  ",'Level 1'!V1109,"  ",'Level 1'!W1109,"  ",'Level 1'!X1109,"  ",'Level 1'!Z1109, "  ",'Level 1'!AA1109, " ","Insurance: ",'Level 1'!A1109)</f>
        <v>Detail: Note  Q1  01-00-1900; Q2   Payment  Q4    Q5    Additional Notes:   Insurance: 0</v>
      </c>
      <c r="C1109" s="60" t="str">
        <f>'Level 1'!Y1109</f>
        <v>Action</v>
      </c>
      <c r="D1109" s="44" t="str">
        <f>VLOOKUP(C1109,Table2[#All],3,FALSE)</f>
        <v>What we need from you/Reason</v>
      </c>
      <c r="E1109" s="75" t="s">
        <v>199</v>
      </c>
      <c r="F1109" s="96"/>
      <c r="G1109" s="97"/>
    </row>
    <row r="1110" spans="1:7" ht="21" x14ac:dyDescent="0.25">
      <c r="A1110" s="43" t="str">
        <f>CONCATENATE("Pt Id:",'Level 1'!E1110," ","Pt Name: ",'Level 1'!F1110," ","DOS: ", TEXT('Level 1'!H1110,"mm-dd-yyyy"),"  "," Amnt: ","$",'Level 1'!J1110,"  ", 'Level 1'!N1110)</f>
        <v>Pt Id:0 Pt Name: 0 DOS: 01-00-1900   Amnt: $0  Note</v>
      </c>
      <c r="B1110" s="43" t="str">
        <f>CONCATENATE("Detail: ",'Level 1'!N1110,"  ",'Level 1'!O1110,TEXT('Level 1'!P1110,"  mm-dd-yyyy"),";"," ",'Level 1'!Q1110,'Level 1'!R1110,"  ",'Level 1'!T1110," ","Payment "," ",'Level 1'!U1110,"  ",'Level 1'!V1110,"  ",'Level 1'!W1110,"  ",'Level 1'!X1110,"  ",'Level 1'!Z1110, "  ",'Level 1'!AA1110, " ","Insurance: ",'Level 1'!A1110)</f>
        <v>Detail: Note  Q1  01-00-1900; Q2   Payment  Q4    Q5    Additional Notes:   Insurance: 0</v>
      </c>
      <c r="C1110" s="60" t="str">
        <f>'Level 1'!Y1110</f>
        <v>Action</v>
      </c>
      <c r="D1110" s="44" t="str">
        <f>VLOOKUP(C1110,Table2[#All],3,FALSE)</f>
        <v>What we need from you/Reason</v>
      </c>
      <c r="E1110" s="75" t="s">
        <v>199</v>
      </c>
      <c r="F1110" s="96"/>
      <c r="G1110" s="97"/>
    </row>
    <row r="1111" spans="1:7" ht="21" x14ac:dyDescent="0.25">
      <c r="A1111" s="43" t="str">
        <f>CONCATENATE("Pt Id:",'Level 1'!E1111," ","Pt Name: ",'Level 1'!F1111," ","DOS: ", TEXT('Level 1'!H1111,"mm-dd-yyyy"),"  "," Amnt: ","$",'Level 1'!J1111,"  ", 'Level 1'!N1111)</f>
        <v>Pt Id:0 Pt Name: 0 DOS: 01-00-1900   Amnt: $0  Note</v>
      </c>
      <c r="B1111" s="43" t="str">
        <f>CONCATENATE("Detail: ",'Level 1'!N1111,"  ",'Level 1'!O1111,TEXT('Level 1'!P1111,"  mm-dd-yyyy"),";"," ",'Level 1'!Q1111,'Level 1'!R1111,"  ",'Level 1'!T1111," ","Payment "," ",'Level 1'!U1111,"  ",'Level 1'!V1111,"  ",'Level 1'!W1111,"  ",'Level 1'!X1111,"  ",'Level 1'!Z1111, "  ",'Level 1'!AA1111, " ","Insurance: ",'Level 1'!A1111)</f>
        <v>Detail: Note  Q1  01-00-1900; Q2   Payment  Q4    Q5    Additional Notes:   Insurance: 0</v>
      </c>
      <c r="C1111" s="60" t="str">
        <f>'Level 1'!Y1111</f>
        <v>Action</v>
      </c>
      <c r="D1111" s="44" t="str">
        <f>VLOOKUP(C1111,Table2[#All],3,FALSE)</f>
        <v>What we need from you/Reason</v>
      </c>
      <c r="E1111" s="75" t="s">
        <v>199</v>
      </c>
      <c r="F1111" s="96"/>
      <c r="G1111" s="97"/>
    </row>
    <row r="1112" spans="1:7" ht="21" x14ac:dyDescent="0.25">
      <c r="A1112" s="43" t="str">
        <f>CONCATENATE("Pt Id:",'Level 1'!E1112," ","Pt Name: ",'Level 1'!F1112," ","DOS: ", TEXT('Level 1'!H1112,"mm-dd-yyyy"),"  "," Amnt: ","$",'Level 1'!J1112,"  ", 'Level 1'!N1112)</f>
        <v>Pt Id:0 Pt Name: 0 DOS: 01-00-1900   Amnt: $0  Note</v>
      </c>
      <c r="B1112" s="43" t="str">
        <f>CONCATENATE("Detail: ",'Level 1'!N1112,"  ",'Level 1'!O1112,TEXT('Level 1'!P1112,"  mm-dd-yyyy"),";"," ",'Level 1'!Q1112,'Level 1'!R1112,"  ",'Level 1'!T1112," ","Payment "," ",'Level 1'!U1112,"  ",'Level 1'!V1112,"  ",'Level 1'!W1112,"  ",'Level 1'!X1112,"  ",'Level 1'!Z1112, "  ",'Level 1'!AA1112, " ","Insurance: ",'Level 1'!A1112)</f>
        <v>Detail: Note  Q1  01-00-1900; Q2   Payment  Q4    Q5    Additional Notes:   Insurance: 0</v>
      </c>
      <c r="C1112" s="60" t="str">
        <f>'Level 1'!Y1112</f>
        <v>Action</v>
      </c>
      <c r="D1112" s="44" t="str">
        <f>VLOOKUP(C1112,Table2[#All],3,FALSE)</f>
        <v>What we need from you/Reason</v>
      </c>
      <c r="E1112" s="75" t="s">
        <v>199</v>
      </c>
      <c r="F1112" s="96"/>
      <c r="G1112" s="97"/>
    </row>
    <row r="1113" spans="1:7" ht="21" x14ac:dyDescent="0.25">
      <c r="A1113" s="43" t="str">
        <f>CONCATENATE("Pt Id:",'Level 1'!E1113," ","Pt Name: ",'Level 1'!F1113," ","DOS: ", TEXT('Level 1'!H1113,"mm-dd-yyyy"),"  "," Amnt: ","$",'Level 1'!J1113,"  ", 'Level 1'!N1113)</f>
        <v>Pt Id:0 Pt Name: 0 DOS: 01-00-1900   Amnt: $0  Note</v>
      </c>
      <c r="B1113" s="43" t="str">
        <f>CONCATENATE("Detail: ",'Level 1'!N1113,"  ",'Level 1'!O1113,TEXT('Level 1'!P1113,"  mm-dd-yyyy"),";"," ",'Level 1'!Q1113,'Level 1'!R1113,"  ",'Level 1'!T1113," ","Payment "," ",'Level 1'!U1113,"  ",'Level 1'!V1113,"  ",'Level 1'!W1113,"  ",'Level 1'!X1113,"  ",'Level 1'!Z1113, "  ",'Level 1'!AA1113, " ","Insurance: ",'Level 1'!A1113)</f>
        <v>Detail: Note  Q1  01-00-1900; Q2   Payment  Q4    Q5    Additional Notes:   Insurance: 0</v>
      </c>
      <c r="C1113" s="60" t="str">
        <f>'Level 1'!Y1113</f>
        <v>Action</v>
      </c>
      <c r="D1113" s="44" t="str">
        <f>VLOOKUP(C1113,Table2[#All],3,FALSE)</f>
        <v>What we need from you/Reason</v>
      </c>
      <c r="E1113" s="75" t="s">
        <v>199</v>
      </c>
      <c r="F1113" s="96"/>
      <c r="G1113" s="97"/>
    </row>
    <row r="1114" spans="1:7" ht="21" x14ac:dyDescent="0.25">
      <c r="A1114" s="43" t="str">
        <f>CONCATENATE("Pt Id:",'Level 1'!E1114," ","Pt Name: ",'Level 1'!F1114," ","DOS: ", TEXT('Level 1'!H1114,"mm-dd-yyyy"),"  "," Amnt: ","$",'Level 1'!J1114,"  ", 'Level 1'!N1114)</f>
        <v>Pt Id:0 Pt Name: 0 DOS: 01-00-1900   Amnt: $0  Note</v>
      </c>
      <c r="B1114" s="43" t="str">
        <f>CONCATENATE("Detail: ",'Level 1'!N1114,"  ",'Level 1'!O1114,TEXT('Level 1'!P1114,"  mm-dd-yyyy"),";"," ",'Level 1'!Q1114,'Level 1'!R1114,"  ",'Level 1'!T1114," ","Payment "," ",'Level 1'!U1114,"  ",'Level 1'!V1114,"  ",'Level 1'!W1114,"  ",'Level 1'!X1114,"  ",'Level 1'!Z1114, "  ",'Level 1'!AA1114, " ","Insurance: ",'Level 1'!A1114)</f>
        <v>Detail: Note  Q1  01-00-1900; Q2   Payment  Q4    Q5    Additional Notes:   Insurance: 0</v>
      </c>
      <c r="C1114" s="60" t="str">
        <f>'Level 1'!Y1114</f>
        <v>Action</v>
      </c>
      <c r="D1114" s="44" t="str">
        <f>VLOOKUP(C1114,Table2[#All],3,FALSE)</f>
        <v>What we need from you/Reason</v>
      </c>
      <c r="E1114" s="75" t="s">
        <v>199</v>
      </c>
      <c r="F1114" s="96"/>
      <c r="G1114" s="97"/>
    </row>
    <row r="1115" spans="1:7" ht="21" x14ac:dyDescent="0.25">
      <c r="A1115" s="43" t="str">
        <f>CONCATENATE("Pt Id:",'Level 1'!E1115," ","Pt Name: ",'Level 1'!F1115," ","DOS: ", TEXT('Level 1'!H1115,"mm-dd-yyyy"),"  "," Amnt: ","$",'Level 1'!J1115,"  ", 'Level 1'!N1115)</f>
        <v>Pt Id:0 Pt Name: 0 DOS: 01-00-1900   Amnt: $0  Note</v>
      </c>
      <c r="B1115" s="43" t="str">
        <f>CONCATENATE("Detail: ",'Level 1'!N1115,"  ",'Level 1'!O1115,TEXT('Level 1'!P1115,"  mm-dd-yyyy"),";"," ",'Level 1'!Q1115,'Level 1'!R1115,"  ",'Level 1'!T1115," ","Payment "," ",'Level 1'!U1115,"  ",'Level 1'!V1115,"  ",'Level 1'!W1115,"  ",'Level 1'!X1115,"  ",'Level 1'!Z1115, "  ",'Level 1'!AA1115, " ","Insurance: ",'Level 1'!A1115)</f>
        <v>Detail: Note  Q1  01-00-1900; Q2   Payment  Q4    Q5    Additional Notes:   Insurance: 0</v>
      </c>
      <c r="C1115" s="60" t="str">
        <f>'Level 1'!Y1115</f>
        <v>Action</v>
      </c>
      <c r="D1115" s="44" t="str">
        <f>VLOOKUP(C1115,Table2[#All],3,FALSE)</f>
        <v>What we need from you/Reason</v>
      </c>
      <c r="E1115" s="75" t="s">
        <v>199</v>
      </c>
      <c r="F1115" s="96"/>
      <c r="G1115" s="97"/>
    </row>
    <row r="1116" spans="1:7" ht="21" x14ac:dyDescent="0.25">
      <c r="A1116" s="43" t="str">
        <f>CONCATENATE("Pt Id:",'Level 1'!E1116," ","Pt Name: ",'Level 1'!F1116," ","DOS: ", TEXT('Level 1'!H1116,"mm-dd-yyyy"),"  "," Amnt: ","$",'Level 1'!J1116,"  ", 'Level 1'!N1116)</f>
        <v>Pt Id:0 Pt Name: 0 DOS: 01-00-1900   Amnt: $0  Note</v>
      </c>
      <c r="B1116" s="43" t="str">
        <f>CONCATENATE("Detail: ",'Level 1'!N1116,"  ",'Level 1'!O1116,TEXT('Level 1'!P1116,"  mm-dd-yyyy"),";"," ",'Level 1'!Q1116,'Level 1'!R1116,"  ",'Level 1'!T1116," ","Payment "," ",'Level 1'!U1116,"  ",'Level 1'!V1116,"  ",'Level 1'!W1116,"  ",'Level 1'!X1116,"  ",'Level 1'!Z1116, "  ",'Level 1'!AA1116, " ","Insurance: ",'Level 1'!A1116)</f>
        <v>Detail: Note  Q1  01-00-1900; Q2   Payment  Q4    Q5    Additional Notes:   Insurance: 0</v>
      </c>
      <c r="C1116" s="60" t="str">
        <f>'Level 1'!Y1116</f>
        <v>Action</v>
      </c>
      <c r="D1116" s="44" t="str">
        <f>VLOOKUP(C1116,Table2[#All],3,FALSE)</f>
        <v>What we need from you/Reason</v>
      </c>
      <c r="E1116" s="75" t="s">
        <v>199</v>
      </c>
      <c r="F1116" s="96"/>
      <c r="G1116" s="97"/>
    </row>
    <row r="1117" spans="1:7" ht="21" x14ac:dyDescent="0.25">
      <c r="A1117" s="43" t="str">
        <f>CONCATENATE("Pt Id:",'Level 1'!E1117," ","Pt Name: ",'Level 1'!F1117," ","DOS: ", TEXT('Level 1'!H1117,"mm-dd-yyyy"),"  "," Amnt: ","$",'Level 1'!J1117,"  ", 'Level 1'!N1117)</f>
        <v>Pt Id:0 Pt Name: 0 DOS: 01-00-1900   Amnt: $0  Note</v>
      </c>
      <c r="B1117" s="43" t="str">
        <f>CONCATENATE("Detail: ",'Level 1'!N1117,"  ",'Level 1'!O1117,TEXT('Level 1'!P1117,"  mm-dd-yyyy"),";"," ",'Level 1'!Q1117,'Level 1'!R1117,"  ",'Level 1'!T1117," ","Payment "," ",'Level 1'!U1117,"  ",'Level 1'!V1117,"  ",'Level 1'!W1117,"  ",'Level 1'!X1117,"  ",'Level 1'!Z1117, "  ",'Level 1'!AA1117, " ","Insurance: ",'Level 1'!A1117)</f>
        <v>Detail: Note  Q1  01-00-1900; Q2   Payment  Q4    Q5    Additional Notes:   Insurance: 0</v>
      </c>
      <c r="C1117" s="60" t="str">
        <f>'Level 1'!Y1117</f>
        <v>Action</v>
      </c>
      <c r="D1117" s="44" t="str">
        <f>VLOOKUP(C1117,Table2[#All],3,FALSE)</f>
        <v>What we need from you/Reason</v>
      </c>
      <c r="E1117" s="75" t="s">
        <v>199</v>
      </c>
      <c r="F1117" s="96"/>
      <c r="G1117" s="97"/>
    </row>
    <row r="1118" spans="1:7" ht="21" x14ac:dyDescent="0.25">
      <c r="A1118" s="43" t="str">
        <f>CONCATENATE("Pt Id:",'Level 1'!E1118," ","Pt Name: ",'Level 1'!F1118," ","DOS: ", TEXT('Level 1'!H1118,"mm-dd-yyyy"),"  "," Amnt: ","$",'Level 1'!J1118,"  ", 'Level 1'!N1118)</f>
        <v>Pt Id:0 Pt Name: 0 DOS: 01-00-1900   Amnt: $0  Note</v>
      </c>
      <c r="B1118" s="43" t="str">
        <f>CONCATENATE("Detail: ",'Level 1'!N1118,"  ",'Level 1'!O1118,TEXT('Level 1'!P1118,"  mm-dd-yyyy"),";"," ",'Level 1'!Q1118,'Level 1'!R1118,"  ",'Level 1'!T1118," ","Payment "," ",'Level 1'!U1118,"  ",'Level 1'!V1118,"  ",'Level 1'!W1118,"  ",'Level 1'!X1118,"  ",'Level 1'!Z1118, "  ",'Level 1'!AA1118, " ","Insurance: ",'Level 1'!A1118)</f>
        <v>Detail: Note  Q1  01-00-1900; Q2   Payment  Q4    Q5    Additional Notes:   Insurance: 0</v>
      </c>
      <c r="C1118" s="60" t="str">
        <f>'Level 1'!Y1118</f>
        <v>Action</v>
      </c>
      <c r="D1118" s="44" t="str">
        <f>VLOOKUP(C1118,Table2[#All],3,FALSE)</f>
        <v>What we need from you/Reason</v>
      </c>
      <c r="E1118" s="75" t="s">
        <v>199</v>
      </c>
      <c r="F1118" s="96"/>
      <c r="G1118" s="97"/>
    </row>
    <row r="1119" spans="1:7" ht="21" x14ac:dyDescent="0.25">
      <c r="A1119" s="43" t="str">
        <f>CONCATENATE("Pt Id:",'Level 1'!E1119," ","Pt Name: ",'Level 1'!F1119," ","DOS: ", TEXT('Level 1'!H1119,"mm-dd-yyyy"),"  "," Amnt: ","$",'Level 1'!J1119,"  ", 'Level 1'!N1119)</f>
        <v>Pt Id:0 Pt Name: 0 DOS: 01-00-1900   Amnt: $0  Note</v>
      </c>
      <c r="B1119" s="43" t="str">
        <f>CONCATENATE("Detail: ",'Level 1'!N1119,"  ",'Level 1'!O1119,TEXT('Level 1'!P1119,"  mm-dd-yyyy"),";"," ",'Level 1'!Q1119,'Level 1'!R1119,"  ",'Level 1'!T1119," ","Payment "," ",'Level 1'!U1119,"  ",'Level 1'!V1119,"  ",'Level 1'!W1119,"  ",'Level 1'!X1119,"  ",'Level 1'!Z1119, "  ",'Level 1'!AA1119, " ","Insurance: ",'Level 1'!A1119)</f>
        <v>Detail: Note  Q1  01-00-1900; Q2   Payment  Q4    Q5    Additional Notes:   Insurance: 0</v>
      </c>
      <c r="C1119" s="60" t="str">
        <f>'Level 1'!Y1119</f>
        <v>Action</v>
      </c>
      <c r="D1119" s="44" t="str">
        <f>VLOOKUP(C1119,Table2[#All],3,FALSE)</f>
        <v>What we need from you/Reason</v>
      </c>
      <c r="E1119" s="75" t="s">
        <v>199</v>
      </c>
      <c r="F1119" s="96"/>
      <c r="G1119" s="97"/>
    </row>
    <row r="1120" spans="1:7" ht="21" x14ac:dyDescent="0.25">
      <c r="A1120" s="43" t="str">
        <f>CONCATENATE("Pt Id:",'Level 1'!E1120," ","Pt Name: ",'Level 1'!F1120," ","DOS: ", TEXT('Level 1'!H1120,"mm-dd-yyyy"),"  "," Amnt: ","$",'Level 1'!J1120,"  ", 'Level 1'!N1120)</f>
        <v>Pt Id:0 Pt Name: 0 DOS: 01-00-1900   Amnt: $0  Note</v>
      </c>
      <c r="B1120" s="43" t="str">
        <f>CONCATENATE("Detail: ",'Level 1'!N1120,"  ",'Level 1'!O1120,TEXT('Level 1'!P1120,"  mm-dd-yyyy"),";"," ",'Level 1'!Q1120,'Level 1'!R1120,"  ",'Level 1'!T1120," ","Payment "," ",'Level 1'!U1120,"  ",'Level 1'!V1120,"  ",'Level 1'!W1120,"  ",'Level 1'!X1120,"  ",'Level 1'!Z1120, "  ",'Level 1'!AA1120, " ","Insurance: ",'Level 1'!A1120)</f>
        <v>Detail: Note  Q1  01-00-1900; Q2   Payment  Q4    Q5    Additional Notes:   Insurance: 0</v>
      </c>
      <c r="C1120" s="60" t="str">
        <f>'Level 1'!Y1120</f>
        <v>Action</v>
      </c>
      <c r="D1120" s="44" t="str">
        <f>VLOOKUP(C1120,Table2[#All],3,FALSE)</f>
        <v>What we need from you/Reason</v>
      </c>
      <c r="E1120" s="75" t="s">
        <v>199</v>
      </c>
      <c r="F1120" s="96"/>
      <c r="G1120" s="97"/>
    </row>
    <row r="1121" spans="1:7" ht="21" x14ac:dyDescent="0.25">
      <c r="A1121" s="43" t="str">
        <f>CONCATENATE("Pt Id:",'Level 1'!E1121," ","Pt Name: ",'Level 1'!F1121," ","DOS: ", TEXT('Level 1'!H1121,"mm-dd-yyyy"),"  "," Amnt: ","$",'Level 1'!J1121,"  ", 'Level 1'!N1121)</f>
        <v>Pt Id:0 Pt Name: 0 DOS: 01-00-1900   Amnt: $0  Note</v>
      </c>
      <c r="B1121" s="43" t="str">
        <f>CONCATENATE("Detail: ",'Level 1'!N1121,"  ",'Level 1'!O1121,TEXT('Level 1'!P1121,"  mm-dd-yyyy"),";"," ",'Level 1'!Q1121,'Level 1'!R1121,"  ",'Level 1'!T1121," ","Payment "," ",'Level 1'!U1121,"  ",'Level 1'!V1121,"  ",'Level 1'!W1121,"  ",'Level 1'!X1121,"  ",'Level 1'!Z1121, "  ",'Level 1'!AA1121, " ","Insurance: ",'Level 1'!A1121)</f>
        <v>Detail: Note  Q1  01-00-1900; Q2   Payment  Q4    Q5    Additional Notes:   Insurance: 0</v>
      </c>
      <c r="C1121" s="60" t="str">
        <f>'Level 1'!Y1121</f>
        <v>Action</v>
      </c>
      <c r="D1121" s="44" t="str">
        <f>VLOOKUP(C1121,Table2[#All],3,FALSE)</f>
        <v>What we need from you/Reason</v>
      </c>
      <c r="E1121" s="75" t="s">
        <v>199</v>
      </c>
      <c r="F1121" s="96"/>
      <c r="G1121" s="97"/>
    </row>
    <row r="1122" spans="1:7" ht="21" x14ac:dyDescent="0.25">
      <c r="A1122" s="43" t="str">
        <f>CONCATENATE("Pt Id:",'Level 1'!E1122," ","Pt Name: ",'Level 1'!F1122," ","DOS: ", TEXT('Level 1'!H1122,"mm-dd-yyyy"),"  "," Amnt: ","$",'Level 1'!J1122,"  ", 'Level 1'!N1122)</f>
        <v>Pt Id:0 Pt Name: 0 DOS: 01-00-1900   Amnt: $0  Note</v>
      </c>
      <c r="B1122" s="43" t="str">
        <f>CONCATENATE("Detail: ",'Level 1'!N1122,"  ",'Level 1'!O1122,TEXT('Level 1'!P1122,"  mm-dd-yyyy"),";"," ",'Level 1'!Q1122,'Level 1'!R1122,"  ",'Level 1'!T1122," ","Payment "," ",'Level 1'!U1122,"  ",'Level 1'!V1122,"  ",'Level 1'!W1122,"  ",'Level 1'!X1122,"  ",'Level 1'!Z1122, "  ",'Level 1'!AA1122, " ","Insurance: ",'Level 1'!A1122)</f>
        <v>Detail: Note  Q1  01-00-1900; Q2   Payment  Q4    Q5    Additional Notes:   Insurance: 0</v>
      </c>
      <c r="C1122" s="60" t="str">
        <f>'Level 1'!Y1122</f>
        <v>Action</v>
      </c>
      <c r="D1122" s="44" t="str">
        <f>VLOOKUP(C1122,Table2[#All],3,FALSE)</f>
        <v>What we need from you/Reason</v>
      </c>
      <c r="E1122" s="75" t="s">
        <v>199</v>
      </c>
      <c r="F1122" s="96"/>
      <c r="G1122" s="97"/>
    </row>
    <row r="1123" spans="1:7" ht="21" x14ac:dyDescent="0.25">
      <c r="A1123" s="43" t="str">
        <f>CONCATENATE("Pt Id:",'Level 1'!E1123," ","Pt Name: ",'Level 1'!F1123," ","DOS: ", TEXT('Level 1'!H1123,"mm-dd-yyyy"),"  "," Amnt: ","$",'Level 1'!J1123,"  ", 'Level 1'!N1123)</f>
        <v>Pt Id:0 Pt Name: 0 DOS: 01-00-1900   Amnt: $0  Note</v>
      </c>
      <c r="B1123" s="43" t="str">
        <f>CONCATENATE("Detail: ",'Level 1'!N1123,"  ",'Level 1'!O1123,TEXT('Level 1'!P1123,"  mm-dd-yyyy"),";"," ",'Level 1'!Q1123,'Level 1'!R1123,"  ",'Level 1'!T1123," ","Payment "," ",'Level 1'!U1123,"  ",'Level 1'!V1123,"  ",'Level 1'!W1123,"  ",'Level 1'!X1123,"  ",'Level 1'!Z1123, "  ",'Level 1'!AA1123, " ","Insurance: ",'Level 1'!A1123)</f>
        <v>Detail: Note  Q1  01-00-1900; Q2   Payment  Q4    Q5    Additional Notes:   Insurance: 0</v>
      </c>
      <c r="C1123" s="60" t="str">
        <f>'Level 1'!Y1123</f>
        <v>Action</v>
      </c>
      <c r="D1123" s="44" t="str">
        <f>VLOOKUP(C1123,Table2[#All],3,FALSE)</f>
        <v>What we need from you/Reason</v>
      </c>
      <c r="E1123" s="75" t="s">
        <v>199</v>
      </c>
      <c r="F1123" s="96"/>
      <c r="G1123" s="97"/>
    </row>
    <row r="1124" spans="1:7" ht="21" x14ac:dyDescent="0.25">
      <c r="A1124" s="43" t="str">
        <f>CONCATENATE("Pt Id:",'Level 1'!E1124," ","Pt Name: ",'Level 1'!F1124," ","DOS: ", TEXT('Level 1'!H1124,"mm-dd-yyyy"),"  "," Amnt: ","$",'Level 1'!J1124,"  ", 'Level 1'!N1124)</f>
        <v>Pt Id:0 Pt Name: 0 DOS: 01-00-1900   Amnt: $0  Note</v>
      </c>
      <c r="B1124" s="43" t="str">
        <f>CONCATENATE("Detail: ",'Level 1'!N1124,"  ",'Level 1'!O1124,TEXT('Level 1'!P1124,"  mm-dd-yyyy"),";"," ",'Level 1'!Q1124,'Level 1'!R1124,"  ",'Level 1'!T1124," ","Payment "," ",'Level 1'!U1124,"  ",'Level 1'!V1124,"  ",'Level 1'!W1124,"  ",'Level 1'!X1124,"  ",'Level 1'!Z1124, "  ",'Level 1'!AA1124, " ","Insurance: ",'Level 1'!A1124)</f>
        <v>Detail: Note  Q1  01-00-1900; Q2   Payment  Q4    Q5    Additional Notes:   Insurance: 0</v>
      </c>
      <c r="C1124" s="60" t="str">
        <f>'Level 1'!Y1124</f>
        <v>Action</v>
      </c>
      <c r="D1124" s="44" t="str">
        <f>VLOOKUP(C1124,Table2[#All],3,FALSE)</f>
        <v>What we need from you/Reason</v>
      </c>
      <c r="E1124" s="75" t="s">
        <v>199</v>
      </c>
      <c r="F1124" s="96"/>
      <c r="G1124" s="97"/>
    </row>
    <row r="1125" spans="1:7" ht="21" x14ac:dyDescent="0.25">
      <c r="A1125" s="43" t="str">
        <f>CONCATENATE("Pt Id:",'Level 1'!E1125," ","Pt Name: ",'Level 1'!F1125," ","DOS: ", TEXT('Level 1'!H1125,"mm-dd-yyyy"),"  "," Amnt: ","$",'Level 1'!J1125,"  ", 'Level 1'!N1125)</f>
        <v>Pt Id:0 Pt Name: 0 DOS: 01-00-1900   Amnt: $0  Note</v>
      </c>
      <c r="B1125" s="43" t="str">
        <f>CONCATENATE("Detail: ",'Level 1'!N1125,"  ",'Level 1'!O1125,TEXT('Level 1'!P1125,"  mm-dd-yyyy"),";"," ",'Level 1'!Q1125,'Level 1'!R1125,"  ",'Level 1'!T1125," ","Payment "," ",'Level 1'!U1125,"  ",'Level 1'!V1125,"  ",'Level 1'!W1125,"  ",'Level 1'!X1125,"  ",'Level 1'!Z1125, "  ",'Level 1'!AA1125, " ","Insurance: ",'Level 1'!A1125)</f>
        <v>Detail: Note  Q1  01-00-1900; Q2   Payment  Q4    Q5    Additional Notes:   Insurance: 0</v>
      </c>
      <c r="C1125" s="60" t="str">
        <f>'Level 1'!Y1125</f>
        <v>Action</v>
      </c>
      <c r="D1125" s="44" t="str">
        <f>VLOOKUP(C1125,Table2[#All],3,FALSE)</f>
        <v>What we need from you/Reason</v>
      </c>
      <c r="E1125" s="75" t="s">
        <v>199</v>
      </c>
      <c r="F1125" s="96"/>
      <c r="G1125" s="97"/>
    </row>
    <row r="1126" spans="1:7" ht="21" x14ac:dyDescent="0.25">
      <c r="A1126" s="43" t="str">
        <f>CONCATENATE("Pt Id:",'Level 1'!E1126," ","Pt Name: ",'Level 1'!F1126," ","DOS: ", TEXT('Level 1'!H1126,"mm-dd-yyyy"),"  "," Amnt: ","$",'Level 1'!J1126,"  ", 'Level 1'!N1126)</f>
        <v>Pt Id:0 Pt Name: 0 DOS: 01-00-1900   Amnt: $0  Note</v>
      </c>
      <c r="B1126" s="43" t="str">
        <f>CONCATENATE("Detail: ",'Level 1'!N1126,"  ",'Level 1'!O1126,TEXT('Level 1'!P1126,"  mm-dd-yyyy"),";"," ",'Level 1'!Q1126,'Level 1'!R1126,"  ",'Level 1'!T1126," ","Payment "," ",'Level 1'!U1126,"  ",'Level 1'!V1126,"  ",'Level 1'!W1126,"  ",'Level 1'!X1126,"  ",'Level 1'!Z1126, "  ",'Level 1'!AA1126, " ","Insurance: ",'Level 1'!A1126)</f>
        <v>Detail: Note  Q1  01-00-1900; Q2   Payment  Q4    Q5    Additional Notes:   Insurance: 0</v>
      </c>
      <c r="C1126" s="60" t="str">
        <f>'Level 1'!Y1126</f>
        <v>Action</v>
      </c>
      <c r="D1126" s="44" t="str">
        <f>VLOOKUP(C1126,Table2[#All],3,FALSE)</f>
        <v>What we need from you/Reason</v>
      </c>
      <c r="E1126" s="75" t="s">
        <v>199</v>
      </c>
      <c r="F1126" s="96"/>
      <c r="G1126" s="97"/>
    </row>
    <row r="1127" spans="1:7" ht="21" x14ac:dyDescent="0.25">
      <c r="A1127" s="43" t="str">
        <f>CONCATENATE("Pt Id:",'Level 1'!E1127," ","Pt Name: ",'Level 1'!F1127," ","DOS: ", TEXT('Level 1'!H1127,"mm-dd-yyyy"),"  "," Amnt: ","$",'Level 1'!J1127,"  ", 'Level 1'!N1127)</f>
        <v>Pt Id:0 Pt Name: 0 DOS: 01-00-1900   Amnt: $0  Note</v>
      </c>
      <c r="B1127" s="43" t="str">
        <f>CONCATENATE("Detail: ",'Level 1'!N1127,"  ",'Level 1'!O1127,TEXT('Level 1'!P1127,"  mm-dd-yyyy"),";"," ",'Level 1'!Q1127,'Level 1'!R1127,"  ",'Level 1'!T1127," ","Payment "," ",'Level 1'!U1127,"  ",'Level 1'!V1127,"  ",'Level 1'!W1127,"  ",'Level 1'!X1127,"  ",'Level 1'!Z1127, "  ",'Level 1'!AA1127, " ","Insurance: ",'Level 1'!A1127)</f>
        <v>Detail: Note  Q1  01-00-1900; Q2   Payment  Q4    Q5    Additional Notes:   Insurance: 0</v>
      </c>
      <c r="C1127" s="60" t="str">
        <f>'Level 1'!Y1127</f>
        <v>Action</v>
      </c>
      <c r="D1127" s="44" t="str">
        <f>VLOOKUP(C1127,Table2[#All],3,FALSE)</f>
        <v>What we need from you/Reason</v>
      </c>
      <c r="E1127" s="75" t="s">
        <v>199</v>
      </c>
      <c r="F1127" s="96"/>
      <c r="G1127" s="97"/>
    </row>
    <row r="1128" spans="1:7" ht="21" x14ac:dyDescent="0.25">
      <c r="A1128" s="43" t="str">
        <f>CONCATENATE("Pt Id:",'Level 1'!E1128," ","Pt Name: ",'Level 1'!F1128," ","DOS: ", TEXT('Level 1'!H1128,"mm-dd-yyyy"),"  "," Amnt: ","$",'Level 1'!J1128,"  ", 'Level 1'!N1128)</f>
        <v>Pt Id:0 Pt Name: 0 DOS: 01-00-1900   Amnt: $0  Note</v>
      </c>
      <c r="B1128" s="43" t="str">
        <f>CONCATENATE("Detail: ",'Level 1'!N1128,"  ",'Level 1'!O1128,TEXT('Level 1'!P1128,"  mm-dd-yyyy"),";"," ",'Level 1'!Q1128,'Level 1'!R1128,"  ",'Level 1'!T1128," ","Payment "," ",'Level 1'!U1128,"  ",'Level 1'!V1128,"  ",'Level 1'!W1128,"  ",'Level 1'!X1128,"  ",'Level 1'!Z1128, "  ",'Level 1'!AA1128, " ","Insurance: ",'Level 1'!A1128)</f>
        <v>Detail: Note  Q1  01-00-1900; Q2   Payment  Q4    Q5    Additional Notes:   Insurance: 0</v>
      </c>
      <c r="C1128" s="60" t="str">
        <f>'Level 1'!Y1128</f>
        <v>Action</v>
      </c>
      <c r="D1128" s="44" t="str">
        <f>VLOOKUP(C1128,Table2[#All],3,FALSE)</f>
        <v>What we need from you/Reason</v>
      </c>
      <c r="E1128" s="75" t="s">
        <v>199</v>
      </c>
      <c r="F1128" s="96"/>
      <c r="G1128" s="97"/>
    </row>
    <row r="1129" spans="1:7" ht="21" x14ac:dyDescent="0.25">
      <c r="A1129" s="43" t="str">
        <f>CONCATENATE("Pt Id:",'Level 1'!E1129," ","Pt Name: ",'Level 1'!F1129," ","DOS: ", TEXT('Level 1'!H1129,"mm-dd-yyyy"),"  "," Amnt: ","$",'Level 1'!J1129,"  ", 'Level 1'!N1129)</f>
        <v>Pt Id:0 Pt Name: 0 DOS: 01-00-1900   Amnt: $0  Note</v>
      </c>
      <c r="B1129" s="43" t="str">
        <f>CONCATENATE("Detail: ",'Level 1'!N1129,"  ",'Level 1'!O1129,TEXT('Level 1'!P1129,"  mm-dd-yyyy"),";"," ",'Level 1'!Q1129,'Level 1'!R1129,"  ",'Level 1'!T1129," ","Payment "," ",'Level 1'!U1129,"  ",'Level 1'!V1129,"  ",'Level 1'!W1129,"  ",'Level 1'!X1129,"  ",'Level 1'!Z1129, "  ",'Level 1'!AA1129, " ","Insurance: ",'Level 1'!A1129)</f>
        <v>Detail: Note  Q1  01-00-1900; Q2   Payment  Q4    Q5    Additional Notes:   Insurance: 0</v>
      </c>
      <c r="C1129" s="60" t="str">
        <f>'Level 1'!Y1129</f>
        <v>Action</v>
      </c>
      <c r="D1129" s="44" t="str">
        <f>VLOOKUP(C1129,Table2[#All],3,FALSE)</f>
        <v>What we need from you/Reason</v>
      </c>
      <c r="E1129" s="75" t="s">
        <v>199</v>
      </c>
      <c r="F1129" s="96"/>
      <c r="G1129" s="97"/>
    </row>
    <row r="1130" spans="1:7" ht="21" x14ac:dyDescent="0.25">
      <c r="A1130" s="43" t="str">
        <f>CONCATENATE("Pt Id:",'Level 1'!E1130," ","Pt Name: ",'Level 1'!F1130," ","DOS: ", TEXT('Level 1'!H1130,"mm-dd-yyyy"),"  "," Amnt: ","$",'Level 1'!J1130,"  ", 'Level 1'!N1130)</f>
        <v>Pt Id:0 Pt Name: 0 DOS: 01-00-1900   Amnt: $0  Note</v>
      </c>
      <c r="B1130" s="43" t="str">
        <f>CONCATENATE("Detail: ",'Level 1'!N1130,"  ",'Level 1'!O1130,TEXT('Level 1'!P1130,"  mm-dd-yyyy"),";"," ",'Level 1'!Q1130,'Level 1'!R1130,"  ",'Level 1'!T1130," ","Payment "," ",'Level 1'!U1130,"  ",'Level 1'!V1130,"  ",'Level 1'!W1130,"  ",'Level 1'!X1130,"  ",'Level 1'!Z1130, "  ",'Level 1'!AA1130, " ","Insurance: ",'Level 1'!A1130)</f>
        <v>Detail: Note  Q1  01-00-1900; Q2   Payment  Q4    Q5    Additional Notes:   Insurance: 0</v>
      </c>
      <c r="C1130" s="60" t="str">
        <f>'Level 1'!Y1130</f>
        <v>Action</v>
      </c>
      <c r="D1130" s="44" t="str">
        <f>VLOOKUP(C1130,Table2[#All],3,FALSE)</f>
        <v>What we need from you/Reason</v>
      </c>
      <c r="E1130" s="75" t="s">
        <v>199</v>
      </c>
      <c r="F1130" s="96"/>
      <c r="G1130" s="97"/>
    </row>
    <row r="1131" spans="1:7" ht="21" x14ac:dyDescent="0.25">
      <c r="A1131" s="43" t="str">
        <f>CONCATENATE("Pt Id:",'Level 1'!E1131," ","Pt Name: ",'Level 1'!F1131," ","DOS: ", TEXT('Level 1'!H1131,"mm-dd-yyyy"),"  "," Amnt: ","$",'Level 1'!J1131,"  ", 'Level 1'!N1131)</f>
        <v>Pt Id:0 Pt Name: 0 DOS: 01-00-1900   Amnt: $0  Note</v>
      </c>
      <c r="B1131" s="43" t="str">
        <f>CONCATENATE("Detail: ",'Level 1'!N1131,"  ",'Level 1'!O1131,TEXT('Level 1'!P1131,"  mm-dd-yyyy"),";"," ",'Level 1'!Q1131,'Level 1'!R1131,"  ",'Level 1'!T1131," ","Payment "," ",'Level 1'!U1131,"  ",'Level 1'!V1131,"  ",'Level 1'!W1131,"  ",'Level 1'!X1131,"  ",'Level 1'!Z1131, "  ",'Level 1'!AA1131, " ","Insurance: ",'Level 1'!A1131)</f>
        <v>Detail: Note  Q1  01-00-1900; Q2   Payment  Q4    Q5    Additional Notes:   Insurance: 0</v>
      </c>
      <c r="C1131" s="60" t="str">
        <f>'Level 1'!Y1131</f>
        <v>Action</v>
      </c>
      <c r="D1131" s="44" t="str">
        <f>VLOOKUP(C1131,Table2[#All],3,FALSE)</f>
        <v>What we need from you/Reason</v>
      </c>
      <c r="E1131" s="75" t="s">
        <v>199</v>
      </c>
      <c r="F1131" s="96"/>
      <c r="G1131" s="97"/>
    </row>
    <row r="1132" spans="1:7" ht="21" x14ac:dyDescent="0.25">
      <c r="A1132" s="43" t="str">
        <f>CONCATENATE("Pt Id:",'Level 1'!E1132," ","Pt Name: ",'Level 1'!F1132," ","DOS: ", TEXT('Level 1'!H1132,"mm-dd-yyyy"),"  "," Amnt: ","$",'Level 1'!J1132,"  ", 'Level 1'!N1132)</f>
        <v>Pt Id:0 Pt Name: 0 DOS: 01-00-1900   Amnt: $0  Note</v>
      </c>
      <c r="B1132" s="43" t="str">
        <f>CONCATENATE("Detail: ",'Level 1'!N1132,"  ",'Level 1'!O1132,TEXT('Level 1'!P1132,"  mm-dd-yyyy"),";"," ",'Level 1'!Q1132,'Level 1'!R1132,"  ",'Level 1'!T1132," ","Payment "," ",'Level 1'!U1132,"  ",'Level 1'!V1132,"  ",'Level 1'!W1132,"  ",'Level 1'!X1132,"  ",'Level 1'!Z1132, "  ",'Level 1'!AA1132, " ","Insurance: ",'Level 1'!A1132)</f>
        <v>Detail: Note  Q1  01-00-1900; Q2   Payment  Q4    Q5    Additional Notes:   Insurance: 0</v>
      </c>
      <c r="C1132" s="60" t="str">
        <f>'Level 1'!Y1132</f>
        <v>Action</v>
      </c>
      <c r="D1132" s="44" t="str">
        <f>VLOOKUP(C1132,Table2[#All],3,FALSE)</f>
        <v>What we need from you/Reason</v>
      </c>
      <c r="E1132" s="75" t="s">
        <v>199</v>
      </c>
      <c r="F1132" s="96"/>
      <c r="G1132" s="97"/>
    </row>
    <row r="1133" spans="1:7" ht="21" x14ac:dyDescent="0.25">
      <c r="A1133" s="43" t="str">
        <f>CONCATENATE("Pt Id:",'Level 1'!E1133," ","Pt Name: ",'Level 1'!F1133," ","DOS: ", TEXT('Level 1'!H1133,"mm-dd-yyyy"),"  "," Amnt: ","$",'Level 1'!J1133,"  ", 'Level 1'!N1133)</f>
        <v>Pt Id:0 Pt Name: 0 DOS: 01-00-1900   Amnt: $0  Note</v>
      </c>
      <c r="B1133" s="43" t="str">
        <f>CONCATENATE("Detail: ",'Level 1'!N1133,"  ",'Level 1'!O1133,TEXT('Level 1'!P1133,"  mm-dd-yyyy"),";"," ",'Level 1'!Q1133,'Level 1'!R1133,"  ",'Level 1'!T1133," ","Payment "," ",'Level 1'!U1133,"  ",'Level 1'!V1133,"  ",'Level 1'!W1133,"  ",'Level 1'!X1133,"  ",'Level 1'!Z1133, "  ",'Level 1'!AA1133, " ","Insurance: ",'Level 1'!A1133)</f>
        <v>Detail: Note  Q1  01-00-1900; Q2   Payment  Q4    Q5    Additional Notes:   Insurance: 0</v>
      </c>
      <c r="C1133" s="60" t="str">
        <f>'Level 1'!Y1133</f>
        <v>Action</v>
      </c>
      <c r="D1133" s="44" t="str">
        <f>VLOOKUP(C1133,Table2[#All],3,FALSE)</f>
        <v>What we need from you/Reason</v>
      </c>
      <c r="E1133" s="75" t="s">
        <v>199</v>
      </c>
      <c r="F1133" s="96"/>
      <c r="G1133" s="97"/>
    </row>
    <row r="1134" spans="1:7" ht="21" x14ac:dyDescent="0.25">
      <c r="A1134" s="43" t="str">
        <f>CONCATENATE("Pt Id:",'Level 1'!E1134," ","Pt Name: ",'Level 1'!F1134," ","DOS: ", TEXT('Level 1'!H1134,"mm-dd-yyyy"),"  "," Amnt: ","$",'Level 1'!J1134,"  ", 'Level 1'!N1134)</f>
        <v>Pt Id:0 Pt Name: 0 DOS: 01-00-1900   Amnt: $0  Note</v>
      </c>
      <c r="B1134" s="43" t="str">
        <f>CONCATENATE("Detail: ",'Level 1'!N1134,"  ",'Level 1'!O1134,TEXT('Level 1'!P1134,"  mm-dd-yyyy"),";"," ",'Level 1'!Q1134,'Level 1'!R1134,"  ",'Level 1'!T1134," ","Payment "," ",'Level 1'!U1134,"  ",'Level 1'!V1134,"  ",'Level 1'!W1134,"  ",'Level 1'!X1134,"  ",'Level 1'!Z1134, "  ",'Level 1'!AA1134, " ","Insurance: ",'Level 1'!A1134)</f>
        <v>Detail: Note  Q1  01-00-1900; Q2   Payment  Q4    Q5    Additional Notes:   Insurance: 0</v>
      </c>
      <c r="C1134" s="60" t="str">
        <f>'Level 1'!Y1134</f>
        <v>Action</v>
      </c>
      <c r="D1134" s="44" t="str">
        <f>VLOOKUP(C1134,Table2[#All],3,FALSE)</f>
        <v>What we need from you/Reason</v>
      </c>
      <c r="E1134" s="75" t="s">
        <v>199</v>
      </c>
      <c r="F1134" s="96"/>
      <c r="G1134" s="97"/>
    </row>
    <row r="1135" spans="1:7" ht="21" x14ac:dyDescent="0.25">
      <c r="A1135" s="43" t="str">
        <f>CONCATENATE("Pt Id:",'Level 1'!E1135," ","Pt Name: ",'Level 1'!F1135," ","DOS: ", TEXT('Level 1'!H1135,"mm-dd-yyyy"),"  "," Amnt: ","$",'Level 1'!J1135,"  ", 'Level 1'!N1135)</f>
        <v>Pt Id:0 Pt Name: 0 DOS: 01-00-1900   Amnt: $0  Note</v>
      </c>
      <c r="B1135" s="43" t="str">
        <f>CONCATENATE("Detail: ",'Level 1'!N1135,"  ",'Level 1'!O1135,TEXT('Level 1'!P1135,"  mm-dd-yyyy"),";"," ",'Level 1'!Q1135,'Level 1'!R1135,"  ",'Level 1'!T1135," ","Payment "," ",'Level 1'!U1135,"  ",'Level 1'!V1135,"  ",'Level 1'!W1135,"  ",'Level 1'!X1135,"  ",'Level 1'!Z1135, "  ",'Level 1'!AA1135, " ","Insurance: ",'Level 1'!A1135)</f>
        <v>Detail: Note  Q1  01-00-1900; Q2   Payment  Q4    Q5    Additional Notes:   Insurance: 0</v>
      </c>
      <c r="C1135" s="60" t="str">
        <f>'Level 1'!Y1135</f>
        <v>Action</v>
      </c>
      <c r="D1135" s="44" t="str">
        <f>VLOOKUP(C1135,Table2[#All],3,FALSE)</f>
        <v>What we need from you/Reason</v>
      </c>
      <c r="E1135" s="75" t="s">
        <v>199</v>
      </c>
      <c r="F1135" s="96"/>
      <c r="G1135" s="97"/>
    </row>
    <row r="1136" spans="1:7" ht="21" x14ac:dyDescent="0.25">
      <c r="A1136" s="43" t="str">
        <f>CONCATENATE("Pt Id:",'Level 1'!E1136," ","Pt Name: ",'Level 1'!F1136," ","DOS: ", TEXT('Level 1'!H1136,"mm-dd-yyyy"),"  "," Amnt: ","$",'Level 1'!J1136,"  ", 'Level 1'!N1136)</f>
        <v>Pt Id:0 Pt Name: 0 DOS: 01-00-1900   Amnt: $0  Note</v>
      </c>
      <c r="B1136" s="43" t="str">
        <f>CONCATENATE("Detail: ",'Level 1'!N1136,"  ",'Level 1'!O1136,TEXT('Level 1'!P1136,"  mm-dd-yyyy"),";"," ",'Level 1'!Q1136,'Level 1'!R1136,"  ",'Level 1'!T1136," ","Payment "," ",'Level 1'!U1136,"  ",'Level 1'!V1136,"  ",'Level 1'!W1136,"  ",'Level 1'!X1136,"  ",'Level 1'!Z1136, "  ",'Level 1'!AA1136, " ","Insurance: ",'Level 1'!A1136)</f>
        <v>Detail: Note  Q1  01-00-1900; Q2   Payment  Q4    Q5    Additional Notes:   Insurance: 0</v>
      </c>
      <c r="C1136" s="60" t="str">
        <f>'Level 1'!Y1136</f>
        <v>Action</v>
      </c>
      <c r="D1136" s="44" t="str">
        <f>VLOOKUP(C1136,Table2[#All],3,FALSE)</f>
        <v>What we need from you/Reason</v>
      </c>
      <c r="E1136" s="75" t="s">
        <v>199</v>
      </c>
      <c r="F1136" s="96"/>
      <c r="G1136" s="97"/>
    </row>
    <row r="1137" spans="1:7" ht="21" x14ac:dyDescent="0.25">
      <c r="A1137" s="43" t="str">
        <f>CONCATENATE("Pt Id:",'Level 1'!E1137," ","Pt Name: ",'Level 1'!F1137," ","DOS: ", TEXT('Level 1'!H1137,"mm-dd-yyyy"),"  "," Amnt: ","$",'Level 1'!J1137,"  ", 'Level 1'!N1137)</f>
        <v>Pt Id:0 Pt Name: 0 DOS: 01-00-1900   Amnt: $0  Note</v>
      </c>
      <c r="B1137" s="43" t="str">
        <f>CONCATENATE("Detail: ",'Level 1'!N1137,"  ",'Level 1'!O1137,TEXT('Level 1'!P1137,"  mm-dd-yyyy"),";"," ",'Level 1'!Q1137,'Level 1'!R1137,"  ",'Level 1'!T1137," ","Payment "," ",'Level 1'!U1137,"  ",'Level 1'!V1137,"  ",'Level 1'!W1137,"  ",'Level 1'!X1137,"  ",'Level 1'!Z1137, "  ",'Level 1'!AA1137, " ","Insurance: ",'Level 1'!A1137)</f>
        <v>Detail: Note  Q1  01-00-1900; Q2   Payment  Q4    Q5    Additional Notes:   Insurance: 0</v>
      </c>
      <c r="C1137" s="60" t="str">
        <f>'Level 1'!Y1137</f>
        <v>Action</v>
      </c>
      <c r="D1137" s="44" t="str">
        <f>VLOOKUP(C1137,Table2[#All],3,FALSE)</f>
        <v>What we need from you/Reason</v>
      </c>
      <c r="E1137" s="75" t="s">
        <v>199</v>
      </c>
      <c r="F1137" s="96"/>
      <c r="G1137" s="97"/>
    </row>
    <row r="1138" spans="1:7" ht="21" x14ac:dyDescent="0.25">
      <c r="A1138" s="43" t="str">
        <f>CONCATENATE("Pt Id:",'Level 1'!E1138," ","Pt Name: ",'Level 1'!F1138," ","DOS: ", TEXT('Level 1'!H1138,"mm-dd-yyyy"),"  "," Amnt: ","$",'Level 1'!J1138,"  ", 'Level 1'!N1138)</f>
        <v>Pt Id:0 Pt Name: 0 DOS: 01-00-1900   Amnt: $0  Note</v>
      </c>
      <c r="B1138" s="43" t="str">
        <f>CONCATENATE("Detail: ",'Level 1'!N1138,"  ",'Level 1'!O1138,TEXT('Level 1'!P1138,"  mm-dd-yyyy"),";"," ",'Level 1'!Q1138,'Level 1'!R1138,"  ",'Level 1'!T1138," ","Payment "," ",'Level 1'!U1138,"  ",'Level 1'!V1138,"  ",'Level 1'!W1138,"  ",'Level 1'!X1138,"  ",'Level 1'!Z1138, "  ",'Level 1'!AA1138, " ","Insurance: ",'Level 1'!A1138)</f>
        <v>Detail: Note  Q1  01-00-1900; Q2   Payment  Q4    Q5    Additional Notes:   Insurance: 0</v>
      </c>
      <c r="C1138" s="60" t="str">
        <f>'Level 1'!Y1138</f>
        <v>Action</v>
      </c>
      <c r="D1138" s="44" t="str">
        <f>VLOOKUP(C1138,Table2[#All],3,FALSE)</f>
        <v>What we need from you/Reason</v>
      </c>
      <c r="E1138" s="75" t="s">
        <v>199</v>
      </c>
      <c r="F1138" s="96"/>
      <c r="G1138" s="97"/>
    </row>
    <row r="1139" spans="1:7" ht="21" x14ac:dyDescent="0.25">
      <c r="A1139" s="43" t="str">
        <f>CONCATENATE("Pt Id:",'Level 1'!E1139," ","Pt Name: ",'Level 1'!F1139," ","DOS: ", TEXT('Level 1'!H1139,"mm-dd-yyyy"),"  "," Amnt: ","$",'Level 1'!J1139,"  ", 'Level 1'!N1139)</f>
        <v>Pt Id:0 Pt Name: 0 DOS: 01-00-1900   Amnt: $0  Note</v>
      </c>
      <c r="B1139" s="43" t="str">
        <f>CONCATENATE("Detail: ",'Level 1'!N1139,"  ",'Level 1'!O1139,TEXT('Level 1'!P1139,"  mm-dd-yyyy"),";"," ",'Level 1'!Q1139,'Level 1'!R1139,"  ",'Level 1'!T1139," ","Payment "," ",'Level 1'!U1139,"  ",'Level 1'!V1139,"  ",'Level 1'!W1139,"  ",'Level 1'!X1139,"  ",'Level 1'!Z1139, "  ",'Level 1'!AA1139, " ","Insurance: ",'Level 1'!A1139)</f>
        <v>Detail: Note  Q1  01-00-1900; Q2   Payment  Q4    Q5    Additional Notes:   Insurance: 0</v>
      </c>
      <c r="C1139" s="60" t="str">
        <f>'Level 1'!Y1139</f>
        <v>Action</v>
      </c>
      <c r="D1139" s="44" t="str">
        <f>VLOOKUP(C1139,Table2[#All],3,FALSE)</f>
        <v>What we need from you/Reason</v>
      </c>
      <c r="E1139" s="75" t="s">
        <v>199</v>
      </c>
      <c r="F1139" s="96"/>
      <c r="G1139" s="97"/>
    </row>
    <row r="1140" spans="1:7" ht="21" x14ac:dyDescent="0.25">
      <c r="A1140" s="43" t="str">
        <f>CONCATENATE("Pt Id:",'Level 1'!E1140," ","Pt Name: ",'Level 1'!F1140," ","DOS: ", TEXT('Level 1'!H1140,"mm-dd-yyyy"),"  "," Amnt: ","$",'Level 1'!J1140,"  ", 'Level 1'!N1140)</f>
        <v>Pt Id:0 Pt Name: 0 DOS: 01-00-1900   Amnt: $0  Note</v>
      </c>
      <c r="B1140" s="43" t="str">
        <f>CONCATENATE("Detail: ",'Level 1'!N1140,"  ",'Level 1'!O1140,TEXT('Level 1'!P1140,"  mm-dd-yyyy"),";"," ",'Level 1'!Q1140,'Level 1'!R1140,"  ",'Level 1'!T1140," ","Payment "," ",'Level 1'!U1140,"  ",'Level 1'!V1140,"  ",'Level 1'!W1140,"  ",'Level 1'!X1140,"  ",'Level 1'!Z1140, "  ",'Level 1'!AA1140, " ","Insurance: ",'Level 1'!A1140)</f>
        <v>Detail: Note  Q1  01-00-1900; Q2   Payment  Q4    Q5    Additional Notes:   Insurance: 0</v>
      </c>
      <c r="C1140" s="60" t="str">
        <f>'Level 1'!Y1140</f>
        <v>Action</v>
      </c>
      <c r="D1140" s="44" t="str">
        <f>VLOOKUP(C1140,Table2[#All],3,FALSE)</f>
        <v>What we need from you/Reason</v>
      </c>
      <c r="E1140" s="75" t="s">
        <v>199</v>
      </c>
      <c r="F1140" s="96"/>
      <c r="G1140" s="97"/>
    </row>
    <row r="1141" spans="1:7" ht="21" x14ac:dyDescent="0.25">
      <c r="A1141" s="43" t="str">
        <f>CONCATENATE("Pt Id:",'Level 1'!E1141," ","Pt Name: ",'Level 1'!F1141," ","DOS: ", TEXT('Level 1'!H1141,"mm-dd-yyyy"),"  "," Amnt: ","$",'Level 1'!J1141,"  ", 'Level 1'!N1141)</f>
        <v>Pt Id:0 Pt Name: 0 DOS: 01-00-1900   Amnt: $0  Note</v>
      </c>
      <c r="B1141" s="43" t="str">
        <f>CONCATENATE("Detail: ",'Level 1'!N1141,"  ",'Level 1'!O1141,TEXT('Level 1'!P1141,"  mm-dd-yyyy"),";"," ",'Level 1'!Q1141,'Level 1'!R1141,"  ",'Level 1'!T1141," ","Payment "," ",'Level 1'!U1141,"  ",'Level 1'!V1141,"  ",'Level 1'!W1141,"  ",'Level 1'!X1141,"  ",'Level 1'!Z1141, "  ",'Level 1'!AA1141, " ","Insurance: ",'Level 1'!A1141)</f>
        <v>Detail: Note  Q1  01-00-1900; Q2   Payment  Q4    Q5    Additional Notes:   Insurance: 0</v>
      </c>
      <c r="C1141" s="60" t="str">
        <f>'Level 1'!Y1141</f>
        <v>Action</v>
      </c>
      <c r="D1141" s="44" t="str">
        <f>VLOOKUP(C1141,Table2[#All],3,FALSE)</f>
        <v>What we need from you/Reason</v>
      </c>
      <c r="E1141" s="75" t="s">
        <v>199</v>
      </c>
      <c r="F1141" s="96"/>
      <c r="G1141" s="97"/>
    </row>
    <row r="1142" spans="1:7" ht="21" x14ac:dyDescent="0.25">
      <c r="A1142" s="43" t="str">
        <f>CONCATENATE("Pt Id:",'Level 1'!E1142," ","Pt Name: ",'Level 1'!F1142," ","DOS: ", TEXT('Level 1'!H1142,"mm-dd-yyyy"),"  "," Amnt: ","$",'Level 1'!J1142,"  ", 'Level 1'!N1142)</f>
        <v>Pt Id:0 Pt Name: 0 DOS: 01-00-1900   Amnt: $0  Note</v>
      </c>
      <c r="B1142" s="43" t="str">
        <f>CONCATENATE("Detail: ",'Level 1'!N1142,"  ",'Level 1'!O1142,TEXT('Level 1'!P1142,"  mm-dd-yyyy"),";"," ",'Level 1'!Q1142,'Level 1'!R1142,"  ",'Level 1'!T1142," ","Payment "," ",'Level 1'!U1142,"  ",'Level 1'!V1142,"  ",'Level 1'!W1142,"  ",'Level 1'!X1142,"  ",'Level 1'!Z1142, "  ",'Level 1'!AA1142, " ","Insurance: ",'Level 1'!A1142)</f>
        <v>Detail: Note  Q1  01-00-1900; Q2   Payment  Q4    Q5    Additional Notes:   Insurance: 0</v>
      </c>
      <c r="C1142" s="60" t="str">
        <f>'Level 1'!Y1142</f>
        <v>Action</v>
      </c>
      <c r="D1142" s="44" t="str">
        <f>VLOOKUP(C1142,Table2[#All],3,FALSE)</f>
        <v>What we need from you/Reason</v>
      </c>
      <c r="E1142" s="75" t="s">
        <v>199</v>
      </c>
      <c r="F1142" s="96"/>
      <c r="G1142" s="97"/>
    </row>
    <row r="1143" spans="1:7" ht="21" x14ac:dyDescent="0.25">
      <c r="A1143" s="43" t="str">
        <f>CONCATENATE("Pt Id:",'Level 1'!E1143," ","Pt Name: ",'Level 1'!F1143," ","DOS: ", TEXT('Level 1'!H1143,"mm-dd-yyyy"),"  "," Amnt: ","$",'Level 1'!J1143,"  ", 'Level 1'!N1143)</f>
        <v>Pt Id:0 Pt Name: 0 DOS: 01-00-1900   Amnt: $0  Note</v>
      </c>
      <c r="B1143" s="43" t="str">
        <f>CONCATENATE("Detail: ",'Level 1'!N1143,"  ",'Level 1'!O1143,TEXT('Level 1'!P1143,"  mm-dd-yyyy"),";"," ",'Level 1'!Q1143,'Level 1'!R1143,"  ",'Level 1'!T1143," ","Payment "," ",'Level 1'!U1143,"  ",'Level 1'!V1143,"  ",'Level 1'!W1143,"  ",'Level 1'!X1143,"  ",'Level 1'!Z1143, "  ",'Level 1'!AA1143, " ","Insurance: ",'Level 1'!A1143)</f>
        <v>Detail: Note  Q1  01-00-1900; Q2   Payment  Q4    Q5    Additional Notes:   Insurance: 0</v>
      </c>
      <c r="C1143" s="60" t="str">
        <f>'Level 1'!Y1143</f>
        <v>Action</v>
      </c>
      <c r="D1143" s="44" t="str">
        <f>VLOOKUP(C1143,Table2[#All],3,FALSE)</f>
        <v>What we need from you/Reason</v>
      </c>
      <c r="E1143" s="75" t="s">
        <v>199</v>
      </c>
      <c r="F1143" s="96"/>
      <c r="G1143" s="97"/>
    </row>
    <row r="1144" spans="1:7" ht="21" x14ac:dyDescent="0.25">
      <c r="A1144" s="43" t="str">
        <f>CONCATENATE("Pt Id:",'Level 1'!E1144," ","Pt Name: ",'Level 1'!F1144," ","DOS: ", TEXT('Level 1'!H1144,"mm-dd-yyyy"),"  "," Amnt: ","$",'Level 1'!J1144,"  ", 'Level 1'!N1144)</f>
        <v>Pt Id:0 Pt Name: 0 DOS: 01-00-1900   Amnt: $0  Note</v>
      </c>
      <c r="B1144" s="43" t="str">
        <f>CONCATENATE("Detail: ",'Level 1'!N1144,"  ",'Level 1'!O1144,TEXT('Level 1'!P1144,"  mm-dd-yyyy"),";"," ",'Level 1'!Q1144,'Level 1'!R1144,"  ",'Level 1'!T1144," ","Payment "," ",'Level 1'!U1144,"  ",'Level 1'!V1144,"  ",'Level 1'!W1144,"  ",'Level 1'!X1144,"  ",'Level 1'!Z1144, "  ",'Level 1'!AA1144, " ","Insurance: ",'Level 1'!A1144)</f>
        <v>Detail: Note  Q1  01-00-1900; Q2   Payment  Q4    Q5    Additional Notes:   Insurance: 0</v>
      </c>
      <c r="C1144" s="60" t="str">
        <f>'Level 1'!Y1144</f>
        <v>Action</v>
      </c>
      <c r="D1144" s="44" t="str">
        <f>VLOOKUP(C1144,Table2[#All],3,FALSE)</f>
        <v>What we need from you/Reason</v>
      </c>
      <c r="E1144" s="75" t="s">
        <v>199</v>
      </c>
      <c r="F1144" s="96"/>
      <c r="G1144" s="97"/>
    </row>
    <row r="1145" spans="1:7" ht="21" x14ac:dyDescent="0.25">
      <c r="A1145" s="43" t="str">
        <f>CONCATENATE("Pt Id:",'Level 1'!E1145," ","Pt Name: ",'Level 1'!F1145," ","DOS: ", TEXT('Level 1'!H1145,"mm-dd-yyyy"),"  "," Amnt: ","$",'Level 1'!J1145,"  ", 'Level 1'!N1145)</f>
        <v>Pt Id:0 Pt Name: 0 DOS: 01-00-1900   Amnt: $0  Note</v>
      </c>
      <c r="B1145" s="43" t="str">
        <f>CONCATENATE("Detail: ",'Level 1'!N1145,"  ",'Level 1'!O1145,TEXT('Level 1'!P1145,"  mm-dd-yyyy"),";"," ",'Level 1'!Q1145,'Level 1'!R1145,"  ",'Level 1'!T1145," ","Payment "," ",'Level 1'!U1145,"  ",'Level 1'!V1145,"  ",'Level 1'!W1145,"  ",'Level 1'!X1145,"  ",'Level 1'!Z1145, "  ",'Level 1'!AA1145, " ","Insurance: ",'Level 1'!A1145)</f>
        <v>Detail: Note  Q1  01-00-1900; Q2   Payment  Q4    Q5    Additional Notes:   Insurance: 0</v>
      </c>
      <c r="C1145" s="60" t="str">
        <f>'Level 1'!Y1145</f>
        <v>Action</v>
      </c>
      <c r="D1145" s="44" t="str">
        <f>VLOOKUP(C1145,Table2[#All],3,FALSE)</f>
        <v>What we need from you/Reason</v>
      </c>
      <c r="E1145" s="75" t="s">
        <v>199</v>
      </c>
      <c r="F1145" s="96"/>
      <c r="G1145" s="97"/>
    </row>
    <row r="1146" spans="1:7" ht="21" x14ac:dyDescent="0.25">
      <c r="A1146" s="43" t="str">
        <f>CONCATENATE("Pt Id:",'Level 1'!E1146," ","Pt Name: ",'Level 1'!F1146," ","DOS: ", TEXT('Level 1'!H1146,"mm-dd-yyyy"),"  "," Amnt: ","$",'Level 1'!J1146,"  ", 'Level 1'!N1146)</f>
        <v>Pt Id:0 Pt Name: 0 DOS: 01-00-1900   Amnt: $0  Note</v>
      </c>
      <c r="B1146" s="43" t="str">
        <f>CONCATENATE("Detail: ",'Level 1'!N1146,"  ",'Level 1'!O1146,TEXT('Level 1'!P1146,"  mm-dd-yyyy"),";"," ",'Level 1'!Q1146,'Level 1'!R1146,"  ",'Level 1'!T1146," ","Payment "," ",'Level 1'!U1146,"  ",'Level 1'!V1146,"  ",'Level 1'!W1146,"  ",'Level 1'!X1146,"  ",'Level 1'!Z1146, "  ",'Level 1'!AA1146, " ","Insurance: ",'Level 1'!A1146)</f>
        <v>Detail: Note  Q1  01-00-1900; Q2   Payment  Q4    Q5    Additional Notes:   Insurance: 0</v>
      </c>
      <c r="C1146" s="60" t="str">
        <f>'Level 1'!Y1146</f>
        <v>Action</v>
      </c>
      <c r="D1146" s="44" t="str">
        <f>VLOOKUP(C1146,Table2[#All],3,FALSE)</f>
        <v>What we need from you/Reason</v>
      </c>
      <c r="E1146" s="75" t="s">
        <v>199</v>
      </c>
      <c r="F1146" s="96"/>
      <c r="G1146" s="97"/>
    </row>
    <row r="1147" spans="1:7" ht="21" x14ac:dyDescent="0.25">
      <c r="A1147" s="43" t="str">
        <f>CONCATENATE("Pt Id:",'Level 1'!E1147," ","Pt Name: ",'Level 1'!F1147," ","DOS: ", TEXT('Level 1'!H1147,"mm-dd-yyyy"),"  "," Amnt: ","$",'Level 1'!J1147,"  ", 'Level 1'!N1147)</f>
        <v>Pt Id:0 Pt Name: 0 DOS: 01-00-1900   Amnt: $0  Note</v>
      </c>
      <c r="B1147" s="43" t="str">
        <f>CONCATENATE("Detail: ",'Level 1'!N1147,"  ",'Level 1'!O1147,TEXT('Level 1'!P1147,"  mm-dd-yyyy"),";"," ",'Level 1'!Q1147,'Level 1'!R1147,"  ",'Level 1'!T1147," ","Payment "," ",'Level 1'!U1147,"  ",'Level 1'!V1147,"  ",'Level 1'!W1147,"  ",'Level 1'!X1147,"  ",'Level 1'!Z1147, "  ",'Level 1'!AA1147, " ","Insurance: ",'Level 1'!A1147)</f>
        <v>Detail: Note  Q1  01-00-1900; Q2   Payment  Q4    Q5    Additional Notes:   Insurance: 0</v>
      </c>
      <c r="C1147" s="60" t="str">
        <f>'Level 1'!Y1147</f>
        <v>Action</v>
      </c>
      <c r="D1147" s="44" t="str">
        <f>VLOOKUP(C1147,Table2[#All],3,FALSE)</f>
        <v>What we need from you/Reason</v>
      </c>
      <c r="E1147" s="75" t="s">
        <v>199</v>
      </c>
      <c r="F1147" s="96"/>
      <c r="G1147" s="97"/>
    </row>
    <row r="1148" spans="1:7" ht="21" x14ac:dyDescent="0.25">
      <c r="A1148" s="43" t="str">
        <f>CONCATENATE("Pt Id:",'Level 1'!E1148," ","Pt Name: ",'Level 1'!F1148," ","DOS: ", TEXT('Level 1'!H1148,"mm-dd-yyyy"),"  "," Amnt: ","$",'Level 1'!J1148,"  ", 'Level 1'!N1148)</f>
        <v>Pt Id:0 Pt Name: 0 DOS: 01-00-1900   Amnt: $0  Note</v>
      </c>
      <c r="B1148" s="43" t="str">
        <f>CONCATENATE("Detail: ",'Level 1'!N1148,"  ",'Level 1'!O1148,TEXT('Level 1'!P1148,"  mm-dd-yyyy"),";"," ",'Level 1'!Q1148,'Level 1'!R1148,"  ",'Level 1'!T1148," ","Payment "," ",'Level 1'!U1148,"  ",'Level 1'!V1148,"  ",'Level 1'!W1148,"  ",'Level 1'!X1148,"  ",'Level 1'!Z1148, "  ",'Level 1'!AA1148, " ","Insurance: ",'Level 1'!A1148)</f>
        <v>Detail: Note  Q1  01-00-1900; Q2   Payment  Q4    Q5    Additional Notes:   Insurance: 0</v>
      </c>
      <c r="C1148" s="60" t="str">
        <f>'Level 1'!Y1148</f>
        <v>Action</v>
      </c>
      <c r="D1148" s="44" t="str">
        <f>VLOOKUP(C1148,Table2[#All],3,FALSE)</f>
        <v>What we need from you/Reason</v>
      </c>
      <c r="E1148" s="75" t="s">
        <v>199</v>
      </c>
      <c r="F1148" s="96"/>
      <c r="G1148" s="97"/>
    </row>
    <row r="1149" spans="1:7" ht="21" x14ac:dyDescent="0.25">
      <c r="A1149" s="43" t="str">
        <f>CONCATENATE("Pt Id:",'Level 1'!E1149," ","Pt Name: ",'Level 1'!F1149," ","DOS: ", TEXT('Level 1'!H1149,"mm-dd-yyyy"),"  "," Amnt: ","$",'Level 1'!J1149,"  ", 'Level 1'!N1149)</f>
        <v>Pt Id:0 Pt Name: 0 DOS: 01-00-1900   Amnt: $0  Note</v>
      </c>
      <c r="B1149" s="43" t="str">
        <f>CONCATENATE("Detail: ",'Level 1'!N1149,"  ",'Level 1'!O1149,TEXT('Level 1'!P1149,"  mm-dd-yyyy"),";"," ",'Level 1'!Q1149,'Level 1'!R1149,"  ",'Level 1'!T1149," ","Payment "," ",'Level 1'!U1149,"  ",'Level 1'!V1149,"  ",'Level 1'!W1149,"  ",'Level 1'!X1149,"  ",'Level 1'!Z1149, "  ",'Level 1'!AA1149, " ","Insurance: ",'Level 1'!A1149)</f>
        <v>Detail: Note  Q1  01-00-1900; Q2   Payment  Q4    Q5    Additional Notes:   Insurance: 0</v>
      </c>
      <c r="C1149" s="60" t="str">
        <f>'Level 1'!Y1149</f>
        <v>Action</v>
      </c>
      <c r="D1149" s="44" t="str">
        <f>VLOOKUP(C1149,Table2[#All],3,FALSE)</f>
        <v>What we need from you/Reason</v>
      </c>
      <c r="E1149" s="75" t="s">
        <v>199</v>
      </c>
      <c r="F1149" s="96"/>
      <c r="G1149" s="97"/>
    </row>
    <row r="1150" spans="1:7" ht="21" x14ac:dyDescent="0.25">
      <c r="A1150" s="43" t="str">
        <f>CONCATENATE("Pt Id:",'Level 1'!E1150," ","Pt Name: ",'Level 1'!F1150," ","DOS: ", TEXT('Level 1'!H1150,"mm-dd-yyyy"),"  "," Amnt: ","$",'Level 1'!J1150,"  ", 'Level 1'!N1150)</f>
        <v>Pt Id:0 Pt Name: 0 DOS: 01-00-1900   Amnt: $0  Note</v>
      </c>
      <c r="B1150" s="43" t="str">
        <f>CONCATENATE("Detail: ",'Level 1'!N1150,"  ",'Level 1'!O1150,TEXT('Level 1'!P1150,"  mm-dd-yyyy"),";"," ",'Level 1'!Q1150,'Level 1'!R1150,"  ",'Level 1'!T1150," ","Payment "," ",'Level 1'!U1150,"  ",'Level 1'!V1150,"  ",'Level 1'!W1150,"  ",'Level 1'!X1150,"  ",'Level 1'!Z1150, "  ",'Level 1'!AA1150, " ","Insurance: ",'Level 1'!A1150)</f>
        <v>Detail: Note  Q1  01-00-1900; Q2   Payment  Q4    Q5    Additional Notes:   Insurance: 0</v>
      </c>
      <c r="C1150" s="60" t="str">
        <f>'Level 1'!Y1150</f>
        <v>Action</v>
      </c>
      <c r="D1150" s="44" t="str">
        <f>VLOOKUP(C1150,Table2[#All],3,FALSE)</f>
        <v>What we need from you/Reason</v>
      </c>
      <c r="E1150" s="75" t="s">
        <v>199</v>
      </c>
      <c r="F1150" s="96"/>
      <c r="G1150" s="97"/>
    </row>
    <row r="1151" spans="1:7" ht="21" x14ac:dyDescent="0.25">
      <c r="A1151" s="43" t="str">
        <f>CONCATENATE("Pt Id:",'Level 1'!E1151," ","Pt Name: ",'Level 1'!F1151," ","DOS: ", TEXT('Level 1'!H1151,"mm-dd-yyyy"),"  "," Amnt: ","$",'Level 1'!J1151,"  ", 'Level 1'!N1151)</f>
        <v>Pt Id:0 Pt Name: 0 DOS: 01-00-1900   Amnt: $0  Note</v>
      </c>
      <c r="B1151" s="43" t="str">
        <f>CONCATENATE("Detail: ",'Level 1'!N1151,"  ",'Level 1'!O1151,TEXT('Level 1'!P1151,"  mm-dd-yyyy"),";"," ",'Level 1'!Q1151,'Level 1'!R1151,"  ",'Level 1'!T1151," ","Payment "," ",'Level 1'!U1151,"  ",'Level 1'!V1151,"  ",'Level 1'!W1151,"  ",'Level 1'!X1151,"  ",'Level 1'!Z1151, "  ",'Level 1'!AA1151, " ","Insurance: ",'Level 1'!A1151)</f>
        <v>Detail: Note  Q1  01-00-1900; Q2   Payment  Q4    Q5    Additional Notes:   Insurance: 0</v>
      </c>
      <c r="C1151" s="60" t="str">
        <f>'Level 1'!Y1151</f>
        <v>Action</v>
      </c>
      <c r="D1151" s="44" t="str">
        <f>VLOOKUP(C1151,Table2[#All],3,FALSE)</f>
        <v>What we need from you/Reason</v>
      </c>
      <c r="E1151" s="75" t="s">
        <v>199</v>
      </c>
      <c r="F1151" s="96"/>
      <c r="G1151" s="97"/>
    </row>
    <row r="1152" spans="1:7" ht="21" x14ac:dyDescent="0.25">
      <c r="A1152" s="43" t="str">
        <f>CONCATENATE("Pt Id:",'Level 1'!E1152," ","Pt Name: ",'Level 1'!F1152," ","DOS: ", TEXT('Level 1'!H1152,"mm-dd-yyyy"),"  "," Amnt: ","$",'Level 1'!J1152,"  ", 'Level 1'!N1152)</f>
        <v>Pt Id:0 Pt Name: 0 DOS: 01-00-1900   Amnt: $0  Note</v>
      </c>
      <c r="B1152" s="43" t="str">
        <f>CONCATENATE("Detail: ",'Level 1'!N1152,"  ",'Level 1'!O1152,TEXT('Level 1'!P1152,"  mm-dd-yyyy"),";"," ",'Level 1'!Q1152,'Level 1'!R1152,"  ",'Level 1'!T1152," ","Payment "," ",'Level 1'!U1152,"  ",'Level 1'!V1152,"  ",'Level 1'!W1152,"  ",'Level 1'!X1152,"  ",'Level 1'!Z1152, "  ",'Level 1'!AA1152, " ","Insurance: ",'Level 1'!A1152)</f>
        <v>Detail: Note  Q1  01-00-1900; Q2   Payment  Q4    Q5    Additional Notes:   Insurance: 0</v>
      </c>
      <c r="C1152" s="60" t="str">
        <f>'Level 1'!Y1152</f>
        <v>Action</v>
      </c>
      <c r="D1152" s="44" t="str">
        <f>VLOOKUP(C1152,Table2[#All],3,FALSE)</f>
        <v>What we need from you/Reason</v>
      </c>
      <c r="E1152" s="75" t="s">
        <v>199</v>
      </c>
      <c r="F1152" s="96"/>
      <c r="G1152" s="97"/>
    </row>
    <row r="1153" spans="1:7" ht="21" x14ac:dyDescent="0.25">
      <c r="A1153" s="43" t="str">
        <f>CONCATENATE("Pt Id:",'Level 1'!E1153," ","Pt Name: ",'Level 1'!F1153," ","DOS: ", TEXT('Level 1'!H1153,"mm-dd-yyyy"),"  "," Amnt: ","$",'Level 1'!J1153,"  ", 'Level 1'!N1153)</f>
        <v>Pt Id:0 Pt Name: 0 DOS: 01-00-1900   Amnt: $0  Note</v>
      </c>
      <c r="B1153" s="43" t="str">
        <f>CONCATENATE("Detail: ",'Level 1'!N1153,"  ",'Level 1'!O1153,TEXT('Level 1'!P1153,"  mm-dd-yyyy"),";"," ",'Level 1'!Q1153,'Level 1'!R1153,"  ",'Level 1'!T1153," ","Payment "," ",'Level 1'!U1153,"  ",'Level 1'!V1153,"  ",'Level 1'!W1153,"  ",'Level 1'!X1153,"  ",'Level 1'!Z1153, "  ",'Level 1'!AA1153, " ","Insurance: ",'Level 1'!A1153)</f>
        <v>Detail: Note  Q1  01-00-1900; Q2   Payment  Q4    Q5    Additional Notes:   Insurance: 0</v>
      </c>
      <c r="C1153" s="60" t="str">
        <f>'Level 1'!Y1153</f>
        <v>Action</v>
      </c>
      <c r="D1153" s="44" t="str">
        <f>VLOOKUP(C1153,Table2[#All],3,FALSE)</f>
        <v>What we need from you/Reason</v>
      </c>
      <c r="E1153" s="75" t="s">
        <v>199</v>
      </c>
      <c r="F1153" s="96"/>
      <c r="G1153" s="97"/>
    </row>
    <row r="1154" spans="1:7" ht="21" x14ac:dyDescent="0.25">
      <c r="A1154" s="43" t="str">
        <f>CONCATENATE("Pt Id:",'Level 1'!E1154," ","Pt Name: ",'Level 1'!F1154," ","DOS: ", TEXT('Level 1'!H1154,"mm-dd-yyyy"),"  "," Amnt: ","$",'Level 1'!J1154,"  ", 'Level 1'!N1154)</f>
        <v>Pt Id:0 Pt Name: 0 DOS: 01-00-1900   Amnt: $0  Note</v>
      </c>
      <c r="B1154" s="43" t="str">
        <f>CONCATENATE("Detail: ",'Level 1'!N1154,"  ",'Level 1'!O1154,TEXT('Level 1'!P1154,"  mm-dd-yyyy"),";"," ",'Level 1'!Q1154,'Level 1'!R1154,"  ",'Level 1'!T1154," ","Payment "," ",'Level 1'!U1154,"  ",'Level 1'!V1154,"  ",'Level 1'!W1154,"  ",'Level 1'!X1154,"  ",'Level 1'!Z1154, "  ",'Level 1'!AA1154, " ","Insurance: ",'Level 1'!A1154)</f>
        <v>Detail: Note  Q1  01-00-1900; Q2   Payment  Q4    Q5    Additional Notes:   Insurance: 0</v>
      </c>
      <c r="C1154" s="60" t="str">
        <f>'Level 1'!Y1154</f>
        <v>Action</v>
      </c>
      <c r="D1154" s="44" t="str">
        <f>VLOOKUP(C1154,Table2[#All],3,FALSE)</f>
        <v>What we need from you/Reason</v>
      </c>
      <c r="E1154" s="75" t="s">
        <v>199</v>
      </c>
      <c r="F1154" s="96"/>
      <c r="G1154" s="97"/>
    </row>
    <row r="1155" spans="1:7" ht="21" x14ac:dyDescent="0.25">
      <c r="A1155" s="43" t="str">
        <f>CONCATENATE("Pt Id:",'Level 1'!E1155," ","Pt Name: ",'Level 1'!F1155," ","DOS: ", TEXT('Level 1'!H1155,"mm-dd-yyyy"),"  "," Amnt: ","$",'Level 1'!J1155,"  ", 'Level 1'!N1155)</f>
        <v>Pt Id:0 Pt Name: 0 DOS: 01-00-1900   Amnt: $0  Note</v>
      </c>
      <c r="B1155" s="43" t="str">
        <f>CONCATENATE("Detail: ",'Level 1'!N1155,"  ",'Level 1'!O1155,TEXT('Level 1'!P1155,"  mm-dd-yyyy"),";"," ",'Level 1'!Q1155,'Level 1'!R1155,"  ",'Level 1'!T1155," ","Payment "," ",'Level 1'!U1155,"  ",'Level 1'!V1155,"  ",'Level 1'!W1155,"  ",'Level 1'!X1155,"  ",'Level 1'!Z1155, "  ",'Level 1'!AA1155, " ","Insurance: ",'Level 1'!A1155)</f>
        <v>Detail: Note  Q1  01-00-1900; Q2   Payment  Q4    Q5    Additional Notes:   Insurance: 0</v>
      </c>
      <c r="C1155" s="60" t="str">
        <f>'Level 1'!Y1155</f>
        <v>Action</v>
      </c>
      <c r="D1155" s="44" t="str">
        <f>VLOOKUP(C1155,Table2[#All],3,FALSE)</f>
        <v>What we need from you/Reason</v>
      </c>
      <c r="E1155" s="75" t="s">
        <v>199</v>
      </c>
      <c r="F1155" s="96"/>
      <c r="G1155" s="97"/>
    </row>
    <row r="1156" spans="1:7" ht="21" x14ac:dyDescent="0.25">
      <c r="A1156" s="43" t="str">
        <f>CONCATENATE("Pt Id:",'Level 1'!E1156," ","Pt Name: ",'Level 1'!F1156," ","DOS: ", TEXT('Level 1'!H1156,"mm-dd-yyyy"),"  "," Amnt: ","$",'Level 1'!J1156,"  ", 'Level 1'!N1156)</f>
        <v>Pt Id:0 Pt Name: 0 DOS: 01-00-1900   Amnt: $0  Note</v>
      </c>
      <c r="B1156" s="43" t="str">
        <f>CONCATENATE("Detail: ",'Level 1'!N1156,"  ",'Level 1'!O1156,TEXT('Level 1'!P1156,"  mm-dd-yyyy"),";"," ",'Level 1'!Q1156,'Level 1'!R1156,"  ",'Level 1'!T1156," ","Payment "," ",'Level 1'!U1156,"  ",'Level 1'!V1156,"  ",'Level 1'!W1156,"  ",'Level 1'!X1156,"  ",'Level 1'!Z1156, "  ",'Level 1'!AA1156, " ","Insurance: ",'Level 1'!A1156)</f>
        <v>Detail: Note  Q1  01-00-1900; Q2   Payment  Q4    Q5    Additional Notes:   Insurance: 0</v>
      </c>
      <c r="C1156" s="60" t="str">
        <f>'Level 1'!Y1156</f>
        <v>Action</v>
      </c>
      <c r="D1156" s="44" t="str">
        <f>VLOOKUP(C1156,Table2[#All],3,FALSE)</f>
        <v>What we need from you/Reason</v>
      </c>
      <c r="E1156" s="75" t="s">
        <v>199</v>
      </c>
      <c r="F1156" s="96"/>
      <c r="G1156" s="97"/>
    </row>
    <row r="1157" spans="1:7" ht="21" x14ac:dyDescent="0.25">
      <c r="A1157" s="43" t="str">
        <f>CONCATENATE("Pt Id:",'Level 1'!E1157," ","Pt Name: ",'Level 1'!F1157," ","DOS: ", TEXT('Level 1'!H1157,"mm-dd-yyyy"),"  "," Amnt: ","$",'Level 1'!J1157,"  ", 'Level 1'!N1157)</f>
        <v>Pt Id:0 Pt Name: 0 DOS: 01-00-1900   Amnt: $0  Note</v>
      </c>
      <c r="B1157" s="43" t="str">
        <f>CONCATENATE("Detail: ",'Level 1'!N1157,"  ",'Level 1'!O1157,TEXT('Level 1'!P1157,"  mm-dd-yyyy"),";"," ",'Level 1'!Q1157,'Level 1'!R1157,"  ",'Level 1'!T1157," ","Payment "," ",'Level 1'!U1157,"  ",'Level 1'!V1157,"  ",'Level 1'!W1157,"  ",'Level 1'!X1157,"  ",'Level 1'!Z1157, "  ",'Level 1'!AA1157, " ","Insurance: ",'Level 1'!A1157)</f>
        <v>Detail: Note  Q1  01-00-1900; Q2   Payment  Q4    Q5    Additional Notes:   Insurance: 0</v>
      </c>
      <c r="C1157" s="60" t="str">
        <f>'Level 1'!Y1157</f>
        <v>Action</v>
      </c>
      <c r="D1157" s="44" t="str">
        <f>VLOOKUP(C1157,Table2[#All],3,FALSE)</f>
        <v>What we need from you/Reason</v>
      </c>
      <c r="E1157" s="75" t="s">
        <v>199</v>
      </c>
      <c r="F1157" s="96"/>
      <c r="G1157" s="97"/>
    </row>
    <row r="1158" spans="1:7" ht="21" x14ac:dyDescent="0.25">
      <c r="A1158" s="43" t="str">
        <f>CONCATENATE("Pt Id:",'Level 1'!E1158," ","Pt Name: ",'Level 1'!F1158," ","DOS: ", TEXT('Level 1'!H1158,"mm-dd-yyyy"),"  "," Amnt: ","$",'Level 1'!J1158,"  ", 'Level 1'!N1158)</f>
        <v>Pt Id:0 Pt Name: 0 DOS: 01-00-1900   Amnt: $0  Note</v>
      </c>
      <c r="B1158" s="43" t="str">
        <f>CONCATENATE("Detail: ",'Level 1'!N1158,"  ",'Level 1'!O1158,TEXT('Level 1'!P1158,"  mm-dd-yyyy"),";"," ",'Level 1'!Q1158,'Level 1'!R1158,"  ",'Level 1'!T1158," ","Payment "," ",'Level 1'!U1158,"  ",'Level 1'!V1158,"  ",'Level 1'!W1158,"  ",'Level 1'!X1158,"  ",'Level 1'!Z1158, "  ",'Level 1'!AA1158, " ","Insurance: ",'Level 1'!A1158)</f>
        <v>Detail: Note  Q1  01-00-1900; Q2   Payment  Q4    Q5    Additional Notes:   Insurance: 0</v>
      </c>
      <c r="C1158" s="60" t="str">
        <f>'Level 1'!Y1158</f>
        <v>Action</v>
      </c>
      <c r="D1158" s="44" t="str">
        <f>VLOOKUP(C1158,Table2[#All],3,FALSE)</f>
        <v>What we need from you/Reason</v>
      </c>
      <c r="E1158" s="75" t="s">
        <v>199</v>
      </c>
      <c r="F1158" s="96"/>
      <c r="G1158" s="97"/>
    </row>
    <row r="1159" spans="1:7" ht="21" x14ac:dyDescent="0.25">
      <c r="A1159" s="43" t="str">
        <f>CONCATENATE("Pt Id:",'Level 1'!E1159," ","Pt Name: ",'Level 1'!F1159," ","DOS: ", TEXT('Level 1'!H1159,"mm-dd-yyyy"),"  "," Amnt: ","$",'Level 1'!J1159,"  ", 'Level 1'!N1159)</f>
        <v>Pt Id:0 Pt Name: 0 DOS: 01-00-1900   Amnt: $0  Note</v>
      </c>
      <c r="B1159" s="43" t="str">
        <f>CONCATENATE("Detail: ",'Level 1'!N1159,"  ",'Level 1'!O1159,TEXT('Level 1'!P1159,"  mm-dd-yyyy"),";"," ",'Level 1'!Q1159,'Level 1'!R1159,"  ",'Level 1'!T1159," ","Payment "," ",'Level 1'!U1159,"  ",'Level 1'!V1159,"  ",'Level 1'!W1159,"  ",'Level 1'!X1159,"  ",'Level 1'!Z1159, "  ",'Level 1'!AA1159, " ","Insurance: ",'Level 1'!A1159)</f>
        <v>Detail: Note  Q1  01-00-1900; Q2   Payment  Q4    Q5    Additional Notes:   Insurance: 0</v>
      </c>
      <c r="C1159" s="60" t="str">
        <f>'Level 1'!Y1159</f>
        <v>Action</v>
      </c>
      <c r="D1159" s="44" t="str">
        <f>VLOOKUP(C1159,Table2[#All],3,FALSE)</f>
        <v>What we need from you/Reason</v>
      </c>
      <c r="E1159" s="75" t="s">
        <v>199</v>
      </c>
      <c r="F1159" s="96"/>
      <c r="G1159" s="97"/>
    </row>
    <row r="1160" spans="1:7" ht="21" x14ac:dyDescent="0.25">
      <c r="A1160" s="43" t="str">
        <f>CONCATENATE("Pt Id:",'Level 1'!E1160," ","Pt Name: ",'Level 1'!F1160," ","DOS: ", TEXT('Level 1'!H1160,"mm-dd-yyyy"),"  "," Amnt: ","$",'Level 1'!J1160,"  ", 'Level 1'!N1160)</f>
        <v>Pt Id:0 Pt Name: 0 DOS: 01-00-1900   Amnt: $0  Note</v>
      </c>
      <c r="B1160" s="43" t="str">
        <f>CONCATENATE("Detail: ",'Level 1'!N1160,"  ",'Level 1'!O1160,TEXT('Level 1'!P1160,"  mm-dd-yyyy"),";"," ",'Level 1'!Q1160,'Level 1'!R1160,"  ",'Level 1'!T1160," ","Payment "," ",'Level 1'!U1160,"  ",'Level 1'!V1160,"  ",'Level 1'!W1160,"  ",'Level 1'!X1160,"  ",'Level 1'!Z1160, "  ",'Level 1'!AA1160, " ","Insurance: ",'Level 1'!A1160)</f>
        <v>Detail: Note  Q1  01-00-1900; Q2   Payment  Q4    Q5    Additional Notes:   Insurance: 0</v>
      </c>
      <c r="C1160" s="60" t="str">
        <f>'Level 1'!Y1160</f>
        <v>Action</v>
      </c>
      <c r="D1160" s="44" t="str">
        <f>VLOOKUP(C1160,Table2[#All],3,FALSE)</f>
        <v>What we need from you/Reason</v>
      </c>
      <c r="E1160" s="75" t="s">
        <v>199</v>
      </c>
      <c r="F1160" s="96"/>
      <c r="G1160" s="97"/>
    </row>
    <row r="1161" spans="1:7" ht="21" x14ac:dyDescent="0.25">
      <c r="A1161" s="43" t="str">
        <f>CONCATENATE("Pt Id:",'Level 1'!E1161," ","Pt Name: ",'Level 1'!F1161," ","DOS: ", TEXT('Level 1'!H1161,"mm-dd-yyyy"),"  "," Amnt: ","$",'Level 1'!J1161,"  ", 'Level 1'!N1161)</f>
        <v>Pt Id:0 Pt Name: 0 DOS: 01-00-1900   Amnt: $0  Note</v>
      </c>
      <c r="B1161" s="43" t="str">
        <f>CONCATENATE("Detail: ",'Level 1'!N1161,"  ",'Level 1'!O1161,TEXT('Level 1'!P1161,"  mm-dd-yyyy"),";"," ",'Level 1'!Q1161,'Level 1'!R1161,"  ",'Level 1'!T1161," ","Payment "," ",'Level 1'!U1161,"  ",'Level 1'!V1161,"  ",'Level 1'!W1161,"  ",'Level 1'!X1161,"  ",'Level 1'!Z1161, "  ",'Level 1'!AA1161, " ","Insurance: ",'Level 1'!A1161)</f>
        <v>Detail: Note  Q1  01-00-1900; Q2   Payment  Q4    Q5    Additional Notes:   Insurance: 0</v>
      </c>
      <c r="C1161" s="60" t="str">
        <f>'Level 1'!Y1161</f>
        <v>Action</v>
      </c>
      <c r="D1161" s="44" t="str">
        <f>VLOOKUP(C1161,Table2[#All],3,FALSE)</f>
        <v>What we need from you/Reason</v>
      </c>
      <c r="E1161" s="75" t="s">
        <v>199</v>
      </c>
      <c r="F1161" s="96"/>
      <c r="G1161" s="97"/>
    </row>
    <row r="1162" spans="1:7" ht="21" x14ac:dyDescent="0.25">
      <c r="A1162" s="43" t="str">
        <f>CONCATENATE("Pt Id:",'Level 1'!E1162," ","Pt Name: ",'Level 1'!F1162," ","DOS: ", TEXT('Level 1'!H1162,"mm-dd-yyyy"),"  "," Amnt: ","$",'Level 1'!J1162,"  ", 'Level 1'!N1162)</f>
        <v>Pt Id:0 Pt Name: 0 DOS: 01-00-1900   Amnt: $0  Note</v>
      </c>
      <c r="B1162" s="43" t="str">
        <f>CONCATENATE("Detail: ",'Level 1'!N1162,"  ",'Level 1'!O1162,TEXT('Level 1'!P1162,"  mm-dd-yyyy"),";"," ",'Level 1'!Q1162,'Level 1'!R1162,"  ",'Level 1'!T1162," ","Payment "," ",'Level 1'!U1162,"  ",'Level 1'!V1162,"  ",'Level 1'!W1162,"  ",'Level 1'!X1162,"  ",'Level 1'!Z1162, "  ",'Level 1'!AA1162, " ","Insurance: ",'Level 1'!A1162)</f>
        <v>Detail: Note  Q1  01-00-1900; Q2   Payment  Q4    Q5    Additional Notes:   Insurance: 0</v>
      </c>
      <c r="C1162" s="60" t="str">
        <f>'Level 1'!Y1162</f>
        <v>Action</v>
      </c>
      <c r="D1162" s="44" t="str">
        <f>VLOOKUP(C1162,Table2[#All],3,FALSE)</f>
        <v>What we need from you/Reason</v>
      </c>
      <c r="E1162" s="75" t="s">
        <v>199</v>
      </c>
      <c r="F1162" s="96"/>
      <c r="G1162" s="97"/>
    </row>
    <row r="1163" spans="1:7" ht="21" x14ac:dyDescent="0.25">
      <c r="A1163" s="43" t="str">
        <f>CONCATENATE("Pt Id:",'Level 1'!E1163," ","Pt Name: ",'Level 1'!F1163," ","DOS: ", TEXT('Level 1'!H1163,"mm-dd-yyyy"),"  "," Amnt: ","$",'Level 1'!J1163,"  ", 'Level 1'!N1163)</f>
        <v>Pt Id:0 Pt Name: 0 DOS: 01-00-1900   Amnt: $0  Note</v>
      </c>
      <c r="B1163" s="43" t="str">
        <f>CONCATENATE("Detail: ",'Level 1'!N1163,"  ",'Level 1'!O1163,TEXT('Level 1'!P1163,"  mm-dd-yyyy"),";"," ",'Level 1'!Q1163,'Level 1'!R1163,"  ",'Level 1'!T1163," ","Payment "," ",'Level 1'!U1163,"  ",'Level 1'!V1163,"  ",'Level 1'!W1163,"  ",'Level 1'!X1163,"  ",'Level 1'!Z1163, "  ",'Level 1'!AA1163, " ","Insurance: ",'Level 1'!A1163)</f>
        <v>Detail: Note  Q1  01-00-1900; Q2   Payment  Q4    Q5    Additional Notes:   Insurance: 0</v>
      </c>
      <c r="C1163" s="60" t="str">
        <f>'Level 1'!Y1163</f>
        <v>Action</v>
      </c>
      <c r="D1163" s="44" t="str">
        <f>VLOOKUP(C1163,Table2[#All],3,FALSE)</f>
        <v>What we need from you/Reason</v>
      </c>
      <c r="E1163" s="75" t="s">
        <v>199</v>
      </c>
      <c r="F1163" s="96"/>
      <c r="G1163" s="97"/>
    </row>
    <row r="1164" spans="1:7" ht="21" x14ac:dyDescent="0.25">
      <c r="A1164" s="43" t="str">
        <f>CONCATENATE("Pt Id:",'Level 1'!E1164," ","Pt Name: ",'Level 1'!F1164," ","DOS: ", TEXT('Level 1'!H1164,"mm-dd-yyyy"),"  "," Amnt: ","$",'Level 1'!J1164,"  ", 'Level 1'!N1164)</f>
        <v>Pt Id:0 Pt Name: 0 DOS: 01-00-1900   Amnt: $0  Note</v>
      </c>
      <c r="B1164" s="43" t="str">
        <f>CONCATENATE("Detail: ",'Level 1'!N1164,"  ",'Level 1'!O1164,TEXT('Level 1'!P1164,"  mm-dd-yyyy"),";"," ",'Level 1'!Q1164,'Level 1'!R1164,"  ",'Level 1'!T1164," ","Payment "," ",'Level 1'!U1164,"  ",'Level 1'!V1164,"  ",'Level 1'!W1164,"  ",'Level 1'!X1164,"  ",'Level 1'!Z1164, "  ",'Level 1'!AA1164, " ","Insurance: ",'Level 1'!A1164)</f>
        <v>Detail: Note  Q1  01-00-1900; Q2   Payment  Q4    Q5    Additional Notes:   Insurance: 0</v>
      </c>
      <c r="C1164" s="60" t="str">
        <f>'Level 1'!Y1164</f>
        <v>Action</v>
      </c>
      <c r="D1164" s="44" t="str">
        <f>VLOOKUP(C1164,Table2[#All],3,FALSE)</f>
        <v>What we need from you/Reason</v>
      </c>
      <c r="E1164" s="75" t="s">
        <v>199</v>
      </c>
      <c r="F1164" s="96"/>
      <c r="G1164" s="97"/>
    </row>
    <row r="1165" spans="1:7" ht="21" x14ac:dyDescent="0.25">
      <c r="A1165" s="43" t="str">
        <f>CONCATENATE("Pt Id:",'Level 1'!E1165," ","Pt Name: ",'Level 1'!F1165," ","DOS: ", TEXT('Level 1'!H1165,"mm-dd-yyyy"),"  "," Amnt: ","$",'Level 1'!J1165,"  ", 'Level 1'!N1165)</f>
        <v>Pt Id:0 Pt Name: 0 DOS: 01-00-1900   Amnt: $0  Note</v>
      </c>
      <c r="B1165" s="43" t="str">
        <f>CONCATENATE("Detail: ",'Level 1'!N1165,"  ",'Level 1'!O1165,TEXT('Level 1'!P1165,"  mm-dd-yyyy"),";"," ",'Level 1'!Q1165,'Level 1'!R1165,"  ",'Level 1'!T1165," ","Payment "," ",'Level 1'!U1165,"  ",'Level 1'!V1165,"  ",'Level 1'!W1165,"  ",'Level 1'!X1165,"  ",'Level 1'!Z1165, "  ",'Level 1'!AA1165, " ","Insurance: ",'Level 1'!A1165)</f>
        <v>Detail: Note  Q1  01-00-1900; Q2   Payment  Q4    Q5    Additional Notes:   Insurance: 0</v>
      </c>
      <c r="C1165" s="60" t="str">
        <f>'Level 1'!Y1165</f>
        <v>Action</v>
      </c>
      <c r="D1165" s="44" t="str">
        <f>VLOOKUP(C1165,Table2[#All],3,FALSE)</f>
        <v>What we need from you/Reason</v>
      </c>
      <c r="E1165" s="75" t="s">
        <v>199</v>
      </c>
      <c r="F1165" s="96"/>
      <c r="G1165" s="97"/>
    </row>
    <row r="1166" spans="1:7" ht="21" x14ac:dyDescent="0.25">
      <c r="A1166" s="43" t="str">
        <f>CONCATENATE("Pt Id:",'Level 1'!E1166," ","Pt Name: ",'Level 1'!F1166," ","DOS: ", TEXT('Level 1'!H1166,"mm-dd-yyyy"),"  "," Amnt: ","$",'Level 1'!J1166,"  ", 'Level 1'!N1166)</f>
        <v>Pt Id:0 Pt Name: 0 DOS: 01-00-1900   Amnt: $0  Note</v>
      </c>
      <c r="B1166" s="43" t="str">
        <f>CONCATENATE("Detail: ",'Level 1'!N1166,"  ",'Level 1'!O1166,TEXT('Level 1'!P1166,"  mm-dd-yyyy"),";"," ",'Level 1'!Q1166,'Level 1'!R1166,"  ",'Level 1'!T1166," ","Payment "," ",'Level 1'!U1166,"  ",'Level 1'!V1166,"  ",'Level 1'!W1166,"  ",'Level 1'!X1166,"  ",'Level 1'!Z1166, "  ",'Level 1'!AA1166, " ","Insurance: ",'Level 1'!A1166)</f>
        <v>Detail: Note  Q1  01-00-1900; Q2   Payment  Q4    Q5    Additional Notes:   Insurance: 0</v>
      </c>
      <c r="C1166" s="60" t="str">
        <f>'Level 1'!Y1166</f>
        <v>Action</v>
      </c>
      <c r="D1166" s="44" t="str">
        <f>VLOOKUP(C1166,Table2[#All],3,FALSE)</f>
        <v>What we need from you/Reason</v>
      </c>
      <c r="E1166" s="75" t="s">
        <v>199</v>
      </c>
      <c r="F1166" s="96"/>
      <c r="G1166" s="97"/>
    </row>
    <row r="1167" spans="1:7" ht="21" x14ac:dyDescent="0.25">
      <c r="A1167" s="43" t="str">
        <f>CONCATENATE("Pt Id:",'Level 1'!E1167," ","Pt Name: ",'Level 1'!F1167," ","DOS: ", TEXT('Level 1'!H1167,"mm-dd-yyyy"),"  "," Amnt: ","$",'Level 1'!J1167,"  ", 'Level 1'!N1167)</f>
        <v>Pt Id:0 Pt Name: 0 DOS: 01-00-1900   Amnt: $0  Note</v>
      </c>
      <c r="B1167" s="43" t="str">
        <f>CONCATENATE("Detail: ",'Level 1'!N1167,"  ",'Level 1'!O1167,TEXT('Level 1'!P1167,"  mm-dd-yyyy"),";"," ",'Level 1'!Q1167,'Level 1'!R1167,"  ",'Level 1'!T1167," ","Payment "," ",'Level 1'!U1167,"  ",'Level 1'!V1167,"  ",'Level 1'!W1167,"  ",'Level 1'!X1167,"  ",'Level 1'!Z1167, "  ",'Level 1'!AA1167, " ","Insurance: ",'Level 1'!A1167)</f>
        <v>Detail: Note  Q1  01-00-1900; Q2   Payment  Q4    Q5    Additional Notes:   Insurance: 0</v>
      </c>
      <c r="C1167" s="60" t="str">
        <f>'Level 1'!Y1167</f>
        <v>Action</v>
      </c>
      <c r="D1167" s="44" t="str">
        <f>VLOOKUP(C1167,Table2[#All],3,FALSE)</f>
        <v>What we need from you/Reason</v>
      </c>
      <c r="E1167" s="75" t="s">
        <v>199</v>
      </c>
      <c r="F1167" s="96"/>
      <c r="G1167" s="97"/>
    </row>
    <row r="1168" spans="1:7" ht="21" x14ac:dyDescent="0.25">
      <c r="A1168" s="43" t="str">
        <f>CONCATENATE("Pt Id:",'Level 1'!E1168," ","Pt Name: ",'Level 1'!F1168," ","DOS: ", TEXT('Level 1'!H1168,"mm-dd-yyyy"),"  "," Amnt: ","$",'Level 1'!J1168,"  ", 'Level 1'!N1168)</f>
        <v>Pt Id:0 Pt Name: 0 DOS: 01-00-1900   Amnt: $0  Note</v>
      </c>
      <c r="B1168" s="43" t="str">
        <f>CONCATENATE("Detail: ",'Level 1'!N1168,"  ",'Level 1'!O1168,TEXT('Level 1'!P1168,"  mm-dd-yyyy"),";"," ",'Level 1'!Q1168,'Level 1'!R1168,"  ",'Level 1'!T1168," ","Payment "," ",'Level 1'!U1168,"  ",'Level 1'!V1168,"  ",'Level 1'!W1168,"  ",'Level 1'!X1168,"  ",'Level 1'!Z1168, "  ",'Level 1'!AA1168, " ","Insurance: ",'Level 1'!A1168)</f>
        <v>Detail: Note  Q1  01-00-1900; Q2   Payment  Q4    Q5    Additional Notes:   Insurance: 0</v>
      </c>
      <c r="C1168" s="60" t="str">
        <f>'Level 1'!Y1168</f>
        <v>Action</v>
      </c>
      <c r="D1168" s="44" t="str">
        <f>VLOOKUP(C1168,Table2[#All],3,FALSE)</f>
        <v>What we need from you/Reason</v>
      </c>
      <c r="E1168" s="75" t="s">
        <v>199</v>
      </c>
      <c r="F1168" s="96"/>
      <c r="G1168" s="97"/>
    </row>
    <row r="1169" spans="1:7" ht="21" x14ac:dyDescent="0.25">
      <c r="A1169" s="43" t="str">
        <f>CONCATENATE("Pt Id:",'Level 1'!E1169," ","Pt Name: ",'Level 1'!F1169," ","DOS: ", TEXT('Level 1'!H1169,"mm-dd-yyyy"),"  "," Amnt: ","$",'Level 1'!J1169,"  ", 'Level 1'!N1169)</f>
        <v>Pt Id:0 Pt Name: 0 DOS: 01-00-1900   Amnt: $0  Note</v>
      </c>
      <c r="B1169" s="43" t="str">
        <f>CONCATENATE("Detail: ",'Level 1'!N1169,"  ",'Level 1'!O1169,TEXT('Level 1'!P1169,"  mm-dd-yyyy"),";"," ",'Level 1'!Q1169,'Level 1'!R1169,"  ",'Level 1'!T1169," ","Payment "," ",'Level 1'!U1169,"  ",'Level 1'!V1169,"  ",'Level 1'!W1169,"  ",'Level 1'!X1169,"  ",'Level 1'!Z1169, "  ",'Level 1'!AA1169, " ","Insurance: ",'Level 1'!A1169)</f>
        <v>Detail: Note  Q1  01-00-1900; Q2   Payment  Q4    Q5    Additional Notes:   Insurance: 0</v>
      </c>
      <c r="C1169" s="60" t="str">
        <f>'Level 1'!Y1169</f>
        <v>Action</v>
      </c>
      <c r="D1169" s="44" t="str">
        <f>VLOOKUP(C1169,Table2[#All],3,FALSE)</f>
        <v>What we need from you/Reason</v>
      </c>
      <c r="E1169" s="75" t="s">
        <v>199</v>
      </c>
      <c r="F1169" s="96"/>
      <c r="G1169" s="97"/>
    </row>
    <row r="1170" spans="1:7" ht="21" x14ac:dyDescent="0.25">
      <c r="A1170" s="43" t="str">
        <f>CONCATENATE("Pt Id:",'Level 1'!E1170," ","Pt Name: ",'Level 1'!F1170," ","DOS: ", TEXT('Level 1'!H1170,"mm-dd-yyyy"),"  "," Amnt: ","$",'Level 1'!J1170,"  ", 'Level 1'!N1170)</f>
        <v>Pt Id:0 Pt Name: 0 DOS: 01-00-1900   Amnt: $0  Note</v>
      </c>
      <c r="B1170" s="43" t="str">
        <f>CONCATENATE("Detail: ",'Level 1'!N1170,"  ",'Level 1'!O1170,TEXT('Level 1'!P1170,"  mm-dd-yyyy"),";"," ",'Level 1'!Q1170,'Level 1'!R1170,"  ",'Level 1'!T1170," ","Payment "," ",'Level 1'!U1170,"  ",'Level 1'!V1170,"  ",'Level 1'!W1170,"  ",'Level 1'!X1170,"  ",'Level 1'!Z1170, "  ",'Level 1'!AA1170, " ","Insurance: ",'Level 1'!A1170)</f>
        <v>Detail: Note  Q1  01-00-1900; Q2   Payment  Q4    Q5    Additional Notes:   Insurance: 0</v>
      </c>
      <c r="C1170" s="60" t="str">
        <f>'Level 1'!Y1170</f>
        <v>Action</v>
      </c>
      <c r="D1170" s="44" t="str">
        <f>VLOOKUP(C1170,Table2[#All],3,FALSE)</f>
        <v>What we need from you/Reason</v>
      </c>
      <c r="E1170" s="75" t="s">
        <v>199</v>
      </c>
      <c r="F1170" s="96"/>
      <c r="G1170" s="97"/>
    </row>
    <row r="1171" spans="1:7" ht="21" x14ac:dyDescent="0.25">
      <c r="A1171" s="43" t="str">
        <f>CONCATENATE("Pt Id:",'Level 1'!E1171," ","Pt Name: ",'Level 1'!F1171," ","DOS: ", TEXT('Level 1'!H1171,"mm-dd-yyyy"),"  "," Amnt: ","$",'Level 1'!J1171,"  ", 'Level 1'!N1171)</f>
        <v>Pt Id:0 Pt Name: 0 DOS: 01-00-1900   Amnt: $0  Note</v>
      </c>
      <c r="B1171" s="43" t="str">
        <f>CONCATENATE("Detail: ",'Level 1'!N1171,"  ",'Level 1'!O1171,TEXT('Level 1'!P1171,"  mm-dd-yyyy"),";"," ",'Level 1'!Q1171,'Level 1'!R1171,"  ",'Level 1'!T1171," ","Payment "," ",'Level 1'!U1171,"  ",'Level 1'!V1171,"  ",'Level 1'!W1171,"  ",'Level 1'!X1171,"  ",'Level 1'!Z1171, "  ",'Level 1'!AA1171, " ","Insurance: ",'Level 1'!A1171)</f>
        <v>Detail: Note  Q1  01-00-1900; Q2   Payment  Q4    Q5    Additional Notes:   Insurance: 0</v>
      </c>
      <c r="C1171" s="60" t="str">
        <f>'Level 1'!Y1171</f>
        <v>Action</v>
      </c>
      <c r="D1171" s="44" t="str">
        <f>VLOOKUP(C1171,Table2[#All],3,FALSE)</f>
        <v>What we need from you/Reason</v>
      </c>
      <c r="E1171" s="75" t="s">
        <v>199</v>
      </c>
      <c r="F1171" s="96"/>
      <c r="G1171" s="97"/>
    </row>
    <row r="1172" spans="1:7" ht="21" x14ac:dyDescent="0.25">
      <c r="A1172" s="43" t="str">
        <f>CONCATENATE("Pt Id:",'Level 1'!E1172," ","Pt Name: ",'Level 1'!F1172," ","DOS: ", TEXT('Level 1'!H1172,"mm-dd-yyyy"),"  "," Amnt: ","$",'Level 1'!J1172,"  ", 'Level 1'!N1172)</f>
        <v>Pt Id:0 Pt Name: 0 DOS: 01-00-1900   Amnt: $0  Note</v>
      </c>
      <c r="B1172" s="43" t="str">
        <f>CONCATENATE("Detail: ",'Level 1'!N1172,"  ",'Level 1'!O1172,TEXT('Level 1'!P1172,"  mm-dd-yyyy"),";"," ",'Level 1'!Q1172,'Level 1'!R1172,"  ",'Level 1'!T1172," ","Payment "," ",'Level 1'!U1172,"  ",'Level 1'!V1172,"  ",'Level 1'!W1172,"  ",'Level 1'!X1172,"  ",'Level 1'!Z1172, "  ",'Level 1'!AA1172, " ","Insurance: ",'Level 1'!A1172)</f>
        <v>Detail: Note  Q1  01-00-1900; Q2   Payment  Q4    Q5    Additional Notes:   Insurance: 0</v>
      </c>
      <c r="C1172" s="60" t="str">
        <f>'Level 1'!Y1172</f>
        <v>Action</v>
      </c>
      <c r="D1172" s="44" t="str">
        <f>VLOOKUP(C1172,Table2[#All],3,FALSE)</f>
        <v>What we need from you/Reason</v>
      </c>
      <c r="E1172" s="75" t="s">
        <v>199</v>
      </c>
      <c r="F1172" s="96"/>
      <c r="G1172" s="97"/>
    </row>
    <row r="1173" spans="1:7" ht="21" x14ac:dyDescent="0.25">
      <c r="A1173" s="43" t="str">
        <f>CONCATENATE("Pt Id:",'Level 1'!E1173," ","Pt Name: ",'Level 1'!F1173," ","DOS: ", TEXT('Level 1'!H1173,"mm-dd-yyyy"),"  "," Amnt: ","$",'Level 1'!J1173,"  ", 'Level 1'!N1173)</f>
        <v>Pt Id:0 Pt Name: 0 DOS: 01-00-1900   Amnt: $0  Note</v>
      </c>
      <c r="B1173" s="43" t="str">
        <f>CONCATENATE("Detail: ",'Level 1'!N1173,"  ",'Level 1'!O1173,TEXT('Level 1'!P1173,"  mm-dd-yyyy"),";"," ",'Level 1'!Q1173,'Level 1'!R1173,"  ",'Level 1'!T1173," ","Payment "," ",'Level 1'!U1173,"  ",'Level 1'!V1173,"  ",'Level 1'!W1173,"  ",'Level 1'!X1173,"  ",'Level 1'!Z1173, "  ",'Level 1'!AA1173, " ","Insurance: ",'Level 1'!A1173)</f>
        <v>Detail: Note  Q1  01-00-1900; Q2   Payment  Q4    Q5    Additional Notes:   Insurance: 0</v>
      </c>
      <c r="C1173" s="60" t="str">
        <f>'Level 1'!Y1173</f>
        <v>Action</v>
      </c>
      <c r="D1173" s="44" t="str">
        <f>VLOOKUP(C1173,Table2[#All],3,FALSE)</f>
        <v>What we need from you/Reason</v>
      </c>
      <c r="E1173" s="75" t="s">
        <v>199</v>
      </c>
      <c r="F1173" s="96"/>
      <c r="G1173" s="97"/>
    </row>
    <row r="1174" spans="1:7" ht="21" x14ac:dyDescent="0.25">
      <c r="A1174" s="43" t="str">
        <f>CONCATENATE("Pt Id:",'Level 1'!E1174," ","Pt Name: ",'Level 1'!F1174," ","DOS: ", TEXT('Level 1'!H1174,"mm-dd-yyyy"),"  "," Amnt: ","$",'Level 1'!J1174,"  ", 'Level 1'!N1174)</f>
        <v>Pt Id:0 Pt Name: 0 DOS: 01-00-1900   Amnt: $0  Note</v>
      </c>
      <c r="B1174" s="43" t="str">
        <f>CONCATENATE("Detail: ",'Level 1'!N1174,"  ",'Level 1'!O1174,TEXT('Level 1'!P1174,"  mm-dd-yyyy"),";"," ",'Level 1'!Q1174,'Level 1'!R1174,"  ",'Level 1'!T1174," ","Payment "," ",'Level 1'!U1174,"  ",'Level 1'!V1174,"  ",'Level 1'!W1174,"  ",'Level 1'!X1174,"  ",'Level 1'!Z1174, "  ",'Level 1'!AA1174, " ","Insurance: ",'Level 1'!A1174)</f>
        <v>Detail: Note  Q1  01-00-1900; Q2   Payment  Q4    Q5    Additional Notes:   Insurance: 0</v>
      </c>
      <c r="C1174" s="60" t="str">
        <f>'Level 1'!Y1174</f>
        <v>Action</v>
      </c>
      <c r="D1174" s="44" t="str">
        <f>VLOOKUP(C1174,Table2[#All],3,FALSE)</f>
        <v>What we need from you/Reason</v>
      </c>
      <c r="E1174" s="75" t="s">
        <v>199</v>
      </c>
      <c r="F1174" s="96"/>
      <c r="G1174" s="97"/>
    </row>
    <row r="1175" spans="1:7" ht="21" x14ac:dyDescent="0.25">
      <c r="A1175" s="43" t="str">
        <f>CONCATENATE("Pt Id:",'Level 1'!E1175," ","Pt Name: ",'Level 1'!F1175," ","DOS: ", TEXT('Level 1'!H1175,"mm-dd-yyyy"),"  "," Amnt: ","$",'Level 1'!J1175,"  ", 'Level 1'!N1175)</f>
        <v>Pt Id:0 Pt Name: 0 DOS: 01-00-1900   Amnt: $0  Note</v>
      </c>
      <c r="B1175" s="43" t="str">
        <f>CONCATENATE("Detail: ",'Level 1'!N1175,"  ",'Level 1'!O1175,TEXT('Level 1'!P1175,"  mm-dd-yyyy"),";"," ",'Level 1'!Q1175,'Level 1'!R1175,"  ",'Level 1'!T1175," ","Payment "," ",'Level 1'!U1175,"  ",'Level 1'!V1175,"  ",'Level 1'!W1175,"  ",'Level 1'!X1175,"  ",'Level 1'!Z1175, "  ",'Level 1'!AA1175, " ","Insurance: ",'Level 1'!A1175)</f>
        <v>Detail: Note  Q1  01-00-1900; Q2   Payment  Q4    Q5    Additional Notes:   Insurance: 0</v>
      </c>
      <c r="C1175" s="60" t="str">
        <f>'Level 1'!Y1175</f>
        <v>Action</v>
      </c>
      <c r="D1175" s="44" t="str">
        <f>VLOOKUP(C1175,Table2[#All],3,FALSE)</f>
        <v>What we need from you/Reason</v>
      </c>
      <c r="E1175" s="75" t="s">
        <v>199</v>
      </c>
      <c r="F1175" s="96"/>
      <c r="G1175" s="97"/>
    </row>
    <row r="1176" spans="1:7" ht="21" x14ac:dyDescent="0.25">
      <c r="A1176" s="43" t="str">
        <f>CONCATENATE("Pt Id:",'Level 1'!E1176," ","Pt Name: ",'Level 1'!F1176," ","DOS: ", TEXT('Level 1'!H1176,"mm-dd-yyyy"),"  "," Amnt: ","$",'Level 1'!J1176,"  ", 'Level 1'!N1176)</f>
        <v>Pt Id:0 Pt Name: 0 DOS: 01-00-1900   Amnt: $0  Note</v>
      </c>
      <c r="B1176" s="43" t="str">
        <f>CONCATENATE("Detail: ",'Level 1'!N1176,"  ",'Level 1'!O1176,TEXT('Level 1'!P1176,"  mm-dd-yyyy"),";"," ",'Level 1'!Q1176,'Level 1'!R1176,"  ",'Level 1'!T1176," ","Payment "," ",'Level 1'!U1176,"  ",'Level 1'!V1176,"  ",'Level 1'!W1176,"  ",'Level 1'!X1176,"  ",'Level 1'!Z1176, "  ",'Level 1'!AA1176, " ","Insurance: ",'Level 1'!A1176)</f>
        <v>Detail: Note  Q1  01-00-1900; Q2   Payment  Q4    Q5    Additional Notes:   Insurance: 0</v>
      </c>
      <c r="C1176" s="60" t="str">
        <f>'Level 1'!Y1176</f>
        <v>Action</v>
      </c>
      <c r="D1176" s="44" t="str">
        <f>VLOOKUP(C1176,Table2[#All],3,FALSE)</f>
        <v>What we need from you/Reason</v>
      </c>
      <c r="E1176" s="75" t="s">
        <v>199</v>
      </c>
      <c r="F1176" s="96"/>
      <c r="G1176" s="97"/>
    </row>
    <row r="1177" spans="1:7" ht="21" x14ac:dyDescent="0.25">
      <c r="A1177" s="43" t="str">
        <f>CONCATENATE("Pt Id:",'Level 1'!E1177," ","Pt Name: ",'Level 1'!F1177," ","DOS: ", TEXT('Level 1'!H1177,"mm-dd-yyyy"),"  "," Amnt: ","$",'Level 1'!J1177,"  ", 'Level 1'!N1177)</f>
        <v>Pt Id:0 Pt Name: 0 DOS: 01-00-1900   Amnt: $0  Note</v>
      </c>
      <c r="B1177" s="43" t="str">
        <f>CONCATENATE("Detail: ",'Level 1'!N1177,"  ",'Level 1'!O1177,TEXT('Level 1'!P1177,"  mm-dd-yyyy"),";"," ",'Level 1'!Q1177,'Level 1'!R1177,"  ",'Level 1'!T1177," ","Payment "," ",'Level 1'!U1177,"  ",'Level 1'!V1177,"  ",'Level 1'!W1177,"  ",'Level 1'!X1177,"  ",'Level 1'!Z1177, "  ",'Level 1'!AA1177, " ","Insurance: ",'Level 1'!A1177)</f>
        <v>Detail: Note  Q1  01-00-1900; Q2   Payment  Q4    Q5    Additional Notes:   Insurance: 0</v>
      </c>
      <c r="C1177" s="60" t="str">
        <f>'Level 1'!Y1177</f>
        <v>Action</v>
      </c>
      <c r="D1177" s="44" t="str">
        <f>VLOOKUP(C1177,Table2[#All],3,FALSE)</f>
        <v>What we need from you/Reason</v>
      </c>
      <c r="E1177" s="75" t="s">
        <v>199</v>
      </c>
      <c r="F1177" s="96"/>
      <c r="G1177" s="97"/>
    </row>
    <row r="1178" spans="1:7" ht="21" x14ac:dyDescent="0.25">
      <c r="A1178" s="43" t="str">
        <f>CONCATENATE("Pt Id:",'Level 1'!E1178," ","Pt Name: ",'Level 1'!F1178," ","DOS: ", TEXT('Level 1'!H1178,"mm-dd-yyyy"),"  "," Amnt: ","$",'Level 1'!J1178,"  ", 'Level 1'!N1178)</f>
        <v>Pt Id:0 Pt Name: 0 DOS: 01-00-1900   Amnt: $0  Note</v>
      </c>
      <c r="B1178" s="43" t="str">
        <f>CONCATENATE("Detail: ",'Level 1'!N1178,"  ",'Level 1'!O1178,TEXT('Level 1'!P1178,"  mm-dd-yyyy"),";"," ",'Level 1'!Q1178,'Level 1'!R1178,"  ",'Level 1'!T1178," ","Payment "," ",'Level 1'!U1178,"  ",'Level 1'!V1178,"  ",'Level 1'!W1178,"  ",'Level 1'!X1178,"  ",'Level 1'!Z1178, "  ",'Level 1'!AA1178, " ","Insurance: ",'Level 1'!A1178)</f>
        <v>Detail: Note  Q1  01-00-1900; Q2   Payment  Q4    Q5    Additional Notes:   Insurance: 0</v>
      </c>
      <c r="C1178" s="60" t="str">
        <f>'Level 1'!Y1178</f>
        <v>Action</v>
      </c>
      <c r="D1178" s="44" t="str">
        <f>VLOOKUP(C1178,Table2[#All],3,FALSE)</f>
        <v>What we need from you/Reason</v>
      </c>
      <c r="E1178" s="75" t="s">
        <v>199</v>
      </c>
      <c r="F1178" s="96"/>
      <c r="G1178" s="97"/>
    </row>
    <row r="1179" spans="1:7" ht="21" x14ac:dyDescent="0.25">
      <c r="A1179" s="43" t="str">
        <f>CONCATENATE("Pt Id:",'Level 1'!E1179," ","Pt Name: ",'Level 1'!F1179," ","DOS: ", TEXT('Level 1'!H1179,"mm-dd-yyyy"),"  "," Amnt: ","$",'Level 1'!J1179,"  ", 'Level 1'!N1179)</f>
        <v>Pt Id:0 Pt Name: 0 DOS: 01-00-1900   Amnt: $0  Note</v>
      </c>
      <c r="B1179" s="43" t="str">
        <f>CONCATENATE("Detail: ",'Level 1'!N1179,"  ",'Level 1'!O1179,TEXT('Level 1'!P1179,"  mm-dd-yyyy"),";"," ",'Level 1'!Q1179,'Level 1'!R1179,"  ",'Level 1'!T1179," ","Payment "," ",'Level 1'!U1179,"  ",'Level 1'!V1179,"  ",'Level 1'!W1179,"  ",'Level 1'!X1179,"  ",'Level 1'!Z1179, "  ",'Level 1'!AA1179, " ","Insurance: ",'Level 1'!A1179)</f>
        <v>Detail: Note  Q1  01-00-1900; Q2   Payment  Q4    Q5    Additional Notes:   Insurance: 0</v>
      </c>
      <c r="C1179" s="60" t="str">
        <f>'Level 1'!Y1179</f>
        <v>Action</v>
      </c>
      <c r="D1179" s="44" t="str">
        <f>VLOOKUP(C1179,Table2[#All],3,FALSE)</f>
        <v>What we need from you/Reason</v>
      </c>
      <c r="E1179" s="75" t="s">
        <v>199</v>
      </c>
      <c r="F1179" s="96"/>
      <c r="G1179" s="97"/>
    </row>
    <row r="1180" spans="1:7" ht="21" x14ac:dyDescent="0.25">
      <c r="A1180" s="43" t="str">
        <f>CONCATENATE("Pt Id:",'Level 1'!E1180," ","Pt Name: ",'Level 1'!F1180," ","DOS: ", TEXT('Level 1'!H1180,"mm-dd-yyyy"),"  "," Amnt: ","$",'Level 1'!J1180,"  ", 'Level 1'!N1180)</f>
        <v>Pt Id:0 Pt Name: 0 DOS: 01-00-1900   Amnt: $0  Note</v>
      </c>
      <c r="B1180" s="43" t="str">
        <f>CONCATENATE("Detail: ",'Level 1'!N1180,"  ",'Level 1'!O1180,TEXT('Level 1'!P1180,"  mm-dd-yyyy"),";"," ",'Level 1'!Q1180,'Level 1'!R1180,"  ",'Level 1'!T1180," ","Payment "," ",'Level 1'!U1180,"  ",'Level 1'!V1180,"  ",'Level 1'!W1180,"  ",'Level 1'!X1180,"  ",'Level 1'!Z1180, "  ",'Level 1'!AA1180, " ","Insurance: ",'Level 1'!A1180)</f>
        <v>Detail: Note  Q1  01-00-1900; Q2   Payment  Q4    Q5    Additional Notes:   Insurance: 0</v>
      </c>
      <c r="C1180" s="60" t="str">
        <f>'Level 1'!Y1180</f>
        <v>Action</v>
      </c>
      <c r="D1180" s="44" t="str">
        <f>VLOOKUP(C1180,Table2[#All],3,FALSE)</f>
        <v>What we need from you/Reason</v>
      </c>
      <c r="E1180" s="75" t="s">
        <v>199</v>
      </c>
      <c r="F1180" s="96"/>
      <c r="G1180" s="97"/>
    </row>
    <row r="1181" spans="1:7" ht="21" x14ac:dyDescent="0.25">
      <c r="A1181" s="43" t="str">
        <f>CONCATENATE("Pt Id:",'Level 1'!E1181," ","Pt Name: ",'Level 1'!F1181," ","DOS: ", TEXT('Level 1'!H1181,"mm-dd-yyyy"),"  "," Amnt: ","$",'Level 1'!J1181,"  ", 'Level 1'!N1181)</f>
        <v>Pt Id:0 Pt Name: 0 DOS: 01-00-1900   Amnt: $0  Note</v>
      </c>
      <c r="B1181" s="43" t="str">
        <f>CONCATENATE("Detail: ",'Level 1'!N1181,"  ",'Level 1'!O1181,TEXT('Level 1'!P1181,"  mm-dd-yyyy"),";"," ",'Level 1'!Q1181,'Level 1'!R1181,"  ",'Level 1'!T1181," ","Payment "," ",'Level 1'!U1181,"  ",'Level 1'!V1181,"  ",'Level 1'!W1181,"  ",'Level 1'!X1181,"  ",'Level 1'!Z1181, "  ",'Level 1'!AA1181, " ","Insurance: ",'Level 1'!A1181)</f>
        <v>Detail: Note  Q1  01-00-1900; Q2   Payment  Q4    Q5    Additional Notes:   Insurance: 0</v>
      </c>
      <c r="C1181" s="60" t="str">
        <f>'Level 1'!Y1181</f>
        <v>Action</v>
      </c>
      <c r="D1181" s="44" t="str">
        <f>VLOOKUP(C1181,Table2[#All],3,FALSE)</f>
        <v>What we need from you/Reason</v>
      </c>
      <c r="E1181" s="75" t="s">
        <v>199</v>
      </c>
      <c r="F1181" s="96"/>
      <c r="G1181" s="97"/>
    </row>
    <row r="1182" spans="1:7" ht="21" x14ac:dyDescent="0.25">
      <c r="A1182" s="43" t="str">
        <f>CONCATENATE("Pt Id:",'Level 1'!E1182," ","Pt Name: ",'Level 1'!F1182," ","DOS: ", TEXT('Level 1'!H1182,"mm-dd-yyyy"),"  "," Amnt: ","$",'Level 1'!J1182,"  ", 'Level 1'!N1182)</f>
        <v>Pt Id:0 Pt Name: 0 DOS: 01-00-1900   Amnt: $0  Note</v>
      </c>
      <c r="B1182" s="43" t="str">
        <f>CONCATENATE("Detail: ",'Level 1'!N1182,"  ",'Level 1'!O1182,TEXT('Level 1'!P1182,"  mm-dd-yyyy"),";"," ",'Level 1'!Q1182,'Level 1'!R1182,"  ",'Level 1'!T1182," ","Payment "," ",'Level 1'!U1182,"  ",'Level 1'!V1182,"  ",'Level 1'!W1182,"  ",'Level 1'!X1182,"  ",'Level 1'!Z1182, "  ",'Level 1'!AA1182, " ","Insurance: ",'Level 1'!A1182)</f>
        <v>Detail: Note  Q1  01-00-1900; Q2   Payment  Q4    Q5    Additional Notes:   Insurance: 0</v>
      </c>
      <c r="C1182" s="60" t="str">
        <f>'Level 1'!Y1182</f>
        <v>Action</v>
      </c>
      <c r="D1182" s="44" t="str">
        <f>VLOOKUP(C1182,Table2[#All],3,FALSE)</f>
        <v>What we need from you/Reason</v>
      </c>
      <c r="E1182" s="75" t="s">
        <v>199</v>
      </c>
      <c r="F1182" s="96"/>
      <c r="G1182" s="97"/>
    </row>
    <row r="1183" spans="1:7" ht="21" x14ac:dyDescent="0.25">
      <c r="A1183" s="43" t="str">
        <f>CONCATENATE("Pt Id:",'Level 1'!E1183," ","Pt Name: ",'Level 1'!F1183," ","DOS: ", TEXT('Level 1'!H1183,"mm-dd-yyyy"),"  "," Amnt: ","$",'Level 1'!J1183,"  ", 'Level 1'!N1183)</f>
        <v>Pt Id:0 Pt Name: 0 DOS: 01-00-1900   Amnt: $0  Note</v>
      </c>
      <c r="B1183" s="43" t="str">
        <f>CONCATENATE("Detail: ",'Level 1'!N1183,"  ",'Level 1'!O1183,TEXT('Level 1'!P1183,"  mm-dd-yyyy"),";"," ",'Level 1'!Q1183,'Level 1'!R1183,"  ",'Level 1'!T1183," ","Payment "," ",'Level 1'!U1183,"  ",'Level 1'!V1183,"  ",'Level 1'!W1183,"  ",'Level 1'!X1183,"  ",'Level 1'!Z1183, "  ",'Level 1'!AA1183, " ","Insurance: ",'Level 1'!A1183)</f>
        <v>Detail: Note  Q1  01-00-1900; Q2   Payment  Q4    Q5    Additional Notes:   Insurance: 0</v>
      </c>
      <c r="C1183" s="60" t="str">
        <f>'Level 1'!Y1183</f>
        <v>Action</v>
      </c>
      <c r="D1183" s="44" t="str">
        <f>VLOOKUP(C1183,Table2[#All],3,FALSE)</f>
        <v>What we need from you/Reason</v>
      </c>
      <c r="E1183" s="75" t="s">
        <v>199</v>
      </c>
      <c r="F1183" s="96"/>
      <c r="G1183" s="97"/>
    </row>
    <row r="1184" spans="1:7" ht="21" x14ac:dyDescent="0.25">
      <c r="A1184" s="43" t="str">
        <f>CONCATENATE("Pt Id:",'Level 1'!E1184," ","Pt Name: ",'Level 1'!F1184," ","DOS: ", TEXT('Level 1'!H1184,"mm-dd-yyyy"),"  "," Amnt: ","$",'Level 1'!J1184,"  ", 'Level 1'!N1184)</f>
        <v>Pt Id:0 Pt Name: 0 DOS: 01-00-1900   Amnt: $0  Note</v>
      </c>
      <c r="B1184" s="43" t="str">
        <f>CONCATENATE("Detail: ",'Level 1'!N1184,"  ",'Level 1'!O1184,TEXT('Level 1'!P1184,"  mm-dd-yyyy"),";"," ",'Level 1'!Q1184,'Level 1'!R1184,"  ",'Level 1'!T1184," ","Payment "," ",'Level 1'!U1184,"  ",'Level 1'!V1184,"  ",'Level 1'!W1184,"  ",'Level 1'!X1184,"  ",'Level 1'!Z1184, "  ",'Level 1'!AA1184, " ","Insurance: ",'Level 1'!A1184)</f>
        <v>Detail: Note  Q1  01-00-1900; Q2   Payment  Q4    Q5    Additional Notes:   Insurance: 0</v>
      </c>
      <c r="C1184" s="60" t="str">
        <f>'Level 1'!Y1184</f>
        <v>Action</v>
      </c>
      <c r="D1184" s="44" t="str">
        <f>VLOOKUP(C1184,Table2[#All],3,FALSE)</f>
        <v>What we need from you/Reason</v>
      </c>
      <c r="E1184" s="75" t="s">
        <v>199</v>
      </c>
      <c r="F1184" s="96"/>
      <c r="G1184" s="97"/>
    </row>
    <row r="1185" spans="1:7" ht="21" x14ac:dyDescent="0.25">
      <c r="A1185" s="43" t="str">
        <f>CONCATENATE("Pt Id:",'Level 1'!E1185," ","Pt Name: ",'Level 1'!F1185," ","DOS: ", TEXT('Level 1'!H1185,"mm-dd-yyyy"),"  "," Amnt: ","$",'Level 1'!J1185,"  ", 'Level 1'!N1185)</f>
        <v>Pt Id:0 Pt Name: 0 DOS: 01-00-1900   Amnt: $0  Note</v>
      </c>
      <c r="B1185" s="43" t="str">
        <f>CONCATENATE("Detail: ",'Level 1'!N1185,"  ",'Level 1'!O1185,TEXT('Level 1'!P1185,"  mm-dd-yyyy"),";"," ",'Level 1'!Q1185,'Level 1'!R1185,"  ",'Level 1'!T1185," ","Payment "," ",'Level 1'!U1185,"  ",'Level 1'!V1185,"  ",'Level 1'!W1185,"  ",'Level 1'!X1185,"  ",'Level 1'!Z1185, "  ",'Level 1'!AA1185, " ","Insurance: ",'Level 1'!A1185)</f>
        <v>Detail: Note  Q1  01-00-1900; Q2   Payment  Q4    Q5    Additional Notes:   Insurance: 0</v>
      </c>
      <c r="C1185" s="60" t="str">
        <f>'Level 1'!Y1185</f>
        <v>Action</v>
      </c>
      <c r="D1185" s="44" t="str">
        <f>VLOOKUP(C1185,Table2[#All],3,FALSE)</f>
        <v>What we need from you/Reason</v>
      </c>
      <c r="E1185" s="75" t="s">
        <v>199</v>
      </c>
      <c r="F1185" s="96"/>
      <c r="G1185" s="97"/>
    </row>
    <row r="1186" spans="1:7" ht="21" x14ac:dyDescent="0.25">
      <c r="A1186" s="43" t="str">
        <f>CONCATENATE("Pt Id:",'Level 1'!E1186," ","Pt Name: ",'Level 1'!F1186," ","DOS: ", TEXT('Level 1'!H1186,"mm-dd-yyyy"),"  "," Amnt: ","$",'Level 1'!J1186,"  ", 'Level 1'!N1186)</f>
        <v>Pt Id:0 Pt Name: 0 DOS: 01-00-1900   Amnt: $0  Note</v>
      </c>
      <c r="B1186" s="43" t="str">
        <f>CONCATENATE("Detail: ",'Level 1'!N1186,"  ",'Level 1'!O1186,TEXT('Level 1'!P1186,"  mm-dd-yyyy"),";"," ",'Level 1'!Q1186,'Level 1'!R1186,"  ",'Level 1'!T1186," ","Payment "," ",'Level 1'!U1186,"  ",'Level 1'!V1186,"  ",'Level 1'!W1186,"  ",'Level 1'!X1186,"  ",'Level 1'!Z1186, "  ",'Level 1'!AA1186, " ","Insurance: ",'Level 1'!A1186)</f>
        <v>Detail: Note  Q1  01-00-1900; Q2   Payment  Q4    Q5    Additional Notes:   Insurance: 0</v>
      </c>
      <c r="C1186" s="60" t="str">
        <f>'Level 1'!Y1186</f>
        <v>Action</v>
      </c>
      <c r="D1186" s="44" t="str">
        <f>VLOOKUP(C1186,Table2[#All],3,FALSE)</f>
        <v>What we need from you/Reason</v>
      </c>
      <c r="E1186" s="75" t="s">
        <v>199</v>
      </c>
      <c r="F1186" s="96"/>
      <c r="G1186" s="97"/>
    </row>
    <row r="1187" spans="1:7" ht="21" x14ac:dyDescent="0.25">
      <c r="A1187" s="43" t="str">
        <f>CONCATENATE("Pt Id:",'Level 1'!E1187," ","Pt Name: ",'Level 1'!F1187," ","DOS: ", TEXT('Level 1'!H1187,"mm-dd-yyyy"),"  "," Amnt: ","$",'Level 1'!J1187,"  ", 'Level 1'!N1187)</f>
        <v>Pt Id:0 Pt Name: 0 DOS: 01-00-1900   Amnt: $0  Note</v>
      </c>
      <c r="B1187" s="43" t="str">
        <f>CONCATENATE("Detail: ",'Level 1'!N1187,"  ",'Level 1'!O1187,TEXT('Level 1'!P1187,"  mm-dd-yyyy"),";"," ",'Level 1'!Q1187,'Level 1'!R1187,"  ",'Level 1'!T1187," ","Payment "," ",'Level 1'!U1187,"  ",'Level 1'!V1187,"  ",'Level 1'!W1187,"  ",'Level 1'!X1187,"  ",'Level 1'!Z1187, "  ",'Level 1'!AA1187, " ","Insurance: ",'Level 1'!A1187)</f>
        <v>Detail: Note  Q1  01-00-1900; Q2   Payment  Q4    Q5    Additional Notes:   Insurance: 0</v>
      </c>
      <c r="C1187" s="60" t="str">
        <f>'Level 1'!Y1187</f>
        <v>Action</v>
      </c>
      <c r="D1187" s="44" t="str">
        <f>VLOOKUP(C1187,Table2[#All],3,FALSE)</f>
        <v>What we need from you/Reason</v>
      </c>
      <c r="E1187" s="75" t="s">
        <v>199</v>
      </c>
      <c r="F1187" s="96"/>
      <c r="G1187" s="97"/>
    </row>
    <row r="1188" spans="1:7" ht="21" x14ac:dyDescent="0.25">
      <c r="A1188" s="43" t="str">
        <f>CONCATENATE("Pt Id:",'Level 1'!E1188," ","Pt Name: ",'Level 1'!F1188," ","DOS: ", TEXT('Level 1'!H1188,"mm-dd-yyyy"),"  "," Amnt: ","$",'Level 1'!J1188,"  ", 'Level 1'!N1188)</f>
        <v>Pt Id:0 Pt Name: 0 DOS: 01-00-1900   Amnt: $0  Note</v>
      </c>
      <c r="B1188" s="43" t="str">
        <f>CONCATENATE("Detail: ",'Level 1'!N1188,"  ",'Level 1'!O1188,TEXT('Level 1'!P1188,"  mm-dd-yyyy"),";"," ",'Level 1'!Q1188,'Level 1'!R1188,"  ",'Level 1'!T1188," ","Payment "," ",'Level 1'!U1188,"  ",'Level 1'!V1188,"  ",'Level 1'!W1188,"  ",'Level 1'!X1188,"  ",'Level 1'!Z1188, "  ",'Level 1'!AA1188, " ","Insurance: ",'Level 1'!A1188)</f>
        <v>Detail: Note  Q1  01-00-1900; Q2   Payment  Q4    Q5    Additional Notes:   Insurance: 0</v>
      </c>
      <c r="C1188" s="60" t="str">
        <f>'Level 1'!Y1188</f>
        <v>Action</v>
      </c>
      <c r="D1188" s="44" t="str">
        <f>VLOOKUP(C1188,Table2[#All],3,FALSE)</f>
        <v>What we need from you/Reason</v>
      </c>
      <c r="E1188" s="75" t="s">
        <v>199</v>
      </c>
      <c r="F1188" s="96"/>
      <c r="G1188" s="97"/>
    </row>
    <row r="1189" spans="1:7" ht="21" x14ac:dyDescent="0.25">
      <c r="A1189" s="43" t="str">
        <f>CONCATENATE("Pt Id:",'Level 1'!E1189," ","Pt Name: ",'Level 1'!F1189," ","DOS: ", TEXT('Level 1'!H1189,"mm-dd-yyyy"),"  "," Amnt: ","$",'Level 1'!J1189,"  ", 'Level 1'!N1189)</f>
        <v>Pt Id:0 Pt Name: 0 DOS: 01-00-1900   Amnt: $0  Note</v>
      </c>
      <c r="B1189" s="43" t="str">
        <f>CONCATENATE("Detail: ",'Level 1'!N1189,"  ",'Level 1'!O1189,TEXT('Level 1'!P1189,"  mm-dd-yyyy"),";"," ",'Level 1'!Q1189,'Level 1'!R1189,"  ",'Level 1'!T1189," ","Payment "," ",'Level 1'!U1189,"  ",'Level 1'!V1189,"  ",'Level 1'!W1189,"  ",'Level 1'!X1189,"  ",'Level 1'!Z1189, "  ",'Level 1'!AA1189, " ","Insurance: ",'Level 1'!A1189)</f>
        <v>Detail: Note  Q1  01-00-1900; Q2   Payment  Q4    Q5    Additional Notes:   Insurance: 0</v>
      </c>
      <c r="C1189" s="60" t="str">
        <f>'Level 1'!Y1189</f>
        <v>Action</v>
      </c>
      <c r="D1189" s="44" t="str">
        <f>VLOOKUP(C1189,Table2[#All],3,FALSE)</f>
        <v>What we need from you/Reason</v>
      </c>
      <c r="E1189" s="75" t="s">
        <v>199</v>
      </c>
      <c r="F1189" s="96"/>
      <c r="G1189" s="97"/>
    </row>
    <row r="1190" spans="1:7" ht="21" x14ac:dyDescent="0.25">
      <c r="A1190" s="43" t="str">
        <f>CONCATENATE("Pt Id:",'Level 1'!E1190," ","Pt Name: ",'Level 1'!F1190," ","DOS: ", TEXT('Level 1'!H1190,"mm-dd-yyyy"),"  "," Amnt: ","$",'Level 1'!J1190,"  ", 'Level 1'!N1190)</f>
        <v>Pt Id:0 Pt Name: 0 DOS: 01-00-1900   Amnt: $0  Note</v>
      </c>
      <c r="B1190" s="43" t="str">
        <f>CONCATENATE("Detail: ",'Level 1'!N1190,"  ",'Level 1'!O1190,TEXT('Level 1'!P1190,"  mm-dd-yyyy"),";"," ",'Level 1'!Q1190,'Level 1'!R1190,"  ",'Level 1'!T1190," ","Payment "," ",'Level 1'!U1190,"  ",'Level 1'!V1190,"  ",'Level 1'!W1190,"  ",'Level 1'!X1190,"  ",'Level 1'!Z1190, "  ",'Level 1'!AA1190, " ","Insurance: ",'Level 1'!A1190)</f>
        <v>Detail: Note  Q1  01-00-1900; Q2   Payment  Q4    Q5    Additional Notes:   Insurance: 0</v>
      </c>
      <c r="C1190" s="60" t="str">
        <f>'Level 1'!Y1190</f>
        <v>Action</v>
      </c>
      <c r="D1190" s="44" t="str">
        <f>VLOOKUP(C1190,Table2[#All],3,FALSE)</f>
        <v>What we need from you/Reason</v>
      </c>
      <c r="E1190" s="75" t="s">
        <v>199</v>
      </c>
      <c r="F1190" s="96"/>
      <c r="G1190" s="97"/>
    </row>
    <row r="1191" spans="1:7" ht="21" x14ac:dyDescent="0.25">
      <c r="A1191" s="43" t="str">
        <f>CONCATENATE("Pt Id:",'Level 1'!E1191," ","Pt Name: ",'Level 1'!F1191," ","DOS: ", TEXT('Level 1'!H1191,"mm-dd-yyyy"),"  "," Amnt: ","$",'Level 1'!J1191,"  ", 'Level 1'!N1191)</f>
        <v>Pt Id:0 Pt Name: 0 DOS: 01-00-1900   Amnt: $0  Note</v>
      </c>
      <c r="B1191" s="43" t="str">
        <f>CONCATENATE("Detail: ",'Level 1'!N1191,"  ",'Level 1'!O1191,TEXT('Level 1'!P1191,"  mm-dd-yyyy"),";"," ",'Level 1'!Q1191,'Level 1'!R1191,"  ",'Level 1'!T1191," ","Payment "," ",'Level 1'!U1191,"  ",'Level 1'!V1191,"  ",'Level 1'!W1191,"  ",'Level 1'!X1191,"  ",'Level 1'!Z1191, "  ",'Level 1'!AA1191, " ","Insurance: ",'Level 1'!A1191)</f>
        <v>Detail: Note  Q1  01-00-1900; Q2   Payment  Q4    Q5    Additional Notes:   Insurance: 0</v>
      </c>
      <c r="C1191" s="60" t="str">
        <f>'Level 1'!Y1191</f>
        <v>Action</v>
      </c>
      <c r="D1191" s="44" t="str">
        <f>VLOOKUP(C1191,Table2[#All],3,FALSE)</f>
        <v>What we need from you/Reason</v>
      </c>
      <c r="E1191" s="75" t="s">
        <v>199</v>
      </c>
      <c r="F1191" s="96"/>
      <c r="G1191" s="97"/>
    </row>
    <row r="1192" spans="1:7" ht="21" x14ac:dyDescent="0.25">
      <c r="A1192" s="43" t="str">
        <f>CONCATENATE("Pt Id:",'Level 1'!E1192," ","Pt Name: ",'Level 1'!F1192," ","DOS: ", TEXT('Level 1'!H1192,"mm-dd-yyyy"),"  "," Amnt: ","$",'Level 1'!J1192,"  ", 'Level 1'!N1192)</f>
        <v>Pt Id:0 Pt Name: 0 DOS: 01-00-1900   Amnt: $0  Note</v>
      </c>
      <c r="B1192" s="43" t="str">
        <f>CONCATENATE("Detail: ",'Level 1'!N1192,"  ",'Level 1'!O1192,TEXT('Level 1'!P1192,"  mm-dd-yyyy"),";"," ",'Level 1'!Q1192,'Level 1'!R1192,"  ",'Level 1'!T1192," ","Payment "," ",'Level 1'!U1192,"  ",'Level 1'!V1192,"  ",'Level 1'!W1192,"  ",'Level 1'!X1192,"  ",'Level 1'!Z1192, "  ",'Level 1'!AA1192, " ","Insurance: ",'Level 1'!A1192)</f>
        <v>Detail: Note  Q1  01-00-1900; Q2   Payment  Q4    Q5    Additional Notes:   Insurance: 0</v>
      </c>
      <c r="C1192" s="60" t="str">
        <f>'Level 1'!Y1192</f>
        <v>Action</v>
      </c>
      <c r="D1192" s="44" t="str">
        <f>VLOOKUP(C1192,Table2[#All],3,FALSE)</f>
        <v>What we need from you/Reason</v>
      </c>
      <c r="E1192" s="75" t="s">
        <v>199</v>
      </c>
      <c r="F1192" s="96"/>
      <c r="G1192" s="97"/>
    </row>
    <row r="1193" spans="1:7" ht="21" x14ac:dyDescent="0.25">
      <c r="A1193" s="43" t="str">
        <f>CONCATENATE("Pt Id:",'Level 1'!E1193," ","Pt Name: ",'Level 1'!F1193," ","DOS: ", TEXT('Level 1'!H1193,"mm-dd-yyyy"),"  "," Amnt: ","$",'Level 1'!J1193,"  ", 'Level 1'!N1193)</f>
        <v>Pt Id:0 Pt Name: 0 DOS: 01-00-1900   Amnt: $0  Note</v>
      </c>
      <c r="B1193" s="43" t="str">
        <f>CONCATENATE("Detail: ",'Level 1'!N1193,"  ",'Level 1'!O1193,TEXT('Level 1'!P1193,"  mm-dd-yyyy"),";"," ",'Level 1'!Q1193,'Level 1'!R1193,"  ",'Level 1'!T1193," ","Payment "," ",'Level 1'!U1193,"  ",'Level 1'!V1193,"  ",'Level 1'!W1193,"  ",'Level 1'!X1193,"  ",'Level 1'!Z1193, "  ",'Level 1'!AA1193, " ","Insurance: ",'Level 1'!A1193)</f>
        <v>Detail: Note  Q1  01-00-1900; Q2   Payment  Q4    Q5    Additional Notes:   Insurance: 0</v>
      </c>
      <c r="C1193" s="60" t="str">
        <f>'Level 1'!Y1193</f>
        <v>Action</v>
      </c>
      <c r="D1193" s="44" t="str">
        <f>VLOOKUP(C1193,Table2[#All],3,FALSE)</f>
        <v>What we need from you/Reason</v>
      </c>
      <c r="E1193" s="75" t="s">
        <v>199</v>
      </c>
      <c r="F1193" s="96"/>
      <c r="G1193" s="97"/>
    </row>
    <row r="1194" spans="1:7" ht="21" x14ac:dyDescent="0.25">
      <c r="A1194" s="43" t="str">
        <f>CONCATENATE("Pt Id:",'Level 1'!E1194," ","Pt Name: ",'Level 1'!F1194," ","DOS: ", TEXT('Level 1'!H1194,"mm-dd-yyyy"),"  "," Amnt: ","$",'Level 1'!J1194,"  ", 'Level 1'!N1194)</f>
        <v>Pt Id:0 Pt Name: 0 DOS: 01-00-1900   Amnt: $0  Note</v>
      </c>
      <c r="B1194" s="43" t="str">
        <f>CONCATENATE("Detail: ",'Level 1'!N1194,"  ",'Level 1'!O1194,TEXT('Level 1'!P1194,"  mm-dd-yyyy"),";"," ",'Level 1'!Q1194,'Level 1'!R1194,"  ",'Level 1'!T1194," ","Payment "," ",'Level 1'!U1194,"  ",'Level 1'!V1194,"  ",'Level 1'!W1194,"  ",'Level 1'!X1194,"  ",'Level 1'!Z1194, "  ",'Level 1'!AA1194, " ","Insurance: ",'Level 1'!A1194)</f>
        <v>Detail: Note  Q1  01-00-1900; Q2   Payment  Q4    Q5    Additional Notes:   Insurance: 0</v>
      </c>
      <c r="C1194" s="60" t="str">
        <f>'Level 1'!Y1194</f>
        <v>Action</v>
      </c>
      <c r="D1194" s="44" t="str">
        <f>VLOOKUP(C1194,Table2[#All],3,FALSE)</f>
        <v>What we need from you/Reason</v>
      </c>
      <c r="E1194" s="75" t="s">
        <v>199</v>
      </c>
      <c r="F1194" s="96"/>
      <c r="G1194" s="97"/>
    </row>
    <row r="1195" spans="1:7" ht="21" x14ac:dyDescent="0.25">
      <c r="A1195" s="43" t="str">
        <f>CONCATENATE("Pt Id:",'Level 1'!E1195," ","Pt Name: ",'Level 1'!F1195," ","DOS: ", TEXT('Level 1'!H1195,"mm-dd-yyyy"),"  "," Amnt: ","$",'Level 1'!J1195,"  ", 'Level 1'!N1195)</f>
        <v>Pt Id:0 Pt Name: 0 DOS: 01-00-1900   Amnt: $0  Note</v>
      </c>
      <c r="B1195" s="43" t="str">
        <f>CONCATENATE("Detail: ",'Level 1'!N1195,"  ",'Level 1'!O1195,TEXT('Level 1'!P1195,"  mm-dd-yyyy"),";"," ",'Level 1'!Q1195,'Level 1'!R1195,"  ",'Level 1'!T1195," ","Payment "," ",'Level 1'!U1195,"  ",'Level 1'!V1195,"  ",'Level 1'!W1195,"  ",'Level 1'!X1195,"  ",'Level 1'!Z1195, "  ",'Level 1'!AA1195, " ","Insurance: ",'Level 1'!A1195)</f>
        <v>Detail: Note  Q1  01-00-1900; Q2   Payment  Q4    Q5    Additional Notes:   Insurance: 0</v>
      </c>
      <c r="C1195" s="60" t="str">
        <f>'Level 1'!Y1195</f>
        <v>Action</v>
      </c>
      <c r="D1195" s="44" t="str">
        <f>VLOOKUP(C1195,Table2[#All],3,FALSE)</f>
        <v>What we need from you/Reason</v>
      </c>
      <c r="E1195" s="75" t="s">
        <v>199</v>
      </c>
      <c r="F1195" s="96"/>
      <c r="G1195" s="97"/>
    </row>
    <row r="1196" spans="1:7" ht="21" x14ac:dyDescent="0.25">
      <c r="A1196" s="43" t="str">
        <f>CONCATENATE("Pt Id:",'Level 1'!E1196," ","Pt Name: ",'Level 1'!F1196," ","DOS: ", TEXT('Level 1'!H1196,"mm-dd-yyyy"),"  "," Amnt: ","$",'Level 1'!J1196,"  ", 'Level 1'!N1196)</f>
        <v>Pt Id:0 Pt Name: 0 DOS: 01-00-1900   Amnt: $0  Note</v>
      </c>
      <c r="B1196" s="43" t="str">
        <f>CONCATENATE("Detail: ",'Level 1'!N1196,"  ",'Level 1'!O1196,TEXT('Level 1'!P1196,"  mm-dd-yyyy"),";"," ",'Level 1'!Q1196,'Level 1'!R1196,"  ",'Level 1'!T1196," ","Payment "," ",'Level 1'!U1196,"  ",'Level 1'!V1196,"  ",'Level 1'!W1196,"  ",'Level 1'!X1196,"  ",'Level 1'!Z1196, "  ",'Level 1'!AA1196, " ","Insurance: ",'Level 1'!A1196)</f>
        <v>Detail: Note  Q1  01-00-1900; Q2   Payment  Q4    Q5    Additional Notes:   Insurance: 0</v>
      </c>
      <c r="C1196" s="60" t="str">
        <f>'Level 1'!Y1196</f>
        <v>Action</v>
      </c>
      <c r="D1196" s="44" t="str">
        <f>VLOOKUP(C1196,Table2[#All],3,FALSE)</f>
        <v>What we need from you/Reason</v>
      </c>
      <c r="E1196" s="75" t="s">
        <v>199</v>
      </c>
      <c r="F1196" s="96"/>
      <c r="G1196" s="97"/>
    </row>
    <row r="1197" spans="1:7" ht="21" x14ac:dyDescent="0.25">
      <c r="A1197" s="43" t="str">
        <f>CONCATENATE("Pt Id:",'Level 1'!E1197," ","Pt Name: ",'Level 1'!F1197," ","DOS: ", TEXT('Level 1'!H1197,"mm-dd-yyyy"),"  "," Amnt: ","$",'Level 1'!J1197,"  ", 'Level 1'!N1197)</f>
        <v>Pt Id:0 Pt Name: 0 DOS: 01-00-1900   Amnt: $0  Note</v>
      </c>
      <c r="B1197" s="43" t="str">
        <f>CONCATENATE("Detail: ",'Level 1'!N1197,"  ",'Level 1'!O1197,TEXT('Level 1'!P1197,"  mm-dd-yyyy"),";"," ",'Level 1'!Q1197,'Level 1'!R1197,"  ",'Level 1'!T1197," ","Payment "," ",'Level 1'!U1197,"  ",'Level 1'!V1197,"  ",'Level 1'!W1197,"  ",'Level 1'!X1197,"  ",'Level 1'!Z1197, "  ",'Level 1'!AA1197, " ","Insurance: ",'Level 1'!A1197)</f>
        <v>Detail: Note  Q1  01-00-1900; Q2   Payment  Q4    Q5    Additional Notes:   Insurance: 0</v>
      </c>
      <c r="C1197" s="60" t="str">
        <f>'Level 1'!Y1197</f>
        <v>Action</v>
      </c>
      <c r="D1197" s="44" t="str">
        <f>VLOOKUP(C1197,Table2[#All],3,FALSE)</f>
        <v>What we need from you/Reason</v>
      </c>
      <c r="E1197" s="75" t="s">
        <v>199</v>
      </c>
      <c r="F1197" s="96"/>
      <c r="G1197" s="97"/>
    </row>
    <row r="1198" spans="1:7" ht="21" x14ac:dyDescent="0.25">
      <c r="A1198" s="43" t="str">
        <f>CONCATENATE("Pt Id:",'Level 1'!E1198," ","Pt Name: ",'Level 1'!F1198," ","DOS: ", TEXT('Level 1'!H1198,"mm-dd-yyyy"),"  "," Amnt: ","$",'Level 1'!J1198,"  ", 'Level 1'!N1198)</f>
        <v>Pt Id:0 Pt Name: 0 DOS: 01-00-1900   Amnt: $0  Note</v>
      </c>
      <c r="B1198" s="43" t="str">
        <f>CONCATENATE("Detail: ",'Level 1'!N1198,"  ",'Level 1'!O1198,TEXT('Level 1'!P1198,"  mm-dd-yyyy"),";"," ",'Level 1'!Q1198,'Level 1'!R1198,"  ",'Level 1'!T1198," ","Payment "," ",'Level 1'!U1198,"  ",'Level 1'!V1198,"  ",'Level 1'!W1198,"  ",'Level 1'!X1198,"  ",'Level 1'!Z1198, "  ",'Level 1'!AA1198, " ","Insurance: ",'Level 1'!A1198)</f>
        <v>Detail: Note  Q1  01-00-1900; Q2   Payment  Q4    Q5    Additional Notes:   Insurance: 0</v>
      </c>
      <c r="C1198" s="60" t="str">
        <f>'Level 1'!Y1198</f>
        <v>Action</v>
      </c>
      <c r="D1198" s="44" t="str">
        <f>VLOOKUP(C1198,Table2[#All],3,FALSE)</f>
        <v>What we need from you/Reason</v>
      </c>
      <c r="E1198" s="75" t="s">
        <v>199</v>
      </c>
      <c r="F1198" s="96"/>
      <c r="G1198" s="97"/>
    </row>
    <row r="1199" spans="1:7" ht="21" x14ac:dyDescent="0.25">
      <c r="A1199" s="43" t="str">
        <f>CONCATENATE("Pt Id:",'Level 1'!E1199," ","Pt Name: ",'Level 1'!F1199," ","DOS: ", TEXT('Level 1'!H1199,"mm-dd-yyyy"),"  "," Amnt: ","$",'Level 1'!J1199,"  ", 'Level 1'!N1199)</f>
        <v>Pt Id:0 Pt Name: 0 DOS: 01-00-1900   Amnt: $0  Note</v>
      </c>
      <c r="B1199" s="43" t="str">
        <f>CONCATENATE("Detail: ",'Level 1'!N1199,"  ",'Level 1'!O1199,TEXT('Level 1'!P1199,"  mm-dd-yyyy"),";"," ",'Level 1'!Q1199,'Level 1'!R1199,"  ",'Level 1'!T1199," ","Payment "," ",'Level 1'!U1199,"  ",'Level 1'!V1199,"  ",'Level 1'!W1199,"  ",'Level 1'!X1199,"  ",'Level 1'!Z1199, "  ",'Level 1'!AA1199, " ","Insurance: ",'Level 1'!A1199)</f>
        <v>Detail: Note  Q1  01-00-1900; Q2   Payment  Q4    Q5    Additional Notes:   Insurance: 0</v>
      </c>
      <c r="C1199" s="60" t="str">
        <f>'Level 1'!Y1199</f>
        <v>Action</v>
      </c>
      <c r="D1199" s="44" t="str">
        <f>VLOOKUP(C1199,Table2[#All],3,FALSE)</f>
        <v>What we need from you/Reason</v>
      </c>
      <c r="E1199" s="75" t="s">
        <v>199</v>
      </c>
      <c r="F1199" s="96"/>
      <c r="G1199" s="97"/>
    </row>
    <row r="1200" spans="1:7" ht="21" x14ac:dyDescent="0.25">
      <c r="A1200" s="43" t="str">
        <f>CONCATENATE("Pt Id:",'Level 1'!E1200," ","Pt Name: ",'Level 1'!F1200," ","DOS: ", TEXT('Level 1'!H1200,"mm-dd-yyyy"),"  "," Amnt: ","$",'Level 1'!J1200,"  ", 'Level 1'!N1200)</f>
        <v>Pt Id:0 Pt Name: 0 DOS: 01-00-1900   Amnt: $0  Note</v>
      </c>
      <c r="B1200" s="43" t="str">
        <f>CONCATENATE("Detail: ",'Level 1'!N1200,"  ",'Level 1'!O1200,TEXT('Level 1'!P1200,"  mm-dd-yyyy"),";"," ",'Level 1'!Q1200,'Level 1'!R1200,"  ",'Level 1'!T1200," ","Payment "," ",'Level 1'!U1200,"  ",'Level 1'!V1200,"  ",'Level 1'!W1200,"  ",'Level 1'!X1200,"  ",'Level 1'!Z1200, "  ",'Level 1'!AA1200, " ","Insurance: ",'Level 1'!A1200)</f>
        <v>Detail: Note  Q1  01-00-1900; Q2   Payment  Q4    Q5    Additional Notes:   Insurance: 0</v>
      </c>
      <c r="C1200" s="60" t="str">
        <f>'Level 1'!Y1200</f>
        <v>Action</v>
      </c>
      <c r="D1200" s="44" t="str">
        <f>VLOOKUP(C1200,Table2[#All],3,FALSE)</f>
        <v>What we need from you/Reason</v>
      </c>
      <c r="E1200" s="75" t="s">
        <v>199</v>
      </c>
      <c r="F1200" s="96"/>
      <c r="G1200" s="97"/>
    </row>
  </sheetData>
  <sheetProtection algorithmName="SHA-512" hashValue="ElbK4RJjsE7igT3bnBey0yxCEWT1DhxDAjqiRC1NcC2830P4QB8y9dhUWjrbj9HFjgqCvQ9pKZjr4zQjtCyaDw==" saltValue="P3xbNGzEWuGRnBoRqEegGw==" spinCount="100000" sheet="1" objects="1" scenarios="1" sort="0" autoFilter="0"/>
  <protectedRanges>
    <protectedRange sqref="A4:G4" name="Range1"/>
  </protectedRanges>
  <autoFilter ref="A4:F1200" xr:uid="{00000000-0009-0000-0000-000002000000}"/>
  <conditionalFormatting sqref="A6:D6">
    <cfRule type="expression" dxfId="20" priority="2">
      <formula>$E$6:$E$191="YES"</formula>
    </cfRule>
  </conditionalFormatting>
  <conditionalFormatting sqref="A5:D296 A6:A1200">
    <cfRule type="expression" dxfId="19" priority="1">
      <formula>$E5:$E191="Further Follow-Up"</formula>
    </cfRule>
    <cfRule type="expression" dxfId="18" priority="3">
      <formula>$E5:$E191="YES"</formula>
    </cfRule>
  </conditionalFormatting>
  <conditionalFormatting sqref="A301:D1200">
    <cfRule type="expression" dxfId="17" priority="29">
      <formula>$E301:$E483="Further Follow-Up"</formula>
    </cfRule>
    <cfRule type="expression" dxfId="16" priority="30">
      <formula>$E301:$E483="YES"</formula>
    </cfRule>
  </conditionalFormatting>
  <conditionalFormatting sqref="A297:D300">
    <cfRule type="expression" dxfId="15" priority="31">
      <formula>$E297:$E482="Further Follow-Up"</formula>
    </cfRule>
    <cfRule type="expression" dxfId="14" priority="32">
      <formula>$E297:$E482="YES"</formula>
    </cfRule>
  </conditionalFormatting>
  <pageMargins left="0.7" right="0.7" top="0.75" bottom="0.75" header="0.3" footer="0.3"/>
  <pageSetup scale="13" orientation="landscape" r:id="rId1"/>
  <extLst>
    <ext xmlns:x14="http://schemas.microsoft.com/office/spreadsheetml/2009/9/main" uri="{78C0D931-6437-407d-A8EE-F0AAD7539E65}">
      <x14:conditionalFormattings>
        <x14:conditionalFormatting xmlns:xm="http://schemas.microsoft.com/office/excel/2006/main">
          <x14:cfRule type="expression" priority="5" id="{044757D2-DBBC-4EE2-9027-B7ADE2CFE37D}">
            <xm:f>'Level 1'!$AG5:$AG191="Follow-Up Complete"</xm:f>
            <x14:dxf>
              <fill>
                <patternFill>
                  <bgColor rgb="FFFFE697"/>
                </patternFill>
              </fill>
            </x14:dxf>
          </x14:cfRule>
          <x14:cfRule type="expression" priority="6" id="{4FC7C1C1-4EB9-4452-B2E6-2EFEF0B5FA49}">
            <xm:f>'Level 1'!$AG5:$AG191="Further Follow-Up"</xm:f>
            <x14:dxf>
              <fill>
                <patternFill>
                  <bgColor rgb="FFF39D3F"/>
                </patternFill>
              </fill>
            </x14:dxf>
          </x14:cfRule>
          <x14:cfRule type="expression" priority="7" id="{817D3162-1CB5-46DB-A8DD-45FF3E074DD0}">
            <xm:f>'Level 1'!$AG5:$AG191="EOB Requested"</xm:f>
            <x14:dxf>
              <fill>
                <patternFill>
                  <bgColor rgb="FF97E4FF"/>
                </patternFill>
              </fill>
            </x14:dxf>
          </x14:cfRule>
          <x14:cfRule type="expression" priority="8" id="{1B9E4688-A296-4E8F-AF19-18B4EC4CEFA3}">
            <xm:f>'Level 1'!$AG5:$AG191="EOB Not Found"</xm:f>
            <x14:dxf>
              <fill>
                <patternFill>
                  <bgColor rgb="FFFF9999"/>
                </patternFill>
              </fill>
            </x14:dxf>
          </x14:cfRule>
          <x14:cfRule type="expression" priority="9" id="{6028B5D8-13FD-4807-86F8-C94EDB63EA4A}">
            <xm:f>'Level 1'!$AG5:$AG191="EOB Downloaded"</xm:f>
            <x14:dxf>
              <fill>
                <patternFill>
                  <bgColor rgb="FFD5B8EA"/>
                </patternFill>
              </fill>
            </x14:dxf>
          </x14:cfRule>
          <xm:sqref>A5:D1200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'Creating Tasks'!$E$2:$E$10</xm:f>
          </x14:formula1>
          <xm:sqref>E5:E1200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M1051"/>
  <sheetViews>
    <sheetView workbookViewId="0">
      <pane ySplit="1" topLeftCell="A2" activePane="bottomLeft" state="frozen"/>
      <selection pane="bottomLeft" activeCell="A30" sqref="A30"/>
    </sheetView>
  </sheetViews>
  <sheetFormatPr defaultRowHeight="15" x14ac:dyDescent="0.25"/>
  <cols>
    <col min="1" max="1" width="56.5703125" style="68" bestFit="1" customWidth="1"/>
    <col min="2" max="2" width="12.140625" style="68" customWidth="1"/>
    <col min="3" max="3" width="13.28515625" style="68" bestFit="1" customWidth="1"/>
    <col min="4" max="4" width="13.85546875" style="68" bestFit="1" customWidth="1"/>
    <col min="5" max="5" width="20.85546875" style="68" bestFit="1" customWidth="1"/>
    <col min="6" max="6" width="12.140625" style="68" bestFit="1" customWidth="1"/>
    <col min="7" max="7" width="14.28515625" style="68" bestFit="1" customWidth="1"/>
    <col min="8" max="8" width="10.7109375" style="68" bestFit="1" customWidth="1"/>
    <col min="9" max="9" width="13.85546875" style="68" bestFit="1" customWidth="1"/>
    <col min="10" max="10" width="8.85546875" style="68"/>
    <col min="11" max="11" width="26.5703125" style="68" bestFit="1" customWidth="1"/>
    <col min="12" max="12" width="12.85546875" customWidth="1"/>
  </cols>
  <sheetData>
    <row r="1" spans="1:13" x14ac:dyDescent="0.25">
      <c r="A1" s="81" t="s">
        <v>207</v>
      </c>
      <c r="B1" s="81" t="s">
        <v>208</v>
      </c>
      <c r="C1" s="81" t="s">
        <v>153</v>
      </c>
      <c r="D1" s="81" t="s">
        <v>154</v>
      </c>
      <c r="E1" s="81" t="s">
        <v>155</v>
      </c>
      <c r="F1" s="81" t="s">
        <v>156</v>
      </c>
      <c r="G1" s="81" t="s">
        <v>157</v>
      </c>
      <c r="H1" s="81" t="s">
        <v>158</v>
      </c>
      <c r="I1" s="81" t="s">
        <v>161</v>
      </c>
      <c r="J1" s="81" t="s">
        <v>159</v>
      </c>
      <c r="K1" s="81" t="s">
        <v>160</v>
      </c>
      <c r="L1" s="81" t="s">
        <v>151</v>
      </c>
      <c r="M1" s="81" t="s">
        <v>209</v>
      </c>
    </row>
    <row r="2" spans="1:13" x14ac:dyDescent="0.25">
      <c r="A2"/>
      <c r="B2"/>
      <c r="C2"/>
      <c r="D2"/>
      <c r="E2"/>
      <c r="F2"/>
      <c r="G2"/>
      <c r="H2"/>
      <c r="I2"/>
      <c r="J2"/>
      <c r="K2"/>
    </row>
    <row r="3" spans="1:13" x14ac:dyDescent="0.25">
      <c r="A3" s="63" t="s">
        <v>145</v>
      </c>
      <c r="B3" s="63"/>
      <c r="C3"/>
      <c r="D3"/>
      <c r="E3"/>
      <c r="F3"/>
      <c r="G3"/>
      <c r="H3"/>
      <c r="I3"/>
      <c r="J3"/>
      <c r="K3"/>
    </row>
    <row r="4" spans="1:13" x14ac:dyDescent="0.25">
      <c r="A4" s="68" t="s">
        <v>210</v>
      </c>
      <c r="B4" s="68" t="s">
        <v>1036</v>
      </c>
      <c r="C4" s="80" t="s">
        <v>1863</v>
      </c>
      <c r="D4" s="68" t="s">
        <v>210</v>
      </c>
      <c r="E4"/>
      <c r="F4" s="68" t="s">
        <v>2654</v>
      </c>
      <c r="G4" s="80"/>
      <c r="H4" s="122">
        <v>44635</v>
      </c>
      <c r="I4" s="68" t="s">
        <v>3437</v>
      </c>
      <c r="J4" s="68">
        <v>292.39999999999998</v>
      </c>
      <c r="K4" s="68" t="s">
        <v>3640</v>
      </c>
      <c r="L4" s="68" t="s">
        <v>3641</v>
      </c>
    </row>
    <row r="5" spans="1:13" x14ac:dyDescent="0.25">
      <c r="A5" s="68" t="s">
        <v>211</v>
      </c>
      <c r="B5" s="68" t="s">
        <v>1037</v>
      </c>
      <c r="C5" s="80" t="s">
        <v>1864</v>
      </c>
      <c r="D5" s="68" t="s">
        <v>211</v>
      </c>
      <c r="E5"/>
      <c r="F5" s="68" t="s">
        <v>2655</v>
      </c>
      <c r="G5" s="80"/>
      <c r="H5" s="122">
        <v>44470</v>
      </c>
      <c r="I5" s="68" t="s">
        <v>3438</v>
      </c>
      <c r="J5" s="68">
        <v>1036.8</v>
      </c>
      <c r="K5" s="68" t="s">
        <v>3642</v>
      </c>
      <c r="L5" s="68" t="s">
        <v>3643</v>
      </c>
    </row>
    <row r="6" spans="1:13" x14ac:dyDescent="0.25">
      <c r="A6" s="68" t="s">
        <v>212</v>
      </c>
      <c r="B6" s="68" t="s">
        <v>1038</v>
      </c>
      <c r="C6" s="80" t="s">
        <v>1865</v>
      </c>
      <c r="D6" s="68" t="s">
        <v>212</v>
      </c>
      <c r="E6"/>
      <c r="F6" s="68" t="s">
        <v>2656</v>
      </c>
      <c r="G6" s="80"/>
      <c r="H6" s="122">
        <v>44642</v>
      </c>
      <c r="I6" s="68" t="s">
        <v>3439</v>
      </c>
      <c r="J6" s="68">
        <v>294.8</v>
      </c>
      <c r="K6" s="68" t="s">
        <v>3644</v>
      </c>
      <c r="L6" s="68" t="s">
        <v>3645</v>
      </c>
    </row>
    <row r="7" spans="1:13" x14ac:dyDescent="0.25">
      <c r="A7" s="68" t="s">
        <v>213</v>
      </c>
      <c r="B7" s="68" t="s">
        <v>1039</v>
      </c>
      <c r="C7" s="80" t="s">
        <v>1866</v>
      </c>
      <c r="D7" s="68" t="s">
        <v>213</v>
      </c>
      <c r="E7"/>
      <c r="F7" s="68" t="s">
        <v>2657</v>
      </c>
      <c r="G7" s="80"/>
      <c r="H7" s="122">
        <v>44545</v>
      </c>
      <c r="I7" s="68" t="s">
        <v>3440</v>
      </c>
      <c r="J7" s="68">
        <v>266</v>
      </c>
      <c r="K7" s="68" t="s">
        <v>3644</v>
      </c>
      <c r="L7" s="68" t="s">
        <v>3645</v>
      </c>
    </row>
    <row r="8" spans="1:13" x14ac:dyDescent="0.25">
      <c r="A8" s="68" t="s">
        <v>214</v>
      </c>
      <c r="B8" s="68" t="s">
        <v>1040</v>
      </c>
      <c r="C8" s="80" t="s">
        <v>1866</v>
      </c>
      <c r="D8" s="68" t="s">
        <v>214</v>
      </c>
      <c r="E8"/>
      <c r="F8" s="68" t="s">
        <v>2657</v>
      </c>
      <c r="G8" s="80"/>
      <c r="H8" s="122">
        <v>44545</v>
      </c>
      <c r="I8" s="68" t="s">
        <v>3441</v>
      </c>
      <c r="J8" s="68">
        <v>307.2</v>
      </c>
      <c r="K8" s="68" t="s">
        <v>3644</v>
      </c>
      <c r="L8" s="68" t="s">
        <v>3645</v>
      </c>
    </row>
    <row r="9" spans="1:13" x14ac:dyDescent="0.25">
      <c r="A9" s="68" t="s">
        <v>215</v>
      </c>
      <c r="B9" s="68" t="s">
        <v>1041</v>
      </c>
      <c r="C9" s="80" t="s">
        <v>1867</v>
      </c>
      <c r="D9" s="68" t="s">
        <v>215</v>
      </c>
      <c r="E9"/>
      <c r="F9" s="68" t="s">
        <v>2658</v>
      </c>
      <c r="G9" s="80"/>
      <c r="H9" s="122">
        <v>44644</v>
      </c>
      <c r="I9" s="68" t="s">
        <v>3439</v>
      </c>
      <c r="J9" s="68">
        <v>302.39999999999998</v>
      </c>
      <c r="K9" s="68" t="s">
        <v>3646</v>
      </c>
      <c r="L9" s="68" t="s">
        <v>3647</v>
      </c>
    </row>
    <row r="10" spans="1:13" x14ac:dyDescent="0.25">
      <c r="A10" s="68" t="s">
        <v>216</v>
      </c>
      <c r="B10" s="68" t="s">
        <v>1042</v>
      </c>
      <c r="C10" s="80" t="s">
        <v>1867</v>
      </c>
      <c r="D10" s="68" t="s">
        <v>216</v>
      </c>
      <c r="E10"/>
      <c r="F10" s="68" t="s">
        <v>2658</v>
      </c>
      <c r="G10" s="80"/>
      <c r="H10" s="122">
        <v>44643</v>
      </c>
      <c r="I10" s="68" t="s">
        <v>3437</v>
      </c>
      <c r="J10" s="68">
        <v>102</v>
      </c>
      <c r="K10" s="68" t="s">
        <v>3646</v>
      </c>
      <c r="L10" s="68" t="s">
        <v>3647</v>
      </c>
    </row>
    <row r="11" spans="1:13" x14ac:dyDescent="0.25">
      <c r="A11" s="68" t="s">
        <v>217</v>
      </c>
      <c r="B11" s="68" t="s">
        <v>1043</v>
      </c>
      <c r="C11" s="80" t="s">
        <v>1868</v>
      </c>
      <c r="D11" s="68" t="s">
        <v>217</v>
      </c>
      <c r="E11"/>
      <c r="F11" s="68" t="s">
        <v>2659</v>
      </c>
      <c r="G11" s="80"/>
      <c r="H11" s="122">
        <v>44639</v>
      </c>
      <c r="I11" s="68" t="s">
        <v>3442</v>
      </c>
      <c r="J11" s="68">
        <v>123.6</v>
      </c>
      <c r="K11" s="68" t="s">
        <v>3646</v>
      </c>
      <c r="L11" s="68" t="s">
        <v>3647</v>
      </c>
    </row>
    <row r="12" spans="1:13" x14ac:dyDescent="0.25">
      <c r="A12" s="68" t="s">
        <v>218</v>
      </c>
      <c r="B12" s="68" t="s">
        <v>1044</v>
      </c>
      <c r="C12" s="80" t="s">
        <v>1868</v>
      </c>
      <c r="D12" s="68" t="s">
        <v>218</v>
      </c>
      <c r="E12"/>
      <c r="F12" s="68" t="s">
        <v>2659</v>
      </c>
      <c r="G12" s="80"/>
      <c r="H12" s="122">
        <v>44639</v>
      </c>
      <c r="I12" s="68" t="s">
        <v>3442</v>
      </c>
      <c r="J12" s="68">
        <v>58.8</v>
      </c>
      <c r="K12" s="68" t="s">
        <v>3646</v>
      </c>
      <c r="L12" s="68" t="s">
        <v>3647</v>
      </c>
    </row>
    <row r="13" spans="1:13" x14ac:dyDescent="0.25">
      <c r="A13" s="68" t="s">
        <v>218</v>
      </c>
      <c r="B13" s="68" t="s">
        <v>1044</v>
      </c>
      <c r="C13" s="80" t="s">
        <v>1868</v>
      </c>
      <c r="D13" s="68" t="s">
        <v>218</v>
      </c>
      <c r="E13"/>
      <c r="F13" s="68" t="s">
        <v>2659</v>
      </c>
      <c r="G13" s="80"/>
      <c r="H13" s="122">
        <v>44639</v>
      </c>
      <c r="I13" s="68" t="s">
        <v>3442</v>
      </c>
      <c r="J13" s="68">
        <v>79.2</v>
      </c>
      <c r="K13" s="68" t="s">
        <v>3646</v>
      </c>
      <c r="L13" s="68" t="s">
        <v>3647</v>
      </c>
    </row>
    <row r="14" spans="1:13" x14ac:dyDescent="0.25">
      <c r="A14" s="68" t="s">
        <v>219</v>
      </c>
      <c r="B14" s="68" t="s">
        <v>1045</v>
      </c>
      <c r="C14" s="80" t="s">
        <v>1869</v>
      </c>
      <c r="D14" s="68" t="s">
        <v>219</v>
      </c>
      <c r="E14"/>
      <c r="F14" s="68" t="s">
        <v>2660</v>
      </c>
      <c r="G14" s="80"/>
      <c r="H14" s="122">
        <v>44573</v>
      </c>
      <c r="I14" s="68" t="s">
        <v>3443</v>
      </c>
      <c r="J14" s="68">
        <v>266</v>
      </c>
      <c r="K14" s="68" t="s">
        <v>3646</v>
      </c>
      <c r="L14" s="68" t="s">
        <v>3647</v>
      </c>
    </row>
    <row r="15" spans="1:13" x14ac:dyDescent="0.25">
      <c r="A15" s="68" t="s">
        <v>220</v>
      </c>
      <c r="B15" s="68" t="s">
        <v>1046</v>
      </c>
      <c r="C15" s="80" t="s">
        <v>1868</v>
      </c>
      <c r="D15" s="68" t="s">
        <v>220</v>
      </c>
      <c r="E15"/>
      <c r="F15" s="68" t="s">
        <v>2659</v>
      </c>
      <c r="G15" s="80"/>
      <c r="H15" s="122">
        <v>44478</v>
      </c>
      <c r="I15" s="68" t="s">
        <v>3444</v>
      </c>
      <c r="J15" s="68">
        <v>230</v>
      </c>
      <c r="K15" s="68" t="s">
        <v>3646</v>
      </c>
      <c r="L15" s="68" t="s">
        <v>3647</v>
      </c>
    </row>
    <row r="16" spans="1:13" x14ac:dyDescent="0.25">
      <c r="A16" s="68" t="s">
        <v>217</v>
      </c>
      <c r="B16" s="68" t="s">
        <v>1043</v>
      </c>
      <c r="C16" s="80" t="s">
        <v>1868</v>
      </c>
      <c r="D16" s="68" t="s">
        <v>217</v>
      </c>
      <c r="E16"/>
      <c r="F16" s="68" t="s">
        <v>2659</v>
      </c>
      <c r="G16" s="80"/>
      <c r="H16" s="122">
        <v>44478</v>
      </c>
      <c r="I16" s="68" t="s">
        <v>3444</v>
      </c>
      <c r="J16" s="68">
        <v>216</v>
      </c>
      <c r="K16" s="68" t="s">
        <v>3646</v>
      </c>
      <c r="L16" s="68" t="s">
        <v>3647</v>
      </c>
    </row>
    <row r="17" spans="1:12" x14ac:dyDescent="0.25">
      <c r="A17" s="68" t="s">
        <v>221</v>
      </c>
      <c r="B17" s="68" t="s">
        <v>1047</v>
      </c>
      <c r="C17" s="80" t="s">
        <v>1870</v>
      </c>
      <c r="D17" s="68" t="s">
        <v>221</v>
      </c>
      <c r="E17"/>
      <c r="F17" s="68" t="s">
        <v>2661</v>
      </c>
      <c r="G17" s="80"/>
      <c r="H17" s="122">
        <v>44474</v>
      </c>
      <c r="I17" s="68" t="s">
        <v>3438</v>
      </c>
      <c r="J17" s="68">
        <v>88.8</v>
      </c>
      <c r="K17" s="68" t="s">
        <v>3646</v>
      </c>
      <c r="L17" s="68" t="s">
        <v>3647</v>
      </c>
    </row>
    <row r="18" spans="1:12" x14ac:dyDescent="0.25">
      <c r="A18" s="68" t="s">
        <v>222</v>
      </c>
      <c r="B18" s="68" t="s">
        <v>1048</v>
      </c>
      <c r="C18" s="80" t="s">
        <v>1871</v>
      </c>
      <c r="D18" s="68" t="s">
        <v>222</v>
      </c>
      <c r="E18"/>
      <c r="F18" s="68" t="s">
        <v>2662</v>
      </c>
      <c r="G18" s="80"/>
      <c r="H18" s="122">
        <v>44322</v>
      </c>
      <c r="I18" s="68" t="s">
        <v>3445</v>
      </c>
      <c r="J18" s="68">
        <v>890</v>
      </c>
      <c r="K18" s="68" t="s">
        <v>3646</v>
      </c>
      <c r="L18" s="68" t="s">
        <v>3647</v>
      </c>
    </row>
    <row r="19" spans="1:12" x14ac:dyDescent="0.25">
      <c r="A19" s="68" t="s">
        <v>223</v>
      </c>
      <c r="B19" s="68" t="s">
        <v>1049</v>
      </c>
      <c r="C19" s="80" t="s">
        <v>1872</v>
      </c>
      <c r="D19" s="68" t="s">
        <v>223</v>
      </c>
      <c r="E19"/>
      <c r="F19" s="68" t="s">
        <v>2663</v>
      </c>
      <c r="G19" s="80"/>
      <c r="H19" s="122">
        <v>44343</v>
      </c>
      <c r="I19" s="68" t="s">
        <v>3446</v>
      </c>
      <c r="J19" s="68">
        <v>256.39999999999998</v>
      </c>
      <c r="K19" s="68" t="s">
        <v>3648</v>
      </c>
      <c r="L19" s="68" t="s">
        <v>3649</v>
      </c>
    </row>
    <row r="20" spans="1:12" x14ac:dyDescent="0.25">
      <c r="A20" s="68" t="s">
        <v>224</v>
      </c>
      <c r="B20" s="68" t="s">
        <v>1050</v>
      </c>
      <c r="C20" s="80" t="s">
        <v>1873</v>
      </c>
      <c r="D20" s="68" t="s">
        <v>224</v>
      </c>
      <c r="E20"/>
      <c r="F20" s="68" t="s">
        <v>2664</v>
      </c>
      <c r="G20" s="80"/>
      <c r="H20" s="122">
        <v>44643</v>
      </c>
      <c r="I20" s="68" t="s">
        <v>3437</v>
      </c>
      <c r="J20" s="68">
        <v>496</v>
      </c>
      <c r="K20" s="68" t="s">
        <v>3650</v>
      </c>
      <c r="L20" s="68" t="s">
        <v>3647</v>
      </c>
    </row>
    <row r="21" spans="1:12" x14ac:dyDescent="0.25">
      <c r="A21" s="68" t="s">
        <v>225</v>
      </c>
      <c r="B21" s="68" t="s">
        <v>1051</v>
      </c>
      <c r="C21" s="80" t="s">
        <v>1873</v>
      </c>
      <c r="D21" s="68" t="s">
        <v>225</v>
      </c>
      <c r="E21"/>
      <c r="F21" s="68" t="s">
        <v>2664</v>
      </c>
      <c r="G21" s="80"/>
      <c r="H21" s="122">
        <v>44643</v>
      </c>
      <c r="I21" s="68" t="s">
        <v>3437</v>
      </c>
      <c r="J21" s="68">
        <v>396</v>
      </c>
      <c r="K21" s="68" t="s">
        <v>3650</v>
      </c>
      <c r="L21" s="68" t="s">
        <v>3647</v>
      </c>
    </row>
    <row r="22" spans="1:12" x14ac:dyDescent="0.25">
      <c r="A22" s="68" t="s">
        <v>226</v>
      </c>
      <c r="B22" s="68" t="s">
        <v>1052</v>
      </c>
      <c r="C22" s="80" t="s">
        <v>1874</v>
      </c>
      <c r="D22" s="68" t="s">
        <v>226</v>
      </c>
      <c r="E22"/>
      <c r="F22" s="68" t="s">
        <v>2665</v>
      </c>
      <c r="G22" s="80"/>
      <c r="H22" s="122">
        <v>44636</v>
      </c>
      <c r="I22" s="68" t="s">
        <v>3447</v>
      </c>
      <c r="J22" s="68">
        <v>940</v>
      </c>
      <c r="K22" s="68" t="s">
        <v>3650</v>
      </c>
      <c r="L22" s="68" t="s">
        <v>3647</v>
      </c>
    </row>
    <row r="23" spans="1:12" x14ac:dyDescent="0.25">
      <c r="A23" s="68" t="s">
        <v>227</v>
      </c>
      <c r="B23" s="68" t="s">
        <v>1053</v>
      </c>
      <c r="C23" s="80" t="s">
        <v>1875</v>
      </c>
      <c r="D23" s="68" t="s">
        <v>227</v>
      </c>
      <c r="E23"/>
      <c r="F23" s="68" t="s">
        <v>2666</v>
      </c>
      <c r="G23" s="80"/>
      <c r="H23" s="122">
        <v>44630</v>
      </c>
      <c r="I23" s="68" t="s">
        <v>3448</v>
      </c>
      <c r="J23" s="68">
        <v>1062</v>
      </c>
      <c r="K23" s="68" t="s">
        <v>3650</v>
      </c>
      <c r="L23" s="68" t="s">
        <v>3647</v>
      </c>
    </row>
    <row r="24" spans="1:12" x14ac:dyDescent="0.25">
      <c r="A24" s="68" t="s">
        <v>228</v>
      </c>
      <c r="B24" s="68" t="s">
        <v>1054</v>
      </c>
      <c r="C24" s="80" t="s">
        <v>1876</v>
      </c>
      <c r="D24" s="68" t="s">
        <v>228</v>
      </c>
      <c r="E24"/>
      <c r="F24" s="68" t="s">
        <v>2667</v>
      </c>
      <c r="G24" s="80"/>
      <c r="H24" s="122">
        <v>44630</v>
      </c>
      <c r="I24" s="68" t="s">
        <v>3448</v>
      </c>
      <c r="J24" s="68">
        <v>256.39999999999998</v>
      </c>
      <c r="K24" s="68" t="s">
        <v>3650</v>
      </c>
      <c r="L24" s="68" t="s">
        <v>3647</v>
      </c>
    </row>
    <row r="25" spans="1:12" x14ac:dyDescent="0.25">
      <c r="A25" s="68" t="s">
        <v>229</v>
      </c>
      <c r="B25" s="68" t="s">
        <v>1055</v>
      </c>
      <c r="C25" s="80" t="s">
        <v>1877</v>
      </c>
      <c r="D25" s="68" t="s">
        <v>229</v>
      </c>
      <c r="E25"/>
      <c r="F25" s="68" t="s">
        <v>2668</v>
      </c>
      <c r="G25" s="80"/>
      <c r="H25" s="122">
        <v>44384</v>
      </c>
      <c r="I25" s="68" t="s">
        <v>3449</v>
      </c>
      <c r="J25" s="68">
        <v>820.8</v>
      </c>
      <c r="K25" s="68" t="s">
        <v>3650</v>
      </c>
      <c r="L25" s="68" t="s">
        <v>3647</v>
      </c>
    </row>
    <row r="26" spans="1:12" x14ac:dyDescent="0.25">
      <c r="A26" s="68" t="s">
        <v>230</v>
      </c>
      <c r="B26" s="68" t="s">
        <v>1056</v>
      </c>
      <c r="C26" s="80" t="s">
        <v>1878</v>
      </c>
      <c r="D26" s="68" t="s">
        <v>230</v>
      </c>
      <c r="E26"/>
      <c r="F26" s="68" t="s">
        <v>2669</v>
      </c>
      <c r="G26" s="80"/>
      <c r="H26" s="122">
        <v>44624</v>
      </c>
      <c r="I26" s="68" t="s">
        <v>3449</v>
      </c>
      <c r="J26" s="68">
        <v>1315.2</v>
      </c>
      <c r="K26" s="68" t="s">
        <v>3650</v>
      </c>
      <c r="L26" s="68" t="s">
        <v>3647</v>
      </c>
    </row>
    <row r="27" spans="1:12" x14ac:dyDescent="0.25">
      <c r="A27" s="68" t="s">
        <v>230</v>
      </c>
      <c r="B27" s="68" t="s">
        <v>1056</v>
      </c>
      <c r="C27" s="80" t="s">
        <v>1878</v>
      </c>
      <c r="D27" s="68" t="s">
        <v>230</v>
      </c>
      <c r="E27"/>
      <c r="F27" s="68" t="s">
        <v>2669</v>
      </c>
      <c r="G27" s="80"/>
      <c r="H27" s="122">
        <v>44601</v>
      </c>
      <c r="I27" s="68" t="s">
        <v>3440</v>
      </c>
      <c r="J27" s="68">
        <v>253.2</v>
      </c>
      <c r="K27" s="68" t="s">
        <v>3650</v>
      </c>
      <c r="L27" s="68" t="s">
        <v>3647</v>
      </c>
    </row>
    <row r="28" spans="1:12" x14ac:dyDescent="0.25">
      <c r="A28" s="68" t="s">
        <v>230</v>
      </c>
      <c r="B28" s="68" t="s">
        <v>1056</v>
      </c>
      <c r="C28" s="80" t="s">
        <v>1878</v>
      </c>
      <c r="D28" s="68" t="s">
        <v>230</v>
      </c>
      <c r="E28"/>
      <c r="F28" s="68" t="s">
        <v>2669</v>
      </c>
      <c r="G28" s="80"/>
      <c r="H28" s="122">
        <v>44573</v>
      </c>
      <c r="I28" s="68" t="s">
        <v>3450</v>
      </c>
      <c r="J28" s="68">
        <v>210</v>
      </c>
      <c r="K28" s="68" t="s">
        <v>3650</v>
      </c>
      <c r="L28" s="68" t="s">
        <v>3647</v>
      </c>
    </row>
    <row r="29" spans="1:12" x14ac:dyDescent="0.25">
      <c r="A29" s="68" t="s">
        <v>231</v>
      </c>
      <c r="B29" s="68" t="s">
        <v>1057</v>
      </c>
      <c r="C29" s="80" t="s">
        <v>1879</v>
      </c>
      <c r="D29" s="68" t="s">
        <v>231</v>
      </c>
      <c r="E29"/>
      <c r="F29" s="68" t="s">
        <v>2670</v>
      </c>
      <c r="G29" s="80"/>
      <c r="H29" s="122">
        <v>44575</v>
      </c>
      <c r="I29" s="68" t="s">
        <v>3450</v>
      </c>
      <c r="J29" s="68">
        <v>294.8</v>
      </c>
      <c r="K29" s="68" t="s">
        <v>3650</v>
      </c>
      <c r="L29" s="68" t="s">
        <v>3647</v>
      </c>
    </row>
    <row r="30" spans="1:12" x14ac:dyDescent="0.25">
      <c r="A30" s="68" t="s">
        <v>232</v>
      </c>
      <c r="B30" s="68" t="s">
        <v>1058</v>
      </c>
      <c r="C30" s="80" t="s">
        <v>1879</v>
      </c>
      <c r="D30" s="68" t="s">
        <v>232</v>
      </c>
      <c r="E30"/>
      <c r="F30" s="68" t="s">
        <v>2670</v>
      </c>
      <c r="G30" s="80"/>
      <c r="H30" s="122">
        <v>44575</v>
      </c>
      <c r="I30" s="68" t="s">
        <v>3450</v>
      </c>
      <c r="J30" s="68">
        <v>256.39999999999998</v>
      </c>
      <c r="K30" s="68" t="s">
        <v>3650</v>
      </c>
      <c r="L30" s="68" t="s">
        <v>3647</v>
      </c>
    </row>
    <row r="31" spans="1:12" x14ac:dyDescent="0.25">
      <c r="A31" s="68" t="s">
        <v>227</v>
      </c>
      <c r="B31" s="68" t="s">
        <v>1053</v>
      </c>
      <c r="C31" s="80" t="s">
        <v>1875</v>
      </c>
      <c r="D31" s="68" t="s">
        <v>227</v>
      </c>
      <c r="E31"/>
      <c r="F31" s="68" t="s">
        <v>2666</v>
      </c>
      <c r="G31" s="80"/>
      <c r="H31" s="122">
        <v>44566</v>
      </c>
      <c r="I31" s="68" t="s">
        <v>3451</v>
      </c>
      <c r="J31" s="68">
        <v>186</v>
      </c>
      <c r="K31" s="68" t="s">
        <v>3650</v>
      </c>
      <c r="L31" s="68" t="s">
        <v>3647</v>
      </c>
    </row>
    <row r="32" spans="1:12" x14ac:dyDescent="0.25">
      <c r="A32" s="68" t="s">
        <v>233</v>
      </c>
      <c r="B32" s="68" t="s">
        <v>1059</v>
      </c>
      <c r="C32" s="80" t="s">
        <v>1880</v>
      </c>
      <c r="D32" s="68" t="s">
        <v>233</v>
      </c>
      <c r="E32"/>
      <c r="F32" s="68" t="s">
        <v>2671</v>
      </c>
      <c r="G32" s="80"/>
      <c r="H32" s="122">
        <v>44557</v>
      </c>
      <c r="I32" s="68" t="s">
        <v>3452</v>
      </c>
      <c r="J32" s="68">
        <v>372.8</v>
      </c>
      <c r="K32" s="68" t="s">
        <v>3650</v>
      </c>
      <c r="L32" s="68" t="s">
        <v>3647</v>
      </c>
    </row>
    <row r="33" spans="1:12" x14ac:dyDescent="0.25">
      <c r="A33" s="68" t="s">
        <v>234</v>
      </c>
      <c r="B33" s="68" t="s">
        <v>1060</v>
      </c>
      <c r="C33" s="80" t="s">
        <v>1881</v>
      </c>
      <c r="D33" s="68" t="s">
        <v>234</v>
      </c>
      <c r="E33"/>
      <c r="F33" s="68" t="s">
        <v>2672</v>
      </c>
      <c r="G33" s="80"/>
      <c r="H33" s="122">
        <v>44477</v>
      </c>
      <c r="I33" s="68" t="s">
        <v>3444</v>
      </c>
      <c r="J33" s="68">
        <v>244.8</v>
      </c>
      <c r="K33" s="68" t="s">
        <v>3650</v>
      </c>
      <c r="L33" s="68" t="s">
        <v>3647</v>
      </c>
    </row>
    <row r="34" spans="1:12" x14ac:dyDescent="0.25">
      <c r="A34" s="68" t="s">
        <v>235</v>
      </c>
      <c r="B34" s="68" t="s">
        <v>1061</v>
      </c>
      <c r="C34" s="80" t="s">
        <v>1874</v>
      </c>
      <c r="D34" s="68" t="s">
        <v>235</v>
      </c>
      <c r="E34"/>
      <c r="F34" s="68" t="s">
        <v>2665</v>
      </c>
      <c r="G34" s="80"/>
      <c r="H34" s="122">
        <v>44426</v>
      </c>
      <c r="I34" s="68" t="s">
        <v>3453</v>
      </c>
      <c r="J34" s="68">
        <v>273.2</v>
      </c>
      <c r="K34" s="68" t="s">
        <v>3650</v>
      </c>
      <c r="L34" s="68" t="s">
        <v>3647</v>
      </c>
    </row>
    <row r="35" spans="1:12" x14ac:dyDescent="0.25">
      <c r="A35" s="68" t="s">
        <v>226</v>
      </c>
      <c r="B35" s="68" t="s">
        <v>1052</v>
      </c>
      <c r="C35" s="80" t="s">
        <v>1874</v>
      </c>
      <c r="D35" s="68" t="s">
        <v>226</v>
      </c>
      <c r="E35"/>
      <c r="F35" s="68" t="s">
        <v>2665</v>
      </c>
      <c r="G35" s="80"/>
      <c r="H35" s="122">
        <v>44426</v>
      </c>
      <c r="I35" s="68" t="s">
        <v>3453</v>
      </c>
      <c r="J35" s="68">
        <v>256.39999999999998</v>
      </c>
      <c r="K35" s="68" t="s">
        <v>3650</v>
      </c>
      <c r="L35" s="68" t="s">
        <v>3647</v>
      </c>
    </row>
    <row r="36" spans="1:12" x14ac:dyDescent="0.25">
      <c r="A36" s="68" t="s">
        <v>236</v>
      </c>
      <c r="B36" s="68" t="s">
        <v>1062</v>
      </c>
      <c r="C36" s="80" t="s">
        <v>1882</v>
      </c>
      <c r="D36" s="68" t="s">
        <v>236</v>
      </c>
      <c r="E36"/>
      <c r="F36" s="68" t="s">
        <v>2673</v>
      </c>
      <c r="G36" s="80"/>
      <c r="H36" s="122">
        <v>44425</v>
      </c>
      <c r="I36" s="68" t="s">
        <v>3453</v>
      </c>
      <c r="J36" s="68">
        <v>325.2</v>
      </c>
      <c r="K36" s="68" t="s">
        <v>3650</v>
      </c>
      <c r="L36" s="68" t="s">
        <v>3647</v>
      </c>
    </row>
    <row r="37" spans="1:12" x14ac:dyDescent="0.25">
      <c r="A37" s="68" t="s">
        <v>237</v>
      </c>
      <c r="B37" s="68" t="s">
        <v>1063</v>
      </c>
      <c r="C37" s="80" t="s">
        <v>1883</v>
      </c>
      <c r="D37" s="68" t="s">
        <v>237</v>
      </c>
      <c r="E37"/>
      <c r="F37" s="68" t="s">
        <v>2674</v>
      </c>
      <c r="G37" s="80"/>
      <c r="H37" s="122">
        <v>44265</v>
      </c>
      <c r="I37" s="68" t="s">
        <v>3454</v>
      </c>
      <c r="J37" s="68">
        <v>230</v>
      </c>
      <c r="K37" s="68" t="s">
        <v>3651</v>
      </c>
      <c r="L37" s="68" t="s">
        <v>3652</v>
      </c>
    </row>
    <row r="38" spans="1:12" x14ac:dyDescent="0.25">
      <c r="A38" s="68" t="s">
        <v>238</v>
      </c>
      <c r="B38" s="68" t="s">
        <v>1064</v>
      </c>
      <c r="C38" s="80"/>
      <c r="D38" s="68" t="s">
        <v>238</v>
      </c>
      <c r="E38"/>
      <c r="F38" s="68" t="s">
        <v>2675</v>
      </c>
      <c r="G38" s="80"/>
      <c r="H38" s="122">
        <v>44498</v>
      </c>
      <c r="I38" s="68" t="s">
        <v>3455</v>
      </c>
      <c r="J38" s="68">
        <v>593.20000000000005</v>
      </c>
      <c r="K38" s="68" t="s">
        <v>3653</v>
      </c>
      <c r="L38" s="68" t="s">
        <v>3654</v>
      </c>
    </row>
    <row r="39" spans="1:12" x14ac:dyDescent="0.25">
      <c r="A39" s="68" t="s">
        <v>239</v>
      </c>
      <c r="B39" s="68" t="s">
        <v>1065</v>
      </c>
      <c r="C39" s="80" t="s">
        <v>1884</v>
      </c>
      <c r="D39" s="68" t="s">
        <v>239</v>
      </c>
      <c r="E39"/>
      <c r="F39" s="68" t="s">
        <v>2676</v>
      </c>
      <c r="G39" s="80"/>
      <c r="H39" s="122">
        <v>44617</v>
      </c>
      <c r="I39" s="68" t="s">
        <v>3456</v>
      </c>
      <c r="J39" s="68">
        <v>890</v>
      </c>
      <c r="K39" s="68" t="s">
        <v>3655</v>
      </c>
      <c r="L39" s="68" t="s">
        <v>3656</v>
      </c>
    </row>
    <row r="40" spans="1:12" x14ac:dyDescent="0.25">
      <c r="A40" s="68" t="s">
        <v>240</v>
      </c>
      <c r="B40" s="68" t="s">
        <v>1066</v>
      </c>
      <c r="C40" s="80" t="s">
        <v>1885</v>
      </c>
      <c r="D40" s="68" t="s">
        <v>240</v>
      </c>
      <c r="E40"/>
      <c r="F40" s="68" t="s">
        <v>2677</v>
      </c>
      <c r="G40" s="80"/>
      <c r="H40" s="122">
        <v>44538</v>
      </c>
      <c r="I40" s="68" t="s">
        <v>3457</v>
      </c>
      <c r="J40" s="68">
        <v>333.2</v>
      </c>
      <c r="K40" s="68" t="s">
        <v>3655</v>
      </c>
      <c r="L40" s="68" t="s">
        <v>3656</v>
      </c>
    </row>
    <row r="41" spans="1:12" x14ac:dyDescent="0.25">
      <c r="A41" s="68" t="s">
        <v>241</v>
      </c>
      <c r="B41" s="68" t="s">
        <v>1067</v>
      </c>
      <c r="C41" s="80" t="s">
        <v>1885</v>
      </c>
      <c r="D41" s="68" t="s">
        <v>241</v>
      </c>
      <c r="E41"/>
      <c r="F41" s="68" t="s">
        <v>2677</v>
      </c>
      <c r="G41" s="80"/>
      <c r="H41" s="122">
        <v>44482</v>
      </c>
      <c r="I41" s="68" t="s">
        <v>3455</v>
      </c>
      <c r="J41" s="68">
        <v>326</v>
      </c>
      <c r="K41" s="68" t="s">
        <v>3655</v>
      </c>
      <c r="L41" s="68" t="s">
        <v>3656</v>
      </c>
    </row>
    <row r="42" spans="1:12" x14ac:dyDescent="0.25">
      <c r="A42" s="68" t="s">
        <v>242</v>
      </c>
      <c r="B42" s="68" t="s">
        <v>1068</v>
      </c>
      <c r="C42" s="80" t="s">
        <v>1886</v>
      </c>
      <c r="D42" s="68" t="s">
        <v>242</v>
      </c>
      <c r="E42"/>
      <c r="F42" s="68" t="s">
        <v>2678</v>
      </c>
      <c r="G42" s="80"/>
      <c r="H42" s="122">
        <v>44461</v>
      </c>
      <c r="I42" s="68" t="s">
        <v>3458</v>
      </c>
      <c r="J42" s="68">
        <v>0</v>
      </c>
      <c r="K42" s="68" t="s">
        <v>3655</v>
      </c>
      <c r="L42" s="68" t="s">
        <v>3656</v>
      </c>
    </row>
    <row r="43" spans="1:12" x14ac:dyDescent="0.25">
      <c r="A43" s="68" t="s">
        <v>243</v>
      </c>
      <c r="B43" s="68" t="s">
        <v>1069</v>
      </c>
      <c r="C43" s="80" t="s">
        <v>1887</v>
      </c>
      <c r="D43" s="68" t="s">
        <v>243</v>
      </c>
      <c r="E43"/>
      <c r="F43" s="68" t="s">
        <v>2679</v>
      </c>
      <c r="G43" s="80"/>
      <c r="H43" s="122">
        <v>44537</v>
      </c>
      <c r="I43" s="68" t="s">
        <v>3459</v>
      </c>
      <c r="J43" s="68">
        <v>61.2</v>
      </c>
      <c r="K43" s="68" t="s">
        <v>3657</v>
      </c>
      <c r="L43" s="68" t="s">
        <v>3658</v>
      </c>
    </row>
    <row r="44" spans="1:12" x14ac:dyDescent="0.25">
      <c r="A44" s="68" t="s">
        <v>244</v>
      </c>
      <c r="B44" s="68" t="s">
        <v>1070</v>
      </c>
      <c r="C44" s="80" t="s">
        <v>1888</v>
      </c>
      <c r="D44" s="68" t="s">
        <v>244</v>
      </c>
      <c r="E44"/>
      <c r="F44" s="68" t="s">
        <v>2680</v>
      </c>
      <c r="G44" s="80"/>
      <c r="H44" s="122">
        <v>44321</v>
      </c>
      <c r="I44" s="68" t="s">
        <v>3445</v>
      </c>
      <c r="J44" s="68">
        <v>782.8</v>
      </c>
      <c r="K44" s="68" t="s">
        <v>3659</v>
      </c>
      <c r="L44" s="68" t="s">
        <v>3660</v>
      </c>
    </row>
    <row r="45" spans="1:12" x14ac:dyDescent="0.25">
      <c r="A45" s="68" t="s">
        <v>245</v>
      </c>
      <c r="B45" s="68" t="s">
        <v>1071</v>
      </c>
      <c r="C45" s="80" t="s">
        <v>1889</v>
      </c>
      <c r="D45" s="68" t="s">
        <v>245</v>
      </c>
      <c r="E45"/>
      <c r="F45" s="68" t="s">
        <v>2681</v>
      </c>
      <c r="G45" s="80"/>
      <c r="H45" s="122">
        <v>44319</v>
      </c>
      <c r="I45" s="68" t="s">
        <v>3445</v>
      </c>
      <c r="J45" s="68">
        <v>610.79999999999995</v>
      </c>
      <c r="K45" s="68" t="s">
        <v>3659</v>
      </c>
      <c r="L45" s="68" t="s">
        <v>3660</v>
      </c>
    </row>
    <row r="46" spans="1:12" x14ac:dyDescent="0.25">
      <c r="A46" s="68" t="s">
        <v>246</v>
      </c>
      <c r="B46" s="68" t="s">
        <v>1072</v>
      </c>
      <c r="C46" s="80" t="s">
        <v>1890</v>
      </c>
      <c r="D46" s="68" t="s">
        <v>246</v>
      </c>
      <c r="E46"/>
      <c r="F46" s="68" t="s">
        <v>2682</v>
      </c>
      <c r="G46" s="80"/>
      <c r="H46" s="122">
        <v>44301</v>
      </c>
      <c r="I46" s="68" t="s">
        <v>3454</v>
      </c>
      <c r="J46" s="68">
        <v>396</v>
      </c>
      <c r="K46" s="68" t="s">
        <v>3659</v>
      </c>
      <c r="L46" s="68" t="s">
        <v>3660</v>
      </c>
    </row>
    <row r="47" spans="1:12" x14ac:dyDescent="0.25">
      <c r="A47" s="68" t="s">
        <v>247</v>
      </c>
      <c r="B47" s="68" t="s">
        <v>1073</v>
      </c>
      <c r="C47" s="80" t="s">
        <v>1888</v>
      </c>
      <c r="D47" s="68" t="s">
        <v>247</v>
      </c>
      <c r="E47"/>
      <c r="F47" s="68" t="s">
        <v>2680</v>
      </c>
      <c r="G47" s="80"/>
      <c r="H47" s="122">
        <v>44301</v>
      </c>
      <c r="I47" s="68" t="s">
        <v>3454</v>
      </c>
      <c r="J47" s="68">
        <v>532</v>
      </c>
      <c r="K47" s="68" t="s">
        <v>3659</v>
      </c>
      <c r="L47" s="68" t="s">
        <v>3660</v>
      </c>
    </row>
    <row r="48" spans="1:12" x14ac:dyDescent="0.25">
      <c r="A48" s="68" t="s">
        <v>244</v>
      </c>
      <c r="B48" s="68" t="s">
        <v>1070</v>
      </c>
      <c r="C48" s="80" t="s">
        <v>1888</v>
      </c>
      <c r="D48" s="68" t="s">
        <v>244</v>
      </c>
      <c r="E48"/>
      <c r="F48" s="68" t="s">
        <v>2680</v>
      </c>
      <c r="G48" s="80"/>
      <c r="H48" s="122">
        <v>44299</v>
      </c>
      <c r="I48" s="68" t="s">
        <v>3454</v>
      </c>
      <c r="J48" s="68">
        <v>748</v>
      </c>
      <c r="K48" s="68" t="s">
        <v>3659</v>
      </c>
      <c r="L48" s="68" t="s">
        <v>3660</v>
      </c>
    </row>
    <row r="49" spans="1:12" x14ac:dyDescent="0.25">
      <c r="A49" s="68" t="s">
        <v>244</v>
      </c>
      <c r="B49" s="68" t="s">
        <v>1070</v>
      </c>
      <c r="C49" s="80" t="s">
        <v>1888</v>
      </c>
      <c r="D49" s="68" t="s">
        <v>244</v>
      </c>
      <c r="E49"/>
      <c r="F49" s="68" t="s">
        <v>2680</v>
      </c>
      <c r="G49" s="80"/>
      <c r="H49" s="122">
        <v>44273</v>
      </c>
      <c r="I49" s="68" t="s">
        <v>3460</v>
      </c>
      <c r="J49" s="68">
        <v>227.6</v>
      </c>
      <c r="K49" s="68" t="s">
        <v>3659</v>
      </c>
      <c r="L49" s="68" t="s">
        <v>3660</v>
      </c>
    </row>
    <row r="50" spans="1:12" x14ac:dyDescent="0.25">
      <c r="A50" s="68" t="s">
        <v>247</v>
      </c>
      <c r="B50" s="68" t="s">
        <v>1073</v>
      </c>
      <c r="C50" s="80" t="s">
        <v>1888</v>
      </c>
      <c r="D50" s="68" t="s">
        <v>247</v>
      </c>
      <c r="E50"/>
      <c r="F50" s="68" t="s">
        <v>2680</v>
      </c>
      <c r="G50" s="80"/>
      <c r="H50" s="122">
        <v>44273</v>
      </c>
      <c r="I50" s="68" t="s">
        <v>3460</v>
      </c>
      <c r="J50" s="68">
        <v>227.6</v>
      </c>
      <c r="K50" s="68" t="s">
        <v>3659</v>
      </c>
      <c r="L50" s="68" t="s">
        <v>3660</v>
      </c>
    </row>
    <row r="51" spans="1:12" x14ac:dyDescent="0.25">
      <c r="A51" s="68" t="s">
        <v>248</v>
      </c>
      <c r="B51" s="68" t="s">
        <v>1074</v>
      </c>
      <c r="C51" s="80" t="s">
        <v>1891</v>
      </c>
      <c r="D51" s="68" t="s">
        <v>248</v>
      </c>
      <c r="E51"/>
      <c r="F51" s="68" t="s">
        <v>2683</v>
      </c>
      <c r="G51" s="80"/>
      <c r="H51" s="122">
        <v>44651</v>
      </c>
      <c r="I51" s="68" t="s">
        <v>3461</v>
      </c>
      <c r="J51" s="68">
        <v>82.8</v>
      </c>
      <c r="K51" s="68" t="s">
        <v>3661</v>
      </c>
      <c r="L51" s="68" t="s">
        <v>3662</v>
      </c>
    </row>
    <row r="52" spans="1:12" x14ac:dyDescent="0.25">
      <c r="A52" s="68" t="s">
        <v>249</v>
      </c>
      <c r="B52" s="68" t="s">
        <v>1075</v>
      </c>
      <c r="C52" s="80" t="s">
        <v>1892</v>
      </c>
      <c r="D52" s="68" t="s">
        <v>249</v>
      </c>
      <c r="E52"/>
      <c r="F52" s="68" t="s">
        <v>2684</v>
      </c>
      <c r="G52" s="80"/>
      <c r="H52" s="122">
        <v>44643</v>
      </c>
      <c r="I52" s="68" t="s">
        <v>3437</v>
      </c>
      <c r="J52" s="68">
        <v>1480.4</v>
      </c>
      <c r="K52" s="68" t="s">
        <v>3661</v>
      </c>
      <c r="L52" s="68" t="s">
        <v>3662</v>
      </c>
    </row>
    <row r="53" spans="1:12" x14ac:dyDescent="0.25">
      <c r="A53" s="68" t="s">
        <v>250</v>
      </c>
      <c r="B53" s="68" t="s">
        <v>1076</v>
      </c>
      <c r="C53" s="80" t="s">
        <v>1893</v>
      </c>
      <c r="D53" s="68" t="s">
        <v>250</v>
      </c>
      <c r="E53"/>
      <c r="F53" s="68" t="s">
        <v>2685</v>
      </c>
      <c r="G53" s="80"/>
      <c r="H53" s="122">
        <v>44622</v>
      </c>
      <c r="I53" s="68" t="s">
        <v>3462</v>
      </c>
      <c r="J53" s="68">
        <v>1183.2</v>
      </c>
      <c r="K53" s="68" t="s">
        <v>3661</v>
      </c>
      <c r="L53" s="68" t="s">
        <v>3662</v>
      </c>
    </row>
    <row r="54" spans="1:12" x14ac:dyDescent="0.25">
      <c r="A54" s="68" t="s">
        <v>251</v>
      </c>
      <c r="B54" s="68" t="s">
        <v>1077</v>
      </c>
      <c r="C54" s="80" t="s">
        <v>1894</v>
      </c>
      <c r="D54" s="68" t="s">
        <v>251</v>
      </c>
      <c r="E54"/>
      <c r="F54" s="68" t="s">
        <v>2686</v>
      </c>
      <c r="G54" s="80"/>
      <c r="H54" s="122">
        <v>44607</v>
      </c>
      <c r="I54" s="68" t="s">
        <v>3456</v>
      </c>
      <c r="J54" s="68">
        <v>220.4</v>
      </c>
      <c r="K54" s="68" t="s">
        <v>3661</v>
      </c>
      <c r="L54" s="68" t="s">
        <v>3662</v>
      </c>
    </row>
    <row r="55" spans="1:12" x14ac:dyDescent="0.25">
      <c r="A55" s="68" t="s">
        <v>252</v>
      </c>
      <c r="B55" s="68" t="s">
        <v>1078</v>
      </c>
      <c r="C55" s="80" t="s">
        <v>1895</v>
      </c>
      <c r="D55" s="68" t="s">
        <v>252</v>
      </c>
      <c r="E55"/>
      <c r="F55" s="68" t="s">
        <v>2687</v>
      </c>
      <c r="G55" s="80"/>
      <c r="H55" s="122">
        <v>44587</v>
      </c>
      <c r="I55" s="68" t="s">
        <v>3463</v>
      </c>
      <c r="J55" s="68">
        <v>432</v>
      </c>
      <c r="K55" s="68" t="s">
        <v>3661</v>
      </c>
      <c r="L55" s="68" t="s">
        <v>3662</v>
      </c>
    </row>
    <row r="56" spans="1:12" x14ac:dyDescent="0.25">
      <c r="A56" s="68" t="s">
        <v>253</v>
      </c>
      <c r="B56" s="68" t="s">
        <v>1079</v>
      </c>
      <c r="C56" s="80" t="s">
        <v>1896</v>
      </c>
      <c r="D56" s="68" t="s">
        <v>253</v>
      </c>
      <c r="E56"/>
      <c r="F56" s="68" t="s">
        <v>2688</v>
      </c>
      <c r="G56" s="80"/>
      <c r="H56" s="122">
        <v>44457</v>
      </c>
      <c r="I56" s="68" t="s">
        <v>3455</v>
      </c>
      <c r="J56" s="68">
        <v>227.6</v>
      </c>
      <c r="K56" s="68" t="s">
        <v>3661</v>
      </c>
      <c r="L56" s="68" t="s">
        <v>3662</v>
      </c>
    </row>
    <row r="57" spans="1:12" x14ac:dyDescent="0.25">
      <c r="A57" s="68" t="s">
        <v>254</v>
      </c>
      <c r="B57" s="68" t="s">
        <v>1080</v>
      </c>
      <c r="C57" s="80" t="s">
        <v>1897</v>
      </c>
      <c r="D57" s="68" t="s">
        <v>254</v>
      </c>
      <c r="E57"/>
      <c r="F57" s="68" t="s">
        <v>2689</v>
      </c>
      <c r="G57" s="80"/>
      <c r="H57" s="122">
        <v>44495</v>
      </c>
      <c r="I57" s="68" t="s">
        <v>3455</v>
      </c>
      <c r="J57" s="68">
        <v>332.4</v>
      </c>
      <c r="K57" s="68" t="s">
        <v>3661</v>
      </c>
      <c r="L57" s="68" t="s">
        <v>3662</v>
      </c>
    </row>
    <row r="58" spans="1:12" x14ac:dyDescent="0.25">
      <c r="A58" s="68" t="s">
        <v>253</v>
      </c>
      <c r="B58" s="68" t="s">
        <v>1079</v>
      </c>
      <c r="C58" s="80" t="s">
        <v>1896</v>
      </c>
      <c r="D58" s="68" t="s">
        <v>253</v>
      </c>
      <c r="E58"/>
      <c r="F58" s="68" t="s">
        <v>2688</v>
      </c>
      <c r="G58" s="80"/>
      <c r="H58" s="122">
        <v>44536</v>
      </c>
      <c r="I58" s="68" t="s">
        <v>3464</v>
      </c>
      <c r="J58" s="68">
        <v>712</v>
      </c>
      <c r="K58" s="68" t="s">
        <v>3661</v>
      </c>
      <c r="L58" s="68" t="s">
        <v>3662</v>
      </c>
    </row>
    <row r="59" spans="1:12" x14ac:dyDescent="0.25">
      <c r="A59" s="68" t="s">
        <v>255</v>
      </c>
      <c r="B59" s="68" t="s">
        <v>1081</v>
      </c>
      <c r="C59" s="80" t="s">
        <v>1898</v>
      </c>
      <c r="D59" s="68" t="s">
        <v>255</v>
      </c>
      <c r="E59"/>
      <c r="F59" s="68" t="s">
        <v>2690</v>
      </c>
      <c r="G59" s="80"/>
      <c r="H59" s="122">
        <v>44524</v>
      </c>
      <c r="I59" s="68" t="s">
        <v>3465</v>
      </c>
      <c r="J59" s="68">
        <v>199.2</v>
      </c>
      <c r="K59" s="68" t="s">
        <v>3661</v>
      </c>
      <c r="L59" s="68" t="s">
        <v>3662</v>
      </c>
    </row>
    <row r="60" spans="1:12" x14ac:dyDescent="0.25">
      <c r="A60" s="68" t="s">
        <v>256</v>
      </c>
      <c r="B60" s="68" t="s">
        <v>1082</v>
      </c>
      <c r="C60" s="80" t="s">
        <v>1899</v>
      </c>
      <c r="D60" s="68" t="s">
        <v>256</v>
      </c>
      <c r="E60"/>
      <c r="F60" s="68" t="s">
        <v>2691</v>
      </c>
      <c r="G60" s="80"/>
      <c r="H60" s="122">
        <v>44519</v>
      </c>
      <c r="I60" s="68" t="s">
        <v>3465</v>
      </c>
      <c r="J60" s="68">
        <v>133.19999999999999</v>
      </c>
      <c r="K60" s="68" t="s">
        <v>3661</v>
      </c>
      <c r="L60" s="68" t="s">
        <v>3662</v>
      </c>
    </row>
    <row r="61" spans="1:12" x14ac:dyDescent="0.25">
      <c r="A61" s="68" t="s">
        <v>257</v>
      </c>
      <c r="B61" s="68" t="s">
        <v>1083</v>
      </c>
      <c r="C61" s="80" t="s">
        <v>1900</v>
      </c>
      <c r="D61" s="68" t="s">
        <v>257</v>
      </c>
      <c r="E61"/>
      <c r="F61" s="68" t="s">
        <v>2692</v>
      </c>
      <c r="G61" s="80"/>
      <c r="H61" s="122">
        <v>44511</v>
      </c>
      <c r="I61" s="68" t="s">
        <v>3459</v>
      </c>
      <c r="J61" s="68">
        <v>61.2</v>
      </c>
      <c r="K61" s="68" t="s">
        <v>3661</v>
      </c>
      <c r="L61" s="68" t="s">
        <v>3662</v>
      </c>
    </row>
    <row r="62" spans="1:12" x14ac:dyDescent="0.25">
      <c r="A62" s="68" t="s">
        <v>258</v>
      </c>
      <c r="B62" s="68" t="s">
        <v>1084</v>
      </c>
      <c r="C62" s="80" t="s">
        <v>1901</v>
      </c>
      <c r="D62" s="68" t="s">
        <v>258</v>
      </c>
      <c r="E62"/>
      <c r="F62" s="68" t="s">
        <v>2693</v>
      </c>
      <c r="G62" s="80"/>
      <c r="H62" s="122">
        <v>44455</v>
      </c>
      <c r="I62" s="68" t="s">
        <v>3466</v>
      </c>
      <c r="J62" s="68">
        <v>342</v>
      </c>
      <c r="K62" s="68" t="s">
        <v>3661</v>
      </c>
      <c r="L62" s="68" t="s">
        <v>3662</v>
      </c>
    </row>
    <row r="63" spans="1:12" x14ac:dyDescent="0.25">
      <c r="A63" s="68" t="s">
        <v>259</v>
      </c>
      <c r="B63" s="68" t="s">
        <v>1085</v>
      </c>
      <c r="C63" s="80" t="s">
        <v>1896</v>
      </c>
      <c r="D63" s="68" t="s">
        <v>259</v>
      </c>
      <c r="E63"/>
      <c r="F63" s="68" t="s">
        <v>2694</v>
      </c>
      <c r="G63" s="80"/>
      <c r="H63" s="122">
        <v>44457</v>
      </c>
      <c r="I63" s="68" t="s">
        <v>3467</v>
      </c>
      <c r="J63" s="68">
        <v>138</v>
      </c>
      <c r="K63" s="68" t="s">
        <v>3661</v>
      </c>
      <c r="L63" s="68" t="s">
        <v>3662</v>
      </c>
    </row>
    <row r="64" spans="1:12" x14ac:dyDescent="0.25">
      <c r="A64" s="68" t="s">
        <v>260</v>
      </c>
      <c r="B64" s="68" t="s">
        <v>1086</v>
      </c>
      <c r="C64" s="80" t="s">
        <v>1902</v>
      </c>
      <c r="D64" s="68" t="s">
        <v>260</v>
      </c>
      <c r="E64"/>
      <c r="F64" s="68" t="s">
        <v>2695</v>
      </c>
      <c r="G64" s="80"/>
      <c r="H64" s="122">
        <v>44419</v>
      </c>
      <c r="I64" s="68" t="s">
        <v>3468</v>
      </c>
      <c r="J64" s="68">
        <v>61.2</v>
      </c>
      <c r="K64" s="68" t="s">
        <v>3661</v>
      </c>
      <c r="L64" s="68" t="s">
        <v>3662</v>
      </c>
    </row>
    <row r="65" spans="1:12" x14ac:dyDescent="0.25">
      <c r="A65" s="68" t="s">
        <v>261</v>
      </c>
      <c r="B65" s="68" t="s">
        <v>1087</v>
      </c>
      <c r="C65" s="80" t="s">
        <v>1903</v>
      </c>
      <c r="D65" s="68" t="s">
        <v>261</v>
      </c>
      <c r="E65"/>
      <c r="F65" s="68" t="s">
        <v>2696</v>
      </c>
      <c r="G65" s="80"/>
      <c r="H65" s="122">
        <v>44408</v>
      </c>
      <c r="I65" s="68" t="s">
        <v>3469</v>
      </c>
      <c r="J65" s="68">
        <v>2750.4</v>
      </c>
      <c r="K65" s="68" t="s">
        <v>3661</v>
      </c>
      <c r="L65" s="68" t="s">
        <v>3662</v>
      </c>
    </row>
    <row r="66" spans="1:12" x14ac:dyDescent="0.25">
      <c r="A66" s="68" t="s">
        <v>262</v>
      </c>
      <c r="B66" s="68" t="s">
        <v>1088</v>
      </c>
      <c r="C66" s="80" t="s">
        <v>1904</v>
      </c>
      <c r="D66" s="68" t="s">
        <v>262</v>
      </c>
      <c r="E66"/>
      <c r="F66" s="68" t="s">
        <v>2697</v>
      </c>
      <c r="G66" s="80"/>
      <c r="H66" s="122">
        <v>44277</v>
      </c>
      <c r="I66" s="68" t="s">
        <v>3470</v>
      </c>
      <c r="J66" s="68">
        <v>869.2</v>
      </c>
      <c r="K66" s="68" t="s">
        <v>3661</v>
      </c>
      <c r="L66" s="68" t="s">
        <v>3662</v>
      </c>
    </row>
    <row r="67" spans="1:12" x14ac:dyDescent="0.25">
      <c r="A67" s="68" t="s">
        <v>263</v>
      </c>
      <c r="B67" s="68" t="s">
        <v>1089</v>
      </c>
      <c r="C67" s="80" t="s">
        <v>1905</v>
      </c>
      <c r="D67" s="68" t="s">
        <v>263</v>
      </c>
      <c r="E67"/>
      <c r="F67" s="68" t="s">
        <v>2698</v>
      </c>
      <c r="G67" s="80"/>
      <c r="H67" s="122">
        <v>44127</v>
      </c>
      <c r="I67" s="68" t="s">
        <v>3471</v>
      </c>
      <c r="J67" s="68">
        <v>4439.6000000000004</v>
      </c>
      <c r="K67" s="68" t="s">
        <v>3661</v>
      </c>
      <c r="L67" s="68" t="s">
        <v>3662</v>
      </c>
    </row>
    <row r="68" spans="1:12" x14ac:dyDescent="0.25">
      <c r="A68" s="68" t="s">
        <v>264</v>
      </c>
      <c r="B68" s="68" t="s">
        <v>1090</v>
      </c>
      <c r="C68" s="80" t="s">
        <v>1906</v>
      </c>
      <c r="D68" s="68" t="s">
        <v>264</v>
      </c>
      <c r="E68"/>
      <c r="F68" s="68" t="s">
        <v>2699</v>
      </c>
      <c r="G68" s="80"/>
      <c r="H68" s="122">
        <v>44274</v>
      </c>
      <c r="I68" s="68" t="s">
        <v>3472</v>
      </c>
      <c r="J68" s="68">
        <v>1495.2</v>
      </c>
      <c r="K68" s="68" t="s">
        <v>3663</v>
      </c>
      <c r="L68" s="68" t="s">
        <v>3664</v>
      </c>
    </row>
    <row r="69" spans="1:12" x14ac:dyDescent="0.25">
      <c r="A69" s="68" t="s">
        <v>265</v>
      </c>
      <c r="B69" s="68" t="s">
        <v>1091</v>
      </c>
      <c r="C69" s="80" t="s">
        <v>1907</v>
      </c>
      <c r="D69" s="68" t="s">
        <v>265</v>
      </c>
      <c r="E69"/>
      <c r="F69" s="68" t="s">
        <v>2700</v>
      </c>
      <c r="G69" s="80"/>
      <c r="H69" s="122">
        <v>44428</v>
      </c>
      <c r="I69" s="68" t="s">
        <v>3473</v>
      </c>
      <c r="J69" s="68">
        <v>339.6</v>
      </c>
      <c r="K69" s="68" t="s">
        <v>3665</v>
      </c>
      <c r="L69" s="68" t="s">
        <v>3666</v>
      </c>
    </row>
    <row r="70" spans="1:12" x14ac:dyDescent="0.25">
      <c r="A70" s="68" t="s">
        <v>266</v>
      </c>
      <c r="B70" s="68" t="s">
        <v>1092</v>
      </c>
      <c r="C70" s="80" t="s">
        <v>1908</v>
      </c>
      <c r="D70" s="68" t="s">
        <v>266</v>
      </c>
      <c r="E70"/>
      <c r="F70" s="68" t="s">
        <v>2701</v>
      </c>
      <c r="G70" s="80"/>
      <c r="H70" s="122">
        <v>44546</v>
      </c>
      <c r="I70" s="68" t="s">
        <v>3474</v>
      </c>
      <c r="J70" s="68">
        <v>372.8</v>
      </c>
      <c r="K70" s="68" t="s">
        <v>3665</v>
      </c>
      <c r="L70" s="68" t="s">
        <v>3666</v>
      </c>
    </row>
    <row r="71" spans="1:12" x14ac:dyDescent="0.25">
      <c r="A71" s="68" t="s">
        <v>267</v>
      </c>
      <c r="B71" s="68" t="s">
        <v>1093</v>
      </c>
      <c r="C71" s="80" t="s">
        <v>1909</v>
      </c>
      <c r="D71" s="68" t="s">
        <v>267</v>
      </c>
      <c r="E71"/>
      <c r="F71" s="68" t="s">
        <v>2702</v>
      </c>
      <c r="G71" s="80"/>
      <c r="H71" s="122">
        <v>44512</v>
      </c>
      <c r="I71" s="68" t="s">
        <v>3475</v>
      </c>
      <c r="J71" s="68">
        <v>525.6</v>
      </c>
      <c r="K71" s="68" t="s">
        <v>3665</v>
      </c>
      <c r="L71" s="68" t="s">
        <v>3666</v>
      </c>
    </row>
    <row r="72" spans="1:12" x14ac:dyDescent="0.25">
      <c r="A72" s="68" t="s">
        <v>268</v>
      </c>
      <c r="B72" s="68" t="s">
        <v>1094</v>
      </c>
      <c r="C72" s="80" t="s">
        <v>1910</v>
      </c>
      <c r="D72" s="68" t="s">
        <v>268</v>
      </c>
      <c r="E72"/>
      <c r="F72" s="68" t="s">
        <v>2703</v>
      </c>
      <c r="G72" s="80"/>
      <c r="H72" s="122">
        <v>44432</v>
      </c>
      <c r="I72" s="68" t="s">
        <v>3467</v>
      </c>
      <c r="J72" s="68">
        <v>216</v>
      </c>
      <c r="K72" s="68" t="s">
        <v>3665</v>
      </c>
      <c r="L72" s="68" t="s">
        <v>3666</v>
      </c>
    </row>
    <row r="73" spans="1:12" x14ac:dyDescent="0.25">
      <c r="A73" s="68" t="s">
        <v>269</v>
      </c>
      <c r="B73" s="68" t="s">
        <v>1095</v>
      </c>
      <c r="C73" s="80" t="s">
        <v>1911</v>
      </c>
      <c r="D73" s="68" t="s">
        <v>269</v>
      </c>
      <c r="E73"/>
      <c r="F73" s="68" t="s">
        <v>2704</v>
      </c>
      <c r="G73" s="80"/>
      <c r="H73" s="122">
        <v>44449</v>
      </c>
      <c r="I73" s="68" t="s">
        <v>3476</v>
      </c>
      <c r="J73" s="68">
        <v>178.4</v>
      </c>
      <c r="K73" s="68" t="s">
        <v>3665</v>
      </c>
      <c r="L73" s="68" t="s">
        <v>3666</v>
      </c>
    </row>
    <row r="74" spans="1:12" x14ac:dyDescent="0.25">
      <c r="A74" s="68" t="s">
        <v>270</v>
      </c>
      <c r="B74" s="68" t="s">
        <v>1096</v>
      </c>
      <c r="C74" s="80" t="s">
        <v>1912</v>
      </c>
      <c r="D74" s="68" t="s">
        <v>270</v>
      </c>
      <c r="E74"/>
      <c r="F74" s="68" t="s">
        <v>2705</v>
      </c>
      <c r="G74" s="80"/>
      <c r="H74" s="122">
        <v>44433</v>
      </c>
      <c r="I74" s="68" t="s">
        <v>3477</v>
      </c>
      <c r="J74" s="68">
        <v>505.2</v>
      </c>
      <c r="K74" s="68" t="s">
        <v>3665</v>
      </c>
      <c r="L74" s="68" t="s">
        <v>3666</v>
      </c>
    </row>
    <row r="75" spans="1:12" x14ac:dyDescent="0.25">
      <c r="A75" s="68" t="s">
        <v>271</v>
      </c>
      <c r="B75" s="68" t="s">
        <v>1097</v>
      </c>
      <c r="C75" s="80" t="s">
        <v>1913</v>
      </c>
      <c r="D75" s="68" t="s">
        <v>271</v>
      </c>
      <c r="E75"/>
      <c r="F75" s="68" t="s">
        <v>2706</v>
      </c>
      <c r="G75" s="80"/>
      <c r="H75" s="122">
        <v>44322</v>
      </c>
      <c r="I75" s="68" t="s">
        <v>3445</v>
      </c>
      <c r="J75" s="68">
        <v>583.20000000000005</v>
      </c>
      <c r="K75" s="68" t="s">
        <v>3665</v>
      </c>
      <c r="L75" s="68" t="s">
        <v>3666</v>
      </c>
    </row>
    <row r="76" spans="1:12" x14ac:dyDescent="0.25">
      <c r="A76" s="68" t="s">
        <v>272</v>
      </c>
      <c r="B76" s="68" t="s">
        <v>1098</v>
      </c>
      <c r="C76" s="80" t="s">
        <v>1914</v>
      </c>
      <c r="D76" s="68" t="s">
        <v>272</v>
      </c>
      <c r="E76"/>
      <c r="F76" s="68" t="s">
        <v>2707</v>
      </c>
      <c r="G76" s="80"/>
      <c r="H76" s="122">
        <v>44652</v>
      </c>
      <c r="I76" s="68" t="s">
        <v>3478</v>
      </c>
      <c r="J76" s="68">
        <v>501.6</v>
      </c>
      <c r="K76" s="68" t="s">
        <v>3667</v>
      </c>
      <c r="L76" s="68" t="s">
        <v>3668</v>
      </c>
    </row>
    <row r="77" spans="1:12" x14ac:dyDescent="0.25">
      <c r="A77" s="68" t="s">
        <v>273</v>
      </c>
      <c r="B77" s="68" t="s">
        <v>1099</v>
      </c>
      <c r="C77" s="80" t="s">
        <v>1915</v>
      </c>
      <c r="D77" s="68" t="s">
        <v>273</v>
      </c>
      <c r="E77"/>
      <c r="F77" s="68" t="s">
        <v>2708</v>
      </c>
      <c r="G77" s="80"/>
      <c r="H77" s="122">
        <v>44652</v>
      </c>
      <c r="I77" s="68" t="s">
        <v>3478</v>
      </c>
      <c r="J77" s="68">
        <v>669.6</v>
      </c>
      <c r="K77" s="68" t="s">
        <v>3667</v>
      </c>
      <c r="L77" s="68" t="s">
        <v>3668</v>
      </c>
    </row>
    <row r="78" spans="1:12" x14ac:dyDescent="0.25">
      <c r="A78" s="68" t="s">
        <v>274</v>
      </c>
      <c r="B78" s="68" t="s">
        <v>1100</v>
      </c>
      <c r="C78" s="80" t="s">
        <v>1916</v>
      </c>
      <c r="D78" s="68" t="s">
        <v>274</v>
      </c>
      <c r="E78"/>
      <c r="F78" s="68" t="s">
        <v>2709</v>
      </c>
      <c r="G78" s="80"/>
      <c r="H78" s="122">
        <v>44652</v>
      </c>
      <c r="I78" s="68" t="s">
        <v>3478</v>
      </c>
      <c r="J78" s="68">
        <v>149.6</v>
      </c>
      <c r="K78" s="68" t="s">
        <v>3667</v>
      </c>
      <c r="L78" s="68" t="s">
        <v>3668</v>
      </c>
    </row>
    <row r="79" spans="1:12" x14ac:dyDescent="0.25">
      <c r="A79" s="68" t="s">
        <v>275</v>
      </c>
      <c r="B79" s="68" t="s">
        <v>1101</v>
      </c>
      <c r="C79" s="80" t="s">
        <v>1917</v>
      </c>
      <c r="D79" s="68" t="s">
        <v>275</v>
      </c>
      <c r="E79"/>
      <c r="F79" s="68" t="s">
        <v>2710</v>
      </c>
      <c r="G79" s="80"/>
      <c r="H79" s="122">
        <v>44649</v>
      </c>
      <c r="I79" s="68" t="s">
        <v>3479</v>
      </c>
      <c r="J79" s="68">
        <v>470</v>
      </c>
      <c r="K79" s="68" t="s">
        <v>3667</v>
      </c>
      <c r="L79" s="68" t="s">
        <v>3668</v>
      </c>
    </row>
    <row r="80" spans="1:12" x14ac:dyDescent="0.25">
      <c r="A80" s="68" t="s">
        <v>276</v>
      </c>
      <c r="B80" s="68" t="s">
        <v>1102</v>
      </c>
      <c r="C80" s="80" t="s">
        <v>1918</v>
      </c>
      <c r="D80" s="68" t="s">
        <v>276</v>
      </c>
      <c r="E80"/>
      <c r="F80" s="68" t="s">
        <v>2711</v>
      </c>
      <c r="G80" s="80"/>
      <c r="H80" s="122">
        <v>44645</v>
      </c>
      <c r="I80" s="68" t="s">
        <v>3480</v>
      </c>
      <c r="J80" s="68">
        <v>61.2</v>
      </c>
      <c r="K80" s="68" t="s">
        <v>3667</v>
      </c>
      <c r="L80" s="68" t="s">
        <v>3668</v>
      </c>
    </row>
    <row r="81" spans="1:12" x14ac:dyDescent="0.25">
      <c r="A81" s="68" t="s">
        <v>277</v>
      </c>
      <c r="B81" s="68" t="s">
        <v>1103</v>
      </c>
      <c r="C81" s="80" t="s">
        <v>1919</v>
      </c>
      <c r="D81" s="68" t="s">
        <v>277</v>
      </c>
      <c r="E81"/>
      <c r="F81" s="68" t="s">
        <v>2712</v>
      </c>
      <c r="G81" s="80"/>
      <c r="H81" s="122">
        <v>44645</v>
      </c>
      <c r="I81" s="68" t="s">
        <v>3480</v>
      </c>
      <c r="J81" s="68">
        <v>506.4</v>
      </c>
      <c r="K81" s="68" t="s">
        <v>3667</v>
      </c>
      <c r="L81" s="68" t="s">
        <v>3668</v>
      </c>
    </row>
    <row r="82" spans="1:12" x14ac:dyDescent="0.25">
      <c r="A82" s="68" t="s">
        <v>278</v>
      </c>
      <c r="B82" s="68" t="s">
        <v>1104</v>
      </c>
      <c r="C82" s="80" t="s">
        <v>1920</v>
      </c>
      <c r="D82" s="68" t="s">
        <v>278</v>
      </c>
      <c r="E82"/>
      <c r="F82" s="68" t="s">
        <v>2713</v>
      </c>
      <c r="G82" s="80"/>
      <c r="H82" s="122">
        <v>44639</v>
      </c>
      <c r="I82" s="68" t="s">
        <v>3480</v>
      </c>
      <c r="J82" s="68">
        <v>432</v>
      </c>
      <c r="K82" s="68" t="s">
        <v>3667</v>
      </c>
      <c r="L82" s="68" t="s">
        <v>3668</v>
      </c>
    </row>
    <row r="83" spans="1:12" x14ac:dyDescent="0.25">
      <c r="A83" s="68" t="s">
        <v>279</v>
      </c>
      <c r="B83" s="68" t="s">
        <v>1105</v>
      </c>
      <c r="C83" s="80" t="s">
        <v>1921</v>
      </c>
      <c r="D83" s="68" t="s">
        <v>279</v>
      </c>
      <c r="E83"/>
      <c r="F83" s="68" t="s">
        <v>2714</v>
      </c>
      <c r="G83" s="80"/>
      <c r="H83" s="122">
        <v>44643</v>
      </c>
      <c r="I83" s="68" t="s">
        <v>3437</v>
      </c>
      <c r="J83" s="68">
        <v>138</v>
      </c>
      <c r="K83" s="68" t="s">
        <v>3667</v>
      </c>
      <c r="L83" s="68" t="s">
        <v>3668</v>
      </c>
    </row>
    <row r="84" spans="1:12" x14ac:dyDescent="0.25">
      <c r="A84" s="68" t="s">
        <v>280</v>
      </c>
      <c r="B84" s="68" t="s">
        <v>1106</v>
      </c>
      <c r="C84" s="80" t="s">
        <v>1922</v>
      </c>
      <c r="D84" s="68" t="s">
        <v>280</v>
      </c>
      <c r="E84"/>
      <c r="F84" s="68" t="s">
        <v>2715</v>
      </c>
      <c r="G84" s="80"/>
      <c r="H84" s="122">
        <v>44643</v>
      </c>
      <c r="I84" s="68" t="s">
        <v>3437</v>
      </c>
      <c r="J84" s="68">
        <v>178.4</v>
      </c>
      <c r="K84" s="68" t="s">
        <v>3667</v>
      </c>
      <c r="L84" s="68" t="s">
        <v>3668</v>
      </c>
    </row>
    <row r="85" spans="1:12" x14ac:dyDescent="0.25">
      <c r="A85" s="68" t="s">
        <v>281</v>
      </c>
      <c r="B85" s="68" t="s">
        <v>1107</v>
      </c>
      <c r="C85" s="80" t="s">
        <v>1923</v>
      </c>
      <c r="D85" s="68" t="s">
        <v>281</v>
      </c>
      <c r="E85"/>
      <c r="F85" s="68" t="s">
        <v>2716</v>
      </c>
      <c r="G85" s="80"/>
      <c r="H85" s="122">
        <v>44643</v>
      </c>
      <c r="I85" s="68" t="s">
        <v>3437</v>
      </c>
      <c r="J85" s="68">
        <v>166.8</v>
      </c>
      <c r="K85" s="68" t="s">
        <v>3667</v>
      </c>
      <c r="L85" s="68" t="s">
        <v>3668</v>
      </c>
    </row>
    <row r="86" spans="1:12" x14ac:dyDescent="0.25">
      <c r="A86" s="68" t="s">
        <v>282</v>
      </c>
      <c r="B86" s="68" t="s">
        <v>1108</v>
      </c>
      <c r="C86" s="80" t="s">
        <v>1924</v>
      </c>
      <c r="D86" s="68" t="s">
        <v>282</v>
      </c>
      <c r="E86"/>
      <c r="F86" s="68" t="s">
        <v>2717</v>
      </c>
      <c r="G86" s="80"/>
      <c r="H86" s="122">
        <v>44642</v>
      </c>
      <c r="I86" s="68" t="s">
        <v>3481</v>
      </c>
      <c r="J86" s="68">
        <v>506.4</v>
      </c>
      <c r="K86" s="68" t="s">
        <v>3667</v>
      </c>
      <c r="L86" s="68" t="s">
        <v>3668</v>
      </c>
    </row>
    <row r="87" spans="1:12" x14ac:dyDescent="0.25">
      <c r="A87" s="68" t="s">
        <v>283</v>
      </c>
      <c r="B87" s="68" t="s">
        <v>1109</v>
      </c>
      <c r="C87" s="80" t="s">
        <v>1925</v>
      </c>
      <c r="D87" s="68" t="s">
        <v>283</v>
      </c>
      <c r="E87"/>
      <c r="F87" s="68" t="s">
        <v>2718</v>
      </c>
      <c r="G87" s="80"/>
      <c r="H87" s="122">
        <v>44642</v>
      </c>
      <c r="I87" s="68" t="s">
        <v>3481</v>
      </c>
      <c r="J87" s="68">
        <v>466.8</v>
      </c>
      <c r="K87" s="68" t="s">
        <v>3667</v>
      </c>
      <c r="L87" s="68" t="s">
        <v>3668</v>
      </c>
    </row>
    <row r="88" spans="1:12" x14ac:dyDescent="0.25">
      <c r="A88" s="68" t="s">
        <v>278</v>
      </c>
      <c r="B88" s="68" t="s">
        <v>1104</v>
      </c>
      <c r="C88" s="80" t="s">
        <v>1920</v>
      </c>
      <c r="D88" s="68" t="s">
        <v>278</v>
      </c>
      <c r="E88"/>
      <c r="F88" s="68" t="s">
        <v>2713</v>
      </c>
      <c r="G88" s="80"/>
      <c r="H88" s="122">
        <v>44639</v>
      </c>
      <c r="I88" s="68" t="s">
        <v>3442</v>
      </c>
      <c r="J88" s="68">
        <v>273.2</v>
      </c>
      <c r="K88" s="68" t="s">
        <v>3667</v>
      </c>
      <c r="L88" s="68" t="s">
        <v>3668</v>
      </c>
    </row>
    <row r="89" spans="1:12" x14ac:dyDescent="0.25">
      <c r="A89" s="68" t="s">
        <v>284</v>
      </c>
      <c r="B89" s="68" t="s">
        <v>1110</v>
      </c>
      <c r="C89" s="80" t="s">
        <v>1920</v>
      </c>
      <c r="D89" s="68" t="s">
        <v>284</v>
      </c>
      <c r="E89"/>
      <c r="F89" s="68" t="s">
        <v>2719</v>
      </c>
      <c r="G89" s="80"/>
      <c r="H89" s="122">
        <v>44638</v>
      </c>
      <c r="I89" s="68" t="s">
        <v>3442</v>
      </c>
      <c r="J89" s="68">
        <v>740</v>
      </c>
      <c r="K89" s="68" t="s">
        <v>3667</v>
      </c>
      <c r="L89" s="68" t="s">
        <v>3668</v>
      </c>
    </row>
    <row r="90" spans="1:12" x14ac:dyDescent="0.25">
      <c r="A90" s="68" t="s">
        <v>282</v>
      </c>
      <c r="B90" s="68" t="s">
        <v>1108</v>
      </c>
      <c r="C90" s="80" t="s">
        <v>1924</v>
      </c>
      <c r="D90" s="68" t="s">
        <v>282</v>
      </c>
      <c r="E90"/>
      <c r="F90" s="68" t="s">
        <v>2717</v>
      </c>
      <c r="G90" s="80"/>
      <c r="H90" s="122">
        <v>44638</v>
      </c>
      <c r="I90" s="68" t="s">
        <v>3442</v>
      </c>
      <c r="J90" s="68">
        <v>216</v>
      </c>
      <c r="K90" s="68" t="s">
        <v>3667</v>
      </c>
      <c r="L90" s="68" t="s">
        <v>3668</v>
      </c>
    </row>
    <row r="91" spans="1:12" x14ac:dyDescent="0.25">
      <c r="A91" s="68" t="s">
        <v>283</v>
      </c>
      <c r="B91" s="68" t="s">
        <v>1111</v>
      </c>
      <c r="C91" s="80" t="s">
        <v>1926</v>
      </c>
      <c r="D91" s="68" t="s">
        <v>283</v>
      </c>
      <c r="E91"/>
      <c r="F91" s="68" t="s">
        <v>2720</v>
      </c>
      <c r="G91" s="80"/>
      <c r="H91" s="122">
        <v>44638</v>
      </c>
      <c r="I91" s="68" t="s">
        <v>3442</v>
      </c>
      <c r="J91" s="68">
        <v>1072.8</v>
      </c>
      <c r="K91" s="68" t="s">
        <v>3667</v>
      </c>
      <c r="L91" s="68" t="s">
        <v>3668</v>
      </c>
    </row>
    <row r="92" spans="1:12" x14ac:dyDescent="0.25">
      <c r="A92" s="68" t="s">
        <v>285</v>
      </c>
      <c r="B92" s="68" t="s">
        <v>1112</v>
      </c>
      <c r="C92" s="80" t="s">
        <v>1927</v>
      </c>
      <c r="D92" s="68" t="s">
        <v>285</v>
      </c>
      <c r="E92"/>
      <c r="F92" s="68" t="s">
        <v>2721</v>
      </c>
      <c r="G92" s="80"/>
      <c r="H92" s="122">
        <v>44638</v>
      </c>
      <c r="I92" s="68" t="s">
        <v>3442</v>
      </c>
      <c r="J92" s="68">
        <v>828</v>
      </c>
      <c r="K92" s="68" t="s">
        <v>3667</v>
      </c>
      <c r="L92" s="68" t="s">
        <v>3668</v>
      </c>
    </row>
    <row r="93" spans="1:12" x14ac:dyDescent="0.25">
      <c r="A93" s="68" t="s">
        <v>286</v>
      </c>
      <c r="B93" s="68" t="s">
        <v>1113</v>
      </c>
      <c r="C93" s="80" t="s">
        <v>1928</v>
      </c>
      <c r="D93" s="68" t="s">
        <v>286</v>
      </c>
      <c r="E93"/>
      <c r="F93" s="68" t="s">
        <v>2722</v>
      </c>
      <c r="G93" s="80"/>
      <c r="H93" s="122">
        <v>44638</v>
      </c>
      <c r="I93" s="68" t="s">
        <v>3442</v>
      </c>
      <c r="J93" s="68">
        <v>266</v>
      </c>
      <c r="K93" s="68" t="s">
        <v>3667</v>
      </c>
      <c r="L93" s="68" t="s">
        <v>3668</v>
      </c>
    </row>
    <row r="94" spans="1:12" x14ac:dyDescent="0.25">
      <c r="A94" s="68" t="s">
        <v>287</v>
      </c>
      <c r="B94" s="68" t="s">
        <v>1114</v>
      </c>
      <c r="C94" s="80" t="s">
        <v>1929</v>
      </c>
      <c r="D94" s="68" t="s">
        <v>287</v>
      </c>
      <c r="E94"/>
      <c r="F94" s="68" t="s">
        <v>2723</v>
      </c>
      <c r="G94" s="80"/>
      <c r="H94" s="122">
        <v>44629</v>
      </c>
      <c r="I94" s="68" t="s">
        <v>3447</v>
      </c>
      <c r="J94" s="68">
        <v>276</v>
      </c>
      <c r="K94" s="68" t="s">
        <v>3667</v>
      </c>
      <c r="L94" s="68" t="s">
        <v>3668</v>
      </c>
    </row>
    <row r="95" spans="1:12" x14ac:dyDescent="0.25">
      <c r="A95" s="68" t="s">
        <v>288</v>
      </c>
      <c r="B95" s="68" t="s">
        <v>1115</v>
      </c>
      <c r="C95" s="80" t="s">
        <v>1930</v>
      </c>
      <c r="D95" s="68" t="s">
        <v>288</v>
      </c>
      <c r="E95"/>
      <c r="F95" s="68" t="s">
        <v>2724</v>
      </c>
      <c r="G95" s="80"/>
      <c r="H95" s="122">
        <v>44473</v>
      </c>
      <c r="I95" s="68" t="s">
        <v>3449</v>
      </c>
      <c r="J95" s="68">
        <v>178.4</v>
      </c>
      <c r="K95" s="68" t="s">
        <v>3667</v>
      </c>
      <c r="L95" s="68" t="s">
        <v>3668</v>
      </c>
    </row>
    <row r="96" spans="1:12" x14ac:dyDescent="0.25">
      <c r="A96" s="68" t="s">
        <v>289</v>
      </c>
      <c r="B96" s="68" t="s">
        <v>1116</v>
      </c>
      <c r="C96" s="80" t="s">
        <v>1931</v>
      </c>
      <c r="D96" s="68" t="s">
        <v>289</v>
      </c>
      <c r="E96"/>
      <c r="F96" s="68" t="s">
        <v>2725</v>
      </c>
      <c r="G96" s="80"/>
      <c r="H96" s="122">
        <v>44492</v>
      </c>
      <c r="I96" s="68" t="s">
        <v>3449</v>
      </c>
      <c r="J96" s="68">
        <v>1062</v>
      </c>
      <c r="K96" s="68" t="s">
        <v>3667</v>
      </c>
      <c r="L96" s="68" t="s">
        <v>3668</v>
      </c>
    </row>
    <row r="97" spans="1:12" x14ac:dyDescent="0.25">
      <c r="A97" s="68" t="s">
        <v>290</v>
      </c>
      <c r="B97" s="68" t="s">
        <v>1117</v>
      </c>
      <c r="C97" s="80" t="s">
        <v>1932</v>
      </c>
      <c r="D97" s="68" t="s">
        <v>290</v>
      </c>
      <c r="E97"/>
      <c r="F97" s="68" t="s">
        <v>2726</v>
      </c>
      <c r="G97" s="80"/>
      <c r="H97" s="122">
        <v>44511</v>
      </c>
      <c r="I97" s="68" t="s">
        <v>3449</v>
      </c>
      <c r="J97" s="68">
        <v>506.4</v>
      </c>
      <c r="K97" s="68" t="s">
        <v>3667</v>
      </c>
      <c r="L97" s="68" t="s">
        <v>3668</v>
      </c>
    </row>
    <row r="98" spans="1:12" x14ac:dyDescent="0.25">
      <c r="A98" s="68" t="s">
        <v>291</v>
      </c>
      <c r="B98" s="68" t="s">
        <v>1118</v>
      </c>
      <c r="C98" s="80" t="s">
        <v>1933</v>
      </c>
      <c r="D98" s="68" t="s">
        <v>291</v>
      </c>
      <c r="E98"/>
      <c r="F98" s="68" t="s">
        <v>2727</v>
      </c>
      <c r="G98" s="80"/>
      <c r="H98" s="122">
        <v>44621</v>
      </c>
      <c r="I98" s="68" t="s">
        <v>3482</v>
      </c>
      <c r="J98" s="68">
        <v>6028</v>
      </c>
      <c r="K98" s="68" t="s">
        <v>3667</v>
      </c>
      <c r="L98" s="68" t="s">
        <v>3668</v>
      </c>
    </row>
    <row r="99" spans="1:12" x14ac:dyDescent="0.25">
      <c r="A99" s="68" t="s">
        <v>290</v>
      </c>
      <c r="B99" s="68" t="s">
        <v>1117</v>
      </c>
      <c r="C99" s="80" t="s">
        <v>1932</v>
      </c>
      <c r="D99" s="68" t="s">
        <v>290</v>
      </c>
      <c r="E99"/>
      <c r="F99" s="68" t="s">
        <v>2726</v>
      </c>
      <c r="G99" s="80"/>
      <c r="H99" s="122">
        <v>44551</v>
      </c>
      <c r="I99" s="68" t="s">
        <v>3482</v>
      </c>
      <c r="J99" s="68">
        <v>2124</v>
      </c>
      <c r="K99" s="68" t="s">
        <v>3667</v>
      </c>
      <c r="L99" s="68" t="s">
        <v>3668</v>
      </c>
    </row>
    <row r="100" spans="1:12" x14ac:dyDescent="0.25">
      <c r="A100" s="68" t="s">
        <v>292</v>
      </c>
      <c r="B100" s="68" t="s">
        <v>1119</v>
      </c>
      <c r="C100" s="80" t="s">
        <v>1934</v>
      </c>
      <c r="D100" s="68" t="s">
        <v>292</v>
      </c>
      <c r="E100"/>
      <c r="F100" s="68" t="s">
        <v>2728</v>
      </c>
      <c r="G100" s="80"/>
      <c r="H100" s="122">
        <v>44618</v>
      </c>
      <c r="I100" s="68" t="s">
        <v>3483</v>
      </c>
      <c r="J100" s="68">
        <v>532</v>
      </c>
      <c r="K100" s="68" t="s">
        <v>3667</v>
      </c>
      <c r="L100" s="68" t="s">
        <v>3668</v>
      </c>
    </row>
    <row r="101" spans="1:12" x14ac:dyDescent="0.25">
      <c r="A101" s="68" t="s">
        <v>293</v>
      </c>
      <c r="B101" s="68" t="s">
        <v>1120</v>
      </c>
      <c r="C101" s="80" t="s">
        <v>1935</v>
      </c>
      <c r="D101" s="68" t="s">
        <v>293</v>
      </c>
      <c r="E101"/>
      <c r="F101" s="68" t="s">
        <v>2729</v>
      </c>
      <c r="G101" s="80"/>
      <c r="H101" s="122">
        <v>44613</v>
      </c>
      <c r="I101" s="68" t="s">
        <v>3483</v>
      </c>
      <c r="J101" s="68">
        <v>480</v>
      </c>
      <c r="K101" s="68" t="s">
        <v>3667</v>
      </c>
      <c r="L101" s="68" t="s">
        <v>3668</v>
      </c>
    </row>
    <row r="102" spans="1:12" x14ac:dyDescent="0.25">
      <c r="A102" s="68" t="s">
        <v>294</v>
      </c>
      <c r="B102" s="68" t="s">
        <v>1121</v>
      </c>
      <c r="C102" s="80" t="s">
        <v>1936</v>
      </c>
      <c r="D102" s="68" t="s">
        <v>294</v>
      </c>
      <c r="E102"/>
      <c r="F102" s="68" t="s">
        <v>2730</v>
      </c>
      <c r="G102" s="80"/>
      <c r="H102" s="122">
        <v>44615</v>
      </c>
      <c r="I102" s="68" t="s">
        <v>3484</v>
      </c>
      <c r="J102" s="68">
        <v>227.6</v>
      </c>
      <c r="K102" s="68" t="s">
        <v>3667</v>
      </c>
      <c r="L102" s="68" t="s">
        <v>3668</v>
      </c>
    </row>
    <row r="103" spans="1:12" x14ac:dyDescent="0.25">
      <c r="A103" s="68" t="s">
        <v>295</v>
      </c>
      <c r="B103" s="68" t="s">
        <v>1122</v>
      </c>
      <c r="C103" s="80" t="s">
        <v>1937</v>
      </c>
      <c r="D103" s="68" t="s">
        <v>295</v>
      </c>
      <c r="E103"/>
      <c r="F103" s="68" t="s">
        <v>2731</v>
      </c>
      <c r="G103" s="80"/>
      <c r="H103" s="122">
        <v>44615</v>
      </c>
      <c r="I103" s="68" t="s">
        <v>3484</v>
      </c>
      <c r="J103" s="68">
        <v>470</v>
      </c>
      <c r="K103" s="68" t="s">
        <v>3667</v>
      </c>
      <c r="L103" s="68" t="s">
        <v>3668</v>
      </c>
    </row>
    <row r="104" spans="1:12" x14ac:dyDescent="0.25">
      <c r="A104" s="68" t="s">
        <v>296</v>
      </c>
      <c r="B104" s="68" t="s">
        <v>1123</v>
      </c>
      <c r="C104" s="80" t="s">
        <v>1938</v>
      </c>
      <c r="D104" s="68" t="s">
        <v>296</v>
      </c>
      <c r="E104"/>
      <c r="F104" s="68" t="s">
        <v>2732</v>
      </c>
      <c r="G104" s="80"/>
      <c r="H104" s="122">
        <v>44615</v>
      </c>
      <c r="I104" s="68" t="s">
        <v>3484</v>
      </c>
      <c r="J104" s="68">
        <v>256.39999999999998</v>
      </c>
      <c r="K104" s="68" t="s">
        <v>3667</v>
      </c>
      <c r="L104" s="68" t="s">
        <v>3668</v>
      </c>
    </row>
    <row r="105" spans="1:12" x14ac:dyDescent="0.25">
      <c r="A105" s="68" t="s">
        <v>297</v>
      </c>
      <c r="B105" s="68" t="s">
        <v>1124</v>
      </c>
      <c r="C105" s="80" t="s">
        <v>1939</v>
      </c>
      <c r="D105" s="68" t="s">
        <v>297</v>
      </c>
      <c r="E105"/>
      <c r="F105" s="68" t="s">
        <v>2733</v>
      </c>
      <c r="G105" s="80"/>
      <c r="H105" s="122">
        <v>44615</v>
      </c>
      <c r="I105" s="68" t="s">
        <v>3484</v>
      </c>
      <c r="J105" s="68">
        <v>1118.4000000000001</v>
      </c>
      <c r="K105" s="68" t="s">
        <v>3667</v>
      </c>
      <c r="L105" s="68" t="s">
        <v>3668</v>
      </c>
    </row>
    <row r="106" spans="1:12" x14ac:dyDescent="0.25">
      <c r="A106" s="68" t="s">
        <v>298</v>
      </c>
      <c r="B106" s="68" t="s">
        <v>1125</v>
      </c>
      <c r="C106" s="80" t="s">
        <v>1940</v>
      </c>
      <c r="D106" s="68" t="s">
        <v>298</v>
      </c>
      <c r="E106"/>
      <c r="F106" s="68" t="s">
        <v>2734</v>
      </c>
      <c r="G106" s="80"/>
      <c r="H106" s="122">
        <v>44614</v>
      </c>
      <c r="I106" s="68" t="s">
        <v>3485</v>
      </c>
      <c r="J106" s="68">
        <v>61.2</v>
      </c>
      <c r="K106" s="68" t="s">
        <v>3667</v>
      </c>
      <c r="L106" s="68" t="s">
        <v>3668</v>
      </c>
    </row>
    <row r="107" spans="1:12" x14ac:dyDescent="0.25">
      <c r="A107" s="68" t="s">
        <v>299</v>
      </c>
      <c r="B107" s="68" t="s">
        <v>1126</v>
      </c>
      <c r="C107" s="80" t="s">
        <v>1941</v>
      </c>
      <c r="D107" s="68" t="s">
        <v>299</v>
      </c>
      <c r="E107"/>
      <c r="F107" s="68" t="s">
        <v>2735</v>
      </c>
      <c r="G107" s="80"/>
      <c r="H107" s="122">
        <v>44611</v>
      </c>
      <c r="I107" s="68" t="s">
        <v>3486</v>
      </c>
      <c r="J107" s="68">
        <v>552</v>
      </c>
      <c r="K107" s="68" t="s">
        <v>3667</v>
      </c>
      <c r="L107" s="68" t="s">
        <v>3668</v>
      </c>
    </row>
    <row r="108" spans="1:12" x14ac:dyDescent="0.25">
      <c r="A108" s="68" t="s">
        <v>300</v>
      </c>
      <c r="B108" s="68" t="s">
        <v>1127</v>
      </c>
      <c r="C108" s="80" t="s">
        <v>1942</v>
      </c>
      <c r="D108" s="68" t="s">
        <v>300</v>
      </c>
      <c r="E108"/>
      <c r="F108" s="68" t="s">
        <v>2736</v>
      </c>
      <c r="G108" s="80"/>
      <c r="H108" s="122">
        <v>44610</v>
      </c>
      <c r="I108" s="68" t="s">
        <v>3486</v>
      </c>
      <c r="J108" s="68">
        <v>80.400000000000006</v>
      </c>
      <c r="K108" s="68" t="s">
        <v>3667</v>
      </c>
      <c r="L108" s="68" t="s">
        <v>3668</v>
      </c>
    </row>
    <row r="109" spans="1:12" x14ac:dyDescent="0.25">
      <c r="A109" s="68" t="s">
        <v>287</v>
      </c>
      <c r="B109" s="68" t="s">
        <v>1114</v>
      </c>
      <c r="C109" s="80" t="s">
        <v>1929</v>
      </c>
      <c r="D109" s="68" t="s">
        <v>287</v>
      </c>
      <c r="E109"/>
      <c r="F109" s="68" t="s">
        <v>2723</v>
      </c>
      <c r="G109" s="80"/>
      <c r="H109" s="122">
        <v>44594</v>
      </c>
      <c r="I109" s="68" t="s">
        <v>3486</v>
      </c>
      <c r="J109" s="68">
        <v>36</v>
      </c>
      <c r="K109" s="68" t="s">
        <v>3667</v>
      </c>
      <c r="L109" s="68" t="s">
        <v>3668</v>
      </c>
    </row>
    <row r="110" spans="1:12" x14ac:dyDescent="0.25">
      <c r="A110" s="68" t="s">
        <v>301</v>
      </c>
      <c r="B110" s="68" t="s">
        <v>1128</v>
      </c>
      <c r="C110" s="80" t="s">
        <v>1943</v>
      </c>
      <c r="D110" s="68" t="s">
        <v>301</v>
      </c>
      <c r="E110"/>
      <c r="F110" s="68" t="s">
        <v>2737</v>
      </c>
      <c r="G110" s="80"/>
      <c r="H110" s="122">
        <v>44603</v>
      </c>
      <c r="I110" s="68" t="s">
        <v>3456</v>
      </c>
      <c r="J110" s="68">
        <v>1012.8</v>
      </c>
      <c r="K110" s="68" t="s">
        <v>3667</v>
      </c>
      <c r="L110" s="68" t="s">
        <v>3668</v>
      </c>
    </row>
    <row r="111" spans="1:12" x14ac:dyDescent="0.25">
      <c r="A111" s="68" t="s">
        <v>283</v>
      </c>
      <c r="B111" s="68" t="s">
        <v>1109</v>
      </c>
      <c r="C111" s="80" t="s">
        <v>1925</v>
      </c>
      <c r="D111" s="68" t="s">
        <v>283</v>
      </c>
      <c r="E111"/>
      <c r="F111" s="68" t="s">
        <v>2718</v>
      </c>
      <c r="G111" s="80"/>
      <c r="H111" s="122">
        <v>44603</v>
      </c>
      <c r="I111" s="68" t="s">
        <v>3464</v>
      </c>
      <c r="J111" s="68">
        <v>332.4</v>
      </c>
      <c r="K111" s="68" t="s">
        <v>3667</v>
      </c>
      <c r="L111" s="68" t="s">
        <v>3668</v>
      </c>
    </row>
    <row r="112" spans="1:12" x14ac:dyDescent="0.25">
      <c r="A112" s="68" t="s">
        <v>285</v>
      </c>
      <c r="B112" s="68" t="s">
        <v>1112</v>
      </c>
      <c r="C112" s="80" t="s">
        <v>1927</v>
      </c>
      <c r="D112" s="68" t="s">
        <v>285</v>
      </c>
      <c r="E112"/>
      <c r="F112" s="68" t="s">
        <v>2721</v>
      </c>
      <c r="G112" s="80"/>
      <c r="H112" s="122">
        <v>44603</v>
      </c>
      <c r="I112" s="68" t="s">
        <v>3464</v>
      </c>
      <c r="J112" s="68">
        <v>273.2</v>
      </c>
      <c r="K112" s="68" t="s">
        <v>3667</v>
      </c>
      <c r="L112" s="68" t="s">
        <v>3668</v>
      </c>
    </row>
    <row r="113" spans="1:12" x14ac:dyDescent="0.25">
      <c r="A113" s="68" t="s">
        <v>292</v>
      </c>
      <c r="B113" s="68" t="s">
        <v>1119</v>
      </c>
      <c r="C113" s="80" t="s">
        <v>1934</v>
      </c>
      <c r="D113" s="68" t="s">
        <v>292</v>
      </c>
      <c r="E113"/>
      <c r="F113" s="68" t="s">
        <v>2728</v>
      </c>
      <c r="G113" s="80"/>
      <c r="H113" s="122">
        <v>44600</v>
      </c>
      <c r="I113" s="68" t="s">
        <v>3487</v>
      </c>
      <c r="J113" s="68">
        <v>227.6</v>
      </c>
      <c r="K113" s="68" t="s">
        <v>3667</v>
      </c>
      <c r="L113" s="68" t="s">
        <v>3668</v>
      </c>
    </row>
    <row r="114" spans="1:12" x14ac:dyDescent="0.25">
      <c r="A114" s="68" t="s">
        <v>301</v>
      </c>
      <c r="B114" s="68" t="s">
        <v>1128</v>
      </c>
      <c r="C114" s="80" t="s">
        <v>1943</v>
      </c>
      <c r="D114" s="68" t="s">
        <v>301</v>
      </c>
      <c r="E114"/>
      <c r="F114" s="68" t="s">
        <v>2737</v>
      </c>
      <c r="G114" s="80"/>
      <c r="H114" s="122">
        <v>44600</v>
      </c>
      <c r="I114" s="68" t="s">
        <v>3486</v>
      </c>
      <c r="J114" s="68">
        <v>408.8</v>
      </c>
      <c r="K114" s="68" t="s">
        <v>3667</v>
      </c>
      <c r="L114" s="68" t="s">
        <v>3668</v>
      </c>
    </row>
    <row r="115" spans="1:12" x14ac:dyDescent="0.25">
      <c r="A115" s="68" t="s">
        <v>302</v>
      </c>
      <c r="B115" s="68" t="s">
        <v>1129</v>
      </c>
      <c r="C115" s="80" t="s">
        <v>1944</v>
      </c>
      <c r="D115" s="68" t="s">
        <v>302</v>
      </c>
      <c r="E115"/>
      <c r="F115" s="68" t="s">
        <v>2738</v>
      </c>
      <c r="G115" s="80"/>
      <c r="H115" s="122">
        <v>44600</v>
      </c>
      <c r="I115" s="68" t="s">
        <v>3487</v>
      </c>
      <c r="J115" s="68">
        <v>607.20000000000005</v>
      </c>
      <c r="K115" s="68" t="s">
        <v>3667</v>
      </c>
      <c r="L115" s="68" t="s">
        <v>3668</v>
      </c>
    </row>
    <row r="116" spans="1:12" x14ac:dyDescent="0.25">
      <c r="A116" s="68" t="s">
        <v>303</v>
      </c>
      <c r="B116" s="68" t="s">
        <v>1130</v>
      </c>
      <c r="C116" s="80" t="s">
        <v>1945</v>
      </c>
      <c r="D116" s="68" t="s">
        <v>303</v>
      </c>
      <c r="E116"/>
      <c r="F116" s="68" t="s">
        <v>2739</v>
      </c>
      <c r="G116" s="80"/>
      <c r="H116" s="122">
        <v>44588</v>
      </c>
      <c r="I116" s="68" t="s">
        <v>3488</v>
      </c>
      <c r="J116" s="68">
        <v>20</v>
      </c>
      <c r="K116" s="68" t="s">
        <v>3667</v>
      </c>
      <c r="L116" s="68" t="s">
        <v>3668</v>
      </c>
    </row>
    <row r="117" spans="1:12" x14ac:dyDescent="0.25">
      <c r="A117" s="68" t="s">
        <v>304</v>
      </c>
      <c r="B117" s="68" t="s">
        <v>1131</v>
      </c>
      <c r="C117" s="80" t="s">
        <v>1946</v>
      </c>
      <c r="D117" s="68" t="s">
        <v>304</v>
      </c>
      <c r="E117"/>
      <c r="F117" s="68" t="s">
        <v>2740</v>
      </c>
      <c r="G117" s="80"/>
      <c r="H117" s="122">
        <v>44553</v>
      </c>
      <c r="I117" s="68" t="s">
        <v>3464</v>
      </c>
      <c r="J117" s="68">
        <v>813.6</v>
      </c>
      <c r="K117" s="68" t="s">
        <v>3667</v>
      </c>
      <c r="L117" s="68" t="s">
        <v>3668</v>
      </c>
    </row>
    <row r="118" spans="1:12" x14ac:dyDescent="0.25">
      <c r="A118" s="68" t="s">
        <v>305</v>
      </c>
      <c r="B118" s="68" t="s">
        <v>1132</v>
      </c>
      <c r="C118" s="80" t="s">
        <v>1947</v>
      </c>
      <c r="D118" s="68" t="s">
        <v>305</v>
      </c>
      <c r="E118"/>
      <c r="F118" s="68" t="s">
        <v>2741</v>
      </c>
      <c r="G118" s="80"/>
      <c r="H118" s="122">
        <v>44575</v>
      </c>
      <c r="I118" s="68" t="s">
        <v>3489</v>
      </c>
      <c r="J118" s="68">
        <v>408.8</v>
      </c>
      <c r="K118" s="68" t="s">
        <v>3667</v>
      </c>
      <c r="L118" s="68" t="s">
        <v>3668</v>
      </c>
    </row>
    <row r="119" spans="1:12" x14ac:dyDescent="0.25">
      <c r="A119" s="68" t="s">
        <v>306</v>
      </c>
      <c r="B119" s="68" t="s">
        <v>1133</v>
      </c>
      <c r="C119" s="80" t="s">
        <v>1948</v>
      </c>
      <c r="D119" s="68" t="s">
        <v>306</v>
      </c>
      <c r="E119"/>
      <c r="F119" s="68" t="s">
        <v>2742</v>
      </c>
      <c r="G119" s="80"/>
      <c r="H119" s="122">
        <v>44575</v>
      </c>
      <c r="I119" s="68" t="s">
        <v>3490</v>
      </c>
      <c r="J119" s="68">
        <v>132.80000000000001</v>
      </c>
      <c r="K119" s="68" t="s">
        <v>3667</v>
      </c>
      <c r="L119" s="68" t="s">
        <v>3668</v>
      </c>
    </row>
    <row r="120" spans="1:12" x14ac:dyDescent="0.25">
      <c r="A120" s="68" t="s">
        <v>307</v>
      </c>
      <c r="B120" s="68" t="s">
        <v>1134</v>
      </c>
      <c r="C120" s="80" t="s">
        <v>1949</v>
      </c>
      <c r="D120" s="68" t="s">
        <v>307</v>
      </c>
      <c r="E120"/>
      <c r="F120" s="68" t="s">
        <v>2743</v>
      </c>
      <c r="G120" s="80"/>
      <c r="H120" s="122">
        <v>44575</v>
      </c>
      <c r="I120" s="68" t="s">
        <v>3490</v>
      </c>
      <c r="J120" s="68">
        <v>332.4</v>
      </c>
      <c r="K120" s="68" t="s">
        <v>3667</v>
      </c>
      <c r="L120" s="68" t="s">
        <v>3668</v>
      </c>
    </row>
    <row r="121" spans="1:12" x14ac:dyDescent="0.25">
      <c r="A121" s="68" t="s">
        <v>308</v>
      </c>
      <c r="B121" s="68" t="s">
        <v>1135</v>
      </c>
      <c r="C121" s="80" t="s">
        <v>1950</v>
      </c>
      <c r="D121" s="68" t="s">
        <v>308</v>
      </c>
      <c r="E121"/>
      <c r="F121" s="68" t="s">
        <v>2744</v>
      </c>
      <c r="G121" s="80"/>
      <c r="H121" s="122">
        <v>44575</v>
      </c>
      <c r="I121" s="68" t="s">
        <v>3490</v>
      </c>
      <c r="J121" s="68">
        <v>294.8</v>
      </c>
      <c r="K121" s="68" t="s">
        <v>3667</v>
      </c>
      <c r="L121" s="68" t="s">
        <v>3668</v>
      </c>
    </row>
    <row r="122" spans="1:12" x14ac:dyDescent="0.25">
      <c r="A122" s="68" t="s">
        <v>298</v>
      </c>
      <c r="B122" s="68" t="s">
        <v>1125</v>
      </c>
      <c r="C122" s="80" t="s">
        <v>1940</v>
      </c>
      <c r="D122" s="68" t="s">
        <v>298</v>
      </c>
      <c r="E122"/>
      <c r="F122" s="68" t="s">
        <v>2734</v>
      </c>
      <c r="G122" s="80"/>
      <c r="H122" s="122">
        <v>44573</v>
      </c>
      <c r="I122" s="68" t="s">
        <v>3443</v>
      </c>
      <c r="J122" s="68">
        <v>612</v>
      </c>
      <c r="K122" s="68" t="s">
        <v>3667</v>
      </c>
      <c r="L122" s="68" t="s">
        <v>3668</v>
      </c>
    </row>
    <row r="123" spans="1:12" x14ac:dyDescent="0.25">
      <c r="A123" s="68" t="s">
        <v>309</v>
      </c>
      <c r="B123" s="68" t="s">
        <v>1136</v>
      </c>
      <c r="C123" s="80" t="s">
        <v>1951</v>
      </c>
      <c r="D123" s="68" t="s">
        <v>309</v>
      </c>
      <c r="E123"/>
      <c r="F123" s="68" t="s">
        <v>2745</v>
      </c>
      <c r="G123" s="80"/>
      <c r="H123" s="122">
        <v>44572</v>
      </c>
      <c r="I123" s="68" t="s">
        <v>3443</v>
      </c>
      <c r="J123" s="68">
        <v>332.4</v>
      </c>
      <c r="K123" s="68" t="s">
        <v>3667</v>
      </c>
      <c r="L123" s="68" t="s">
        <v>3668</v>
      </c>
    </row>
    <row r="124" spans="1:12" x14ac:dyDescent="0.25">
      <c r="A124" s="68" t="s">
        <v>300</v>
      </c>
      <c r="B124" s="68" t="s">
        <v>1127</v>
      </c>
      <c r="C124" s="80" t="s">
        <v>1942</v>
      </c>
      <c r="D124" s="68" t="s">
        <v>300</v>
      </c>
      <c r="E124"/>
      <c r="F124" s="68" t="s">
        <v>2736</v>
      </c>
      <c r="G124" s="80"/>
      <c r="H124" s="122">
        <v>44573</v>
      </c>
      <c r="I124" s="68" t="s">
        <v>3451</v>
      </c>
      <c r="J124" s="68">
        <v>364.8</v>
      </c>
      <c r="K124" s="68" t="s">
        <v>3667</v>
      </c>
      <c r="L124" s="68" t="s">
        <v>3668</v>
      </c>
    </row>
    <row r="125" spans="1:12" x14ac:dyDescent="0.25">
      <c r="A125" s="68" t="s">
        <v>310</v>
      </c>
      <c r="B125" s="68" t="s">
        <v>1137</v>
      </c>
      <c r="C125" s="80" t="s">
        <v>1952</v>
      </c>
      <c r="D125" s="68" t="s">
        <v>310</v>
      </c>
      <c r="E125"/>
      <c r="F125" s="68" t="s">
        <v>2746</v>
      </c>
      <c r="G125" s="80"/>
      <c r="H125" s="122">
        <v>44573</v>
      </c>
      <c r="I125" s="68" t="s">
        <v>3451</v>
      </c>
      <c r="J125" s="68">
        <v>350.4</v>
      </c>
      <c r="K125" s="68" t="s">
        <v>3667</v>
      </c>
      <c r="L125" s="68" t="s">
        <v>3668</v>
      </c>
    </row>
    <row r="126" spans="1:12" x14ac:dyDescent="0.25">
      <c r="A126" s="68" t="s">
        <v>311</v>
      </c>
      <c r="B126" s="68" t="s">
        <v>1138</v>
      </c>
      <c r="C126" s="80" t="s">
        <v>1953</v>
      </c>
      <c r="D126" s="68" t="s">
        <v>311</v>
      </c>
      <c r="E126"/>
      <c r="F126" s="68" t="s">
        <v>2747</v>
      </c>
      <c r="G126" s="80"/>
      <c r="H126" s="122">
        <v>44566</v>
      </c>
      <c r="I126" s="68" t="s">
        <v>3451</v>
      </c>
      <c r="J126" s="68">
        <v>700</v>
      </c>
      <c r="K126" s="68" t="s">
        <v>3667</v>
      </c>
      <c r="L126" s="68" t="s">
        <v>3668</v>
      </c>
    </row>
    <row r="127" spans="1:12" x14ac:dyDescent="0.25">
      <c r="A127" s="68" t="s">
        <v>312</v>
      </c>
      <c r="B127" s="68" t="s">
        <v>1139</v>
      </c>
      <c r="C127" s="80" t="s">
        <v>1954</v>
      </c>
      <c r="D127" s="68" t="s">
        <v>312</v>
      </c>
      <c r="E127"/>
      <c r="F127" s="68" t="s">
        <v>2748</v>
      </c>
      <c r="G127" s="80"/>
      <c r="H127" s="122">
        <v>44568</v>
      </c>
      <c r="I127" s="68" t="s">
        <v>3451</v>
      </c>
      <c r="J127" s="68">
        <v>256.39999999999998</v>
      </c>
      <c r="K127" s="68" t="s">
        <v>3667</v>
      </c>
      <c r="L127" s="68" t="s">
        <v>3668</v>
      </c>
    </row>
    <row r="128" spans="1:12" x14ac:dyDescent="0.25">
      <c r="A128" s="68" t="s">
        <v>313</v>
      </c>
      <c r="B128" s="68" t="s">
        <v>1140</v>
      </c>
      <c r="C128" s="80" t="s">
        <v>1955</v>
      </c>
      <c r="D128" s="68" t="s">
        <v>313</v>
      </c>
      <c r="E128"/>
      <c r="F128" s="68" t="s">
        <v>2749</v>
      </c>
      <c r="G128" s="80"/>
      <c r="H128" s="122">
        <v>44569</v>
      </c>
      <c r="I128" s="68" t="s">
        <v>3451</v>
      </c>
      <c r="J128" s="68">
        <v>819.6</v>
      </c>
      <c r="K128" s="68" t="s">
        <v>3667</v>
      </c>
      <c r="L128" s="68" t="s">
        <v>3668</v>
      </c>
    </row>
    <row r="129" spans="1:12" x14ac:dyDescent="0.25">
      <c r="A129" s="68" t="s">
        <v>314</v>
      </c>
      <c r="B129" s="68" t="s">
        <v>1141</v>
      </c>
      <c r="C129" s="80" t="s">
        <v>1956</v>
      </c>
      <c r="D129" s="68" t="s">
        <v>314</v>
      </c>
      <c r="E129"/>
      <c r="F129" s="68" t="s">
        <v>2750</v>
      </c>
      <c r="G129" s="80"/>
      <c r="H129" s="122">
        <v>44569</v>
      </c>
      <c r="I129" s="68" t="s">
        <v>3451</v>
      </c>
      <c r="J129" s="68">
        <v>216</v>
      </c>
      <c r="K129" s="68" t="s">
        <v>3667</v>
      </c>
      <c r="L129" s="68" t="s">
        <v>3668</v>
      </c>
    </row>
    <row r="130" spans="1:12" x14ac:dyDescent="0.25">
      <c r="A130" s="68" t="s">
        <v>315</v>
      </c>
      <c r="B130" s="68" t="s">
        <v>1142</v>
      </c>
      <c r="C130" s="80" t="s">
        <v>1957</v>
      </c>
      <c r="D130" s="68" t="s">
        <v>315</v>
      </c>
      <c r="E130"/>
      <c r="F130" s="68" t="s">
        <v>2751</v>
      </c>
      <c r="G130" s="80"/>
      <c r="H130" s="122">
        <v>44569</v>
      </c>
      <c r="I130" s="68" t="s">
        <v>3451</v>
      </c>
      <c r="J130" s="68">
        <v>324</v>
      </c>
      <c r="K130" s="68" t="s">
        <v>3667</v>
      </c>
      <c r="L130" s="68" t="s">
        <v>3668</v>
      </c>
    </row>
    <row r="131" spans="1:12" x14ac:dyDescent="0.25">
      <c r="A131" s="68" t="s">
        <v>316</v>
      </c>
      <c r="B131" s="68" t="s">
        <v>1143</v>
      </c>
      <c r="C131" s="80" t="s">
        <v>1958</v>
      </c>
      <c r="D131" s="68" t="s">
        <v>316</v>
      </c>
      <c r="E131"/>
      <c r="F131" s="68" t="s">
        <v>2752</v>
      </c>
      <c r="G131" s="80"/>
      <c r="H131" s="122">
        <v>44568</v>
      </c>
      <c r="I131" s="68" t="s">
        <v>3451</v>
      </c>
      <c r="J131" s="68">
        <v>149.6</v>
      </c>
      <c r="K131" s="68" t="s">
        <v>3667</v>
      </c>
      <c r="L131" s="68" t="s">
        <v>3668</v>
      </c>
    </row>
    <row r="132" spans="1:12" x14ac:dyDescent="0.25">
      <c r="A132" s="68" t="s">
        <v>317</v>
      </c>
      <c r="B132" s="68" t="s">
        <v>1144</v>
      </c>
      <c r="C132" s="80" t="s">
        <v>1959</v>
      </c>
      <c r="D132" s="68" t="s">
        <v>317</v>
      </c>
      <c r="E132"/>
      <c r="F132" s="68" t="s">
        <v>2753</v>
      </c>
      <c r="G132" s="80"/>
      <c r="H132" s="122">
        <v>44568</v>
      </c>
      <c r="I132" s="68" t="s">
        <v>3451</v>
      </c>
      <c r="J132" s="68">
        <v>61.2</v>
      </c>
      <c r="K132" s="68" t="s">
        <v>3667</v>
      </c>
      <c r="L132" s="68" t="s">
        <v>3668</v>
      </c>
    </row>
    <row r="133" spans="1:12" x14ac:dyDescent="0.25">
      <c r="A133" s="68" t="s">
        <v>318</v>
      </c>
      <c r="B133" s="68" t="s">
        <v>1145</v>
      </c>
      <c r="C133" s="80" t="s">
        <v>1960</v>
      </c>
      <c r="D133" s="68" t="s">
        <v>318</v>
      </c>
      <c r="E133"/>
      <c r="F133" s="68" t="s">
        <v>2754</v>
      </c>
      <c r="G133" s="80"/>
      <c r="H133" s="122">
        <v>44568</v>
      </c>
      <c r="I133" s="68" t="s">
        <v>3451</v>
      </c>
      <c r="J133" s="68">
        <v>520</v>
      </c>
      <c r="K133" s="68" t="s">
        <v>3667</v>
      </c>
      <c r="L133" s="68" t="s">
        <v>3668</v>
      </c>
    </row>
    <row r="134" spans="1:12" x14ac:dyDescent="0.25">
      <c r="A134" s="68" t="s">
        <v>319</v>
      </c>
      <c r="B134" s="68" t="s">
        <v>1146</v>
      </c>
      <c r="C134" s="80" t="s">
        <v>1961</v>
      </c>
      <c r="D134" s="68" t="s">
        <v>319</v>
      </c>
      <c r="E134"/>
      <c r="F134" s="68" t="s">
        <v>2755</v>
      </c>
      <c r="G134" s="80"/>
      <c r="H134" s="122">
        <v>44568</v>
      </c>
      <c r="I134" s="68" t="s">
        <v>3451</v>
      </c>
      <c r="J134" s="68">
        <v>480</v>
      </c>
      <c r="K134" s="68" t="s">
        <v>3667</v>
      </c>
      <c r="L134" s="68" t="s">
        <v>3668</v>
      </c>
    </row>
    <row r="135" spans="1:12" x14ac:dyDescent="0.25">
      <c r="A135" s="68" t="s">
        <v>320</v>
      </c>
      <c r="B135" s="68" t="s">
        <v>1147</v>
      </c>
      <c r="C135" s="80" t="s">
        <v>1962</v>
      </c>
      <c r="D135" s="68" t="s">
        <v>320</v>
      </c>
      <c r="E135"/>
      <c r="F135" s="68" t="s">
        <v>2756</v>
      </c>
      <c r="G135" s="80"/>
      <c r="H135" s="122">
        <v>44567</v>
      </c>
      <c r="I135" s="68" t="s">
        <v>3451</v>
      </c>
      <c r="J135" s="68">
        <v>532</v>
      </c>
      <c r="K135" s="68" t="s">
        <v>3667</v>
      </c>
      <c r="L135" s="68" t="s">
        <v>3668</v>
      </c>
    </row>
    <row r="136" spans="1:12" x14ac:dyDescent="0.25">
      <c r="A136" s="68" t="s">
        <v>293</v>
      </c>
      <c r="B136" s="68" t="s">
        <v>1120</v>
      </c>
      <c r="C136" s="80" t="s">
        <v>1935</v>
      </c>
      <c r="D136" s="68" t="s">
        <v>293</v>
      </c>
      <c r="E136"/>
      <c r="F136" s="68" t="s">
        <v>2729</v>
      </c>
      <c r="G136" s="80"/>
      <c r="H136" s="122">
        <v>44566</v>
      </c>
      <c r="I136" s="68" t="s">
        <v>3451</v>
      </c>
      <c r="J136" s="68">
        <v>84</v>
      </c>
      <c r="K136" s="68" t="s">
        <v>3667</v>
      </c>
      <c r="L136" s="68" t="s">
        <v>3668</v>
      </c>
    </row>
    <row r="137" spans="1:12" x14ac:dyDescent="0.25">
      <c r="A137" s="68" t="s">
        <v>321</v>
      </c>
      <c r="B137" s="68" t="s">
        <v>1148</v>
      </c>
      <c r="C137" s="80" t="s">
        <v>1963</v>
      </c>
      <c r="D137" s="68" t="s">
        <v>321</v>
      </c>
      <c r="E137"/>
      <c r="F137" s="68" t="s">
        <v>2757</v>
      </c>
      <c r="G137" s="80"/>
      <c r="H137" s="122">
        <v>44566</v>
      </c>
      <c r="I137" s="68" t="s">
        <v>3451</v>
      </c>
      <c r="J137" s="68">
        <v>360</v>
      </c>
      <c r="K137" s="68" t="s">
        <v>3667</v>
      </c>
      <c r="L137" s="68" t="s">
        <v>3668</v>
      </c>
    </row>
    <row r="138" spans="1:12" x14ac:dyDescent="0.25">
      <c r="A138" s="68" t="s">
        <v>322</v>
      </c>
      <c r="B138" s="68" t="s">
        <v>1149</v>
      </c>
      <c r="C138" s="80" t="s">
        <v>1964</v>
      </c>
      <c r="D138" s="68" t="s">
        <v>322</v>
      </c>
      <c r="E138"/>
      <c r="F138" s="68" t="s">
        <v>2758</v>
      </c>
      <c r="G138" s="80"/>
      <c r="H138" s="122">
        <v>44565</v>
      </c>
      <c r="I138" s="68" t="s">
        <v>3451</v>
      </c>
      <c r="J138" s="68">
        <v>532</v>
      </c>
      <c r="K138" s="68" t="s">
        <v>3667</v>
      </c>
      <c r="L138" s="68" t="s">
        <v>3668</v>
      </c>
    </row>
    <row r="139" spans="1:12" x14ac:dyDescent="0.25">
      <c r="A139" s="68" t="s">
        <v>323</v>
      </c>
      <c r="B139" s="68" t="s">
        <v>1150</v>
      </c>
      <c r="C139" s="80" t="s">
        <v>1965</v>
      </c>
      <c r="D139" s="68" t="s">
        <v>323</v>
      </c>
      <c r="E139"/>
      <c r="F139" s="68" t="s">
        <v>2759</v>
      </c>
      <c r="G139" s="80"/>
      <c r="H139" s="122">
        <v>44565</v>
      </c>
      <c r="I139" s="68" t="s">
        <v>3451</v>
      </c>
      <c r="J139" s="68">
        <v>88.8</v>
      </c>
      <c r="K139" s="68" t="s">
        <v>3667</v>
      </c>
      <c r="L139" s="68" t="s">
        <v>3668</v>
      </c>
    </row>
    <row r="140" spans="1:12" x14ac:dyDescent="0.25">
      <c r="A140" s="68" t="s">
        <v>324</v>
      </c>
      <c r="B140" s="68" t="s">
        <v>1151</v>
      </c>
      <c r="C140" s="80" t="s">
        <v>1966</v>
      </c>
      <c r="D140" s="68" t="s">
        <v>324</v>
      </c>
      <c r="E140"/>
      <c r="F140" s="68" t="s">
        <v>2760</v>
      </c>
      <c r="G140" s="80"/>
      <c r="H140" s="122">
        <v>44561</v>
      </c>
      <c r="I140" s="68" t="s">
        <v>3491</v>
      </c>
      <c r="J140" s="68">
        <v>394.4</v>
      </c>
      <c r="K140" s="68" t="s">
        <v>3667</v>
      </c>
      <c r="L140" s="68" t="s">
        <v>3668</v>
      </c>
    </row>
    <row r="141" spans="1:12" x14ac:dyDescent="0.25">
      <c r="A141" s="68" t="s">
        <v>325</v>
      </c>
      <c r="B141" s="68" t="s">
        <v>1152</v>
      </c>
      <c r="C141" s="80" t="s">
        <v>1967</v>
      </c>
      <c r="D141" s="68" t="s">
        <v>325</v>
      </c>
      <c r="E141"/>
      <c r="F141" s="68" t="s">
        <v>2761</v>
      </c>
      <c r="G141" s="80"/>
      <c r="H141" s="122">
        <v>44560</v>
      </c>
      <c r="I141" s="68" t="s">
        <v>3492</v>
      </c>
      <c r="J141" s="68">
        <v>165.6</v>
      </c>
      <c r="K141" s="68" t="s">
        <v>3667</v>
      </c>
      <c r="L141" s="68" t="s">
        <v>3668</v>
      </c>
    </row>
    <row r="142" spans="1:12" x14ac:dyDescent="0.25">
      <c r="A142" s="68" t="s">
        <v>326</v>
      </c>
      <c r="B142" s="68" t="s">
        <v>1153</v>
      </c>
      <c r="C142" s="80" t="s">
        <v>1968</v>
      </c>
      <c r="D142" s="68" t="s">
        <v>326</v>
      </c>
      <c r="E142"/>
      <c r="F142" s="68" t="s">
        <v>2762</v>
      </c>
      <c r="G142" s="80"/>
      <c r="H142" s="122">
        <v>44560</v>
      </c>
      <c r="I142" s="68" t="s">
        <v>3492</v>
      </c>
      <c r="J142" s="68">
        <v>180</v>
      </c>
      <c r="K142" s="68" t="s">
        <v>3667</v>
      </c>
      <c r="L142" s="68" t="s">
        <v>3668</v>
      </c>
    </row>
    <row r="143" spans="1:12" x14ac:dyDescent="0.25">
      <c r="A143" s="68" t="s">
        <v>327</v>
      </c>
      <c r="B143" s="68" t="s">
        <v>1154</v>
      </c>
      <c r="C143" s="80" t="s">
        <v>1969</v>
      </c>
      <c r="D143" s="68" t="s">
        <v>327</v>
      </c>
      <c r="E143"/>
      <c r="F143" s="68" t="s">
        <v>2763</v>
      </c>
      <c r="G143" s="80"/>
      <c r="H143" s="122">
        <v>44559</v>
      </c>
      <c r="I143" s="68" t="s">
        <v>3492</v>
      </c>
      <c r="J143" s="68">
        <v>957.6</v>
      </c>
      <c r="K143" s="68" t="s">
        <v>3667</v>
      </c>
      <c r="L143" s="68" t="s">
        <v>3668</v>
      </c>
    </row>
    <row r="144" spans="1:12" x14ac:dyDescent="0.25">
      <c r="A144" s="68" t="s">
        <v>328</v>
      </c>
      <c r="B144" s="68" t="s">
        <v>1155</v>
      </c>
      <c r="C144" s="80" t="s">
        <v>1970</v>
      </c>
      <c r="D144" s="68" t="s">
        <v>328</v>
      </c>
      <c r="E144"/>
      <c r="F144" s="68" t="s">
        <v>2764</v>
      </c>
      <c r="G144" s="80"/>
      <c r="H144" s="122">
        <v>44558</v>
      </c>
      <c r="I144" s="68" t="s">
        <v>3492</v>
      </c>
      <c r="J144" s="68">
        <v>644.4</v>
      </c>
      <c r="K144" s="68" t="s">
        <v>3667</v>
      </c>
      <c r="L144" s="68" t="s">
        <v>3668</v>
      </c>
    </row>
    <row r="145" spans="1:12" x14ac:dyDescent="0.25">
      <c r="A145" s="68" t="s">
        <v>321</v>
      </c>
      <c r="B145" s="68" t="s">
        <v>1148</v>
      </c>
      <c r="C145" s="80" t="s">
        <v>1963</v>
      </c>
      <c r="D145" s="68" t="s">
        <v>321</v>
      </c>
      <c r="E145"/>
      <c r="F145" s="68" t="s">
        <v>2757</v>
      </c>
      <c r="G145" s="80"/>
      <c r="H145" s="122">
        <v>44558</v>
      </c>
      <c r="I145" s="68" t="s">
        <v>3492</v>
      </c>
      <c r="J145" s="68">
        <v>781.2</v>
      </c>
      <c r="K145" s="68" t="s">
        <v>3667</v>
      </c>
      <c r="L145" s="68" t="s">
        <v>3668</v>
      </c>
    </row>
    <row r="146" spans="1:12" x14ac:dyDescent="0.25">
      <c r="A146" s="68" t="s">
        <v>329</v>
      </c>
      <c r="B146" s="68" t="s">
        <v>1156</v>
      </c>
      <c r="C146" s="80" t="s">
        <v>1971</v>
      </c>
      <c r="D146" s="68" t="s">
        <v>329</v>
      </c>
      <c r="E146"/>
      <c r="F146" s="68" t="s">
        <v>2765</v>
      </c>
      <c r="G146" s="80"/>
      <c r="H146" s="122">
        <v>44558</v>
      </c>
      <c r="I146" s="68" t="s">
        <v>3492</v>
      </c>
      <c r="J146" s="68">
        <v>332.4</v>
      </c>
      <c r="K146" s="68" t="s">
        <v>3667</v>
      </c>
      <c r="L146" s="68" t="s">
        <v>3668</v>
      </c>
    </row>
    <row r="147" spans="1:12" x14ac:dyDescent="0.25">
      <c r="A147" s="68" t="s">
        <v>330</v>
      </c>
      <c r="B147" s="68" t="s">
        <v>1157</v>
      </c>
      <c r="C147" s="80" t="s">
        <v>1972</v>
      </c>
      <c r="D147" s="68" t="s">
        <v>330</v>
      </c>
      <c r="E147"/>
      <c r="F147" s="68" t="s">
        <v>2766</v>
      </c>
      <c r="G147" s="80"/>
      <c r="H147" s="122">
        <v>44554</v>
      </c>
      <c r="I147" s="68" t="s">
        <v>3452</v>
      </c>
      <c r="J147" s="68">
        <v>667.6</v>
      </c>
      <c r="K147" s="68" t="s">
        <v>3667</v>
      </c>
      <c r="L147" s="68" t="s">
        <v>3668</v>
      </c>
    </row>
    <row r="148" spans="1:12" x14ac:dyDescent="0.25">
      <c r="A148" s="68" t="s">
        <v>331</v>
      </c>
      <c r="B148" s="68" t="s">
        <v>1158</v>
      </c>
      <c r="C148" s="80" t="s">
        <v>1973</v>
      </c>
      <c r="D148" s="68" t="s">
        <v>331</v>
      </c>
      <c r="E148"/>
      <c r="F148" s="68" t="s">
        <v>2767</v>
      </c>
      <c r="G148" s="80"/>
      <c r="H148" s="122">
        <v>44553</v>
      </c>
      <c r="I148" s="68" t="s">
        <v>3452</v>
      </c>
      <c r="J148" s="68">
        <v>566.79999999999995</v>
      </c>
      <c r="K148" s="68" t="s">
        <v>3667</v>
      </c>
      <c r="L148" s="68" t="s">
        <v>3668</v>
      </c>
    </row>
    <row r="149" spans="1:12" x14ac:dyDescent="0.25">
      <c r="A149" s="68" t="s">
        <v>332</v>
      </c>
      <c r="B149" s="68" t="s">
        <v>1159</v>
      </c>
      <c r="C149" s="80" t="s">
        <v>1974</v>
      </c>
      <c r="D149" s="68" t="s">
        <v>332</v>
      </c>
      <c r="E149"/>
      <c r="F149" s="68" t="s">
        <v>2768</v>
      </c>
      <c r="G149" s="80"/>
      <c r="H149" s="122">
        <v>44547</v>
      </c>
      <c r="I149" s="68" t="s">
        <v>3493</v>
      </c>
      <c r="J149" s="68">
        <v>138</v>
      </c>
      <c r="K149" s="68" t="s">
        <v>3667</v>
      </c>
      <c r="L149" s="68" t="s">
        <v>3668</v>
      </c>
    </row>
    <row r="150" spans="1:12" x14ac:dyDescent="0.25">
      <c r="A150" s="68" t="s">
        <v>328</v>
      </c>
      <c r="B150" s="68" t="s">
        <v>1155</v>
      </c>
      <c r="C150" s="80" t="s">
        <v>1970</v>
      </c>
      <c r="D150" s="68" t="s">
        <v>328</v>
      </c>
      <c r="E150"/>
      <c r="F150" s="68" t="s">
        <v>2764</v>
      </c>
      <c r="G150" s="80"/>
      <c r="H150" s="122">
        <v>44536</v>
      </c>
      <c r="I150" s="68" t="s">
        <v>3494</v>
      </c>
      <c r="J150" s="68">
        <v>428.4</v>
      </c>
      <c r="K150" s="68" t="s">
        <v>3667</v>
      </c>
      <c r="L150" s="68" t="s">
        <v>3668</v>
      </c>
    </row>
    <row r="151" spans="1:12" x14ac:dyDescent="0.25">
      <c r="A151" s="68" t="s">
        <v>330</v>
      </c>
      <c r="B151" s="68" t="s">
        <v>1157</v>
      </c>
      <c r="C151" s="80" t="s">
        <v>1972</v>
      </c>
      <c r="D151" s="68" t="s">
        <v>330</v>
      </c>
      <c r="E151"/>
      <c r="F151" s="68" t="s">
        <v>2766</v>
      </c>
      <c r="G151" s="80"/>
      <c r="H151" s="122">
        <v>44537</v>
      </c>
      <c r="I151" s="68" t="s">
        <v>3459</v>
      </c>
      <c r="J151" s="68">
        <v>798.4</v>
      </c>
      <c r="K151" s="68" t="s">
        <v>3667</v>
      </c>
      <c r="L151" s="68" t="s">
        <v>3668</v>
      </c>
    </row>
    <row r="152" spans="1:12" x14ac:dyDescent="0.25">
      <c r="A152" s="68" t="s">
        <v>333</v>
      </c>
      <c r="B152" s="68" t="s">
        <v>1160</v>
      </c>
      <c r="C152" s="80" t="s">
        <v>1975</v>
      </c>
      <c r="D152" s="68" t="s">
        <v>333</v>
      </c>
      <c r="E152"/>
      <c r="F152" s="68" t="s">
        <v>2769</v>
      </c>
      <c r="G152" s="80"/>
      <c r="H152" s="122">
        <v>44529</v>
      </c>
      <c r="I152" s="68" t="s">
        <v>3465</v>
      </c>
      <c r="J152" s="68">
        <v>138</v>
      </c>
      <c r="K152" s="68" t="s">
        <v>3667</v>
      </c>
      <c r="L152" s="68" t="s">
        <v>3668</v>
      </c>
    </row>
    <row r="153" spans="1:12" x14ac:dyDescent="0.25">
      <c r="A153" s="68" t="s">
        <v>334</v>
      </c>
      <c r="B153" s="68" t="s">
        <v>1161</v>
      </c>
      <c r="C153" s="80" t="s">
        <v>1976</v>
      </c>
      <c r="D153" s="68" t="s">
        <v>334</v>
      </c>
      <c r="E153"/>
      <c r="F153" s="68" t="s">
        <v>2770</v>
      </c>
      <c r="G153" s="80"/>
      <c r="H153" s="122">
        <v>44510</v>
      </c>
      <c r="I153" s="68" t="s">
        <v>3495</v>
      </c>
      <c r="J153" s="68">
        <v>61.2</v>
      </c>
      <c r="K153" s="68" t="s">
        <v>3667</v>
      </c>
      <c r="L153" s="68" t="s">
        <v>3668</v>
      </c>
    </row>
    <row r="154" spans="1:12" x14ac:dyDescent="0.25">
      <c r="A154" s="68" t="s">
        <v>335</v>
      </c>
      <c r="B154" s="68" t="s">
        <v>1162</v>
      </c>
      <c r="C154" s="80" t="s">
        <v>1977</v>
      </c>
      <c r="D154" s="68" t="s">
        <v>335</v>
      </c>
      <c r="E154"/>
      <c r="F154" s="68" t="s">
        <v>2771</v>
      </c>
      <c r="G154" s="80"/>
      <c r="H154" s="122">
        <v>44502</v>
      </c>
      <c r="I154" s="68" t="s">
        <v>3496</v>
      </c>
      <c r="J154" s="68">
        <v>519.20000000000005</v>
      </c>
      <c r="K154" s="68" t="s">
        <v>3667</v>
      </c>
      <c r="L154" s="68" t="s">
        <v>3668</v>
      </c>
    </row>
    <row r="155" spans="1:12" x14ac:dyDescent="0.25">
      <c r="A155" s="68" t="s">
        <v>333</v>
      </c>
      <c r="B155" s="68" t="s">
        <v>1160</v>
      </c>
      <c r="C155" s="80" t="s">
        <v>1975</v>
      </c>
      <c r="D155" s="68" t="s">
        <v>333</v>
      </c>
      <c r="E155"/>
      <c r="F155" s="68" t="s">
        <v>2769</v>
      </c>
      <c r="G155" s="80"/>
      <c r="H155" s="122">
        <v>44336</v>
      </c>
      <c r="I155" s="68" t="s">
        <v>3497</v>
      </c>
      <c r="J155" s="68">
        <v>138</v>
      </c>
      <c r="K155" s="68" t="s">
        <v>3667</v>
      </c>
      <c r="L155" s="68" t="s">
        <v>3668</v>
      </c>
    </row>
    <row r="156" spans="1:12" x14ac:dyDescent="0.25">
      <c r="A156" s="68" t="s">
        <v>336</v>
      </c>
      <c r="B156" s="68" t="s">
        <v>1163</v>
      </c>
      <c r="C156" s="80" t="s">
        <v>1978</v>
      </c>
      <c r="D156" s="68" t="s">
        <v>336</v>
      </c>
      <c r="E156"/>
      <c r="F156" s="68" t="s">
        <v>2772</v>
      </c>
      <c r="G156" s="80"/>
      <c r="H156" s="122">
        <v>44180</v>
      </c>
      <c r="I156" s="68" t="s">
        <v>3498</v>
      </c>
      <c r="J156" s="68">
        <v>294.8</v>
      </c>
      <c r="K156" s="68" t="s">
        <v>3667</v>
      </c>
      <c r="L156" s="68" t="s">
        <v>3668</v>
      </c>
    </row>
    <row r="157" spans="1:12" x14ac:dyDescent="0.25">
      <c r="A157" s="68" t="s">
        <v>337</v>
      </c>
      <c r="B157" s="68" t="s">
        <v>1164</v>
      </c>
      <c r="C157" s="80" t="s">
        <v>1979</v>
      </c>
      <c r="D157" s="68" t="s">
        <v>337</v>
      </c>
      <c r="E157"/>
      <c r="F157" s="68" t="s">
        <v>2773</v>
      </c>
      <c r="G157" s="80"/>
      <c r="H157" s="122">
        <v>44184</v>
      </c>
      <c r="I157" s="68" t="s">
        <v>3498</v>
      </c>
      <c r="J157" s="68">
        <v>648</v>
      </c>
      <c r="K157" s="68" t="s">
        <v>3667</v>
      </c>
      <c r="L157" s="68" t="s">
        <v>3668</v>
      </c>
    </row>
    <row r="158" spans="1:12" x14ac:dyDescent="0.25">
      <c r="A158" s="68" t="s">
        <v>337</v>
      </c>
      <c r="B158" s="68" t="s">
        <v>1164</v>
      </c>
      <c r="C158" s="80" t="s">
        <v>1979</v>
      </c>
      <c r="D158" s="68" t="s">
        <v>337</v>
      </c>
      <c r="E158"/>
      <c r="F158" s="68" t="s">
        <v>2773</v>
      </c>
      <c r="G158" s="80"/>
      <c r="H158" s="122">
        <v>44180</v>
      </c>
      <c r="I158" s="68" t="s">
        <v>3498</v>
      </c>
      <c r="J158" s="68">
        <v>491.6</v>
      </c>
      <c r="K158" s="68" t="s">
        <v>3667</v>
      </c>
      <c r="L158" s="68" t="s">
        <v>3668</v>
      </c>
    </row>
    <row r="159" spans="1:12" x14ac:dyDescent="0.25">
      <c r="A159" s="68" t="s">
        <v>338</v>
      </c>
      <c r="B159" s="68" t="s">
        <v>1165</v>
      </c>
      <c r="C159" s="80" t="s">
        <v>1980</v>
      </c>
      <c r="D159" s="68" t="s">
        <v>338</v>
      </c>
      <c r="E159"/>
      <c r="F159" s="68" t="s">
        <v>2774</v>
      </c>
      <c r="G159" s="80"/>
      <c r="H159" s="122">
        <v>44652</v>
      </c>
      <c r="I159" s="68" t="s">
        <v>3478</v>
      </c>
      <c r="J159" s="68">
        <v>216</v>
      </c>
      <c r="K159" s="68" t="s">
        <v>3669</v>
      </c>
      <c r="L159" s="68" t="s">
        <v>3670</v>
      </c>
    </row>
    <row r="160" spans="1:12" x14ac:dyDescent="0.25">
      <c r="A160" s="68" t="s">
        <v>339</v>
      </c>
      <c r="B160" s="68" t="s">
        <v>1166</v>
      </c>
      <c r="C160" s="80" t="s">
        <v>1981</v>
      </c>
      <c r="D160" s="68" t="s">
        <v>339</v>
      </c>
      <c r="E160"/>
      <c r="F160" s="68" t="s">
        <v>2775</v>
      </c>
      <c r="G160" s="80"/>
      <c r="H160" s="122">
        <v>44652</v>
      </c>
      <c r="I160" s="68" t="s">
        <v>3478</v>
      </c>
      <c r="J160" s="68">
        <v>432</v>
      </c>
      <c r="K160" s="68" t="s">
        <v>3669</v>
      </c>
      <c r="L160" s="68" t="s">
        <v>3670</v>
      </c>
    </row>
    <row r="161" spans="1:12" x14ac:dyDescent="0.25">
      <c r="A161" s="68" t="s">
        <v>340</v>
      </c>
      <c r="B161" s="68" t="s">
        <v>1167</v>
      </c>
      <c r="C161" s="80" t="s">
        <v>1982</v>
      </c>
      <c r="D161" s="68" t="s">
        <v>340</v>
      </c>
      <c r="E161"/>
      <c r="F161" s="68" t="s">
        <v>2776</v>
      </c>
      <c r="G161" s="80"/>
      <c r="H161" s="122">
        <v>44652</v>
      </c>
      <c r="I161" s="68" t="s">
        <v>3478</v>
      </c>
      <c r="J161" s="68">
        <v>1969.2</v>
      </c>
      <c r="K161" s="68" t="s">
        <v>3669</v>
      </c>
      <c r="L161" s="68" t="s">
        <v>3670</v>
      </c>
    </row>
    <row r="162" spans="1:12" x14ac:dyDescent="0.25">
      <c r="A162" s="68" t="s">
        <v>341</v>
      </c>
      <c r="B162" s="68" t="s">
        <v>1168</v>
      </c>
      <c r="C162" s="80" t="s">
        <v>1983</v>
      </c>
      <c r="D162" s="68" t="s">
        <v>341</v>
      </c>
      <c r="E162"/>
      <c r="F162" s="68" t="s">
        <v>2777</v>
      </c>
      <c r="G162" s="80"/>
      <c r="H162" s="122">
        <v>44652</v>
      </c>
      <c r="I162" s="68" t="s">
        <v>3478</v>
      </c>
      <c r="J162" s="68">
        <v>302.39999999999998</v>
      </c>
      <c r="K162" s="68" t="s">
        <v>3669</v>
      </c>
      <c r="L162" s="68" t="s">
        <v>3670</v>
      </c>
    </row>
    <row r="163" spans="1:12" x14ac:dyDescent="0.25">
      <c r="A163" s="68" t="s">
        <v>342</v>
      </c>
      <c r="B163" s="68" t="s">
        <v>1169</v>
      </c>
      <c r="C163" s="80" t="s">
        <v>1984</v>
      </c>
      <c r="D163" s="68" t="s">
        <v>342</v>
      </c>
      <c r="E163"/>
      <c r="F163" s="68" t="s">
        <v>2778</v>
      </c>
      <c r="G163" s="80"/>
      <c r="H163" s="122">
        <v>44651</v>
      </c>
      <c r="I163" s="68" t="s">
        <v>3461</v>
      </c>
      <c r="J163" s="68">
        <v>286.39999999999998</v>
      </c>
      <c r="K163" s="68" t="s">
        <v>3669</v>
      </c>
      <c r="L163" s="68" t="s">
        <v>3670</v>
      </c>
    </row>
    <row r="164" spans="1:12" x14ac:dyDescent="0.25">
      <c r="A164" s="68" t="s">
        <v>343</v>
      </c>
      <c r="B164" s="68" t="s">
        <v>1170</v>
      </c>
      <c r="C164" s="80" t="s">
        <v>1985</v>
      </c>
      <c r="D164" s="68" t="s">
        <v>343</v>
      </c>
      <c r="E164"/>
      <c r="F164" s="68" t="s">
        <v>2779</v>
      </c>
      <c r="G164" s="80"/>
      <c r="H164" s="122">
        <v>44651</v>
      </c>
      <c r="I164" s="68" t="s">
        <v>3461</v>
      </c>
      <c r="J164" s="68">
        <v>138</v>
      </c>
      <c r="K164" s="68" t="s">
        <v>3669</v>
      </c>
      <c r="L164" s="68" t="s">
        <v>3670</v>
      </c>
    </row>
    <row r="165" spans="1:12" x14ac:dyDescent="0.25">
      <c r="A165" s="68" t="s">
        <v>344</v>
      </c>
      <c r="B165" s="68" t="s">
        <v>1171</v>
      </c>
      <c r="C165" s="80" t="s">
        <v>1986</v>
      </c>
      <c r="D165" s="68" t="s">
        <v>344</v>
      </c>
      <c r="E165"/>
      <c r="F165" s="68" t="s">
        <v>2780</v>
      </c>
      <c r="G165" s="80"/>
      <c r="H165" s="122">
        <v>44651</v>
      </c>
      <c r="I165" s="68" t="s">
        <v>3461</v>
      </c>
      <c r="J165" s="68">
        <v>266</v>
      </c>
      <c r="K165" s="68" t="s">
        <v>3669</v>
      </c>
      <c r="L165" s="68" t="s">
        <v>3670</v>
      </c>
    </row>
    <row r="166" spans="1:12" x14ac:dyDescent="0.25">
      <c r="A166" s="68" t="s">
        <v>345</v>
      </c>
      <c r="B166" s="68" t="s">
        <v>1172</v>
      </c>
      <c r="C166" s="80" t="s">
        <v>1987</v>
      </c>
      <c r="D166" s="68" t="s">
        <v>345</v>
      </c>
      <c r="E166"/>
      <c r="F166" s="68" t="s">
        <v>2781</v>
      </c>
      <c r="G166" s="80"/>
      <c r="H166" s="122">
        <v>44651</v>
      </c>
      <c r="I166" s="68" t="s">
        <v>3461</v>
      </c>
      <c r="J166" s="68">
        <v>294.8</v>
      </c>
      <c r="K166" s="68" t="s">
        <v>3669</v>
      </c>
      <c r="L166" s="68" t="s">
        <v>3670</v>
      </c>
    </row>
    <row r="167" spans="1:12" x14ac:dyDescent="0.25">
      <c r="A167" s="68" t="s">
        <v>346</v>
      </c>
      <c r="B167" s="68" t="s">
        <v>1173</v>
      </c>
      <c r="C167" s="80" t="s">
        <v>1988</v>
      </c>
      <c r="D167" s="68" t="s">
        <v>346</v>
      </c>
      <c r="E167"/>
      <c r="F167" s="68" t="s">
        <v>2782</v>
      </c>
      <c r="G167" s="80"/>
      <c r="H167" s="122">
        <v>44651</v>
      </c>
      <c r="I167" s="68" t="s">
        <v>3461</v>
      </c>
      <c r="J167" s="68">
        <v>27.6</v>
      </c>
      <c r="K167" s="68" t="s">
        <v>3669</v>
      </c>
      <c r="L167" s="68" t="s">
        <v>3670</v>
      </c>
    </row>
    <row r="168" spans="1:12" x14ac:dyDescent="0.25">
      <c r="A168" s="68" t="s">
        <v>347</v>
      </c>
      <c r="B168" s="68" t="s">
        <v>1174</v>
      </c>
      <c r="C168" s="80" t="s">
        <v>1989</v>
      </c>
      <c r="D168" s="68" t="s">
        <v>347</v>
      </c>
      <c r="E168"/>
      <c r="F168" s="68" t="s">
        <v>2783</v>
      </c>
      <c r="G168" s="80"/>
      <c r="H168" s="122">
        <v>44651</v>
      </c>
      <c r="I168" s="68" t="s">
        <v>3461</v>
      </c>
      <c r="J168" s="68">
        <v>589.20000000000005</v>
      </c>
      <c r="K168" s="68" t="s">
        <v>3669</v>
      </c>
      <c r="L168" s="68" t="s">
        <v>3670</v>
      </c>
    </row>
    <row r="169" spans="1:12" x14ac:dyDescent="0.25">
      <c r="A169" s="68" t="s">
        <v>348</v>
      </c>
      <c r="B169" s="68" t="s">
        <v>1175</v>
      </c>
      <c r="C169" s="80" t="s">
        <v>1990</v>
      </c>
      <c r="D169" s="68" t="s">
        <v>348</v>
      </c>
      <c r="E169"/>
      <c r="F169" s="68" t="s">
        <v>2784</v>
      </c>
      <c r="G169" s="80"/>
      <c r="H169" s="122">
        <v>44651</v>
      </c>
      <c r="I169" s="68" t="s">
        <v>3461</v>
      </c>
      <c r="J169" s="68">
        <v>266</v>
      </c>
      <c r="K169" s="68" t="s">
        <v>3669</v>
      </c>
      <c r="L169" s="68" t="s">
        <v>3670</v>
      </c>
    </row>
    <row r="170" spans="1:12" x14ac:dyDescent="0.25">
      <c r="A170" s="68" t="s">
        <v>349</v>
      </c>
      <c r="B170" s="68" t="s">
        <v>1176</v>
      </c>
      <c r="C170" s="80" t="s">
        <v>1991</v>
      </c>
      <c r="D170" s="68" t="s">
        <v>349</v>
      </c>
      <c r="E170"/>
      <c r="F170" s="68" t="s">
        <v>2785</v>
      </c>
      <c r="G170" s="80"/>
      <c r="H170" s="122">
        <v>44651</v>
      </c>
      <c r="I170" s="68" t="s">
        <v>3461</v>
      </c>
      <c r="J170" s="68">
        <v>138</v>
      </c>
      <c r="K170" s="68" t="s">
        <v>3669</v>
      </c>
      <c r="L170" s="68" t="s">
        <v>3670</v>
      </c>
    </row>
    <row r="171" spans="1:12" x14ac:dyDescent="0.25">
      <c r="A171" s="68" t="s">
        <v>350</v>
      </c>
      <c r="B171" s="68" t="s">
        <v>1177</v>
      </c>
      <c r="C171" s="80" t="s">
        <v>1992</v>
      </c>
      <c r="D171" s="68" t="s">
        <v>350</v>
      </c>
      <c r="E171"/>
      <c r="F171" s="68" t="s">
        <v>2786</v>
      </c>
      <c r="G171" s="80"/>
      <c r="H171" s="122">
        <v>44651</v>
      </c>
      <c r="I171" s="68" t="s">
        <v>3461</v>
      </c>
      <c r="J171" s="68">
        <v>216</v>
      </c>
      <c r="K171" s="68" t="s">
        <v>3669</v>
      </c>
      <c r="L171" s="68" t="s">
        <v>3670</v>
      </c>
    </row>
    <row r="172" spans="1:12" x14ac:dyDescent="0.25">
      <c r="A172" s="68" t="s">
        <v>351</v>
      </c>
      <c r="B172" s="68" t="s">
        <v>1178</v>
      </c>
      <c r="C172" s="80" t="s">
        <v>1993</v>
      </c>
      <c r="D172" s="68" t="s">
        <v>351</v>
      </c>
      <c r="E172"/>
      <c r="F172" s="68" t="s">
        <v>2787</v>
      </c>
      <c r="G172" s="80"/>
      <c r="H172" s="122">
        <v>44650</v>
      </c>
      <c r="I172" s="68" t="s">
        <v>3499</v>
      </c>
      <c r="J172" s="68">
        <v>84</v>
      </c>
      <c r="K172" s="68" t="s">
        <v>3669</v>
      </c>
      <c r="L172" s="68" t="s">
        <v>3670</v>
      </c>
    </row>
    <row r="173" spans="1:12" x14ac:dyDescent="0.25">
      <c r="A173" s="68" t="s">
        <v>352</v>
      </c>
      <c r="B173" s="68" t="s">
        <v>1179</v>
      </c>
      <c r="C173" s="80" t="s">
        <v>1994</v>
      </c>
      <c r="D173" s="68" t="s">
        <v>352</v>
      </c>
      <c r="E173"/>
      <c r="F173" s="68" t="s">
        <v>2788</v>
      </c>
      <c r="G173" s="80"/>
      <c r="H173" s="122">
        <v>44650</v>
      </c>
      <c r="I173" s="68" t="s">
        <v>3499</v>
      </c>
      <c r="J173" s="68">
        <v>648</v>
      </c>
      <c r="K173" s="68" t="s">
        <v>3669</v>
      </c>
      <c r="L173" s="68" t="s">
        <v>3670</v>
      </c>
    </row>
    <row r="174" spans="1:12" x14ac:dyDescent="0.25">
      <c r="A174" s="68" t="s">
        <v>353</v>
      </c>
      <c r="B174" s="68" t="s">
        <v>1180</v>
      </c>
      <c r="C174" s="80" t="s">
        <v>1995</v>
      </c>
      <c r="D174" s="68" t="s">
        <v>353</v>
      </c>
      <c r="E174"/>
      <c r="F174" s="68" t="s">
        <v>2789</v>
      </c>
      <c r="G174" s="80"/>
      <c r="H174" s="122">
        <v>44650</v>
      </c>
      <c r="I174" s="68" t="s">
        <v>3499</v>
      </c>
      <c r="J174" s="68">
        <v>480</v>
      </c>
      <c r="K174" s="68" t="s">
        <v>3669</v>
      </c>
      <c r="L174" s="68" t="s">
        <v>3670</v>
      </c>
    </row>
    <row r="175" spans="1:12" x14ac:dyDescent="0.25">
      <c r="A175" s="68" t="s">
        <v>354</v>
      </c>
      <c r="B175" s="68" t="s">
        <v>1181</v>
      </c>
      <c r="C175" s="80" t="s">
        <v>1996</v>
      </c>
      <c r="D175" s="68" t="s">
        <v>354</v>
      </c>
      <c r="E175"/>
      <c r="F175" s="68" t="s">
        <v>2790</v>
      </c>
      <c r="G175" s="80"/>
      <c r="H175" s="122">
        <v>44650</v>
      </c>
      <c r="I175" s="68" t="s">
        <v>3499</v>
      </c>
      <c r="J175" s="68">
        <v>227.6</v>
      </c>
      <c r="K175" s="68" t="s">
        <v>3669</v>
      </c>
      <c r="L175" s="68" t="s">
        <v>3670</v>
      </c>
    </row>
    <row r="176" spans="1:12" x14ac:dyDescent="0.25">
      <c r="A176" s="68" t="s">
        <v>355</v>
      </c>
      <c r="B176" s="68" t="s">
        <v>1182</v>
      </c>
      <c r="C176" s="80" t="s">
        <v>1997</v>
      </c>
      <c r="D176" s="68" t="s">
        <v>355</v>
      </c>
      <c r="E176"/>
      <c r="F176" s="68" t="s">
        <v>2791</v>
      </c>
      <c r="G176" s="80"/>
      <c r="H176" s="122">
        <v>44650</v>
      </c>
      <c r="I176" s="68" t="s">
        <v>3499</v>
      </c>
      <c r="J176" s="68">
        <v>453.2</v>
      </c>
      <c r="K176" s="68" t="s">
        <v>3669</v>
      </c>
      <c r="L176" s="68" t="s">
        <v>3670</v>
      </c>
    </row>
    <row r="177" spans="1:12" x14ac:dyDescent="0.25">
      <c r="A177" s="68" t="s">
        <v>356</v>
      </c>
      <c r="B177" s="68" t="s">
        <v>1183</v>
      </c>
      <c r="C177" s="80" t="s">
        <v>1998</v>
      </c>
      <c r="D177" s="68" t="s">
        <v>356</v>
      </c>
      <c r="E177"/>
      <c r="F177" s="68" t="s">
        <v>2792</v>
      </c>
      <c r="G177" s="80"/>
      <c r="H177" s="122">
        <v>44650</v>
      </c>
      <c r="I177" s="68" t="s">
        <v>3499</v>
      </c>
      <c r="J177" s="68">
        <v>451.2</v>
      </c>
      <c r="K177" s="68" t="s">
        <v>3669</v>
      </c>
      <c r="L177" s="68" t="s">
        <v>3670</v>
      </c>
    </row>
    <row r="178" spans="1:12" x14ac:dyDescent="0.25">
      <c r="A178" s="68" t="s">
        <v>357</v>
      </c>
      <c r="B178" s="68" t="s">
        <v>1184</v>
      </c>
      <c r="C178" s="80" t="s">
        <v>1999</v>
      </c>
      <c r="D178" s="68" t="s">
        <v>357</v>
      </c>
      <c r="E178"/>
      <c r="F178" s="68" t="s">
        <v>2793</v>
      </c>
      <c r="G178" s="80"/>
      <c r="H178" s="122">
        <v>44634</v>
      </c>
      <c r="I178" s="68" t="s">
        <v>3500</v>
      </c>
      <c r="J178" s="68">
        <v>1062</v>
      </c>
      <c r="K178" s="68" t="s">
        <v>3669</v>
      </c>
      <c r="L178" s="68" t="s">
        <v>3670</v>
      </c>
    </row>
    <row r="179" spans="1:12" x14ac:dyDescent="0.25">
      <c r="A179" s="68" t="s">
        <v>358</v>
      </c>
      <c r="B179" s="68" t="s">
        <v>1185</v>
      </c>
      <c r="C179" s="80" t="s">
        <v>2000</v>
      </c>
      <c r="D179" s="68" t="s">
        <v>358</v>
      </c>
      <c r="E179"/>
      <c r="F179" s="68" t="s">
        <v>2794</v>
      </c>
      <c r="G179" s="80"/>
      <c r="H179" s="122">
        <v>44635</v>
      </c>
      <c r="I179" s="68" t="s">
        <v>3501</v>
      </c>
      <c r="J179" s="68">
        <v>406.8</v>
      </c>
      <c r="K179" s="68" t="s">
        <v>3669</v>
      </c>
      <c r="L179" s="68" t="s">
        <v>3670</v>
      </c>
    </row>
    <row r="180" spans="1:12" x14ac:dyDescent="0.25">
      <c r="A180" s="68" t="s">
        <v>359</v>
      </c>
      <c r="B180" s="68" t="s">
        <v>1186</v>
      </c>
      <c r="C180" s="80" t="s">
        <v>2001</v>
      </c>
      <c r="D180" s="68" t="s">
        <v>359</v>
      </c>
      <c r="E180"/>
      <c r="F180" s="68" t="s">
        <v>2795</v>
      </c>
      <c r="G180" s="80"/>
      <c r="H180" s="122">
        <v>44617</v>
      </c>
      <c r="I180" s="68" t="s">
        <v>3448</v>
      </c>
      <c r="J180" s="68">
        <v>80.400000000000006</v>
      </c>
      <c r="K180" s="68" t="s">
        <v>3669</v>
      </c>
      <c r="L180" s="68" t="s">
        <v>3670</v>
      </c>
    </row>
    <row r="181" spans="1:12" x14ac:dyDescent="0.25">
      <c r="A181" s="68" t="s">
        <v>360</v>
      </c>
      <c r="B181" s="68" t="s">
        <v>1187</v>
      </c>
      <c r="C181" s="80" t="s">
        <v>2002</v>
      </c>
      <c r="D181" s="68" t="s">
        <v>360</v>
      </c>
      <c r="E181"/>
      <c r="F181" s="68" t="s">
        <v>2796</v>
      </c>
      <c r="G181" s="80"/>
      <c r="H181" s="122">
        <v>44606</v>
      </c>
      <c r="I181" s="68" t="s">
        <v>3448</v>
      </c>
      <c r="J181" s="68">
        <v>100</v>
      </c>
      <c r="K181" s="68" t="s">
        <v>3669</v>
      </c>
      <c r="L181" s="68" t="s">
        <v>3670</v>
      </c>
    </row>
    <row r="182" spans="1:12" x14ac:dyDescent="0.25">
      <c r="A182" s="68" t="s">
        <v>361</v>
      </c>
      <c r="B182" s="68" t="s">
        <v>1188</v>
      </c>
      <c r="C182" s="80" t="s">
        <v>2003</v>
      </c>
      <c r="D182" s="68" t="s">
        <v>361</v>
      </c>
      <c r="E182"/>
      <c r="F182" s="68" t="s">
        <v>2797</v>
      </c>
      <c r="G182" s="80"/>
      <c r="H182" s="122">
        <v>44630</v>
      </c>
      <c r="I182" s="68" t="s">
        <v>3448</v>
      </c>
      <c r="J182" s="68">
        <v>1062</v>
      </c>
      <c r="K182" s="68" t="s">
        <v>3669</v>
      </c>
      <c r="L182" s="68" t="s">
        <v>3670</v>
      </c>
    </row>
    <row r="183" spans="1:12" x14ac:dyDescent="0.25">
      <c r="A183" s="68" t="s">
        <v>362</v>
      </c>
      <c r="B183" s="68" t="s">
        <v>1189</v>
      </c>
      <c r="C183" s="80" t="s">
        <v>2004</v>
      </c>
      <c r="D183" s="68" t="s">
        <v>362</v>
      </c>
      <c r="E183"/>
      <c r="F183" s="68" t="s">
        <v>2798</v>
      </c>
      <c r="G183" s="80"/>
      <c r="H183" s="122">
        <v>44613</v>
      </c>
      <c r="I183" s="68" t="s">
        <v>3502</v>
      </c>
      <c r="J183" s="68">
        <v>61.2</v>
      </c>
      <c r="K183" s="68" t="s">
        <v>3669</v>
      </c>
      <c r="L183" s="68" t="s">
        <v>3670</v>
      </c>
    </row>
    <row r="184" spans="1:12" x14ac:dyDescent="0.25">
      <c r="A184" s="68" t="s">
        <v>363</v>
      </c>
      <c r="B184" s="68" t="s">
        <v>1190</v>
      </c>
      <c r="C184" s="80" t="s">
        <v>2005</v>
      </c>
      <c r="D184" s="68" t="s">
        <v>363</v>
      </c>
      <c r="E184"/>
      <c r="F184" s="68" t="s">
        <v>2799</v>
      </c>
      <c r="G184" s="80"/>
      <c r="H184" s="122">
        <v>44602</v>
      </c>
      <c r="I184" s="68" t="s">
        <v>3502</v>
      </c>
      <c r="J184" s="68">
        <v>100</v>
      </c>
      <c r="K184" s="68" t="s">
        <v>3669</v>
      </c>
      <c r="L184" s="68" t="s">
        <v>3670</v>
      </c>
    </row>
    <row r="185" spans="1:12" x14ac:dyDescent="0.25">
      <c r="A185" s="68" t="s">
        <v>361</v>
      </c>
      <c r="B185" s="68" t="s">
        <v>1188</v>
      </c>
      <c r="C185" s="80" t="s">
        <v>2003</v>
      </c>
      <c r="D185" s="68" t="s">
        <v>361</v>
      </c>
      <c r="E185"/>
      <c r="F185" s="68" t="s">
        <v>2797</v>
      </c>
      <c r="G185" s="80"/>
      <c r="H185" s="122">
        <v>44608</v>
      </c>
      <c r="I185" s="68" t="s">
        <v>3502</v>
      </c>
      <c r="J185" s="68">
        <v>61.2</v>
      </c>
      <c r="K185" s="68" t="s">
        <v>3669</v>
      </c>
      <c r="L185" s="68" t="s">
        <v>3670</v>
      </c>
    </row>
    <row r="186" spans="1:12" x14ac:dyDescent="0.25">
      <c r="A186" s="68" t="s">
        <v>364</v>
      </c>
      <c r="B186" s="68" t="s">
        <v>1191</v>
      </c>
      <c r="C186" s="80" t="s">
        <v>2006</v>
      </c>
      <c r="D186" s="68" t="s">
        <v>364</v>
      </c>
      <c r="E186"/>
      <c r="F186" s="68" t="s">
        <v>2800</v>
      </c>
      <c r="G186" s="80"/>
      <c r="H186" s="122">
        <v>44610</v>
      </c>
      <c r="I186" s="68" t="s">
        <v>3502</v>
      </c>
      <c r="J186" s="68">
        <v>61.2</v>
      </c>
      <c r="K186" s="68" t="s">
        <v>3669</v>
      </c>
      <c r="L186" s="68" t="s">
        <v>3670</v>
      </c>
    </row>
    <row r="187" spans="1:12" x14ac:dyDescent="0.25">
      <c r="A187" s="68" t="s">
        <v>365</v>
      </c>
      <c r="B187" s="68" t="s">
        <v>1192</v>
      </c>
      <c r="C187" s="80" t="s">
        <v>2007</v>
      </c>
      <c r="D187" s="68" t="s">
        <v>365</v>
      </c>
      <c r="E187"/>
      <c r="F187" s="68" t="s">
        <v>2801</v>
      </c>
      <c r="G187" s="80"/>
      <c r="H187" s="122">
        <v>44621</v>
      </c>
      <c r="I187" s="68" t="s">
        <v>3482</v>
      </c>
      <c r="J187" s="68">
        <v>1482</v>
      </c>
      <c r="K187" s="68" t="s">
        <v>3669</v>
      </c>
      <c r="L187" s="68" t="s">
        <v>3670</v>
      </c>
    </row>
    <row r="188" spans="1:12" x14ac:dyDescent="0.25">
      <c r="A188" s="68" t="s">
        <v>366</v>
      </c>
      <c r="B188" s="68" t="s">
        <v>1193</v>
      </c>
      <c r="C188" s="80" t="s">
        <v>2008</v>
      </c>
      <c r="D188" s="68" t="s">
        <v>366</v>
      </c>
      <c r="E188"/>
      <c r="F188" s="68" t="s">
        <v>2802</v>
      </c>
      <c r="G188" s="80"/>
      <c r="H188" s="122">
        <v>44621</v>
      </c>
      <c r="I188" s="68" t="s">
        <v>3462</v>
      </c>
      <c r="J188" s="68">
        <v>162</v>
      </c>
      <c r="K188" s="68" t="s">
        <v>3669</v>
      </c>
      <c r="L188" s="68" t="s">
        <v>3670</v>
      </c>
    </row>
    <row r="189" spans="1:12" x14ac:dyDescent="0.25">
      <c r="A189" s="68" t="s">
        <v>367</v>
      </c>
      <c r="B189" s="68" t="s">
        <v>1194</v>
      </c>
      <c r="C189" s="80" t="s">
        <v>2009</v>
      </c>
      <c r="D189" s="68" t="s">
        <v>367</v>
      </c>
      <c r="E189"/>
      <c r="F189" s="68" t="s">
        <v>2803</v>
      </c>
      <c r="G189" s="80"/>
      <c r="H189" s="122">
        <v>44603</v>
      </c>
      <c r="I189" s="68" t="s">
        <v>3484</v>
      </c>
      <c r="J189" s="68">
        <v>100</v>
      </c>
      <c r="K189" s="68" t="s">
        <v>3669</v>
      </c>
      <c r="L189" s="68" t="s">
        <v>3670</v>
      </c>
    </row>
    <row r="190" spans="1:12" x14ac:dyDescent="0.25">
      <c r="A190" s="68" t="s">
        <v>368</v>
      </c>
      <c r="B190" s="68" t="s">
        <v>1195</v>
      </c>
      <c r="C190" s="80" t="s">
        <v>2010</v>
      </c>
      <c r="D190" s="68" t="s">
        <v>368</v>
      </c>
      <c r="E190"/>
      <c r="F190" s="68" t="s">
        <v>2804</v>
      </c>
      <c r="G190" s="80"/>
      <c r="H190" s="122">
        <v>44607</v>
      </c>
      <c r="I190" s="68" t="s">
        <v>3464</v>
      </c>
      <c r="J190" s="68">
        <v>480</v>
      </c>
      <c r="K190" s="68" t="s">
        <v>3669</v>
      </c>
      <c r="L190" s="68" t="s">
        <v>3670</v>
      </c>
    </row>
    <row r="191" spans="1:12" x14ac:dyDescent="0.25">
      <c r="A191" s="68" t="s">
        <v>369</v>
      </c>
      <c r="B191" s="68" t="s">
        <v>1196</v>
      </c>
      <c r="C191" s="80" t="s">
        <v>2011</v>
      </c>
      <c r="D191" s="68" t="s">
        <v>369</v>
      </c>
      <c r="E191"/>
      <c r="F191" s="68" t="s">
        <v>2805</v>
      </c>
      <c r="G191" s="80"/>
      <c r="H191" s="122">
        <v>44603</v>
      </c>
      <c r="I191" s="68" t="s">
        <v>3464</v>
      </c>
      <c r="J191" s="68">
        <v>332.4</v>
      </c>
      <c r="K191" s="68" t="s">
        <v>3669</v>
      </c>
      <c r="L191" s="68" t="s">
        <v>3670</v>
      </c>
    </row>
    <row r="192" spans="1:12" x14ac:dyDescent="0.25">
      <c r="A192" s="68" t="s">
        <v>370</v>
      </c>
      <c r="B192" s="68" t="s">
        <v>1197</v>
      </c>
      <c r="C192" s="80" t="s">
        <v>2012</v>
      </c>
      <c r="D192" s="68" t="s">
        <v>370</v>
      </c>
      <c r="E192"/>
      <c r="F192" s="68" t="s">
        <v>2806</v>
      </c>
      <c r="G192" s="80"/>
      <c r="H192" s="122">
        <v>44566</v>
      </c>
      <c r="I192" s="68" t="s">
        <v>3503</v>
      </c>
      <c r="J192" s="68">
        <v>100</v>
      </c>
      <c r="K192" s="68" t="s">
        <v>3669</v>
      </c>
      <c r="L192" s="68" t="s">
        <v>3670</v>
      </c>
    </row>
    <row r="193" spans="1:12" x14ac:dyDescent="0.25">
      <c r="A193" s="68" t="s">
        <v>371</v>
      </c>
      <c r="B193" s="68" t="s">
        <v>1198</v>
      </c>
      <c r="C193" s="80" t="s">
        <v>2013</v>
      </c>
      <c r="D193" s="68" t="s">
        <v>371</v>
      </c>
      <c r="E193"/>
      <c r="F193" s="68" t="s">
        <v>2807</v>
      </c>
      <c r="G193" s="80"/>
      <c r="H193" s="122">
        <v>44586</v>
      </c>
      <c r="I193" s="68" t="s">
        <v>3503</v>
      </c>
      <c r="J193" s="68">
        <v>100</v>
      </c>
      <c r="K193" s="68" t="s">
        <v>3669</v>
      </c>
      <c r="L193" s="68" t="s">
        <v>3670</v>
      </c>
    </row>
    <row r="194" spans="1:12" x14ac:dyDescent="0.25">
      <c r="A194" s="68" t="s">
        <v>372</v>
      </c>
      <c r="B194" s="68" t="s">
        <v>1199</v>
      </c>
      <c r="C194" s="80" t="s">
        <v>2014</v>
      </c>
      <c r="D194" s="68" t="s">
        <v>372</v>
      </c>
      <c r="E194"/>
      <c r="F194" s="68" t="s">
        <v>2808</v>
      </c>
      <c r="G194" s="80"/>
      <c r="H194" s="122">
        <v>44568</v>
      </c>
      <c r="I194" s="68" t="s">
        <v>3503</v>
      </c>
      <c r="J194" s="68">
        <v>100</v>
      </c>
      <c r="K194" s="68" t="s">
        <v>3669</v>
      </c>
      <c r="L194" s="68" t="s">
        <v>3670</v>
      </c>
    </row>
    <row r="195" spans="1:12" x14ac:dyDescent="0.25">
      <c r="A195" s="68" t="s">
        <v>373</v>
      </c>
      <c r="B195" s="68" t="s">
        <v>1200</v>
      </c>
      <c r="C195" s="80" t="s">
        <v>2015</v>
      </c>
      <c r="D195" s="68" t="s">
        <v>373</v>
      </c>
      <c r="E195"/>
      <c r="F195" s="68" t="s">
        <v>2809</v>
      </c>
      <c r="G195" s="80"/>
      <c r="H195" s="122">
        <v>44593</v>
      </c>
      <c r="I195" s="68" t="s">
        <v>3463</v>
      </c>
      <c r="J195" s="68">
        <v>227.6</v>
      </c>
      <c r="K195" s="68" t="s">
        <v>3669</v>
      </c>
      <c r="L195" s="68" t="s">
        <v>3670</v>
      </c>
    </row>
    <row r="196" spans="1:12" x14ac:dyDescent="0.25">
      <c r="A196" s="68" t="s">
        <v>374</v>
      </c>
      <c r="B196" s="68" t="s">
        <v>1201</v>
      </c>
      <c r="C196" s="80" t="s">
        <v>2016</v>
      </c>
      <c r="D196" s="68" t="s">
        <v>374</v>
      </c>
      <c r="E196"/>
      <c r="F196" s="68" t="s">
        <v>2810</v>
      </c>
      <c r="G196" s="80"/>
      <c r="H196" s="122">
        <v>44586</v>
      </c>
      <c r="I196" s="68" t="s">
        <v>3504</v>
      </c>
      <c r="J196" s="68">
        <v>556.79999999999995</v>
      </c>
      <c r="K196" s="68" t="s">
        <v>3669</v>
      </c>
      <c r="L196" s="68" t="s">
        <v>3670</v>
      </c>
    </row>
    <row r="197" spans="1:12" x14ac:dyDescent="0.25">
      <c r="A197" s="68" t="s">
        <v>375</v>
      </c>
      <c r="B197" s="68" t="s">
        <v>1202</v>
      </c>
      <c r="C197" s="80" t="s">
        <v>2017</v>
      </c>
      <c r="D197" s="68" t="s">
        <v>375</v>
      </c>
      <c r="E197"/>
      <c r="F197" s="68" t="s">
        <v>2811</v>
      </c>
      <c r="G197" s="80"/>
      <c r="H197" s="122">
        <v>44586</v>
      </c>
      <c r="I197" s="68" t="s">
        <v>3486</v>
      </c>
      <c r="J197" s="68">
        <v>1188</v>
      </c>
      <c r="K197" s="68" t="s">
        <v>3669</v>
      </c>
      <c r="L197" s="68" t="s">
        <v>3670</v>
      </c>
    </row>
    <row r="198" spans="1:12" x14ac:dyDescent="0.25">
      <c r="A198" s="68" t="s">
        <v>376</v>
      </c>
      <c r="B198" s="68" t="s">
        <v>1203</v>
      </c>
      <c r="C198" s="80" t="s">
        <v>2018</v>
      </c>
      <c r="D198" s="68" t="s">
        <v>376</v>
      </c>
      <c r="E198"/>
      <c r="F198" s="68" t="s">
        <v>2812</v>
      </c>
      <c r="G198" s="80"/>
      <c r="H198" s="122">
        <v>44544</v>
      </c>
      <c r="I198" s="68" t="s">
        <v>3450</v>
      </c>
      <c r="J198" s="68">
        <v>100</v>
      </c>
      <c r="K198" s="68" t="s">
        <v>3669</v>
      </c>
      <c r="L198" s="68" t="s">
        <v>3670</v>
      </c>
    </row>
    <row r="199" spans="1:12" x14ac:dyDescent="0.25">
      <c r="A199" s="68" t="s">
        <v>377</v>
      </c>
      <c r="B199" s="68" t="s">
        <v>1204</v>
      </c>
      <c r="C199" s="80" t="s">
        <v>2019</v>
      </c>
      <c r="D199" s="68" t="s">
        <v>377</v>
      </c>
      <c r="E199"/>
      <c r="F199" s="68" t="s">
        <v>2813</v>
      </c>
      <c r="G199" s="80"/>
      <c r="H199" s="122">
        <v>44574</v>
      </c>
      <c r="I199" s="68" t="s">
        <v>3490</v>
      </c>
      <c r="J199" s="68">
        <v>512.4</v>
      </c>
      <c r="K199" s="68" t="s">
        <v>3669</v>
      </c>
      <c r="L199" s="68" t="s">
        <v>3670</v>
      </c>
    </row>
    <row r="200" spans="1:12" x14ac:dyDescent="0.25">
      <c r="A200" s="68" t="s">
        <v>378</v>
      </c>
      <c r="B200" s="68" t="s">
        <v>1205</v>
      </c>
      <c r="C200" s="80" t="s">
        <v>2020</v>
      </c>
      <c r="D200" s="68" t="s">
        <v>378</v>
      </c>
      <c r="E200"/>
      <c r="F200" s="68" t="s">
        <v>2814</v>
      </c>
      <c r="G200" s="80"/>
      <c r="H200" s="122">
        <v>44551</v>
      </c>
      <c r="I200" s="68" t="s">
        <v>3450</v>
      </c>
      <c r="J200" s="68">
        <v>432</v>
      </c>
      <c r="K200" s="68" t="s">
        <v>3669</v>
      </c>
      <c r="L200" s="68" t="s">
        <v>3670</v>
      </c>
    </row>
    <row r="201" spans="1:12" x14ac:dyDescent="0.25">
      <c r="A201" s="68" t="s">
        <v>379</v>
      </c>
      <c r="B201" s="68" t="s">
        <v>1206</v>
      </c>
      <c r="C201" s="80" t="s">
        <v>2021</v>
      </c>
      <c r="D201" s="68" t="s">
        <v>379</v>
      </c>
      <c r="E201"/>
      <c r="F201" s="68" t="s">
        <v>2815</v>
      </c>
      <c r="G201" s="80"/>
      <c r="H201" s="122">
        <v>44548</v>
      </c>
      <c r="I201" s="68" t="s">
        <v>3505</v>
      </c>
      <c r="J201" s="68">
        <v>2124</v>
      </c>
      <c r="K201" s="68" t="s">
        <v>3669</v>
      </c>
      <c r="L201" s="68" t="s">
        <v>3670</v>
      </c>
    </row>
    <row r="202" spans="1:12" x14ac:dyDescent="0.25">
      <c r="A202" s="68" t="s">
        <v>380</v>
      </c>
      <c r="B202" s="68" t="s">
        <v>1207</v>
      </c>
      <c r="C202" s="80" t="s">
        <v>2022</v>
      </c>
      <c r="D202" s="68" t="s">
        <v>380</v>
      </c>
      <c r="E202"/>
      <c r="F202" s="68" t="s">
        <v>2816</v>
      </c>
      <c r="G202" s="80"/>
      <c r="H202" s="122">
        <v>44537</v>
      </c>
      <c r="I202" s="68" t="s">
        <v>3459</v>
      </c>
      <c r="J202" s="68">
        <v>178.4</v>
      </c>
      <c r="K202" s="68" t="s">
        <v>3669</v>
      </c>
      <c r="L202" s="68" t="s">
        <v>3670</v>
      </c>
    </row>
    <row r="203" spans="1:12" x14ac:dyDescent="0.25">
      <c r="A203" s="68" t="s">
        <v>381</v>
      </c>
      <c r="B203" s="68" t="s">
        <v>1208</v>
      </c>
      <c r="C203" s="80" t="s">
        <v>2023</v>
      </c>
      <c r="D203" s="68" t="s">
        <v>381</v>
      </c>
      <c r="E203"/>
      <c r="F203" s="68" t="s">
        <v>2817</v>
      </c>
      <c r="G203" s="80"/>
      <c r="H203" s="122">
        <v>44533</v>
      </c>
      <c r="I203" s="68" t="s">
        <v>3506</v>
      </c>
      <c r="J203" s="68">
        <v>0</v>
      </c>
      <c r="K203" s="68" t="s">
        <v>3669</v>
      </c>
      <c r="L203" s="68" t="s">
        <v>3670</v>
      </c>
    </row>
    <row r="204" spans="1:12" x14ac:dyDescent="0.25">
      <c r="A204" s="68" t="s">
        <v>379</v>
      </c>
      <c r="B204" s="68" t="s">
        <v>1206</v>
      </c>
      <c r="C204" s="80" t="s">
        <v>2021</v>
      </c>
      <c r="D204" s="68" t="s">
        <v>379</v>
      </c>
      <c r="E204"/>
      <c r="F204" s="68" t="s">
        <v>2815</v>
      </c>
      <c r="G204" s="80"/>
      <c r="H204" s="122">
        <v>44530</v>
      </c>
      <c r="I204" s="68" t="s">
        <v>3507</v>
      </c>
      <c r="J204" s="68">
        <v>1062</v>
      </c>
      <c r="K204" s="68" t="s">
        <v>3669</v>
      </c>
      <c r="L204" s="68" t="s">
        <v>3670</v>
      </c>
    </row>
    <row r="205" spans="1:12" x14ac:dyDescent="0.25">
      <c r="A205" s="68" t="s">
        <v>382</v>
      </c>
      <c r="B205" s="68" t="s">
        <v>1209</v>
      </c>
      <c r="C205" s="80" t="s">
        <v>2024</v>
      </c>
      <c r="D205" s="68" t="s">
        <v>382</v>
      </c>
      <c r="E205"/>
      <c r="F205" s="68" t="s">
        <v>2818</v>
      </c>
      <c r="G205" s="80"/>
      <c r="H205" s="122">
        <v>44518</v>
      </c>
      <c r="I205" s="68" t="s">
        <v>3507</v>
      </c>
      <c r="J205" s="68">
        <v>138</v>
      </c>
      <c r="K205" s="68" t="s">
        <v>3669</v>
      </c>
      <c r="L205" s="68" t="s">
        <v>3670</v>
      </c>
    </row>
    <row r="206" spans="1:12" x14ac:dyDescent="0.25">
      <c r="A206" s="68" t="s">
        <v>383</v>
      </c>
      <c r="B206" s="68" t="s">
        <v>1210</v>
      </c>
      <c r="C206" s="80" t="s">
        <v>2025</v>
      </c>
      <c r="D206" s="68" t="s">
        <v>383</v>
      </c>
      <c r="E206"/>
      <c r="F206" s="68" t="s">
        <v>2819</v>
      </c>
      <c r="G206" s="80"/>
      <c r="H206" s="122">
        <v>44518</v>
      </c>
      <c r="I206" s="68" t="s">
        <v>3507</v>
      </c>
      <c r="J206" s="68">
        <v>216</v>
      </c>
      <c r="K206" s="68" t="s">
        <v>3669</v>
      </c>
      <c r="L206" s="68" t="s">
        <v>3670</v>
      </c>
    </row>
    <row r="207" spans="1:12" x14ac:dyDescent="0.25">
      <c r="A207" s="68" t="s">
        <v>384</v>
      </c>
      <c r="B207" s="68" t="s">
        <v>1211</v>
      </c>
      <c r="C207" s="80" t="s">
        <v>2026</v>
      </c>
      <c r="D207" s="68" t="s">
        <v>384</v>
      </c>
      <c r="E207"/>
      <c r="F207" s="68" t="s">
        <v>2820</v>
      </c>
      <c r="G207" s="80"/>
      <c r="H207" s="122">
        <v>44510</v>
      </c>
      <c r="I207" s="68" t="s">
        <v>3495</v>
      </c>
      <c r="J207" s="68">
        <v>266</v>
      </c>
      <c r="K207" s="68" t="s">
        <v>3669</v>
      </c>
      <c r="L207" s="68" t="s">
        <v>3670</v>
      </c>
    </row>
    <row r="208" spans="1:12" x14ac:dyDescent="0.25">
      <c r="A208" s="68" t="s">
        <v>385</v>
      </c>
      <c r="B208" s="68" t="s">
        <v>1212</v>
      </c>
      <c r="C208" s="80" t="s">
        <v>2027</v>
      </c>
      <c r="D208" s="68" t="s">
        <v>385</v>
      </c>
      <c r="E208"/>
      <c r="F208" s="68" t="s">
        <v>2821</v>
      </c>
      <c r="G208" s="80"/>
      <c r="H208" s="122">
        <v>44509</v>
      </c>
      <c r="I208" s="68" t="s">
        <v>3495</v>
      </c>
      <c r="J208" s="68">
        <v>285.60000000000002</v>
      </c>
      <c r="K208" s="68" t="s">
        <v>3669</v>
      </c>
      <c r="L208" s="68" t="s">
        <v>3670</v>
      </c>
    </row>
    <row r="209" spans="1:12" x14ac:dyDescent="0.25">
      <c r="A209" s="68" t="s">
        <v>386</v>
      </c>
      <c r="B209" s="68" t="s">
        <v>1213</v>
      </c>
      <c r="C209" s="80" t="s">
        <v>2028</v>
      </c>
      <c r="D209" s="68" t="s">
        <v>386</v>
      </c>
      <c r="E209"/>
      <c r="F209" s="68" t="s">
        <v>2822</v>
      </c>
      <c r="G209" s="80"/>
      <c r="H209" s="122">
        <v>44509</v>
      </c>
      <c r="I209" s="68" t="s">
        <v>3495</v>
      </c>
      <c r="J209" s="68">
        <v>422.8</v>
      </c>
      <c r="K209" s="68" t="s">
        <v>3669</v>
      </c>
      <c r="L209" s="68" t="s">
        <v>3670</v>
      </c>
    </row>
    <row r="210" spans="1:12" x14ac:dyDescent="0.25">
      <c r="A210" s="68" t="s">
        <v>387</v>
      </c>
      <c r="B210" s="68" t="s">
        <v>1214</v>
      </c>
      <c r="C210" s="80" t="s">
        <v>2029</v>
      </c>
      <c r="D210" s="68" t="s">
        <v>387</v>
      </c>
      <c r="E210"/>
      <c r="F210" s="68" t="s">
        <v>2823</v>
      </c>
      <c r="G210" s="80"/>
      <c r="H210" s="122">
        <v>44407</v>
      </c>
      <c r="I210" s="68" t="s">
        <v>3508</v>
      </c>
      <c r="J210" s="68">
        <v>278.39999999999998</v>
      </c>
      <c r="K210" s="68" t="s">
        <v>3669</v>
      </c>
      <c r="L210" s="68" t="s">
        <v>3670</v>
      </c>
    </row>
    <row r="211" spans="1:12" x14ac:dyDescent="0.25">
      <c r="A211" s="68" t="s">
        <v>388</v>
      </c>
      <c r="B211" s="68" t="s">
        <v>1215</v>
      </c>
      <c r="C211" s="80" t="s">
        <v>2030</v>
      </c>
      <c r="D211" s="68" t="s">
        <v>388</v>
      </c>
      <c r="E211"/>
      <c r="F211" s="68" t="s">
        <v>2824</v>
      </c>
      <c r="G211" s="80"/>
      <c r="H211" s="122">
        <v>44508</v>
      </c>
      <c r="I211" s="68" t="s">
        <v>3509</v>
      </c>
      <c r="J211" s="68">
        <v>243.6</v>
      </c>
      <c r="K211" s="68" t="s">
        <v>3669</v>
      </c>
      <c r="L211" s="68" t="s">
        <v>3670</v>
      </c>
    </row>
    <row r="212" spans="1:12" x14ac:dyDescent="0.25">
      <c r="A212" s="68" t="s">
        <v>370</v>
      </c>
      <c r="B212" s="68" t="s">
        <v>1197</v>
      </c>
      <c r="C212" s="80" t="s">
        <v>2012</v>
      </c>
      <c r="D212" s="68" t="s">
        <v>370</v>
      </c>
      <c r="E212"/>
      <c r="F212" s="68" t="s">
        <v>2806</v>
      </c>
      <c r="G212" s="80"/>
      <c r="H212" s="122">
        <v>44504</v>
      </c>
      <c r="I212" s="68" t="s">
        <v>3509</v>
      </c>
      <c r="J212" s="68">
        <v>100</v>
      </c>
      <c r="K212" s="68" t="s">
        <v>3669</v>
      </c>
      <c r="L212" s="68" t="s">
        <v>3670</v>
      </c>
    </row>
    <row r="213" spans="1:12" x14ac:dyDescent="0.25">
      <c r="A213" s="68" t="s">
        <v>389</v>
      </c>
      <c r="B213" s="68" t="s">
        <v>1216</v>
      </c>
      <c r="C213" s="80" t="s">
        <v>2031</v>
      </c>
      <c r="D213" s="68" t="s">
        <v>389</v>
      </c>
      <c r="E213"/>
      <c r="F213" s="68" t="s">
        <v>2825</v>
      </c>
      <c r="G213" s="80"/>
      <c r="H213" s="122">
        <v>44502</v>
      </c>
      <c r="I213" s="68" t="s">
        <v>3510</v>
      </c>
      <c r="J213" s="68">
        <v>701.2</v>
      </c>
      <c r="K213" s="68" t="s">
        <v>3669</v>
      </c>
      <c r="L213" s="68" t="s">
        <v>3670</v>
      </c>
    </row>
    <row r="214" spans="1:12" x14ac:dyDescent="0.25">
      <c r="A214" s="68" t="s">
        <v>390</v>
      </c>
      <c r="B214" s="68" t="s">
        <v>1217</v>
      </c>
      <c r="C214" s="80" t="s">
        <v>1872</v>
      </c>
      <c r="D214" s="68" t="s">
        <v>390</v>
      </c>
      <c r="E214"/>
      <c r="F214" s="68" t="s">
        <v>2826</v>
      </c>
      <c r="G214" s="80"/>
      <c r="H214" s="122">
        <v>44503</v>
      </c>
      <c r="I214" s="68" t="s">
        <v>3496</v>
      </c>
      <c r="J214" s="68">
        <v>326.8</v>
      </c>
      <c r="K214" s="68" t="s">
        <v>3669</v>
      </c>
      <c r="L214" s="68" t="s">
        <v>3670</v>
      </c>
    </row>
    <row r="215" spans="1:12" x14ac:dyDescent="0.25">
      <c r="A215" s="68" t="s">
        <v>379</v>
      </c>
      <c r="B215" s="68" t="s">
        <v>1206</v>
      </c>
      <c r="C215" s="80" t="s">
        <v>2021</v>
      </c>
      <c r="D215" s="68" t="s">
        <v>379</v>
      </c>
      <c r="E215"/>
      <c r="F215" s="68" t="s">
        <v>2815</v>
      </c>
      <c r="G215" s="80"/>
      <c r="H215" s="122">
        <v>44497</v>
      </c>
      <c r="I215" s="68" t="s">
        <v>3511</v>
      </c>
      <c r="J215" s="68">
        <v>351.2</v>
      </c>
      <c r="K215" s="68" t="s">
        <v>3669</v>
      </c>
      <c r="L215" s="68" t="s">
        <v>3670</v>
      </c>
    </row>
    <row r="216" spans="1:12" x14ac:dyDescent="0.25">
      <c r="A216" s="68" t="s">
        <v>391</v>
      </c>
      <c r="B216" s="68" t="s">
        <v>1218</v>
      </c>
      <c r="C216" s="80" t="s">
        <v>2032</v>
      </c>
      <c r="D216" s="68" t="s">
        <v>391</v>
      </c>
      <c r="E216"/>
      <c r="F216" s="68" t="s">
        <v>2827</v>
      </c>
      <c r="G216" s="80"/>
      <c r="H216" s="122">
        <v>44498</v>
      </c>
      <c r="I216" s="68" t="s">
        <v>3512</v>
      </c>
      <c r="J216" s="68">
        <v>818.4</v>
      </c>
      <c r="K216" s="68" t="s">
        <v>3669</v>
      </c>
      <c r="L216" s="68" t="s">
        <v>3670</v>
      </c>
    </row>
    <row r="217" spans="1:12" x14ac:dyDescent="0.25">
      <c r="A217" s="68" t="s">
        <v>392</v>
      </c>
      <c r="B217" s="68" t="s">
        <v>1219</v>
      </c>
      <c r="C217" s="80" t="s">
        <v>2033</v>
      </c>
      <c r="D217" s="68" t="s">
        <v>392</v>
      </c>
      <c r="E217"/>
      <c r="F217" s="68" t="s">
        <v>2828</v>
      </c>
      <c r="G217" s="80"/>
      <c r="H217" s="122">
        <v>44495</v>
      </c>
      <c r="I217" s="68" t="s">
        <v>3513</v>
      </c>
      <c r="J217" s="68">
        <v>1164.4000000000001</v>
      </c>
      <c r="K217" s="68" t="s">
        <v>3669</v>
      </c>
      <c r="L217" s="68" t="s">
        <v>3670</v>
      </c>
    </row>
    <row r="218" spans="1:12" x14ac:dyDescent="0.25">
      <c r="A218" s="68" t="s">
        <v>393</v>
      </c>
      <c r="B218" s="68" t="s">
        <v>1220</v>
      </c>
      <c r="C218" s="80" t="s">
        <v>2034</v>
      </c>
      <c r="D218" s="68" t="s">
        <v>393</v>
      </c>
      <c r="E218"/>
      <c r="F218" s="68" t="s">
        <v>2829</v>
      </c>
      <c r="G218" s="80"/>
      <c r="H218" s="122">
        <v>44105</v>
      </c>
      <c r="I218" s="68" t="s">
        <v>3514</v>
      </c>
      <c r="J218" s="68">
        <v>273.2</v>
      </c>
      <c r="K218" s="68" t="s">
        <v>3669</v>
      </c>
      <c r="L218" s="68" t="s">
        <v>3670</v>
      </c>
    </row>
    <row r="219" spans="1:12" x14ac:dyDescent="0.25">
      <c r="A219" s="68" t="s">
        <v>394</v>
      </c>
      <c r="B219" s="68" t="s">
        <v>1221</v>
      </c>
      <c r="C219" s="80" t="s">
        <v>2035</v>
      </c>
      <c r="D219" s="68" t="s">
        <v>394</v>
      </c>
      <c r="E219"/>
      <c r="F219" s="68" t="s">
        <v>2830</v>
      </c>
      <c r="G219" s="80"/>
      <c r="H219" s="122">
        <v>44490</v>
      </c>
      <c r="I219" s="68" t="s">
        <v>3455</v>
      </c>
      <c r="J219" s="68">
        <v>61.2</v>
      </c>
      <c r="K219" s="68" t="s">
        <v>3669</v>
      </c>
      <c r="L219" s="68" t="s">
        <v>3670</v>
      </c>
    </row>
    <row r="220" spans="1:12" x14ac:dyDescent="0.25">
      <c r="A220" s="68" t="s">
        <v>391</v>
      </c>
      <c r="B220" s="68" t="s">
        <v>1218</v>
      </c>
      <c r="C220" s="80" t="s">
        <v>2032</v>
      </c>
      <c r="D220" s="68" t="s">
        <v>391</v>
      </c>
      <c r="E220"/>
      <c r="F220" s="68" t="s">
        <v>2827</v>
      </c>
      <c r="G220" s="80"/>
      <c r="H220" s="122">
        <v>44490</v>
      </c>
      <c r="I220" s="68" t="s">
        <v>3514</v>
      </c>
      <c r="J220" s="68">
        <v>480</v>
      </c>
      <c r="K220" s="68" t="s">
        <v>3669</v>
      </c>
      <c r="L220" s="68" t="s">
        <v>3670</v>
      </c>
    </row>
    <row r="221" spans="1:12" x14ac:dyDescent="0.25">
      <c r="A221" s="68" t="s">
        <v>395</v>
      </c>
      <c r="B221" s="68" t="s">
        <v>1222</v>
      </c>
      <c r="C221" s="80" t="s">
        <v>2036</v>
      </c>
      <c r="D221" s="68" t="s">
        <v>395</v>
      </c>
      <c r="E221"/>
      <c r="F221" s="68" t="s">
        <v>2831</v>
      </c>
      <c r="G221" s="80"/>
      <c r="H221" s="122">
        <v>44471</v>
      </c>
      <c r="I221" s="68" t="s">
        <v>3515</v>
      </c>
      <c r="J221" s="68">
        <v>332.4</v>
      </c>
      <c r="K221" s="68" t="s">
        <v>3669</v>
      </c>
      <c r="L221" s="68" t="s">
        <v>3670</v>
      </c>
    </row>
    <row r="222" spans="1:12" x14ac:dyDescent="0.25">
      <c r="A222" s="68" t="s">
        <v>396</v>
      </c>
      <c r="B222" s="68" t="s">
        <v>1223</v>
      </c>
      <c r="C222" s="80" t="s">
        <v>2037</v>
      </c>
      <c r="D222" s="68" t="s">
        <v>396</v>
      </c>
      <c r="E222"/>
      <c r="F222" s="68" t="s">
        <v>2832</v>
      </c>
      <c r="G222" s="80"/>
      <c r="H222" s="122">
        <v>44480</v>
      </c>
      <c r="I222" s="68" t="s">
        <v>3516</v>
      </c>
      <c r="J222" s="68">
        <v>332.4</v>
      </c>
      <c r="K222" s="68" t="s">
        <v>3669</v>
      </c>
      <c r="L222" s="68" t="s">
        <v>3670</v>
      </c>
    </row>
    <row r="223" spans="1:12" x14ac:dyDescent="0.25">
      <c r="A223" s="68" t="s">
        <v>396</v>
      </c>
      <c r="B223" s="68" t="s">
        <v>1223</v>
      </c>
      <c r="C223" s="80" t="s">
        <v>2037</v>
      </c>
      <c r="D223" s="68" t="s">
        <v>396</v>
      </c>
      <c r="E223"/>
      <c r="F223" s="68" t="s">
        <v>2832</v>
      </c>
      <c r="G223" s="80"/>
      <c r="H223" s="122">
        <v>44480</v>
      </c>
      <c r="I223" s="68" t="s">
        <v>3516</v>
      </c>
      <c r="J223" s="68">
        <v>88.8</v>
      </c>
      <c r="K223" s="68" t="s">
        <v>3669</v>
      </c>
      <c r="L223" s="68" t="s">
        <v>3670</v>
      </c>
    </row>
    <row r="224" spans="1:12" x14ac:dyDescent="0.25">
      <c r="A224" s="68" t="s">
        <v>397</v>
      </c>
      <c r="B224" s="68" t="s">
        <v>1224</v>
      </c>
      <c r="C224" s="80" t="s">
        <v>2038</v>
      </c>
      <c r="D224" s="68" t="s">
        <v>397</v>
      </c>
      <c r="E224"/>
      <c r="F224" s="68" t="s">
        <v>2833</v>
      </c>
      <c r="G224" s="80"/>
      <c r="H224" s="122">
        <v>44477</v>
      </c>
      <c r="I224" s="68" t="s">
        <v>3444</v>
      </c>
      <c r="J224" s="68">
        <v>100</v>
      </c>
      <c r="K224" s="68" t="s">
        <v>3669</v>
      </c>
      <c r="L224" s="68" t="s">
        <v>3670</v>
      </c>
    </row>
    <row r="225" spans="1:12" x14ac:dyDescent="0.25">
      <c r="A225" s="68" t="s">
        <v>398</v>
      </c>
      <c r="B225" s="68" t="s">
        <v>1225</v>
      </c>
      <c r="C225" s="80" t="s">
        <v>2039</v>
      </c>
      <c r="D225" s="68" t="s">
        <v>398</v>
      </c>
      <c r="E225"/>
      <c r="F225" s="68" t="s">
        <v>2834</v>
      </c>
      <c r="G225" s="80"/>
      <c r="H225" s="122">
        <v>44476</v>
      </c>
      <c r="I225" s="68" t="s">
        <v>3444</v>
      </c>
      <c r="J225" s="68">
        <v>674.4</v>
      </c>
      <c r="K225" s="68" t="s">
        <v>3669</v>
      </c>
      <c r="L225" s="68" t="s">
        <v>3670</v>
      </c>
    </row>
    <row r="226" spans="1:12" x14ac:dyDescent="0.25">
      <c r="A226" s="68" t="s">
        <v>399</v>
      </c>
      <c r="B226" s="68" t="s">
        <v>1226</v>
      </c>
      <c r="C226" s="80" t="s">
        <v>2040</v>
      </c>
      <c r="D226" s="68" t="s">
        <v>399</v>
      </c>
      <c r="E226"/>
      <c r="F226" s="68" t="s">
        <v>2835</v>
      </c>
      <c r="G226" s="80"/>
      <c r="H226" s="122">
        <v>44448</v>
      </c>
      <c r="I226" s="68" t="s">
        <v>3476</v>
      </c>
      <c r="J226" s="68">
        <v>968.4</v>
      </c>
      <c r="K226" s="68" t="s">
        <v>3669</v>
      </c>
      <c r="L226" s="68" t="s">
        <v>3670</v>
      </c>
    </row>
    <row r="227" spans="1:12" x14ac:dyDescent="0.25">
      <c r="A227" s="68" t="s">
        <v>388</v>
      </c>
      <c r="B227" s="68" t="s">
        <v>1215</v>
      </c>
      <c r="C227" s="80" t="s">
        <v>2030</v>
      </c>
      <c r="D227" s="68" t="s">
        <v>388</v>
      </c>
      <c r="E227"/>
      <c r="F227" s="68" t="s">
        <v>2824</v>
      </c>
      <c r="G227" s="80"/>
      <c r="H227" s="122">
        <v>44441</v>
      </c>
      <c r="I227" s="68" t="s">
        <v>3517</v>
      </c>
      <c r="J227" s="68">
        <v>432</v>
      </c>
      <c r="K227" s="68" t="s">
        <v>3669</v>
      </c>
      <c r="L227" s="68" t="s">
        <v>3670</v>
      </c>
    </row>
    <row r="228" spans="1:12" x14ac:dyDescent="0.25">
      <c r="A228" s="68" t="s">
        <v>400</v>
      </c>
      <c r="B228" s="68" t="s">
        <v>1227</v>
      </c>
      <c r="C228" s="80" t="s">
        <v>2041</v>
      </c>
      <c r="D228" s="68" t="s">
        <v>400</v>
      </c>
      <c r="E228"/>
      <c r="F228" s="68" t="s">
        <v>2836</v>
      </c>
      <c r="G228" s="80"/>
      <c r="H228" s="122">
        <v>44427</v>
      </c>
      <c r="I228" s="68" t="s">
        <v>3518</v>
      </c>
      <c r="J228" s="68">
        <v>278.39999999999998</v>
      </c>
      <c r="K228" s="68" t="s">
        <v>3669</v>
      </c>
      <c r="L228" s="68" t="s">
        <v>3670</v>
      </c>
    </row>
    <row r="229" spans="1:12" x14ac:dyDescent="0.25">
      <c r="A229" s="68" t="s">
        <v>401</v>
      </c>
      <c r="B229" s="68" t="s">
        <v>1228</v>
      </c>
      <c r="C229" s="80" t="s">
        <v>2042</v>
      </c>
      <c r="D229" s="68" t="s">
        <v>401</v>
      </c>
      <c r="E229"/>
      <c r="F229" s="68" t="s">
        <v>2837</v>
      </c>
      <c r="G229" s="80"/>
      <c r="H229" s="122">
        <v>44407</v>
      </c>
      <c r="I229" s="68" t="s">
        <v>3519</v>
      </c>
      <c r="J229" s="68">
        <v>332.4</v>
      </c>
      <c r="K229" s="68" t="s">
        <v>3669</v>
      </c>
      <c r="L229" s="68" t="s">
        <v>3670</v>
      </c>
    </row>
    <row r="230" spans="1:12" x14ac:dyDescent="0.25">
      <c r="A230" s="68" t="s">
        <v>388</v>
      </c>
      <c r="B230" s="68" t="s">
        <v>1215</v>
      </c>
      <c r="C230" s="80" t="s">
        <v>2030</v>
      </c>
      <c r="D230" s="68" t="s">
        <v>388</v>
      </c>
      <c r="E230"/>
      <c r="F230" s="68" t="s">
        <v>2824</v>
      </c>
      <c r="G230" s="80"/>
      <c r="H230" s="122">
        <v>44403</v>
      </c>
      <c r="I230" s="68" t="s">
        <v>3520</v>
      </c>
      <c r="J230" s="68">
        <v>466.8</v>
      </c>
      <c r="K230" s="68" t="s">
        <v>3669</v>
      </c>
      <c r="L230" s="68" t="s">
        <v>3670</v>
      </c>
    </row>
    <row r="231" spans="1:12" x14ac:dyDescent="0.25">
      <c r="A231" s="68" t="s">
        <v>402</v>
      </c>
      <c r="B231" s="68" t="s">
        <v>1229</v>
      </c>
      <c r="C231" s="80" t="s">
        <v>2043</v>
      </c>
      <c r="D231" s="68" t="s">
        <v>402</v>
      </c>
      <c r="E231"/>
      <c r="F231" s="68" t="s">
        <v>2838</v>
      </c>
      <c r="G231" s="80"/>
      <c r="H231" s="122">
        <v>44400</v>
      </c>
      <c r="I231" s="68" t="s">
        <v>3519</v>
      </c>
      <c r="J231" s="68">
        <v>2014.8</v>
      </c>
      <c r="K231" s="68" t="s">
        <v>3669</v>
      </c>
      <c r="L231" s="68" t="s">
        <v>3670</v>
      </c>
    </row>
    <row r="232" spans="1:12" x14ac:dyDescent="0.25">
      <c r="A232" s="68" t="s">
        <v>388</v>
      </c>
      <c r="B232" s="68" t="s">
        <v>1215</v>
      </c>
      <c r="C232" s="80" t="s">
        <v>2030</v>
      </c>
      <c r="D232" s="68" t="s">
        <v>388</v>
      </c>
      <c r="E232"/>
      <c r="F232" s="68" t="s">
        <v>2824</v>
      </c>
      <c r="G232" s="80"/>
      <c r="H232" s="122">
        <v>44384</v>
      </c>
      <c r="I232" s="68" t="s">
        <v>3521</v>
      </c>
      <c r="J232" s="68">
        <v>838.8</v>
      </c>
      <c r="K232" s="68" t="s">
        <v>3669</v>
      </c>
      <c r="L232" s="68" t="s">
        <v>3670</v>
      </c>
    </row>
    <row r="233" spans="1:12" x14ac:dyDescent="0.25">
      <c r="A233" s="68" t="s">
        <v>403</v>
      </c>
      <c r="B233" s="68" t="s">
        <v>1230</v>
      </c>
      <c r="C233" s="80" t="s">
        <v>2044</v>
      </c>
      <c r="D233" s="68" t="s">
        <v>403</v>
      </c>
      <c r="E233"/>
      <c r="F233" s="68" t="s">
        <v>2839</v>
      </c>
      <c r="G233" s="80"/>
      <c r="H233" s="122">
        <v>44652</v>
      </c>
      <c r="I233" s="68" t="s">
        <v>3478</v>
      </c>
      <c r="J233" s="68">
        <v>480</v>
      </c>
      <c r="K233" s="68" t="s">
        <v>3671</v>
      </c>
      <c r="L233" s="68" t="s">
        <v>3672</v>
      </c>
    </row>
    <row r="234" spans="1:12" x14ac:dyDescent="0.25">
      <c r="A234" s="68" t="s">
        <v>404</v>
      </c>
      <c r="B234" s="68" t="s">
        <v>1231</v>
      </c>
      <c r="C234" s="80" t="s">
        <v>2045</v>
      </c>
      <c r="D234" s="68" t="s">
        <v>404</v>
      </c>
      <c r="E234"/>
      <c r="F234" s="68" t="s">
        <v>2840</v>
      </c>
      <c r="G234" s="80"/>
      <c r="H234" s="122">
        <v>44652</v>
      </c>
      <c r="I234" s="68" t="s">
        <v>3478</v>
      </c>
      <c r="J234" s="68">
        <v>88.8</v>
      </c>
      <c r="K234" s="68" t="s">
        <v>3671</v>
      </c>
      <c r="L234" s="68" t="s">
        <v>3672</v>
      </c>
    </row>
    <row r="235" spans="1:12" x14ac:dyDescent="0.25">
      <c r="A235" s="68" t="s">
        <v>405</v>
      </c>
      <c r="B235" s="68" t="s">
        <v>1232</v>
      </c>
      <c r="C235" s="80" t="s">
        <v>2046</v>
      </c>
      <c r="D235" s="68" t="s">
        <v>405</v>
      </c>
      <c r="E235"/>
      <c r="F235" s="68" t="s">
        <v>2841</v>
      </c>
      <c r="G235" s="80"/>
      <c r="H235" s="122">
        <v>44652</v>
      </c>
      <c r="I235" s="68" t="s">
        <v>3478</v>
      </c>
      <c r="J235" s="68">
        <v>453.2</v>
      </c>
      <c r="K235" s="68" t="s">
        <v>3671</v>
      </c>
      <c r="L235" s="68" t="s">
        <v>3672</v>
      </c>
    </row>
    <row r="236" spans="1:12" x14ac:dyDescent="0.25">
      <c r="A236" s="68" t="s">
        <v>406</v>
      </c>
      <c r="B236" s="68" t="s">
        <v>1233</v>
      </c>
      <c r="C236" s="80" t="s">
        <v>2047</v>
      </c>
      <c r="D236" s="68" t="s">
        <v>406</v>
      </c>
      <c r="E236"/>
      <c r="F236" s="68" t="s">
        <v>2842</v>
      </c>
      <c r="G236" s="80"/>
      <c r="H236" s="122">
        <v>44652</v>
      </c>
      <c r="I236" s="68" t="s">
        <v>3478</v>
      </c>
      <c r="J236" s="68">
        <v>542</v>
      </c>
      <c r="K236" s="68" t="s">
        <v>3671</v>
      </c>
      <c r="L236" s="68" t="s">
        <v>3672</v>
      </c>
    </row>
    <row r="237" spans="1:12" x14ac:dyDescent="0.25">
      <c r="A237" s="68" t="s">
        <v>407</v>
      </c>
      <c r="B237" s="68" t="s">
        <v>1234</v>
      </c>
      <c r="C237" s="80" t="s">
        <v>2048</v>
      </c>
      <c r="D237" s="68" t="s">
        <v>407</v>
      </c>
      <c r="E237"/>
      <c r="F237" s="68" t="s">
        <v>2843</v>
      </c>
      <c r="G237" s="80"/>
      <c r="H237" s="122">
        <v>44652</v>
      </c>
      <c r="I237" s="68" t="s">
        <v>3478</v>
      </c>
      <c r="J237" s="68">
        <v>266</v>
      </c>
      <c r="K237" s="68" t="s">
        <v>3671</v>
      </c>
      <c r="L237" s="68" t="s">
        <v>3672</v>
      </c>
    </row>
    <row r="238" spans="1:12" x14ac:dyDescent="0.25">
      <c r="A238" s="68" t="s">
        <v>408</v>
      </c>
      <c r="B238" s="68" t="s">
        <v>1235</v>
      </c>
      <c r="C238" s="80" t="s">
        <v>2049</v>
      </c>
      <c r="D238" s="68" t="s">
        <v>408</v>
      </c>
      <c r="E238"/>
      <c r="F238" s="68" t="s">
        <v>2844</v>
      </c>
      <c r="G238" s="80"/>
      <c r="H238" s="122">
        <v>44652</v>
      </c>
      <c r="I238" s="68" t="s">
        <v>3478</v>
      </c>
      <c r="J238" s="68">
        <v>304.8</v>
      </c>
      <c r="K238" s="68" t="s">
        <v>3671</v>
      </c>
      <c r="L238" s="68" t="s">
        <v>3672</v>
      </c>
    </row>
    <row r="239" spans="1:12" x14ac:dyDescent="0.25">
      <c r="A239" s="68" t="s">
        <v>409</v>
      </c>
      <c r="B239" s="68" t="s">
        <v>1236</v>
      </c>
      <c r="C239" s="80" t="s">
        <v>2050</v>
      </c>
      <c r="D239" s="68" t="s">
        <v>409</v>
      </c>
      <c r="E239"/>
      <c r="F239" s="68" t="s">
        <v>2845</v>
      </c>
      <c r="G239" s="80"/>
      <c r="H239" s="122">
        <v>44652</v>
      </c>
      <c r="I239" s="68" t="s">
        <v>3478</v>
      </c>
      <c r="J239" s="68">
        <v>688.4</v>
      </c>
      <c r="K239" s="68" t="s">
        <v>3671</v>
      </c>
      <c r="L239" s="68" t="s">
        <v>3672</v>
      </c>
    </row>
    <row r="240" spans="1:12" x14ac:dyDescent="0.25">
      <c r="A240" s="68" t="s">
        <v>410</v>
      </c>
      <c r="B240" s="68" t="s">
        <v>1237</v>
      </c>
      <c r="C240" s="80" t="s">
        <v>2051</v>
      </c>
      <c r="D240" s="68" t="s">
        <v>410</v>
      </c>
      <c r="E240"/>
      <c r="F240" s="68" t="s">
        <v>2846</v>
      </c>
      <c r="G240" s="80"/>
      <c r="H240" s="122">
        <v>44650</v>
      </c>
      <c r="I240" s="68" t="s">
        <v>3499</v>
      </c>
      <c r="J240" s="68">
        <v>634</v>
      </c>
      <c r="K240" s="68" t="s">
        <v>3671</v>
      </c>
      <c r="L240" s="68" t="s">
        <v>3672</v>
      </c>
    </row>
    <row r="241" spans="1:12" x14ac:dyDescent="0.25">
      <c r="A241" s="68" t="s">
        <v>411</v>
      </c>
      <c r="B241" s="68" t="s">
        <v>1238</v>
      </c>
      <c r="C241" s="80" t="s">
        <v>2052</v>
      </c>
      <c r="D241" s="68" t="s">
        <v>411</v>
      </c>
      <c r="E241"/>
      <c r="F241" s="68" t="s">
        <v>2847</v>
      </c>
      <c r="G241" s="80"/>
      <c r="H241" s="122">
        <v>44649</v>
      </c>
      <c r="I241" s="68" t="s">
        <v>3479</v>
      </c>
      <c r="J241" s="68">
        <v>715.2</v>
      </c>
      <c r="K241" s="68" t="s">
        <v>3671</v>
      </c>
      <c r="L241" s="68" t="s">
        <v>3672</v>
      </c>
    </row>
    <row r="242" spans="1:12" x14ac:dyDescent="0.25">
      <c r="A242" s="68" t="s">
        <v>412</v>
      </c>
      <c r="B242" s="68" t="s">
        <v>1239</v>
      </c>
      <c r="C242" s="80" t="s">
        <v>2053</v>
      </c>
      <c r="D242" s="68" t="s">
        <v>412</v>
      </c>
      <c r="E242"/>
      <c r="F242" s="68" t="s">
        <v>2848</v>
      </c>
      <c r="G242" s="80"/>
      <c r="H242" s="122">
        <v>44649</v>
      </c>
      <c r="I242" s="68" t="s">
        <v>3479</v>
      </c>
      <c r="J242" s="68">
        <v>108.8</v>
      </c>
      <c r="K242" s="68" t="s">
        <v>3671</v>
      </c>
      <c r="L242" s="68" t="s">
        <v>3672</v>
      </c>
    </row>
    <row r="243" spans="1:12" x14ac:dyDescent="0.25">
      <c r="A243" s="68" t="s">
        <v>413</v>
      </c>
      <c r="B243" s="68" t="s">
        <v>1240</v>
      </c>
      <c r="C243" s="80" t="s">
        <v>2054</v>
      </c>
      <c r="D243" s="68" t="s">
        <v>413</v>
      </c>
      <c r="E243"/>
      <c r="F243" s="68" t="s">
        <v>2849</v>
      </c>
      <c r="G243" s="80"/>
      <c r="H243" s="122">
        <v>44649</v>
      </c>
      <c r="I243" s="68" t="s">
        <v>3479</v>
      </c>
      <c r="J243" s="68">
        <v>347.6</v>
      </c>
      <c r="K243" s="68" t="s">
        <v>3671</v>
      </c>
      <c r="L243" s="68" t="s">
        <v>3672</v>
      </c>
    </row>
    <row r="244" spans="1:12" x14ac:dyDescent="0.25">
      <c r="A244" s="68" t="s">
        <v>414</v>
      </c>
      <c r="B244" s="68" t="s">
        <v>1241</v>
      </c>
      <c r="C244" s="80" t="s">
        <v>2055</v>
      </c>
      <c r="D244" s="68" t="s">
        <v>414</v>
      </c>
      <c r="E244"/>
      <c r="F244" s="68" t="s">
        <v>2850</v>
      </c>
      <c r="G244" s="80"/>
      <c r="H244" s="122">
        <v>44646</v>
      </c>
      <c r="I244" s="68" t="s">
        <v>3480</v>
      </c>
      <c r="J244" s="68">
        <v>294.8</v>
      </c>
      <c r="K244" s="68" t="s">
        <v>3671</v>
      </c>
      <c r="L244" s="68" t="s">
        <v>3672</v>
      </c>
    </row>
    <row r="245" spans="1:12" x14ac:dyDescent="0.25">
      <c r="A245" s="68" t="s">
        <v>415</v>
      </c>
      <c r="B245" s="68" t="s">
        <v>1242</v>
      </c>
      <c r="C245" s="80" t="s">
        <v>2055</v>
      </c>
      <c r="D245" s="68" t="s">
        <v>415</v>
      </c>
      <c r="E245"/>
      <c r="F245" s="68" t="s">
        <v>2851</v>
      </c>
      <c r="G245" s="80"/>
      <c r="H245" s="122">
        <v>44646</v>
      </c>
      <c r="I245" s="68" t="s">
        <v>3480</v>
      </c>
      <c r="J245" s="68">
        <v>294.8</v>
      </c>
      <c r="K245" s="68" t="s">
        <v>3671</v>
      </c>
      <c r="L245" s="68" t="s">
        <v>3672</v>
      </c>
    </row>
    <row r="246" spans="1:12" x14ac:dyDescent="0.25">
      <c r="A246" s="68" t="s">
        <v>416</v>
      </c>
      <c r="B246" s="68" t="s">
        <v>1243</v>
      </c>
      <c r="C246" s="80" t="s">
        <v>2056</v>
      </c>
      <c r="D246" s="68" t="s">
        <v>416</v>
      </c>
      <c r="E246"/>
      <c r="F246" s="68" t="s">
        <v>2852</v>
      </c>
      <c r="G246" s="80"/>
      <c r="H246" s="122">
        <v>44645</v>
      </c>
      <c r="I246" s="68" t="s">
        <v>3480</v>
      </c>
      <c r="J246" s="68">
        <v>138</v>
      </c>
      <c r="K246" s="68" t="s">
        <v>3671</v>
      </c>
      <c r="L246" s="68" t="s">
        <v>3672</v>
      </c>
    </row>
    <row r="247" spans="1:12" x14ac:dyDescent="0.25">
      <c r="A247" s="68" t="s">
        <v>417</v>
      </c>
      <c r="B247" s="68" t="s">
        <v>1244</v>
      </c>
      <c r="C247" s="80" t="s">
        <v>2057</v>
      </c>
      <c r="D247" s="68" t="s">
        <v>417</v>
      </c>
      <c r="E247"/>
      <c r="F247" s="68" t="s">
        <v>2853</v>
      </c>
      <c r="G247" s="80"/>
      <c r="H247" s="122">
        <v>44645</v>
      </c>
      <c r="I247" s="68" t="s">
        <v>3480</v>
      </c>
      <c r="J247" s="68">
        <v>332.4</v>
      </c>
      <c r="K247" s="68" t="s">
        <v>3671</v>
      </c>
      <c r="L247" s="68" t="s">
        <v>3672</v>
      </c>
    </row>
    <row r="248" spans="1:12" x14ac:dyDescent="0.25">
      <c r="A248" s="68" t="s">
        <v>418</v>
      </c>
      <c r="B248" s="68" t="s">
        <v>1245</v>
      </c>
      <c r="C248" s="80" t="s">
        <v>2058</v>
      </c>
      <c r="D248" s="68" t="s">
        <v>418</v>
      </c>
      <c r="E248"/>
      <c r="F248" s="68" t="s">
        <v>2854</v>
      </c>
      <c r="G248" s="80"/>
      <c r="H248" s="122">
        <v>44645</v>
      </c>
      <c r="I248" s="68" t="s">
        <v>3480</v>
      </c>
      <c r="J248" s="68">
        <v>374.4</v>
      </c>
      <c r="K248" s="68" t="s">
        <v>3671</v>
      </c>
      <c r="L248" s="68" t="s">
        <v>3672</v>
      </c>
    </row>
    <row r="249" spans="1:12" x14ac:dyDescent="0.25">
      <c r="A249" s="68" t="s">
        <v>419</v>
      </c>
      <c r="B249" s="68" t="s">
        <v>1246</v>
      </c>
      <c r="C249" s="80" t="s">
        <v>2059</v>
      </c>
      <c r="D249" s="68" t="s">
        <v>419</v>
      </c>
      <c r="E249"/>
      <c r="F249" s="68" t="s">
        <v>2855</v>
      </c>
      <c r="G249" s="80"/>
      <c r="H249" s="122">
        <v>44645</v>
      </c>
      <c r="I249" s="68" t="s">
        <v>3480</v>
      </c>
      <c r="J249" s="68">
        <v>116.4</v>
      </c>
      <c r="K249" s="68" t="s">
        <v>3671</v>
      </c>
      <c r="L249" s="68" t="s">
        <v>3672</v>
      </c>
    </row>
    <row r="250" spans="1:12" x14ac:dyDescent="0.25">
      <c r="A250" s="68" t="s">
        <v>420</v>
      </c>
      <c r="B250" s="68" t="s">
        <v>1247</v>
      </c>
      <c r="C250" s="80" t="s">
        <v>2060</v>
      </c>
      <c r="D250" s="68" t="s">
        <v>420</v>
      </c>
      <c r="E250"/>
      <c r="F250" s="68" t="s">
        <v>2856</v>
      </c>
      <c r="G250" s="80"/>
      <c r="H250" s="122">
        <v>44645</v>
      </c>
      <c r="I250" s="68" t="s">
        <v>3480</v>
      </c>
      <c r="J250" s="68">
        <v>166.8</v>
      </c>
      <c r="K250" s="68" t="s">
        <v>3671</v>
      </c>
      <c r="L250" s="68" t="s">
        <v>3672</v>
      </c>
    </row>
    <row r="251" spans="1:12" x14ac:dyDescent="0.25">
      <c r="A251" s="68" t="s">
        <v>421</v>
      </c>
      <c r="B251" s="68" t="s">
        <v>1248</v>
      </c>
      <c r="C251" s="80" t="s">
        <v>2061</v>
      </c>
      <c r="D251" s="68" t="s">
        <v>421</v>
      </c>
      <c r="E251"/>
      <c r="F251" s="68" t="s">
        <v>2857</v>
      </c>
      <c r="G251" s="80"/>
      <c r="H251" s="122">
        <v>44645</v>
      </c>
      <c r="I251" s="68" t="s">
        <v>3480</v>
      </c>
      <c r="J251" s="68">
        <v>453.2</v>
      </c>
      <c r="K251" s="68" t="s">
        <v>3671</v>
      </c>
      <c r="L251" s="68" t="s">
        <v>3672</v>
      </c>
    </row>
    <row r="252" spans="1:12" x14ac:dyDescent="0.25">
      <c r="A252" s="68" t="s">
        <v>422</v>
      </c>
      <c r="B252" s="68" t="s">
        <v>1249</v>
      </c>
      <c r="C252" s="80" t="s">
        <v>2062</v>
      </c>
      <c r="D252" s="68" t="s">
        <v>422</v>
      </c>
      <c r="E252"/>
      <c r="F252" s="68" t="s">
        <v>2858</v>
      </c>
      <c r="G252" s="80"/>
      <c r="H252" s="122">
        <v>44645</v>
      </c>
      <c r="I252" s="68" t="s">
        <v>3480</v>
      </c>
      <c r="J252" s="68">
        <v>539.6</v>
      </c>
      <c r="K252" s="68" t="s">
        <v>3671</v>
      </c>
      <c r="L252" s="68" t="s">
        <v>3672</v>
      </c>
    </row>
    <row r="253" spans="1:12" x14ac:dyDescent="0.25">
      <c r="A253" s="68" t="s">
        <v>423</v>
      </c>
      <c r="B253" s="68" t="s">
        <v>1250</v>
      </c>
      <c r="C253" s="80" t="s">
        <v>2063</v>
      </c>
      <c r="D253" s="68" t="s">
        <v>423</v>
      </c>
      <c r="E253"/>
      <c r="F253" s="68" t="s">
        <v>2859</v>
      </c>
      <c r="G253" s="80"/>
      <c r="H253" s="122">
        <v>44644</v>
      </c>
      <c r="I253" s="68" t="s">
        <v>3439</v>
      </c>
      <c r="J253" s="68">
        <v>266</v>
      </c>
      <c r="K253" s="68" t="s">
        <v>3671</v>
      </c>
      <c r="L253" s="68" t="s">
        <v>3672</v>
      </c>
    </row>
    <row r="254" spans="1:12" x14ac:dyDescent="0.25">
      <c r="A254" s="68" t="s">
        <v>424</v>
      </c>
      <c r="B254" s="68" t="s">
        <v>1251</v>
      </c>
      <c r="C254" s="80" t="s">
        <v>2064</v>
      </c>
      <c r="D254" s="68" t="s">
        <v>424</v>
      </c>
      <c r="E254"/>
      <c r="F254" s="68" t="s">
        <v>2860</v>
      </c>
      <c r="G254" s="80"/>
      <c r="H254" s="122">
        <v>44644</v>
      </c>
      <c r="I254" s="68" t="s">
        <v>3439</v>
      </c>
      <c r="J254" s="68">
        <v>227.6</v>
      </c>
      <c r="K254" s="68" t="s">
        <v>3671</v>
      </c>
      <c r="L254" s="68" t="s">
        <v>3672</v>
      </c>
    </row>
    <row r="255" spans="1:12" x14ac:dyDescent="0.25">
      <c r="A255" s="68" t="s">
        <v>425</v>
      </c>
      <c r="B255" s="68" t="s">
        <v>1252</v>
      </c>
      <c r="C255" s="80" t="s">
        <v>2065</v>
      </c>
      <c r="D255" s="68" t="s">
        <v>425</v>
      </c>
      <c r="E255"/>
      <c r="F255" s="68" t="s">
        <v>2861</v>
      </c>
      <c r="G255" s="80"/>
      <c r="H255" s="122">
        <v>44644</v>
      </c>
      <c r="I255" s="68" t="s">
        <v>3439</v>
      </c>
      <c r="J255" s="68">
        <v>480</v>
      </c>
      <c r="K255" s="68" t="s">
        <v>3671</v>
      </c>
      <c r="L255" s="68" t="s">
        <v>3672</v>
      </c>
    </row>
    <row r="256" spans="1:12" x14ac:dyDescent="0.25">
      <c r="A256" s="68" t="s">
        <v>426</v>
      </c>
      <c r="B256" s="68" t="s">
        <v>1253</v>
      </c>
      <c r="C256" s="80" t="s">
        <v>2066</v>
      </c>
      <c r="D256" s="68" t="s">
        <v>426</v>
      </c>
      <c r="E256"/>
      <c r="F256" s="68" t="s">
        <v>2862</v>
      </c>
      <c r="G256" s="80"/>
      <c r="H256" s="122">
        <v>44644</v>
      </c>
      <c r="I256" s="68" t="s">
        <v>3439</v>
      </c>
      <c r="J256" s="68">
        <v>227.6</v>
      </c>
      <c r="K256" s="68" t="s">
        <v>3671</v>
      </c>
      <c r="L256" s="68" t="s">
        <v>3672</v>
      </c>
    </row>
    <row r="257" spans="1:12" x14ac:dyDescent="0.25">
      <c r="A257" s="68" t="s">
        <v>427</v>
      </c>
      <c r="B257" s="68" t="s">
        <v>1254</v>
      </c>
      <c r="C257" s="80" t="s">
        <v>2067</v>
      </c>
      <c r="D257" s="68" t="s">
        <v>427</v>
      </c>
      <c r="E257"/>
      <c r="F257" s="68" t="s">
        <v>2863</v>
      </c>
      <c r="G257" s="80"/>
      <c r="H257" s="122">
        <v>44617</v>
      </c>
      <c r="I257" s="68" t="s">
        <v>3437</v>
      </c>
      <c r="J257" s="68">
        <v>240</v>
      </c>
      <c r="K257" s="68" t="s">
        <v>3671</v>
      </c>
      <c r="L257" s="68" t="s">
        <v>3672</v>
      </c>
    </row>
    <row r="258" spans="1:12" x14ac:dyDescent="0.25">
      <c r="A258" s="68" t="s">
        <v>428</v>
      </c>
      <c r="B258" s="68" t="s">
        <v>1255</v>
      </c>
      <c r="C258" s="80" t="s">
        <v>2068</v>
      </c>
      <c r="D258" s="68" t="s">
        <v>428</v>
      </c>
      <c r="E258"/>
      <c r="F258" s="68" t="s">
        <v>2864</v>
      </c>
      <c r="G258" s="80"/>
      <c r="H258" s="122">
        <v>44643</v>
      </c>
      <c r="I258" s="68" t="s">
        <v>3437</v>
      </c>
      <c r="J258" s="68">
        <v>149.6</v>
      </c>
      <c r="K258" s="68" t="s">
        <v>3671</v>
      </c>
      <c r="L258" s="68" t="s">
        <v>3672</v>
      </c>
    </row>
    <row r="259" spans="1:12" x14ac:dyDescent="0.25">
      <c r="A259" s="68" t="s">
        <v>429</v>
      </c>
      <c r="B259" s="68" t="s">
        <v>1256</v>
      </c>
      <c r="C259" s="80" t="s">
        <v>2069</v>
      </c>
      <c r="D259" s="68" t="s">
        <v>429</v>
      </c>
      <c r="E259"/>
      <c r="F259" s="68" t="s">
        <v>2865</v>
      </c>
      <c r="G259" s="80"/>
      <c r="H259" s="122">
        <v>44643</v>
      </c>
      <c r="I259" s="68" t="s">
        <v>3437</v>
      </c>
      <c r="J259" s="68">
        <v>238</v>
      </c>
      <c r="K259" s="68" t="s">
        <v>3671</v>
      </c>
      <c r="L259" s="68" t="s">
        <v>3672</v>
      </c>
    </row>
    <row r="260" spans="1:12" x14ac:dyDescent="0.25">
      <c r="A260" s="68" t="s">
        <v>430</v>
      </c>
      <c r="B260" s="68" t="s">
        <v>1257</v>
      </c>
      <c r="C260" s="80" t="s">
        <v>2070</v>
      </c>
      <c r="D260" s="68" t="s">
        <v>430</v>
      </c>
      <c r="E260"/>
      <c r="F260" s="68" t="s">
        <v>2866</v>
      </c>
      <c r="G260" s="80"/>
      <c r="H260" s="122">
        <v>44643</v>
      </c>
      <c r="I260" s="68" t="s">
        <v>3437</v>
      </c>
      <c r="J260" s="68">
        <v>751.2</v>
      </c>
      <c r="K260" s="68" t="s">
        <v>3671</v>
      </c>
      <c r="L260" s="68" t="s">
        <v>3672</v>
      </c>
    </row>
    <row r="261" spans="1:12" x14ac:dyDescent="0.25">
      <c r="A261" s="68" t="s">
        <v>431</v>
      </c>
      <c r="B261" s="68" t="s">
        <v>1258</v>
      </c>
      <c r="C261" s="80" t="s">
        <v>2071</v>
      </c>
      <c r="D261" s="68" t="s">
        <v>431</v>
      </c>
      <c r="E261"/>
      <c r="F261" s="68" t="s">
        <v>2867</v>
      </c>
      <c r="G261" s="80"/>
      <c r="H261" s="122">
        <v>44643</v>
      </c>
      <c r="I261" s="68" t="s">
        <v>3437</v>
      </c>
      <c r="J261" s="68">
        <v>61.2</v>
      </c>
      <c r="K261" s="68" t="s">
        <v>3671</v>
      </c>
      <c r="L261" s="68" t="s">
        <v>3672</v>
      </c>
    </row>
    <row r="262" spans="1:12" x14ac:dyDescent="0.25">
      <c r="A262" s="68" t="s">
        <v>432</v>
      </c>
      <c r="B262" s="68" t="s">
        <v>1259</v>
      </c>
      <c r="C262" s="80" t="s">
        <v>2072</v>
      </c>
      <c r="D262" s="68" t="s">
        <v>432</v>
      </c>
      <c r="E262"/>
      <c r="F262" s="68" t="s">
        <v>2868</v>
      </c>
      <c r="G262" s="80"/>
      <c r="H262" s="122">
        <v>44643</v>
      </c>
      <c r="I262" s="68" t="s">
        <v>3437</v>
      </c>
      <c r="J262" s="68">
        <v>227.6</v>
      </c>
      <c r="K262" s="68" t="s">
        <v>3671</v>
      </c>
      <c r="L262" s="68" t="s">
        <v>3672</v>
      </c>
    </row>
    <row r="263" spans="1:12" x14ac:dyDescent="0.25">
      <c r="A263" s="68" t="s">
        <v>433</v>
      </c>
      <c r="B263" s="68" t="s">
        <v>1260</v>
      </c>
      <c r="C263" s="80" t="s">
        <v>2073</v>
      </c>
      <c r="D263" s="68" t="s">
        <v>433</v>
      </c>
      <c r="E263"/>
      <c r="F263" s="68" t="s">
        <v>2869</v>
      </c>
      <c r="G263" s="80"/>
      <c r="H263" s="122">
        <v>44643</v>
      </c>
      <c r="I263" s="68" t="s">
        <v>3437</v>
      </c>
      <c r="J263" s="68">
        <v>266</v>
      </c>
      <c r="K263" s="68" t="s">
        <v>3671</v>
      </c>
      <c r="L263" s="68" t="s">
        <v>3672</v>
      </c>
    </row>
    <row r="264" spans="1:12" x14ac:dyDescent="0.25">
      <c r="A264" s="68" t="s">
        <v>434</v>
      </c>
      <c r="B264" s="68" t="s">
        <v>1261</v>
      </c>
      <c r="C264" s="80" t="s">
        <v>2074</v>
      </c>
      <c r="D264" s="68" t="s">
        <v>434</v>
      </c>
      <c r="E264"/>
      <c r="F264" s="68" t="s">
        <v>2870</v>
      </c>
      <c r="G264" s="80"/>
      <c r="H264" s="122">
        <v>44643</v>
      </c>
      <c r="I264" s="68" t="s">
        <v>3437</v>
      </c>
      <c r="J264" s="68">
        <v>446.4</v>
      </c>
      <c r="K264" s="68" t="s">
        <v>3671</v>
      </c>
      <c r="L264" s="68" t="s">
        <v>3672</v>
      </c>
    </row>
    <row r="265" spans="1:12" x14ac:dyDescent="0.25">
      <c r="A265" s="68" t="s">
        <v>419</v>
      </c>
      <c r="B265" s="68" t="s">
        <v>1246</v>
      </c>
      <c r="C265" s="80" t="s">
        <v>2059</v>
      </c>
      <c r="D265" s="68" t="s">
        <v>419</v>
      </c>
      <c r="E265"/>
      <c r="F265" s="68" t="s">
        <v>2855</v>
      </c>
      <c r="G265" s="80"/>
      <c r="H265" s="122">
        <v>44642</v>
      </c>
      <c r="I265" s="68" t="s">
        <v>3481</v>
      </c>
      <c r="J265" s="68">
        <v>402.8</v>
      </c>
      <c r="K265" s="68" t="s">
        <v>3671</v>
      </c>
      <c r="L265" s="68" t="s">
        <v>3672</v>
      </c>
    </row>
    <row r="266" spans="1:12" x14ac:dyDescent="0.25">
      <c r="A266" s="68" t="s">
        <v>435</v>
      </c>
      <c r="B266" s="68" t="s">
        <v>1262</v>
      </c>
      <c r="C266" s="80" t="s">
        <v>2075</v>
      </c>
      <c r="D266" s="68" t="s">
        <v>435</v>
      </c>
      <c r="E266"/>
      <c r="F266" s="68" t="s">
        <v>2871</v>
      </c>
      <c r="G266" s="80"/>
      <c r="H266" s="122">
        <v>44642</v>
      </c>
      <c r="I266" s="68" t="s">
        <v>3481</v>
      </c>
      <c r="J266" s="68">
        <v>227.6</v>
      </c>
      <c r="K266" s="68" t="s">
        <v>3671</v>
      </c>
      <c r="L266" s="68" t="s">
        <v>3672</v>
      </c>
    </row>
    <row r="267" spans="1:12" x14ac:dyDescent="0.25">
      <c r="A267" s="68" t="s">
        <v>436</v>
      </c>
      <c r="B267" s="68" t="s">
        <v>1263</v>
      </c>
      <c r="C267" s="80" t="s">
        <v>2076</v>
      </c>
      <c r="D267" s="68" t="s">
        <v>436</v>
      </c>
      <c r="E267"/>
      <c r="F267" s="68" t="s">
        <v>2872</v>
      </c>
      <c r="G267" s="80"/>
      <c r="H267" s="122">
        <v>44642</v>
      </c>
      <c r="I267" s="68" t="s">
        <v>3481</v>
      </c>
      <c r="J267" s="68">
        <v>61.2</v>
      </c>
      <c r="K267" s="68" t="s">
        <v>3671</v>
      </c>
      <c r="L267" s="68" t="s">
        <v>3672</v>
      </c>
    </row>
    <row r="268" spans="1:12" x14ac:dyDescent="0.25">
      <c r="A268" s="68" t="s">
        <v>437</v>
      </c>
      <c r="B268" s="68" t="s">
        <v>1264</v>
      </c>
      <c r="C268" s="80" t="s">
        <v>2077</v>
      </c>
      <c r="D268" s="68" t="s">
        <v>437</v>
      </c>
      <c r="E268"/>
      <c r="F268" s="68" t="s">
        <v>2873</v>
      </c>
      <c r="G268" s="80"/>
      <c r="H268" s="122">
        <v>44642</v>
      </c>
      <c r="I268" s="68" t="s">
        <v>3481</v>
      </c>
      <c r="J268" s="68">
        <v>188.4</v>
      </c>
      <c r="K268" s="68" t="s">
        <v>3671</v>
      </c>
      <c r="L268" s="68" t="s">
        <v>3672</v>
      </c>
    </row>
    <row r="269" spans="1:12" x14ac:dyDescent="0.25">
      <c r="A269" s="68" t="s">
        <v>429</v>
      </c>
      <c r="B269" s="68" t="s">
        <v>1256</v>
      </c>
      <c r="C269" s="80" t="s">
        <v>2069</v>
      </c>
      <c r="D269" s="68" t="s">
        <v>429</v>
      </c>
      <c r="E269"/>
      <c r="F269" s="68" t="s">
        <v>2865</v>
      </c>
      <c r="G269" s="80"/>
      <c r="H269" s="122">
        <v>44641</v>
      </c>
      <c r="I269" s="68" t="s">
        <v>3522</v>
      </c>
      <c r="J269" s="68">
        <v>256.39999999999998</v>
      </c>
      <c r="K269" s="68" t="s">
        <v>3671</v>
      </c>
      <c r="L269" s="68" t="s">
        <v>3672</v>
      </c>
    </row>
    <row r="270" spans="1:12" x14ac:dyDescent="0.25">
      <c r="A270" s="68" t="s">
        <v>438</v>
      </c>
      <c r="B270" s="68" t="s">
        <v>1265</v>
      </c>
      <c r="C270" s="80" t="s">
        <v>2078</v>
      </c>
      <c r="D270" s="68" t="s">
        <v>438</v>
      </c>
      <c r="E270"/>
      <c r="F270" s="68" t="s">
        <v>2874</v>
      </c>
      <c r="G270" s="80"/>
      <c r="H270" s="122">
        <v>44641</v>
      </c>
      <c r="I270" s="68" t="s">
        <v>3522</v>
      </c>
      <c r="J270" s="68">
        <v>1339.2</v>
      </c>
      <c r="K270" s="68" t="s">
        <v>3671</v>
      </c>
      <c r="L270" s="68" t="s">
        <v>3672</v>
      </c>
    </row>
    <row r="271" spans="1:12" x14ac:dyDescent="0.25">
      <c r="A271" s="68" t="s">
        <v>439</v>
      </c>
      <c r="B271" s="68" t="s">
        <v>1266</v>
      </c>
      <c r="C271" s="80" t="s">
        <v>2079</v>
      </c>
      <c r="D271" s="68" t="s">
        <v>439</v>
      </c>
      <c r="E271"/>
      <c r="F271" s="68" t="s">
        <v>2875</v>
      </c>
      <c r="G271" s="80"/>
      <c r="H271" s="122">
        <v>44641</v>
      </c>
      <c r="I271" s="68" t="s">
        <v>3522</v>
      </c>
      <c r="J271" s="68">
        <v>166.8</v>
      </c>
      <c r="K271" s="68" t="s">
        <v>3671</v>
      </c>
      <c r="L271" s="68" t="s">
        <v>3672</v>
      </c>
    </row>
    <row r="272" spans="1:12" x14ac:dyDescent="0.25">
      <c r="A272" s="68" t="s">
        <v>440</v>
      </c>
      <c r="B272" s="68" t="s">
        <v>1267</v>
      </c>
      <c r="C272" s="80" t="s">
        <v>2080</v>
      </c>
      <c r="D272" s="68" t="s">
        <v>440</v>
      </c>
      <c r="E272"/>
      <c r="F272" s="68" t="s">
        <v>2876</v>
      </c>
      <c r="G272" s="80"/>
      <c r="H272" s="122">
        <v>44641</v>
      </c>
      <c r="I272" s="68" t="s">
        <v>3522</v>
      </c>
      <c r="J272" s="68">
        <v>256.39999999999998</v>
      </c>
      <c r="K272" s="68" t="s">
        <v>3671</v>
      </c>
      <c r="L272" s="68" t="s">
        <v>3672</v>
      </c>
    </row>
    <row r="273" spans="1:12" x14ac:dyDescent="0.25">
      <c r="A273" s="68" t="s">
        <v>441</v>
      </c>
      <c r="B273" s="68" t="s">
        <v>1268</v>
      </c>
      <c r="C273" s="80" t="s">
        <v>2081</v>
      </c>
      <c r="D273" s="68" t="s">
        <v>441</v>
      </c>
      <c r="E273"/>
      <c r="F273" s="68" t="s">
        <v>2877</v>
      </c>
      <c r="G273" s="80"/>
      <c r="H273" s="122">
        <v>44639</v>
      </c>
      <c r="I273" s="68" t="s">
        <v>3442</v>
      </c>
      <c r="J273" s="68">
        <v>966</v>
      </c>
      <c r="K273" s="68" t="s">
        <v>3671</v>
      </c>
      <c r="L273" s="68" t="s">
        <v>3672</v>
      </c>
    </row>
    <row r="274" spans="1:12" x14ac:dyDescent="0.25">
      <c r="A274" s="68" t="s">
        <v>442</v>
      </c>
      <c r="B274" s="68" t="s">
        <v>1269</v>
      </c>
      <c r="C274" s="80" t="s">
        <v>2082</v>
      </c>
      <c r="D274" s="68" t="s">
        <v>442</v>
      </c>
      <c r="E274"/>
      <c r="F274" s="68" t="s">
        <v>2878</v>
      </c>
      <c r="G274" s="80"/>
      <c r="H274" s="122">
        <v>44639</v>
      </c>
      <c r="I274" s="68" t="s">
        <v>3442</v>
      </c>
      <c r="J274" s="68">
        <v>1905.2</v>
      </c>
      <c r="K274" s="68" t="s">
        <v>3671</v>
      </c>
      <c r="L274" s="68" t="s">
        <v>3672</v>
      </c>
    </row>
    <row r="275" spans="1:12" x14ac:dyDescent="0.25">
      <c r="A275" s="68" t="s">
        <v>443</v>
      </c>
      <c r="B275" s="68" t="s">
        <v>1270</v>
      </c>
      <c r="C275" s="80" t="s">
        <v>2083</v>
      </c>
      <c r="D275" s="68" t="s">
        <v>443</v>
      </c>
      <c r="E275"/>
      <c r="F275" s="68" t="s">
        <v>2879</v>
      </c>
      <c r="G275" s="80"/>
      <c r="H275" s="122">
        <v>44638</v>
      </c>
      <c r="I275" s="68" t="s">
        <v>3442</v>
      </c>
      <c r="J275" s="68">
        <v>227.6</v>
      </c>
      <c r="K275" s="68" t="s">
        <v>3671</v>
      </c>
      <c r="L275" s="68" t="s">
        <v>3672</v>
      </c>
    </row>
    <row r="276" spans="1:12" x14ac:dyDescent="0.25">
      <c r="A276" s="68" t="s">
        <v>425</v>
      </c>
      <c r="B276" s="68" t="s">
        <v>1252</v>
      </c>
      <c r="C276" s="80" t="s">
        <v>2065</v>
      </c>
      <c r="D276" s="68" t="s">
        <v>425</v>
      </c>
      <c r="E276"/>
      <c r="F276" s="68" t="s">
        <v>2861</v>
      </c>
      <c r="G276" s="80"/>
      <c r="H276" s="122">
        <v>44637</v>
      </c>
      <c r="I276" s="68" t="s">
        <v>3523</v>
      </c>
      <c r="J276" s="68">
        <v>660</v>
      </c>
      <c r="K276" s="68" t="s">
        <v>3671</v>
      </c>
      <c r="L276" s="68" t="s">
        <v>3672</v>
      </c>
    </row>
    <row r="277" spans="1:12" x14ac:dyDescent="0.25">
      <c r="A277" s="68" t="s">
        <v>444</v>
      </c>
      <c r="B277" s="68" t="s">
        <v>1271</v>
      </c>
      <c r="C277" s="80" t="s">
        <v>2084</v>
      </c>
      <c r="D277" s="68" t="s">
        <v>444</v>
      </c>
      <c r="E277"/>
      <c r="F277" s="68" t="s">
        <v>2880</v>
      </c>
      <c r="G277" s="80"/>
      <c r="H277" s="122">
        <v>44637</v>
      </c>
      <c r="I277" s="68" t="s">
        <v>3523</v>
      </c>
      <c r="J277" s="68">
        <v>88.8</v>
      </c>
      <c r="K277" s="68" t="s">
        <v>3671</v>
      </c>
      <c r="L277" s="68" t="s">
        <v>3672</v>
      </c>
    </row>
    <row r="278" spans="1:12" x14ac:dyDescent="0.25">
      <c r="A278" s="68" t="s">
        <v>445</v>
      </c>
      <c r="B278" s="68" t="s">
        <v>1272</v>
      </c>
      <c r="C278" s="80" t="s">
        <v>2085</v>
      </c>
      <c r="D278" s="68" t="s">
        <v>445</v>
      </c>
      <c r="E278"/>
      <c r="F278" s="68" t="s">
        <v>2881</v>
      </c>
      <c r="G278" s="80"/>
      <c r="H278" s="122">
        <v>44637</v>
      </c>
      <c r="I278" s="68" t="s">
        <v>3523</v>
      </c>
      <c r="J278" s="68">
        <v>266</v>
      </c>
      <c r="K278" s="68" t="s">
        <v>3671</v>
      </c>
      <c r="L278" s="68" t="s">
        <v>3672</v>
      </c>
    </row>
    <row r="279" spans="1:12" x14ac:dyDescent="0.25">
      <c r="A279" s="68" t="s">
        <v>446</v>
      </c>
      <c r="B279" s="68" t="s">
        <v>1273</v>
      </c>
      <c r="C279" s="80" t="s">
        <v>2086</v>
      </c>
      <c r="D279" s="68" t="s">
        <v>446</v>
      </c>
      <c r="E279"/>
      <c r="F279" s="68" t="s">
        <v>2882</v>
      </c>
      <c r="G279" s="80"/>
      <c r="H279" s="122">
        <v>44637</v>
      </c>
      <c r="I279" s="68" t="s">
        <v>3523</v>
      </c>
      <c r="J279" s="68">
        <v>466.8</v>
      </c>
      <c r="K279" s="68" t="s">
        <v>3671</v>
      </c>
      <c r="L279" s="68" t="s">
        <v>3672</v>
      </c>
    </row>
    <row r="280" spans="1:12" x14ac:dyDescent="0.25">
      <c r="A280" s="68" t="s">
        <v>447</v>
      </c>
      <c r="B280" s="68" t="s">
        <v>1274</v>
      </c>
      <c r="C280" s="80" t="s">
        <v>2087</v>
      </c>
      <c r="D280" s="68" t="s">
        <v>447</v>
      </c>
      <c r="E280"/>
      <c r="F280" s="68" t="s">
        <v>2883</v>
      </c>
      <c r="G280" s="80"/>
      <c r="H280" s="122">
        <v>44637</v>
      </c>
      <c r="I280" s="68" t="s">
        <v>3523</v>
      </c>
      <c r="J280" s="68">
        <v>432</v>
      </c>
      <c r="K280" s="68" t="s">
        <v>3671</v>
      </c>
      <c r="L280" s="68" t="s">
        <v>3672</v>
      </c>
    </row>
    <row r="281" spans="1:12" x14ac:dyDescent="0.25">
      <c r="A281" s="68" t="s">
        <v>448</v>
      </c>
      <c r="B281" s="68" t="s">
        <v>1275</v>
      </c>
      <c r="C281" s="80" t="s">
        <v>2088</v>
      </c>
      <c r="D281" s="68" t="s">
        <v>448</v>
      </c>
      <c r="E281"/>
      <c r="F281" s="68" t="s">
        <v>2884</v>
      </c>
      <c r="G281" s="80"/>
      <c r="H281" s="122">
        <v>44637</v>
      </c>
      <c r="I281" s="68" t="s">
        <v>3523</v>
      </c>
      <c r="J281" s="68">
        <v>227.6</v>
      </c>
      <c r="K281" s="68" t="s">
        <v>3671</v>
      </c>
      <c r="L281" s="68" t="s">
        <v>3672</v>
      </c>
    </row>
    <row r="282" spans="1:12" x14ac:dyDescent="0.25">
      <c r="A282" s="68" t="s">
        <v>449</v>
      </c>
      <c r="B282" s="68" t="s">
        <v>1276</v>
      </c>
      <c r="C282" s="80" t="s">
        <v>2089</v>
      </c>
      <c r="D282" s="68" t="s">
        <v>449</v>
      </c>
      <c r="E282"/>
      <c r="F282" s="68" t="s">
        <v>2885</v>
      </c>
      <c r="G282" s="80"/>
      <c r="H282" s="122">
        <v>44632</v>
      </c>
      <c r="I282" s="68" t="s">
        <v>3524</v>
      </c>
      <c r="J282" s="68">
        <v>133.19999999999999</v>
      </c>
      <c r="K282" s="68" t="s">
        <v>3671</v>
      </c>
      <c r="L282" s="68" t="s">
        <v>3672</v>
      </c>
    </row>
    <row r="283" spans="1:12" x14ac:dyDescent="0.25">
      <c r="A283" s="68" t="s">
        <v>450</v>
      </c>
      <c r="B283" s="68" t="s">
        <v>1277</v>
      </c>
      <c r="C283" s="80" t="s">
        <v>2090</v>
      </c>
      <c r="D283" s="68" t="s">
        <v>450</v>
      </c>
      <c r="E283"/>
      <c r="F283" s="68" t="s">
        <v>2886</v>
      </c>
      <c r="G283" s="80"/>
      <c r="H283" s="122">
        <v>44624</v>
      </c>
      <c r="I283" s="68" t="s">
        <v>3449</v>
      </c>
      <c r="J283" s="68">
        <v>227.6</v>
      </c>
      <c r="K283" s="68" t="s">
        <v>3671</v>
      </c>
      <c r="L283" s="68" t="s">
        <v>3672</v>
      </c>
    </row>
    <row r="284" spans="1:12" x14ac:dyDescent="0.25">
      <c r="A284" s="68" t="s">
        <v>447</v>
      </c>
      <c r="B284" s="68" t="s">
        <v>1274</v>
      </c>
      <c r="C284" s="80" t="s">
        <v>2087</v>
      </c>
      <c r="D284" s="68" t="s">
        <v>447</v>
      </c>
      <c r="E284"/>
      <c r="F284" s="68" t="s">
        <v>2883</v>
      </c>
      <c r="G284" s="80"/>
      <c r="H284" s="122">
        <v>44624</v>
      </c>
      <c r="I284" s="68" t="s">
        <v>3449</v>
      </c>
      <c r="J284" s="68">
        <v>227.6</v>
      </c>
      <c r="K284" s="68" t="s">
        <v>3671</v>
      </c>
      <c r="L284" s="68" t="s">
        <v>3672</v>
      </c>
    </row>
    <row r="285" spans="1:12" x14ac:dyDescent="0.25">
      <c r="A285" s="68" t="s">
        <v>451</v>
      </c>
      <c r="B285" s="68" t="s">
        <v>1278</v>
      </c>
      <c r="C285" s="80" t="s">
        <v>2091</v>
      </c>
      <c r="D285" s="68" t="s">
        <v>451</v>
      </c>
      <c r="E285"/>
      <c r="F285" s="68" t="s">
        <v>2887</v>
      </c>
      <c r="G285" s="80"/>
      <c r="H285" s="122">
        <v>44621</v>
      </c>
      <c r="I285" s="68" t="s">
        <v>3462</v>
      </c>
      <c r="J285" s="68">
        <v>61.2</v>
      </c>
      <c r="K285" s="68" t="s">
        <v>3671</v>
      </c>
      <c r="L285" s="68" t="s">
        <v>3672</v>
      </c>
    </row>
    <row r="286" spans="1:12" x14ac:dyDescent="0.25">
      <c r="A286" s="68" t="s">
        <v>452</v>
      </c>
      <c r="B286" s="68" t="s">
        <v>1279</v>
      </c>
      <c r="C286" s="80" t="s">
        <v>2092</v>
      </c>
      <c r="D286" s="68" t="s">
        <v>452</v>
      </c>
      <c r="E286"/>
      <c r="F286" s="68" t="s">
        <v>2888</v>
      </c>
      <c r="G286" s="80"/>
      <c r="H286" s="122">
        <v>44440</v>
      </c>
      <c r="I286" s="68" t="s">
        <v>3448</v>
      </c>
      <c r="J286" s="68">
        <v>378</v>
      </c>
      <c r="K286" s="68" t="s">
        <v>3671</v>
      </c>
      <c r="L286" s="68" t="s">
        <v>3672</v>
      </c>
    </row>
    <row r="287" spans="1:12" x14ac:dyDescent="0.25">
      <c r="A287" s="68" t="s">
        <v>453</v>
      </c>
      <c r="B287" s="68" t="s">
        <v>1280</v>
      </c>
      <c r="C287" s="80" t="s">
        <v>2093</v>
      </c>
      <c r="D287" s="68" t="s">
        <v>453</v>
      </c>
      <c r="E287"/>
      <c r="F287" s="68" t="s">
        <v>2889</v>
      </c>
      <c r="G287" s="80"/>
      <c r="H287" s="122">
        <v>44604</v>
      </c>
      <c r="I287" s="68" t="s">
        <v>3485</v>
      </c>
      <c r="J287" s="68">
        <v>80.400000000000006</v>
      </c>
      <c r="K287" s="68" t="s">
        <v>3671</v>
      </c>
      <c r="L287" s="68" t="s">
        <v>3672</v>
      </c>
    </row>
    <row r="288" spans="1:12" x14ac:dyDescent="0.25">
      <c r="A288" s="68" t="s">
        <v>454</v>
      </c>
      <c r="B288" s="68" t="s">
        <v>1281</v>
      </c>
      <c r="C288" s="80" t="s">
        <v>2094</v>
      </c>
      <c r="D288" s="68" t="s">
        <v>454</v>
      </c>
      <c r="E288"/>
      <c r="F288" s="68" t="s">
        <v>2890</v>
      </c>
      <c r="G288" s="80"/>
      <c r="H288" s="122">
        <v>44603</v>
      </c>
      <c r="I288" s="68" t="s">
        <v>3485</v>
      </c>
      <c r="J288" s="68">
        <v>61.2</v>
      </c>
      <c r="K288" s="68" t="s">
        <v>3671</v>
      </c>
      <c r="L288" s="68" t="s">
        <v>3672</v>
      </c>
    </row>
    <row r="289" spans="1:12" x14ac:dyDescent="0.25">
      <c r="A289" s="68" t="s">
        <v>455</v>
      </c>
      <c r="B289" s="68" t="s">
        <v>1282</v>
      </c>
      <c r="C289" s="80" t="s">
        <v>2095</v>
      </c>
      <c r="D289" s="68" t="s">
        <v>455</v>
      </c>
      <c r="E289"/>
      <c r="F289" s="68" t="s">
        <v>2891</v>
      </c>
      <c r="G289" s="80"/>
      <c r="H289" s="122">
        <v>44608</v>
      </c>
      <c r="I289" s="68" t="s">
        <v>3485</v>
      </c>
      <c r="J289" s="68">
        <v>27.6</v>
      </c>
      <c r="K289" s="68" t="s">
        <v>3671</v>
      </c>
      <c r="L289" s="68" t="s">
        <v>3672</v>
      </c>
    </row>
    <row r="290" spans="1:12" x14ac:dyDescent="0.25">
      <c r="A290" s="68" t="s">
        <v>456</v>
      </c>
      <c r="B290" s="68" t="s">
        <v>1283</v>
      </c>
      <c r="C290" s="80" t="s">
        <v>2096</v>
      </c>
      <c r="D290" s="68" t="s">
        <v>456</v>
      </c>
      <c r="E290"/>
      <c r="F290" s="68" t="s">
        <v>2892</v>
      </c>
      <c r="G290" s="80"/>
      <c r="H290" s="122">
        <v>44585</v>
      </c>
      <c r="I290" s="68" t="s">
        <v>3485</v>
      </c>
      <c r="J290" s="68">
        <v>58.8</v>
      </c>
      <c r="K290" s="68" t="s">
        <v>3671</v>
      </c>
      <c r="L290" s="68" t="s">
        <v>3672</v>
      </c>
    </row>
    <row r="291" spans="1:12" x14ac:dyDescent="0.25">
      <c r="A291" s="68" t="s">
        <v>457</v>
      </c>
      <c r="B291" s="68" t="s">
        <v>1284</v>
      </c>
      <c r="C291" s="80" t="s">
        <v>2097</v>
      </c>
      <c r="D291" s="68" t="s">
        <v>457</v>
      </c>
      <c r="E291"/>
      <c r="F291" s="68" t="s">
        <v>2893</v>
      </c>
      <c r="G291" s="80"/>
      <c r="H291" s="122">
        <v>44583</v>
      </c>
      <c r="I291" s="68" t="s">
        <v>3485</v>
      </c>
      <c r="J291" s="68">
        <v>80.400000000000006</v>
      </c>
      <c r="K291" s="68" t="s">
        <v>3671</v>
      </c>
      <c r="L291" s="68" t="s">
        <v>3672</v>
      </c>
    </row>
    <row r="292" spans="1:12" x14ac:dyDescent="0.25">
      <c r="A292" s="68" t="s">
        <v>458</v>
      </c>
      <c r="B292" s="68" t="s">
        <v>1285</v>
      </c>
      <c r="C292" s="80" t="s">
        <v>2098</v>
      </c>
      <c r="D292" s="68" t="s">
        <v>458</v>
      </c>
      <c r="E292"/>
      <c r="F292" s="68" t="s">
        <v>2894</v>
      </c>
      <c r="G292" s="80"/>
      <c r="H292" s="122">
        <v>44610</v>
      </c>
      <c r="I292" s="68" t="s">
        <v>3439</v>
      </c>
      <c r="J292" s="68">
        <v>82.8</v>
      </c>
      <c r="K292" s="68" t="s">
        <v>3671</v>
      </c>
      <c r="L292" s="68" t="s">
        <v>3672</v>
      </c>
    </row>
    <row r="293" spans="1:12" x14ac:dyDescent="0.25">
      <c r="A293" s="68" t="s">
        <v>459</v>
      </c>
      <c r="B293" s="68" t="s">
        <v>1286</v>
      </c>
      <c r="C293" s="80" t="s">
        <v>2099</v>
      </c>
      <c r="D293" s="68" t="s">
        <v>459</v>
      </c>
      <c r="E293"/>
      <c r="F293" s="68" t="s">
        <v>2895</v>
      </c>
      <c r="G293" s="80"/>
      <c r="H293" s="122">
        <v>44536</v>
      </c>
      <c r="I293" s="68" t="s">
        <v>3486</v>
      </c>
      <c r="J293" s="68">
        <v>408.8</v>
      </c>
      <c r="K293" s="68" t="s">
        <v>3671</v>
      </c>
      <c r="L293" s="68" t="s">
        <v>3672</v>
      </c>
    </row>
    <row r="294" spans="1:12" x14ac:dyDescent="0.25">
      <c r="A294" s="68" t="s">
        <v>460</v>
      </c>
      <c r="B294" s="68" t="s">
        <v>1287</v>
      </c>
      <c r="C294" s="80" t="s">
        <v>2100</v>
      </c>
      <c r="D294" s="68" t="s">
        <v>460</v>
      </c>
      <c r="E294"/>
      <c r="F294" s="68" t="s">
        <v>2896</v>
      </c>
      <c r="G294" s="80"/>
      <c r="H294" s="122">
        <v>44533</v>
      </c>
      <c r="I294" s="68" t="s">
        <v>3489</v>
      </c>
      <c r="J294" s="68">
        <v>80.400000000000006</v>
      </c>
      <c r="K294" s="68" t="s">
        <v>3671</v>
      </c>
      <c r="L294" s="68" t="s">
        <v>3672</v>
      </c>
    </row>
    <row r="295" spans="1:12" x14ac:dyDescent="0.25">
      <c r="A295" s="68" t="s">
        <v>461</v>
      </c>
      <c r="B295" s="68" t="s">
        <v>1288</v>
      </c>
      <c r="C295" s="80" t="s">
        <v>2101</v>
      </c>
      <c r="D295" s="68" t="s">
        <v>461</v>
      </c>
      <c r="E295"/>
      <c r="F295" s="68" t="s">
        <v>2897</v>
      </c>
      <c r="G295" s="80"/>
      <c r="H295" s="122">
        <v>44603</v>
      </c>
      <c r="I295" s="68" t="s">
        <v>3456</v>
      </c>
      <c r="J295" s="68">
        <v>82.8</v>
      </c>
      <c r="K295" s="68" t="s">
        <v>3671</v>
      </c>
      <c r="L295" s="68" t="s">
        <v>3672</v>
      </c>
    </row>
    <row r="296" spans="1:12" x14ac:dyDescent="0.25">
      <c r="A296" s="68" t="s">
        <v>462</v>
      </c>
      <c r="B296" s="68" t="s">
        <v>1289</v>
      </c>
      <c r="C296" s="80" t="s">
        <v>2102</v>
      </c>
      <c r="D296" s="68" t="s">
        <v>462</v>
      </c>
      <c r="E296"/>
      <c r="F296" s="68" t="s">
        <v>2898</v>
      </c>
      <c r="G296" s="80"/>
      <c r="H296" s="122">
        <v>44603</v>
      </c>
      <c r="I296" s="68" t="s">
        <v>3464</v>
      </c>
      <c r="J296" s="68">
        <v>481.2</v>
      </c>
      <c r="K296" s="68" t="s">
        <v>3671</v>
      </c>
      <c r="L296" s="68" t="s">
        <v>3672</v>
      </c>
    </row>
    <row r="297" spans="1:12" x14ac:dyDescent="0.25">
      <c r="A297" s="68" t="s">
        <v>463</v>
      </c>
      <c r="B297" s="68" t="s">
        <v>1290</v>
      </c>
      <c r="C297" s="80" t="s">
        <v>2103</v>
      </c>
      <c r="D297" s="68" t="s">
        <v>463</v>
      </c>
      <c r="E297"/>
      <c r="F297" s="68" t="s">
        <v>2899</v>
      </c>
      <c r="G297" s="80"/>
      <c r="H297" s="122">
        <v>44578</v>
      </c>
      <c r="I297" s="68" t="s">
        <v>3440</v>
      </c>
      <c r="J297" s="68">
        <v>261.2</v>
      </c>
      <c r="K297" s="68" t="s">
        <v>3671</v>
      </c>
      <c r="L297" s="68" t="s">
        <v>3672</v>
      </c>
    </row>
    <row r="298" spans="1:12" x14ac:dyDescent="0.25">
      <c r="A298" s="68" t="s">
        <v>464</v>
      </c>
      <c r="B298" s="68" t="s">
        <v>1291</v>
      </c>
      <c r="C298" s="80" t="s">
        <v>2104</v>
      </c>
      <c r="D298" s="68" t="s">
        <v>464</v>
      </c>
      <c r="E298"/>
      <c r="F298" s="68" t="s">
        <v>2900</v>
      </c>
      <c r="G298" s="80"/>
      <c r="H298" s="122">
        <v>44603</v>
      </c>
      <c r="I298" s="68" t="s">
        <v>3441</v>
      </c>
      <c r="J298" s="68">
        <v>88.8</v>
      </c>
      <c r="K298" s="68" t="s">
        <v>3671</v>
      </c>
      <c r="L298" s="68" t="s">
        <v>3672</v>
      </c>
    </row>
    <row r="299" spans="1:12" x14ac:dyDescent="0.25">
      <c r="A299" s="68" t="s">
        <v>465</v>
      </c>
      <c r="B299" s="68" t="s">
        <v>1292</v>
      </c>
      <c r="C299" s="80" t="s">
        <v>2105</v>
      </c>
      <c r="D299" s="68" t="s">
        <v>465</v>
      </c>
      <c r="E299"/>
      <c r="F299" s="68" t="s">
        <v>2901</v>
      </c>
      <c r="G299" s="80"/>
      <c r="H299" s="122">
        <v>44580</v>
      </c>
      <c r="I299" s="68" t="s">
        <v>3441</v>
      </c>
      <c r="J299" s="68">
        <v>332.4</v>
      </c>
      <c r="K299" s="68" t="s">
        <v>3671</v>
      </c>
      <c r="L299" s="68" t="s">
        <v>3672</v>
      </c>
    </row>
    <row r="300" spans="1:12" x14ac:dyDescent="0.25">
      <c r="A300" s="68" t="s">
        <v>466</v>
      </c>
      <c r="B300" s="68" t="s">
        <v>1293</v>
      </c>
      <c r="C300" s="80" t="s">
        <v>2106</v>
      </c>
      <c r="D300" s="68" t="s">
        <v>466</v>
      </c>
      <c r="E300"/>
      <c r="F300" s="68" t="s">
        <v>2902</v>
      </c>
      <c r="G300" s="80"/>
      <c r="H300" s="122">
        <v>44578</v>
      </c>
      <c r="I300" s="68" t="s">
        <v>3441</v>
      </c>
      <c r="J300" s="68">
        <v>227.6</v>
      </c>
      <c r="K300" s="68" t="s">
        <v>3671</v>
      </c>
      <c r="L300" s="68" t="s">
        <v>3672</v>
      </c>
    </row>
    <row r="301" spans="1:12" x14ac:dyDescent="0.25">
      <c r="A301" s="68" t="s">
        <v>467</v>
      </c>
      <c r="B301" s="68" t="s">
        <v>1294</v>
      </c>
      <c r="C301" s="80" t="s">
        <v>2107</v>
      </c>
      <c r="D301" s="68" t="s">
        <v>467</v>
      </c>
      <c r="E301"/>
      <c r="F301" s="68" t="s">
        <v>2903</v>
      </c>
      <c r="G301" s="80"/>
      <c r="H301" s="122">
        <v>44580</v>
      </c>
      <c r="I301" s="68" t="s">
        <v>3525</v>
      </c>
      <c r="J301" s="68">
        <v>61.2</v>
      </c>
      <c r="K301" s="68" t="s">
        <v>3671</v>
      </c>
      <c r="L301" s="68" t="s">
        <v>3672</v>
      </c>
    </row>
    <row r="302" spans="1:12" x14ac:dyDescent="0.25">
      <c r="A302" s="68" t="s">
        <v>468</v>
      </c>
      <c r="B302" s="68" t="s">
        <v>1295</v>
      </c>
      <c r="C302" s="80" t="s">
        <v>2108</v>
      </c>
      <c r="D302" s="68" t="s">
        <v>468</v>
      </c>
      <c r="E302"/>
      <c r="F302" s="68" t="s">
        <v>2904</v>
      </c>
      <c r="G302" s="80"/>
      <c r="H302" s="122">
        <v>44579</v>
      </c>
      <c r="I302" s="68" t="s">
        <v>3526</v>
      </c>
      <c r="J302" s="68">
        <v>266</v>
      </c>
      <c r="K302" s="68" t="s">
        <v>3671</v>
      </c>
      <c r="L302" s="68" t="s">
        <v>3672</v>
      </c>
    </row>
    <row r="303" spans="1:12" x14ac:dyDescent="0.25">
      <c r="A303" s="68" t="s">
        <v>469</v>
      </c>
      <c r="B303" s="68" t="s">
        <v>1296</v>
      </c>
      <c r="C303" s="80" t="s">
        <v>2109</v>
      </c>
      <c r="D303" s="68" t="s">
        <v>469</v>
      </c>
      <c r="E303"/>
      <c r="F303" s="68" t="s">
        <v>2905</v>
      </c>
      <c r="G303" s="80"/>
      <c r="H303" s="122">
        <v>44579</v>
      </c>
      <c r="I303" s="68" t="s">
        <v>3526</v>
      </c>
      <c r="J303" s="68">
        <v>226.8</v>
      </c>
      <c r="K303" s="68" t="s">
        <v>3671</v>
      </c>
      <c r="L303" s="68" t="s">
        <v>3672</v>
      </c>
    </row>
    <row r="304" spans="1:12" x14ac:dyDescent="0.25">
      <c r="A304" s="68" t="s">
        <v>470</v>
      </c>
      <c r="B304" s="68" t="s">
        <v>1297</v>
      </c>
      <c r="C304" s="80" t="s">
        <v>2110</v>
      </c>
      <c r="D304" s="68" t="s">
        <v>470</v>
      </c>
      <c r="E304"/>
      <c r="F304" s="68" t="s">
        <v>2906</v>
      </c>
      <c r="G304" s="80"/>
      <c r="H304" s="122">
        <v>44579</v>
      </c>
      <c r="I304" s="68" t="s">
        <v>3526</v>
      </c>
      <c r="J304" s="68">
        <v>860.4</v>
      </c>
      <c r="K304" s="68" t="s">
        <v>3671</v>
      </c>
      <c r="L304" s="68" t="s">
        <v>3672</v>
      </c>
    </row>
    <row r="305" spans="1:12" x14ac:dyDescent="0.25">
      <c r="A305" s="68" t="s">
        <v>471</v>
      </c>
      <c r="B305" s="68" t="s">
        <v>1298</v>
      </c>
      <c r="C305" s="80" t="s">
        <v>2111</v>
      </c>
      <c r="D305" s="68" t="s">
        <v>471</v>
      </c>
      <c r="E305"/>
      <c r="F305" s="68" t="s">
        <v>2907</v>
      </c>
      <c r="G305" s="80"/>
      <c r="H305" s="122">
        <v>44575</v>
      </c>
      <c r="I305" s="68" t="s">
        <v>3526</v>
      </c>
      <c r="J305" s="68">
        <v>748</v>
      </c>
      <c r="K305" s="68" t="s">
        <v>3671</v>
      </c>
      <c r="L305" s="68" t="s">
        <v>3672</v>
      </c>
    </row>
    <row r="306" spans="1:12" x14ac:dyDescent="0.25">
      <c r="A306" s="68" t="s">
        <v>472</v>
      </c>
      <c r="B306" s="68" t="s">
        <v>1299</v>
      </c>
      <c r="C306" s="80" t="s">
        <v>2112</v>
      </c>
      <c r="D306" s="68" t="s">
        <v>472</v>
      </c>
      <c r="E306"/>
      <c r="F306" s="68" t="s">
        <v>2908</v>
      </c>
      <c r="G306" s="80"/>
      <c r="H306" s="122">
        <v>44578</v>
      </c>
      <c r="I306" s="68" t="s">
        <v>3526</v>
      </c>
      <c r="J306" s="68">
        <v>266</v>
      </c>
      <c r="K306" s="68" t="s">
        <v>3671</v>
      </c>
      <c r="L306" s="68" t="s">
        <v>3672</v>
      </c>
    </row>
    <row r="307" spans="1:12" x14ac:dyDescent="0.25">
      <c r="A307" s="68" t="s">
        <v>473</v>
      </c>
      <c r="B307" s="68" t="s">
        <v>1300</v>
      </c>
      <c r="C307" s="80" t="s">
        <v>2113</v>
      </c>
      <c r="D307" s="68" t="s">
        <v>473</v>
      </c>
      <c r="E307"/>
      <c r="F307" s="68" t="s">
        <v>2909</v>
      </c>
      <c r="G307" s="80"/>
      <c r="H307" s="122">
        <v>44576</v>
      </c>
      <c r="I307" s="68" t="s">
        <v>3450</v>
      </c>
      <c r="J307" s="68">
        <v>453.2</v>
      </c>
      <c r="K307" s="68" t="s">
        <v>3671</v>
      </c>
      <c r="L307" s="68" t="s">
        <v>3672</v>
      </c>
    </row>
    <row r="308" spans="1:12" x14ac:dyDescent="0.25">
      <c r="A308" s="68" t="s">
        <v>474</v>
      </c>
      <c r="B308" s="68" t="s">
        <v>1301</v>
      </c>
      <c r="C308" s="80" t="s">
        <v>2114</v>
      </c>
      <c r="D308" s="68" t="s">
        <v>474</v>
      </c>
      <c r="E308"/>
      <c r="F308" s="68" t="s">
        <v>2910</v>
      </c>
      <c r="G308" s="80"/>
      <c r="H308" s="122">
        <v>44576</v>
      </c>
      <c r="I308" s="68" t="s">
        <v>3450</v>
      </c>
      <c r="J308" s="68">
        <v>138</v>
      </c>
      <c r="K308" s="68" t="s">
        <v>3671</v>
      </c>
      <c r="L308" s="68" t="s">
        <v>3672</v>
      </c>
    </row>
    <row r="309" spans="1:12" x14ac:dyDescent="0.25">
      <c r="A309" s="68" t="s">
        <v>475</v>
      </c>
      <c r="B309" s="68" t="s">
        <v>1302</v>
      </c>
      <c r="C309" s="80" t="s">
        <v>2115</v>
      </c>
      <c r="D309" s="68" t="s">
        <v>475</v>
      </c>
      <c r="E309"/>
      <c r="F309" s="68" t="s">
        <v>2911</v>
      </c>
      <c r="G309" s="80"/>
      <c r="H309" s="122">
        <v>44576</v>
      </c>
      <c r="I309" s="68" t="s">
        <v>3450</v>
      </c>
      <c r="J309" s="68">
        <v>470</v>
      </c>
      <c r="K309" s="68" t="s">
        <v>3671</v>
      </c>
      <c r="L309" s="68" t="s">
        <v>3672</v>
      </c>
    </row>
    <row r="310" spans="1:12" x14ac:dyDescent="0.25">
      <c r="A310" s="68" t="s">
        <v>476</v>
      </c>
      <c r="B310" s="68" t="s">
        <v>1303</v>
      </c>
      <c r="C310" s="80" t="s">
        <v>2116</v>
      </c>
      <c r="D310" s="68" t="s">
        <v>476</v>
      </c>
      <c r="E310"/>
      <c r="F310" s="68" t="s">
        <v>2912</v>
      </c>
      <c r="G310" s="80"/>
      <c r="H310" s="122">
        <v>44576</v>
      </c>
      <c r="I310" s="68" t="s">
        <v>3450</v>
      </c>
      <c r="J310" s="68">
        <v>294.8</v>
      </c>
      <c r="K310" s="68" t="s">
        <v>3671</v>
      </c>
      <c r="L310" s="68" t="s">
        <v>3672</v>
      </c>
    </row>
    <row r="311" spans="1:12" x14ac:dyDescent="0.25">
      <c r="A311" s="68" t="s">
        <v>477</v>
      </c>
      <c r="B311" s="68" t="s">
        <v>1304</v>
      </c>
      <c r="C311" s="80" t="s">
        <v>2117</v>
      </c>
      <c r="D311" s="68" t="s">
        <v>477</v>
      </c>
      <c r="E311"/>
      <c r="F311" s="68" t="s">
        <v>2913</v>
      </c>
      <c r="G311" s="80"/>
      <c r="H311" s="122">
        <v>44576</v>
      </c>
      <c r="I311" s="68" t="s">
        <v>3450</v>
      </c>
      <c r="J311" s="68">
        <v>227.6</v>
      </c>
      <c r="K311" s="68" t="s">
        <v>3671</v>
      </c>
      <c r="L311" s="68" t="s">
        <v>3672</v>
      </c>
    </row>
    <row r="312" spans="1:12" x14ac:dyDescent="0.25">
      <c r="A312" s="68" t="s">
        <v>478</v>
      </c>
      <c r="B312" s="68" t="s">
        <v>1305</v>
      </c>
      <c r="C312" s="80" t="s">
        <v>2118</v>
      </c>
      <c r="D312" s="68" t="s">
        <v>478</v>
      </c>
      <c r="E312"/>
      <c r="F312" s="68" t="s">
        <v>2914</v>
      </c>
      <c r="G312" s="80"/>
      <c r="H312" s="122">
        <v>44576</v>
      </c>
      <c r="I312" s="68" t="s">
        <v>3450</v>
      </c>
      <c r="J312" s="68">
        <v>227.6</v>
      </c>
      <c r="K312" s="68" t="s">
        <v>3671</v>
      </c>
      <c r="L312" s="68" t="s">
        <v>3672</v>
      </c>
    </row>
    <row r="313" spans="1:12" x14ac:dyDescent="0.25">
      <c r="A313" s="68" t="s">
        <v>479</v>
      </c>
      <c r="B313" s="68" t="s">
        <v>1306</v>
      </c>
      <c r="C313" s="80" t="s">
        <v>2119</v>
      </c>
      <c r="D313" s="68" t="s">
        <v>479</v>
      </c>
      <c r="E313"/>
      <c r="F313" s="68" t="s">
        <v>2915</v>
      </c>
      <c r="G313" s="80"/>
      <c r="H313" s="122">
        <v>44575</v>
      </c>
      <c r="I313" s="68" t="s">
        <v>3450</v>
      </c>
      <c r="J313" s="68">
        <v>418</v>
      </c>
      <c r="K313" s="68" t="s">
        <v>3671</v>
      </c>
      <c r="L313" s="68" t="s">
        <v>3672</v>
      </c>
    </row>
    <row r="314" spans="1:12" x14ac:dyDescent="0.25">
      <c r="A314" s="68" t="s">
        <v>403</v>
      </c>
      <c r="B314" s="68" t="s">
        <v>1230</v>
      </c>
      <c r="C314" s="80" t="s">
        <v>2044</v>
      </c>
      <c r="D314" s="68" t="s">
        <v>403</v>
      </c>
      <c r="E314"/>
      <c r="F314" s="68" t="s">
        <v>2839</v>
      </c>
      <c r="G314" s="80"/>
      <c r="H314" s="122">
        <v>44575</v>
      </c>
      <c r="I314" s="68" t="s">
        <v>3450</v>
      </c>
      <c r="J314" s="68">
        <v>162</v>
      </c>
      <c r="K314" s="68" t="s">
        <v>3671</v>
      </c>
      <c r="L314" s="68" t="s">
        <v>3672</v>
      </c>
    </row>
    <row r="315" spans="1:12" x14ac:dyDescent="0.25">
      <c r="A315" s="68" t="s">
        <v>480</v>
      </c>
      <c r="B315" s="68" t="s">
        <v>1307</v>
      </c>
      <c r="C315" s="80" t="s">
        <v>2120</v>
      </c>
      <c r="D315" s="68" t="s">
        <v>480</v>
      </c>
      <c r="E315"/>
      <c r="F315" s="68" t="s">
        <v>2916</v>
      </c>
      <c r="G315" s="80"/>
      <c r="H315" s="122">
        <v>44575</v>
      </c>
      <c r="I315" s="68" t="s">
        <v>3490</v>
      </c>
      <c r="J315" s="68">
        <v>227.6</v>
      </c>
      <c r="K315" s="68" t="s">
        <v>3671</v>
      </c>
      <c r="L315" s="68" t="s">
        <v>3672</v>
      </c>
    </row>
    <row r="316" spans="1:12" x14ac:dyDescent="0.25">
      <c r="A316" s="68" t="s">
        <v>481</v>
      </c>
      <c r="B316" s="68" t="s">
        <v>1308</v>
      </c>
      <c r="C316" s="80" t="s">
        <v>2121</v>
      </c>
      <c r="D316" s="68" t="s">
        <v>481</v>
      </c>
      <c r="E316"/>
      <c r="F316" s="68" t="s">
        <v>2917</v>
      </c>
      <c r="G316" s="80"/>
      <c r="H316" s="122">
        <v>44574</v>
      </c>
      <c r="I316" s="68" t="s">
        <v>3490</v>
      </c>
      <c r="J316" s="68">
        <v>337.2</v>
      </c>
      <c r="K316" s="68" t="s">
        <v>3671</v>
      </c>
      <c r="L316" s="68" t="s">
        <v>3672</v>
      </c>
    </row>
    <row r="317" spans="1:12" x14ac:dyDescent="0.25">
      <c r="A317" s="68" t="s">
        <v>482</v>
      </c>
      <c r="B317" s="68" t="s">
        <v>1309</v>
      </c>
      <c r="C317" s="80" t="s">
        <v>2122</v>
      </c>
      <c r="D317" s="68" t="s">
        <v>482</v>
      </c>
      <c r="E317"/>
      <c r="F317" s="68" t="s">
        <v>2918</v>
      </c>
      <c r="G317" s="80"/>
      <c r="H317" s="122">
        <v>44574</v>
      </c>
      <c r="I317" s="68" t="s">
        <v>3490</v>
      </c>
      <c r="J317" s="68">
        <v>396</v>
      </c>
      <c r="K317" s="68" t="s">
        <v>3671</v>
      </c>
      <c r="L317" s="68" t="s">
        <v>3672</v>
      </c>
    </row>
    <row r="318" spans="1:12" x14ac:dyDescent="0.25">
      <c r="A318" s="68" t="s">
        <v>483</v>
      </c>
      <c r="B318" s="68" t="s">
        <v>1310</v>
      </c>
      <c r="C318" s="80" t="s">
        <v>2123</v>
      </c>
      <c r="D318" s="68" t="s">
        <v>483</v>
      </c>
      <c r="E318"/>
      <c r="F318" s="68" t="s">
        <v>2919</v>
      </c>
      <c r="G318" s="80"/>
      <c r="H318" s="122">
        <v>44574</v>
      </c>
      <c r="I318" s="68" t="s">
        <v>3490</v>
      </c>
      <c r="J318" s="68">
        <v>266</v>
      </c>
      <c r="K318" s="68" t="s">
        <v>3671</v>
      </c>
      <c r="L318" s="68" t="s">
        <v>3672</v>
      </c>
    </row>
    <row r="319" spans="1:12" x14ac:dyDescent="0.25">
      <c r="A319" s="68" t="s">
        <v>484</v>
      </c>
      <c r="B319" s="68" t="s">
        <v>1311</v>
      </c>
      <c r="C319" s="80" t="s">
        <v>2124</v>
      </c>
      <c r="D319" s="68" t="s">
        <v>484</v>
      </c>
      <c r="E319"/>
      <c r="F319" s="68" t="s">
        <v>2920</v>
      </c>
      <c r="G319" s="80"/>
      <c r="H319" s="122">
        <v>44574</v>
      </c>
      <c r="I319" s="68" t="s">
        <v>3490</v>
      </c>
      <c r="J319" s="68">
        <v>1637.2</v>
      </c>
      <c r="K319" s="68" t="s">
        <v>3671</v>
      </c>
      <c r="L319" s="68" t="s">
        <v>3672</v>
      </c>
    </row>
    <row r="320" spans="1:12" x14ac:dyDescent="0.25">
      <c r="A320" s="68" t="s">
        <v>485</v>
      </c>
      <c r="B320" s="68" t="s">
        <v>1312</v>
      </c>
      <c r="C320" s="80" t="s">
        <v>2125</v>
      </c>
      <c r="D320" s="68" t="s">
        <v>485</v>
      </c>
      <c r="E320"/>
      <c r="F320" s="68" t="s">
        <v>2921</v>
      </c>
      <c r="G320" s="80"/>
      <c r="H320" s="122">
        <v>44574</v>
      </c>
      <c r="I320" s="68" t="s">
        <v>3490</v>
      </c>
      <c r="J320" s="68">
        <v>256.39999999999998</v>
      </c>
      <c r="K320" s="68" t="s">
        <v>3671</v>
      </c>
      <c r="L320" s="68" t="s">
        <v>3672</v>
      </c>
    </row>
    <row r="321" spans="1:12" x14ac:dyDescent="0.25">
      <c r="A321" s="68" t="s">
        <v>425</v>
      </c>
      <c r="B321" s="68" t="s">
        <v>1252</v>
      </c>
      <c r="C321" s="80" t="s">
        <v>2065</v>
      </c>
      <c r="D321" s="68" t="s">
        <v>425</v>
      </c>
      <c r="E321"/>
      <c r="F321" s="68" t="s">
        <v>2861</v>
      </c>
      <c r="G321" s="80"/>
      <c r="H321" s="122">
        <v>44574</v>
      </c>
      <c r="I321" s="68" t="s">
        <v>3490</v>
      </c>
      <c r="J321" s="68">
        <v>216</v>
      </c>
      <c r="K321" s="68" t="s">
        <v>3671</v>
      </c>
      <c r="L321" s="68" t="s">
        <v>3672</v>
      </c>
    </row>
    <row r="322" spans="1:12" x14ac:dyDescent="0.25">
      <c r="A322" s="68" t="s">
        <v>486</v>
      </c>
      <c r="B322" s="68" t="s">
        <v>1313</v>
      </c>
      <c r="C322" s="80" t="s">
        <v>2126</v>
      </c>
      <c r="D322" s="68" t="s">
        <v>486</v>
      </c>
      <c r="E322"/>
      <c r="F322" s="68" t="s">
        <v>2922</v>
      </c>
      <c r="G322" s="80"/>
      <c r="H322" s="122">
        <v>44573</v>
      </c>
      <c r="I322" s="68" t="s">
        <v>3443</v>
      </c>
      <c r="J322" s="68">
        <v>828</v>
      </c>
      <c r="K322" s="68" t="s">
        <v>3671</v>
      </c>
      <c r="L322" s="68" t="s">
        <v>3672</v>
      </c>
    </row>
    <row r="323" spans="1:12" x14ac:dyDescent="0.25">
      <c r="A323" s="68" t="s">
        <v>487</v>
      </c>
      <c r="B323" s="68" t="s">
        <v>1314</v>
      </c>
      <c r="C323" s="80" t="s">
        <v>2127</v>
      </c>
      <c r="D323" s="68" t="s">
        <v>487</v>
      </c>
      <c r="E323"/>
      <c r="F323" s="68" t="s">
        <v>2923</v>
      </c>
      <c r="G323" s="80"/>
      <c r="H323" s="122">
        <v>44573</v>
      </c>
      <c r="I323" s="68" t="s">
        <v>3443</v>
      </c>
      <c r="J323" s="68">
        <v>462</v>
      </c>
      <c r="K323" s="68" t="s">
        <v>3671</v>
      </c>
      <c r="L323" s="68" t="s">
        <v>3672</v>
      </c>
    </row>
    <row r="324" spans="1:12" x14ac:dyDescent="0.25">
      <c r="A324" s="68" t="s">
        <v>488</v>
      </c>
      <c r="B324" s="68" t="s">
        <v>1315</v>
      </c>
      <c r="C324" s="80" t="s">
        <v>2128</v>
      </c>
      <c r="D324" s="68" t="s">
        <v>488</v>
      </c>
      <c r="E324"/>
      <c r="F324" s="68" t="s">
        <v>2924</v>
      </c>
      <c r="G324" s="80"/>
      <c r="H324" s="122">
        <v>44573</v>
      </c>
      <c r="I324" s="68" t="s">
        <v>3443</v>
      </c>
      <c r="J324" s="68">
        <v>630</v>
      </c>
      <c r="K324" s="68" t="s">
        <v>3671</v>
      </c>
      <c r="L324" s="68" t="s">
        <v>3672</v>
      </c>
    </row>
    <row r="325" spans="1:12" x14ac:dyDescent="0.25">
      <c r="A325" s="68" t="s">
        <v>489</v>
      </c>
      <c r="B325" s="68" t="s">
        <v>1316</v>
      </c>
      <c r="C325" s="80" t="s">
        <v>2129</v>
      </c>
      <c r="D325" s="68" t="s">
        <v>489</v>
      </c>
      <c r="E325"/>
      <c r="F325" s="68" t="s">
        <v>2925</v>
      </c>
      <c r="G325" s="80"/>
      <c r="H325" s="122">
        <v>44573</v>
      </c>
      <c r="I325" s="68" t="s">
        <v>3443</v>
      </c>
      <c r="J325" s="68">
        <v>940</v>
      </c>
      <c r="K325" s="68" t="s">
        <v>3671</v>
      </c>
      <c r="L325" s="68" t="s">
        <v>3672</v>
      </c>
    </row>
    <row r="326" spans="1:12" x14ac:dyDescent="0.25">
      <c r="A326" s="68" t="s">
        <v>490</v>
      </c>
      <c r="B326" s="68" t="s">
        <v>1317</v>
      </c>
      <c r="C326" s="80" t="s">
        <v>2130</v>
      </c>
      <c r="D326" s="68" t="s">
        <v>490</v>
      </c>
      <c r="E326"/>
      <c r="F326" s="68" t="s">
        <v>2926</v>
      </c>
      <c r="G326" s="80"/>
      <c r="H326" s="122">
        <v>44573</v>
      </c>
      <c r="I326" s="68" t="s">
        <v>3443</v>
      </c>
      <c r="J326" s="68">
        <v>130.80000000000001</v>
      </c>
      <c r="K326" s="68" t="s">
        <v>3671</v>
      </c>
      <c r="L326" s="68" t="s">
        <v>3672</v>
      </c>
    </row>
    <row r="327" spans="1:12" x14ac:dyDescent="0.25">
      <c r="A327" s="68" t="s">
        <v>491</v>
      </c>
      <c r="B327" s="68" t="s">
        <v>1318</v>
      </c>
      <c r="C327" s="80" t="s">
        <v>1875</v>
      </c>
      <c r="D327" s="68" t="s">
        <v>491</v>
      </c>
      <c r="E327"/>
      <c r="F327" s="68" t="s">
        <v>2927</v>
      </c>
      <c r="G327" s="80"/>
      <c r="H327" s="122">
        <v>44573</v>
      </c>
      <c r="I327" s="68" t="s">
        <v>3443</v>
      </c>
      <c r="J327" s="68">
        <v>842.4</v>
      </c>
      <c r="K327" s="68" t="s">
        <v>3671</v>
      </c>
      <c r="L327" s="68" t="s">
        <v>3672</v>
      </c>
    </row>
    <row r="328" spans="1:12" x14ac:dyDescent="0.25">
      <c r="A328" s="68" t="s">
        <v>492</v>
      </c>
      <c r="B328" s="68" t="s">
        <v>1319</v>
      </c>
      <c r="C328" s="80" t="s">
        <v>2131</v>
      </c>
      <c r="D328" s="68" t="s">
        <v>492</v>
      </c>
      <c r="E328"/>
      <c r="F328" s="68" t="s">
        <v>2928</v>
      </c>
      <c r="G328" s="80"/>
      <c r="H328" s="122">
        <v>44574</v>
      </c>
      <c r="I328" s="68" t="s">
        <v>3443</v>
      </c>
      <c r="J328" s="68">
        <v>1064</v>
      </c>
      <c r="K328" s="68" t="s">
        <v>3671</v>
      </c>
      <c r="L328" s="68" t="s">
        <v>3672</v>
      </c>
    </row>
    <row r="329" spans="1:12" x14ac:dyDescent="0.25">
      <c r="A329" s="68" t="s">
        <v>493</v>
      </c>
      <c r="B329" s="68" t="s">
        <v>1320</v>
      </c>
      <c r="C329" s="80" t="s">
        <v>2132</v>
      </c>
      <c r="D329" s="68" t="s">
        <v>493</v>
      </c>
      <c r="E329"/>
      <c r="F329" s="68" t="s">
        <v>2929</v>
      </c>
      <c r="G329" s="80"/>
      <c r="H329" s="122">
        <v>44573</v>
      </c>
      <c r="I329" s="68" t="s">
        <v>3451</v>
      </c>
      <c r="J329" s="68">
        <v>1113.5999999999999</v>
      </c>
      <c r="K329" s="68" t="s">
        <v>3671</v>
      </c>
      <c r="L329" s="68" t="s">
        <v>3672</v>
      </c>
    </row>
    <row r="330" spans="1:12" x14ac:dyDescent="0.25">
      <c r="A330" s="68" t="s">
        <v>494</v>
      </c>
      <c r="B330" s="68" t="s">
        <v>1321</v>
      </c>
      <c r="C330" s="80" t="s">
        <v>2133</v>
      </c>
      <c r="D330" s="68" t="s">
        <v>494</v>
      </c>
      <c r="E330"/>
      <c r="F330" s="68" t="s">
        <v>2930</v>
      </c>
      <c r="G330" s="80"/>
      <c r="H330" s="122">
        <v>44573</v>
      </c>
      <c r="I330" s="68" t="s">
        <v>3451</v>
      </c>
      <c r="J330" s="68">
        <v>316</v>
      </c>
      <c r="K330" s="68" t="s">
        <v>3671</v>
      </c>
      <c r="L330" s="68" t="s">
        <v>3672</v>
      </c>
    </row>
    <row r="331" spans="1:12" x14ac:dyDescent="0.25">
      <c r="A331" s="68" t="s">
        <v>495</v>
      </c>
      <c r="B331" s="68" t="s">
        <v>1322</v>
      </c>
      <c r="C331" s="80" t="s">
        <v>2134</v>
      </c>
      <c r="D331" s="68" t="s">
        <v>495</v>
      </c>
      <c r="E331"/>
      <c r="F331" s="68" t="s">
        <v>2931</v>
      </c>
      <c r="G331" s="80"/>
      <c r="H331" s="122">
        <v>44568</v>
      </c>
      <c r="I331" s="68" t="s">
        <v>3451</v>
      </c>
      <c r="J331" s="68">
        <v>607.20000000000005</v>
      </c>
      <c r="K331" s="68" t="s">
        <v>3671</v>
      </c>
      <c r="L331" s="68" t="s">
        <v>3672</v>
      </c>
    </row>
    <row r="332" spans="1:12" x14ac:dyDescent="0.25">
      <c r="A332" s="68" t="s">
        <v>496</v>
      </c>
      <c r="B332" s="68" t="s">
        <v>1323</v>
      </c>
      <c r="C332" s="80" t="s">
        <v>2135</v>
      </c>
      <c r="D332" s="68" t="s">
        <v>496</v>
      </c>
      <c r="E332"/>
      <c r="F332" s="68" t="s">
        <v>2932</v>
      </c>
      <c r="G332" s="80"/>
      <c r="H332" s="122">
        <v>44567</v>
      </c>
      <c r="I332" s="68" t="s">
        <v>3451</v>
      </c>
      <c r="J332" s="68">
        <v>1861.2</v>
      </c>
      <c r="K332" s="68" t="s">
        <v>3671</v>
      </c>
      <c r="L332" s="68" t="s">
        <v>3672</v>
      </c>
    </row>
    <row r="333" spans="1:12" x14ac:dyDescent="0.25">
      <c r="A333" s="68" t="s">
        <v>497</v>
      </c>
      <c r="B333" s="68" t="s">
        <v>1324</v>
      </c>
      <c r="C333" s="80" t="s">
        <v>2136</v>
      </c>
      <c r="D333" s="68" t="s">
        <v>497</v>
      </c>
      <c r="E333"/>
      <c r="F333" s="68" t="s">
        <v>2933</v>
      </c>
      <c r="G333" s="80"/>
      <c r="H333" s="122">
        <v>44567</v>
      </c>
      <c r="I333" s="68" t="s">
        <v>3451</v>
      </c>
      <c r="J333" s="68">
        <v>490.4</v>
      </c>
      <c r="K333" s="68" t="s">
        <v>3671</v>
      </c>
      <c r="L333" s="68" t="s">
        <v>3672</v>
      </c>
    </row>
    <row r="334" spans="1:12" x14ac:dyDescent="0.25">
      <c r="A334" s="68" t="s">
        <v>489</v>
      </c>
      <c r="B334" s="68" t="s">
        <v>1316</v>
      </c>
      <c r="C334" s="80" t="s">
        <v>2129</v>
      </c>
      <c r="D334" s="68" t="s">
        <v>489</v>
      </c>
      <c r="E334"/>
      <c r="F334" s="68" t="s">
        <v>2925</v>
      </c>
      <c r="G334" s="80"/>
      <c r="H334" s="122">
        <v>44566</v>
      </c>
      <c r="I334" s="68" t="s">
        <v>3451</v>
      </c>
      <c r="J334" s="68">
        <v>1592</v>
      </c>
      <c r="K334" s="68" t="s">
        <v>3671</v>
      </c>
      <c r="L334" s="68" t="s">
        <v>3672</v>
      </c>
    </row>
    <row r="335" spans="1:12" x14ac:dyDescent="0.25">
      <c r="A335" s="68" t="s">
        <v>498</v>
      </c>
      <c r="B335" s="68" t="s">
        <v>1325</v>
      </c>
      <c r="C335" s="80" t="s">
        <v>2137</v>
      </c>
      <c r="D335" s="68" t="s">
        <v>498</v>
      </c>
      <c r="E335"/>
      <c r="F335" s="68" t="s">
        <v>2934</v>
      </c>
      <c r="G335" s="80"/>
      <c r="H335" s="122">
        <v>44566</v>
      </c>
      <c r="I335" s="68" t="s">
        <v>3451</v>
      </c>
      <c r="J335" s="68">
        <v>100</v>
      </c>
      <c r="K335" s="68" t="s">
        <v>3671</v>
      </c>
      <c r="L335" s="68" t="s">
        <v>3672</v>
      </c>
    </row>
    <row r="336" spans="1:12" x14ac:dyDescent="0.25">
      <c r="A336" s="68" t="s">
        <v>498</v>
      </c>
      <c r="B336" s="68" t="s">
        <v>1325</v>
      </c>
      <c r="C336" s="80" t="s">
        <v>2137</v>
      </c>
      <c r="D336" s="68" t="s">
        <v>498</v>
      </c>
      <c r="E336"/>
      <c r="F336" s="68" t="s">
        <v>2934</v>
      </c>
      <c r="G336" s="80"/>
      <c r="H336" s="122">
        <v>44566</v>
      </c>
      <c r="I336" s="68" t="s">
        <v>3451</v>
      </c>
      <c r="J336" s="68">
        <v>445.2</v>
      </c>
      <c r="K336" s="68" t="s">
        <v>3671</v>
      </c>
      <c r="L336" s="68" t="s">
        <v>3672</v>
      </c>
    </row>
    <row r="337" spans="1:12" x14ac:dyDescent="0.25">
      <c r="A337" s="68" t="s">
        <v>499</v>
      </c>
      <c r="B337" s="68" t="s">
        <v>1326</v>
      </c>
      <c r="C337" s="80" t="s">
        <v>2138</v>
      </c>
      <c r="D337" s="68" t="s">
        <v>499</v>
      </c>
      <c r="E337"/>
      <c r="F337" s="68" t="s">
        <v>2935</v>
      </c>
      <c r="G337" s="80"/>
      <c r="H337" s="122">
        <v>44566</v>
      </c>
      <c r="I337" s="68" t="s">
        <v>3451</v>
      </c>
      <c r="J337" s="68">
        <v>138</v>
      </c>
      <c r="K337" s="68" t="s">
        <v>3671</v>
      </c>
      <c r="L337" s="68" t="s">
        <v>3672</v>
      </c>
    </row>
    <row r="338" spans="1:12" x14ac:dyDescent="0.25">
      <c r="A338" s="68" t="s">
        <v>479</v>
      </c>
      <c r="B338" s="68" t="s">
        <v>1306</v>
      </c>
      <c r="C338" s="80" t="s">
        <v>2119</v>
      </c>
      <c r="D338" s="68" t="s">
        <v>479</v>
      </c>
      <c r="E338"/>
      <c r="F338" s="68" t="s">
        <v>2915</v>
      </c>
      <c r="G338" s="80"/>
      <c r="H338" s="122">
        <v>44540</v>
      </c>
      <c r="I338" s="68" t="s">
        <v>3527</v>
      </c>
      <c r="J338" s="68">
        <v>420.8</v>
      </c>
      <c r="K338" s="68" t="s">
        <v>3671</v>
      </c>
      <c r="L338" s="68" t="s">
        <v>3672</v>
      </c>
    </row>
    <row r="339" spans="1:12" x14ac:dyDescent="0.25">
      <c r="A339" s="68" t="s">
        <v>500</v>
      </c>
      <c r="B339" s="68" t="s">
        <v>1327</v>
      </c>
      <c r="C339" s="80" t="s">
        <v>2139</v>
      </c>
      <c r="D339" s="68" t="s">
        <v>500</v>
      </c>
      <c r="E339"/>
      <c r="F339" s="68" t="s">
        <v>2936</v>
      </c>
      <c r="G339" s="80"/>
      <c r="H339" s="122">
        <v>44564</v>
      </c>
      <c r="I339" s="68" t="s">
        <v>3491</v>
      </c>
      <c r="J339" s="68">
        <v>216</v>
      </c>
      <c r="K339" s="68" t="s">
        <v>3671</v>
      </c>
      <c r="L339" s="68" t="s">
        <v>3672</v>
      </c>
    </row>
    <row r="340" spans="1:12" x14ac:dyDescent="0.25">
      <c r="A340" s="68" t="s">
        <v>501</v>
      </c>
      <c r="B340" s="68" t="s">
        <v>1328</v>
      </c>
      <c r="C340" s="80" t="s">
        <v>2140</v>
      </c>
      <c r="D340" s="68" t="s">
        <v>501</v>
      </c>
      <c r="E340"/>
      <c r="F340" s="68" t="s">
        <v>2937</v>
      </c>
      <c r="G340" s="80"/>
      <c r="H340" s="122">
        <v>44568</v>
      </c>
      <c r="I340" s="68" t="s">
        <v>3491</v>
      </c>
      <c r="J340" s="68">
        <v>216</v>
      </c>
      <c r="K340" s="68" t="s">
        <v>3671</v>
      </c>
      <c r="L340" s="68" t="s">
        <v>3672</v>
      </c>
    </row>
    <row r="341" spans="1:12" x14ac:dyDescent="0.25">
      <c r="A341" s="68" t="s">
        <v>492</v>
      </c>
      <c r="B341" s="68" t="s">
        <v>1319</v>
      </c>
      <c r="C341" s="80" t="s">
        <v>2131</v>
      </c>
      <c r="D341" s="68" t="s">
        <v>492</v>
      </c>
      <c r="E341"/>
      <c r="F341" s="68" t="s">
        <v>2928</v>
      </c>
      <c r="G341" s="80"/>
      <c r="H341" s="122">
        <v>44563</v>
      </c>
      <c r="I341" s="68" t="s">
        <v>3491</v>
      </c>
      <c r="J341" s="68">
        <v>196.8</v>
      </c>
      <c r="K341" s="68" t="s">
        <v>3671</v>
      </c>
      <c r="L341" s="68" t="s">
        <v>3672</v>
      </c>
    </row>
    <row r="342" spans="1:12" x14ac:dyDescent="0.25">
      <c r="A342" s="68" t="s">
        <v>502</v>
      </c>
      <c r="B342" s="68" t="s">
        <v>1329</v>
      </c>
      <c r="C342" s="80" t="s">
        <v>2141</v>
      </c>
      <c r="D342" s="68" t="s">
        <v>502</v>
      </c>
      <c r="E342"/>
      <c r="F342" s="68" t="s">
        <v>2938</v>
      </c>
      <c r="G342" s="80"/>
      <c r="H342" s="122">
        <v>44563</v>
      </c>
      <c r="I342" s="68" t="s">
        <v>3491</v>
      </c>
      <c r="J342" s="68">
        <v>1334.4</v>
      </c>
      <c r="K342" s="68" t="s">
        <v>3671</v>
      </c>
      <c r="L342" s="68" t="s">
        <v>3672</v>
      </c>
    </row>
    <row r="343" spans="1:12" x14ac:dyDescent="0.25">
      <c r="A343" s="68" t="s">
        <v>491</v>
      </c>
      <c r="B343" s="68" t="s">
        <v>1318</v>
      </c>
      <c r="C343" s="80" t="s">
        <v>1875</v>
      </c>
      <c r="D343" s="68" t="s">
        <v>491</v>
      </c>
      <c r="E343"/>
      <c r="F343" s="68" t="s">
        <v>2927</v>
      </c>
      <c r="G343" s="80"/>
      <c r="H343" s="122">
        <v>44563</v>
      </c>
      <c r="I343" s="68" t="s">
        <v>3491</v>
      </c>
      <c r="J343" s="68">
        <v>88.8</v>
      </c>
      <c r="K343" s="68" t="s">
        <v>3671</v>
      </c>
      <c r="L343" s="68" t="s">
        <v>3672</v>
      </c>
    </row>
    <row r="344" spans="1:12" x14ac:dyDescent="0.25">
      <c r="A344" s="68" t="s">
        <v>503</v>
      </c>
      <c r="B344" s="68" t="s">
        <v>1330</v>
      </c>
      <c r="C344" s="80" t="s">
        <v>2142</v>
      </c>
      <c r="D344" s="68" t="s">
        <v>503</v>
      </c>
      <c r="E344"/>
      <c r="F344" s="68" t="s">
        <v>2939</v>
      </c>
      <c r="G344" s="80"/>
      <c r="H344" s="122">
        <v>44563</v>
      </c>
      <c r="I344" s="68" t="s">
        <v>3491</v>
      </c>
      <c r="J344" s="68">
        <v>496</v>
      </c>
      <c r="K344" s="68" t="s">
        <v>3671</v>
      </c>
      <c r="L344" s="68" t="s">
        <v>3672</v>
      </c>
    </row>
    <row r="345" spans="1:12" x14ac:dyDescent="0.25">
      <c r="A345" s="68" t="s">
        <v>504</v>
      </c>
      <c r="B345" s="68" t="s">
        <v>1331</v>
      </c>
      <c r="C345" s="80" t="s">
        <v>2143</v>
      </c>
      <c r="D345" s="68" t="s">
        <v>504</v>
      </c>
      <c r="E345"/>
      <c r="F345" s="68" t="s">
        <v>2940</v>
      </c>
      <c r="G345" s="80"/>
      <c r="H345" s="122">
        <v>44561</v>
      </c>
      <c r="I345" s="68" t="s">
        <v>3491</v>
      </c>
      <c r="J345" s="68">
        <v>337.2</v>
      </c>
      <c r="K345" s="68" t="s">
        <v>3671</v>
      </c>
      <c r="L345" s="68" t="s">
        <v>3672</v>
      </c>
    </row>
    <row r="346" spans="1:12" x14ac:dyDescent="0.25">
      <c r="A346" s="68" t="s">
        <v>403</v>
      </c>
      <c r="B346" s="68" t="s">
        <v>1230</v>
      </c>
      <c r="C346" s="80" t="s">
        <v>2044</v>
      </c>
      <c r="D346" s="68" t="s">
        <v>403</v>
      </c>
      <c r="E346"/>
      <c r="F346" s="68" t="s">
        <v>2839</v>
      </c>
      <c r="G346" s="80"/>
      <c r="H346" s="122">
        <v>44560</v>
      </c>
      <c r="I346" s="68" t="s">
        <v>3492</v>
      </c>
      <c r="J346" s="68">
        <v>704.4</v>
      </c>
      <c r="K346" s="68" t="s">
        <v>3671</v>
      </c>
      <c r="L346" s="68" t="s">
        <v>3672</v>
      </c>
    </row>
    <row r="347" spans="1:12" x14ac:dyDescent="0.25">
      <c r="A347" s="68" t="s">
        <v>505</v>
      </c>
      <c r="B347" s="68" t="s">
        <v>1332</v>
      </c>
      <c r="C347" s="80" t="s">
        <v>2144</v>
      </c>
      <c r="D347" s="68" t="s">
        <v>505</v>
      </c>
      <c r="E347"/>
      <c r="F347" s="68" t="s">
        <v>2941</v>
      </c>
      <c r="G347" s="80"/>
      <c r="H347" s="122">
        <v>44560</v>
      </c>
      <c r="I347" s="68" t="s">
        <v>3492</v>
      </c>
      <c r="J347" s="68">
        <v>792</v>
      </c>
      <c r="K347" s="68" t="s">
        <v>3671</v>
      </c>
      <c r="L347" s="68" t="s">
        <v>3672</v>
      </c>
    </row>
    <row r="348" spans="1:12" x14ac:dyDescent="0.25">
      <c r="A348" s="68" t="s">
        <v>500</v>
      </c>
      <c r="B348" s="68" t="s">
        <v>1327</v>
      </c>
      <c r="C348" s="80" t="s">
        <v>2139</v>
      </c>
      <c r="D348" s="68" t="s">
        <v>500</v>
      </c>
      <c r="E348"/>
      <c r="F348" s="68" t="s">
        <v>2936</v>
      </c>
      <c r="G348" s="80"/>
      <c r="H348" s="122">
        <v>44560</v>
      </c>
      <c r="I348" s="68" t="s">
        <v>3492</v>
      </c>
      <c r="J348" s="68">
        <v>450</v>
      </c>
      <c r="K348" s="68" t="s">
        <v>3671</v>
      </c>
      <c r="L348" s="68" t="s">
        <v>3672</v>
      </c>
    </row>
    <row r="349" spans="1:12" x14ac:dyDescent="0.25">
      <c r="A349" s="68" t="s">
        <v>506</v>
      </c>
      <c r="B349" s="68" t="s">
        <v>1333</v>
      </c>
      <c r="C349" s="80" t="s">
        <v>2145</v>
      </c>
      <c r="D349" s="68" t="s">
        <v>506</v>
      </c>
      <c r="E349"/>
      <c r="F349" s="68" t="s">
        <v>2942</v>
      </c>
      <c r="G349" s="80"/>
      <c r="H349" s="122">
        <v>44560</v>
      </c>
      <c r="I349" s="68" t="s">
        <v>3492</v>
      </c>
      <c r="J349" s="68">
        <v>166.8</v>
      </c>
      <c r="K349" s="68" t="s">
        <v>3671</v>
      </c>
      <c r="L349" s="68" t="s">
        <v>3672</v>
      </c>
    </row>
    <row r="350" spans="1:12" x14ac:dyDescent="0.25">
      <c r="A350" s="68" t="s">
        <v>507</v>
      </c>
      <c r="B350" s="68" t="s">
        <v>1334</v>
      </c>
      <c r="C350" s="80" t="s">
        <v>2146</v>
      </c>
      <c r="D350" s="68" t="s">
        <v>507</v>
      </c>
      <c r="E350"/>
      <c r="F350" s="68" t="s">
        <v>2943</v>
      </c>
      <c r="G350" s="80"/>
      <c r="H350" s="122">
        <v>44559</v>
      </c>
      <c r="I350" s="68" t="s">
        <v>3492</v>
      </c>
      <c r="J350" s="68">
        <v>61.2</v>
      </c>
      <c r="K350" s="68" t="s">
        <v>3671</v>
      </c>
      <c r="L350" s="68" t="s">
        <v>3672</v>
      </c>
    </row>
    <row r="351" spans="1:12" x14ac:dyDescent="0.25">
      <c r="A351" s="68" t="s">
        <v>508</v>
      </c>
      <c r="B351" s="68" t="s">
        <v>1335</v>
      </c>
      <c r="C351" s="80" t="s">
        <v>2147</v>
      </c>
      <c r="D351" s="68" t="s">
        <v>508</v>
      </c>
      <c r="E351"/>
      <c r="F351" s="68" t="s">
        <v>2944</v>
      </c>
      <c r="G351" s="80"/>
      <c r="H351" s="122">
        <v>44559</v>
      </c>
      <c r="I351" s="68" t="s">
        <v>3492</v>
      </c>
      <c r="J351" s="68">
        <v>43.2</v>
      </c>
      <c r="K351" s="68" t="s">
        <v>3671</v>
      </c>
      <c r="L351" s="68" t="s">
        <v>3672</v>
      </c>
    </row>
    <row r="352" spans="1:12" x14ac:dyDescent="0.25">
      <c r="A352" s="68" t="s">
        <v>509</v>
      </c>
      <c r="B352" s="68" t="s">
        <v>1336</v>
      </c>
      <c r="C352" s="80" t="s">
        <v>2148</v>
      </c>
      <c r="D352" s="68" t="s">
        <v>509</v>
      </c>
      <c r="E352"/>
      <c r="F352" s="68" t="s">
        <v>2945</v>
      </c>
      <c r="G352" s="80"/>
      <c r="H352" s="122">
        <v>44558</v>
      </c>
      <c r="I352" s="68" t="s">
        <v>3492</v>
      </c>
      <c r="J352" s="68">
        <v>227.6</v>
      </c>
      <c r="K352" s="68" t="s">
        <v>3671</v>
      </c>
      <c r="L352" s="68" t="s">
        <v>3672</v>
      </c>
    </row>
    <row r="353" spans="1:12" x14ac:dyDescent="0.25">
      <c r="A353" s="68" t="s">
        <v>498</v>
      </c>
      <c r="B353" s="68" t="s">
        <v>1325</v>
      </c>
      <c r="C353" s="80" t="s">
        <v>2137</v>
      </c>
      <c r="D353" s="68" t="s">
        <v>498</v>
      </c>
      <c r="E353"/>
      <c r="F353" s="68" t="s">
        <v>2934</v>
      </c>
      <c r="G353" s="80"/>
      <c r="H353" s="122">
        <v>44558</v>
      </c>
      <c r="I353" s="68" t="s">
        <v>3492</v>
      </c>
      <c r="J353" s="68">
        <v>244.4</v>
      </c>
      <c r="K353" s="68" t="s">
        <v>3671</v>
      </c>
      <c r="L353" s="68" t="s">
        <v>3672</v>
      </c>
    </row>
    <row r="354" spans="1:12" x14ac:dyDescent="0.25">
      <c r="A354" s="68" t="s">
        <v>510</v>
      </c>
      <c r="B354" s="68" t="s">
        <v>1337</v>
      </c>
      <c r="C354" s="80" t="s">
        <v>2149</v>
      </c>
      <c r="D354" s="68" t="s">
        <v>510</v>
      </c>
      <c r="E354"/>
      <c r="F354" s="68" t="s">
        <v>2946</v>
      </c>
      <c r="G354" s="80"/>
      <c r="H354" s="122">
        <v>44558</v>
      </c>
      <c r="I354" s="68" t="s">
        <v>3452</v>
      </c>
      <c r="J354" s="68">
        <v>364.4</v>
      </c>
      <c r="K354" s="68" t="s">
        <v>3671</v>
      </c>
      <c r="L354" s="68" t="s">
        <v>3672</v>
      </c>
    </row>
    <row r="355" spans="1:12" x14ac:dyDescent="0.25">
      <c r="A355" s="68" t="s">
        <v>471</v>
      </c>
      <c r="B355" s="68" t="s">
        <v>1298</v>
      </c>
      <c r="C355" s="80" t="s">
        <v>2111</v>
      </c>
      <c r="D355" s="68" t="s">
        <v>471</v>
      </c>
      <c r="E355"/>
      <c r="F355" s="68" t="s">
        <v>2907</v>
      </c>
      <c r="G355" s="80"/>
      <c r="H355" s="122">
        <v>44558</v>
      </c>
      <c r="I355" s="68" t="s">
        <v>3452</v>
      </c>
      <c r="J355" s="68">
        <v>992.8</v>
      </c>
      <c r="K355" s="68" t="s">
        <v>3671</v>
      </c>
      <c r="L355" s="68" t="s">
        <v>3672</v>
      </c>
    </row>
    <row r="356" spans="1:12" x14ac:dyDescent="0.25">
      <c r="A356" s="68" t="s">
        <v>511</v>
      </c>
      <c r="B356" s="68" t="s">
        <v>1338</v>
      </c>
      <c r="C356" s="80" t="s">
        <v>2150</v>
      </c>
      <c r="D356" s="68" t="s">
        <v>511</v>
      </c>
      <c r="E356"/>
      <c r="F356" s="68" t="s">
        <v>2947</v>
      </c>
      <c r="G356" s="80"/>
      <c r="H356" s="122">
        <v>44558</v>
      </c>
      <c r="I356" s="68" t="s">
        <v>3452</v>
      </c>
      <c r="J356" s="68">
        <v>178.4</v>
      </c>
      <c r="K356" s="68" t="s">
        <v>3671</v>
      </c>
      <c r="L356" s="68" t="s">
        <v>3672</v>
      </c>
    </row>
    <row r="357" spans="1:12" x14ac:dyDescent="0.25">
      <c r="A357" s="68" t="s">
        <v>512</v>
      </c>
      <c r="B357" s="68" t="s">
        <v>1339</v>
      </c>
      <c r="C357" s="80" t="s">
        <v>2151</v>
      </c>
      <c r="D357" s="68" t="s">
        <v>512</v>
      </c>
      <c r="E357"/>
      <c r="F357" s="68" t="s">
        <v>2948</v>
      </c>
      <c r="G357" s="80"/>
      <c r="H357" s="122">
        <v>44558</v>
      </c>
      <c r="I357" s="68" t="s">
        <v>3452</v>
      </c>
      <c r="J357" s="68">
        <v>138</v>
      </c>
      <c r="K357" s="68" t="s">
        <v>3671</v>
      </c>
      <c r="L357" s="68" t="s">
        <v>3672</v>
      </c>
    </row>
    <row r="358" spans="1:12" x14ac:dyDescent="0.25">
      <c r="A358" s="68" t="s">
        <v>513</v>
      </c>
      <c r="B358" s="68" t="s">
        <v>1340</v>
      </c>
      <c r="C358" s="80" t="s">
        <v>2152</v>
      </c>
      <c r="D358" s="68" t="s">
        <v>513</v>
      </c>
      <c r="E358"/>
      <c r="F358" s="68" t="s">
        <v>2949</v>
      </c>
      <c r="G358" s="80"/>
      <c r="H358" s="122">
        <v>44557</v>
      </c>
      <c r="I358" s="68" t="s">
        <v>3452</v>
      </c>
      <c r="J358" s="68">
        <v>149.6</v>
      </c>
      <c r="K358" s="68" t="s">
        <v>3671</v>
      </c>
      <c r="L358" s="68" t="s">
        <v>3672</v>
      </c>
    </row>
    <row r="359" spans="1:12" x14ac:dyDescent="0.25">
      <c r="A359" s="68" t="s">
        <v>514</v>
      </c>
      <c r="B359" s="68" t="s">
        <v>1341</v>
      </c>
      <c r="C359" s="80" t="s">
        <v>2153</v>
      </c>
      <c r="D359" s="68" t="s">
        <v>514</v>
      </c>
      <c r="E359"/>
      <c r="F359" s="68" t="s">
        <v>2950</v>
      </c>
      <c r="G359" s="80"/>
      <c r="H359" s="122">
        <v>44557</v>
      </c>
      <c r="I359" s="68" t="s">
        <v>3452</v>
      </c>
      <c r="J359" s="68">
        <v>266</v>
      </c>
      <c r="K359" s="68" t="s">
        <v>3671</v>
      </c>
      <c r="L359" s="68" t="s">
        <v>3672</v>
      </c>
    </row>
    <row r="360" spans="1:12" x14ac:dyDescent="0.25">
      <c r="A360" s="68" t="s">
        <v>515</v>
      </c>
      <c r="B360" s="68" t="s">
        <v>1342</v>
      </c>
      <c r="C360" s="80" t="s">
        <v>2154</v>
      </c>
      <c r="D360" s="68" t="s">
        <v>515</v>
      </c>
      <c r="E360"/>
      <c r="F360" s="68" t="s">
        <v>2951</v>
      </c>
      <c r="G360" s="80"/>
      <c r="H360" s="122">
        <v>44557</v>
      </c>
      <c r="I360" s="68" t="s">
        <v>3452</v>
      </c>
      <c r="J360" s="68">
        <v>61.2</v>
      </c>
      <c r="K360" s="68" t="s">
        <v>3671</v>
      </c>
      <c r="L360" s="68" t="s">
        <v>3672</v>
      </c>
    </row>
    <row r="361" spans="1:12" x14ac:dyDescent="0.25">
      <c r="A361" s="68" t="s">
        <v>516</v>
      </c>
      <c r="B361" s="68" t="s">
        <v>1343</v>
      </c>
      <c r="C361" s="80" t="s">
        <v>2155</v>
      </c>
      <c r="D361" s="68" t="s">
        <v>516</v>
      </c>
      <c r="E361"/>
      <c r="F361" s="68" t="s">
        <v>2952</v>
      </c>
      <c r="G361" s="80"/>
      <c r="H361" s="122">
        <v>44558</v>
      </c>
      <c r="I361" s="68" t="s">
        <v>3452</v>
      </c>
      <c r="J361" s="68">
        <v>266</v>
      </c>
      <c r="K361" s="68" t="s">
        <v>3671</v>
      </c>
      <c r="L361" s="68" t="s">
        <v>3672</v>
      </c>
    </row>
    <row r="362" spans="1:12" x14ac:dyDescent="0.25">
      <c r="A362" s="68" t="s">
        <v>517</v>
      </c>
      <c r="B362" s="68" t="s">
        <v>1344</v>
      </c>
      <c r="C362" s="80" t="s">
        <v>2156</v>
      </c>
      <c r="D362" s="68" t="s">
        <v>517</v>
      </c>
      <c r="E362"/>
      <c r="F362" s="68" t="s">
        <v>2953</v>
      </c>
      <c r="G362" s="80"/>
      <c r="H362" s="122">
        <v>44558</v>
      </c>
      <c r="I362" s="68" t="s">
        <v>3452</v>
      </c>
      <c r="J362" s="68">
        <v>162</v>
      </c>
      <c r="K362" s="68" t="s">
        <v>3671</v>
      </c>
      <c r="L362" s="68" t="s">
        <v>3672</v>
      </c>
    </row>
    <row r="363" spans="1:12" x14ac:dyDescent="0.25">
      <c r="A363" s="68" t="s">
        <v>518</v>
      </c>
      <c r="B363" s="68" t="s">
        <v>1345</v>
      </c>
      <c r="C363" s="80" t="s">
        <v>2157</v>
      </c>
      <c r="D363" s="68" t="s">
        <v>518</v>
      </c>
      <c r="E363"/>
      <c r="F363" s="68" t="s">
        <v>2954</v>
      </c>
      <c r="G363" s="80"/>
      <c r="H363" s="122">
        <v>44558</v>
      </c>
      <c r="I363" s="68" t="s">
        <v>3452</v>
      </c>
      <c r="J363" s="68">
        <v>88.8</v>
      </c>
      <c r="K363" s="68" t="s">
        <v>3671</v>
      </c>
      <c r="L363" s="68" t="s">
        <v>3672</v>
      </c>
    </row>
    <row r="364" spans="1:12" x14ac:dyDescent="0.25">
      <c r="A364" s="68" t="s">
        <v>519</v>
      </c>
      <c r="B364" s="68" t="s">
        <v>1346</v>
      </c>
      <c r="C364" s="80" t="s">
        <v>2158</v>
      </c>
      <c r="D364" s="68" t="s">
        <v>519</v>
      </c>
      <c r="E364"/>
      <c r="F364" s="68" t="s">
        <v>2955</v>
      </c>
      <c r="G364" s="80"/>
      <c r="H364" s="122">
        <v>44554</v>
      </c>
      <c r="I364" s="68" t="s">
        <v>3452</v>
      </c>
      <c r="J364" s="68">
        <v>644.4</v>
      </c>
      <c r="K364" s="68" t="s">
        <v>3671</v>
      </c>
      <c r="L364" s="68" t="s">
        <v>3672</v>
      </c>
    </row>
    <row r="365" spans="1:12" x14ac:dyDescent="0.25">
      <c r="A365" s="68" t="s">
        <v>520</v>
      </c>
      <c r="B365" s="68" t="s">
        <v>1347</v>
      </c>
      <c r="C365" s="80" t="s">
        <v>2159</v>
      </c>
      <c r="D365" s="68" t="s">
        <v>520</v>
      </c>
      <c r="E365"/>
      <c r="F365" s="68" t="s">
        <v>2956</v>
      </c>
      <c r="G365" s="80"/>
      <c r="H365" s="122">
        <v>44554</v>
      </c>
      <c r="I365" s="68" t="s">
        <v>3452</v>
      </c>
      <c r="J365" s="68">
        <v>421.2</v>
      </c>
      <c r="K365" s="68" t="s">
        <v>3671</v>
      </c>
      <c r="L365" s="68" t="s">
        <v>3672</v>
      </c>
    </row>
    <row r="366" spans="1:12" x14ac:dyDescent="0.25">
      <c r="A366" s="68" t="s">
        <v>521</v>
      </c>
      <c r="B366" s="68" t="s">
        <v>1348</v>
      </c>
      <c r="C366" s="80" t="s">
        <v>2160</v>
      </c>
      <c r="D366" s="68" t="s">
        <v>521</v>
      </c>
      <c r="E366"/>
      <c r="F366" s="68" t="s">
        <v>2957</v>
      </c>
      <c r="G366" s="80"/>
      <c r="H366" s="122">
        <v>44554</v>
      </c>
      <c r="I366" s="68" t="s">
        <v>3452</v>
      </c>
      <c r="J366" s="68">
        <v>340.8</v>
      </c>
      <c r="K366" s="68" t="s">
        <v>3671</v>
      </c>
      <c r="L366" s="68" t="s">
        <v>3672</v>
      </c>
    </row>
    <row r="367" spans="1:12" x14ac:dyDescent="0.25">
      <c r="A367" s="68" t="s">
        <v>522</v>
      </c>
      <c r="B367" s="68" t="s">
        <v>1349</v>
      </c>
      <c r="C367" s="80" t="s">
        <v>2161</v>
      </c>
      <c r="D367" s="68" t="s">
        <v>522</v>
      </c>
      <c r="E367"/>
      <c r="F367" s="68" t="s">
        <v>2958</v>
      </c>
      <c r="G367" s="80"/>
      <c r="H367" s="122">
        <v>44553</v>
      </c>
      <c r="I367" s="68" t="s">
        <v>3452</v>
      </c>
      <c r="J367" s="68">
        <v>797.2</v>
      </c>
      <c r="K367" s="68" t="s">
        <v>3671</v>
      </c>
      <c r="L367" s="68" t="s">
        <v>3672</v>
      </c>
    </row>
    <row r="368" spans="1:12" x14ac:dyDescent="0.25">
      <c r="A368" s="68" t="s">
        <v>523</v>
      </c>
      <c r="B368" s="68" t="s">
        <v>1350</v>
      </c>
      <c r="C368" s="80" t="s">
        <v>2162</v>
      </c>
      <c r="D368" s="68" t="s">
        <v>523</v>
      </c>
      <c r="E368"/>
      <c r="F368" s="68" t="s">
        <v>2959</v>
      </c>
      <c r="G368" s="80"/>
      <c r="H368" s="122">
        <v>44553</v>
      </c>
      <c r="I368" s="68" t="s">
        <v>3452</v>
      </c>
      <c r="J368" s="68">
        <v>512</v>
      </c>
      <c r="K368" s="68" t="s">
        <v>3671</v>
      </c>
      <c r="L368" s="68" t="s">
        <v>3672</v>
      </c>
    </row>
    <row r="369" spans="1:12" x14ac:dyDescent="0.25">
      <c r="A369" s="68" t="s">
        <v>524</v>
      </c>
      <c r="B369" s="68" t="s">
        <v>1351</v>
      </c>
      <c r="C369" s="80" t="s">
        <v>2163</v>
      </c>
      <c r="D369" s="68" t="s">
        <v>524</v>
      </c>
      <c r="E369"/>
      <c r="F369" s="68" t="s">
        <v>2960</v>
      </c>
      <c r="G369" s="80"/>
      <c r="H369" s="122">
        <v>44553</v>
      </c>
      <c r="I369" s="68" t="s">
        <v>3452</v>
      </c>
      <c r="J369" s="68">
        <v>726.8</v>
      </c>
      <c r="K369" s="68" t="s">
        <v>3671</v>
      </c>
      <c r="L369" s="68" t="s">
        <v>3672</v>
      </c>
    </row>
    <row r="370" spans="1:12" x14ac:dyDescent="0.25">
      <c r="A370" s="68" t="s">
        <v>525</v>
      </c>
      <c r="B370" s="68" t="s">
        <v>1352</v>
      </c>
      <c r="C370" s="80" t="s">
        <v>2164</v>
      </c>
      <c r="D370" s="68" t="s">
        <v>525</v>
      </c>
      <c r="E370"/>
      <c r="F370" s="68" t="s">
        <v>2961</v>
      </c>
      <c r="G370" s="80"/>
      <c r="H370" s="122">
        <v>44553</v>
      </c>
      <c r="I370" s="68" t="s">
        <v>3452</v>
      </c>
      <c r="J370" s="68">
        <v>244.4</v>
      </c>
      <c r="K370" s="68" t="s">
        <v>3671</v>
      </c>
      <c r="L370" s="68" t="s">
        <v>3672</v>
      </c>
    </row>
    <row r="371" spans="1:12" x14ac:dyDescent="0.25">
      <c r="A371" s="68" t="s">
        <v>505</v>
      </c>
      <c r="B371" s="68" t="s">
        <v>1332</v>
      </c>
      <c r="C371" s="80" t="s">
        <v>2144</v>
      </c>
      <c r="D371" s="68" t="s">
        <v>505</v>
      </c>
      <c r="E371"/>
      <c r="F371" s="68" t="s">
        <v>2941</v>
      </c>
      <c r="G371" s="80"/>
      <c r="H371" s="122">
        <v>44553</v>
      </c>
      <c r="I371" s="68" t="s">
        <v>3452</v>
      </c>
      <c r="J371" s="68">
        <v>332.4</v>
      </c>
      <c r="K371" s="68" t="s">
        <v>3671</v>
      </c>
      <c r="L371" s="68" t="s">
        <v>3672</v>
      </c>
    </row>
    <row r="372" spans="1:12" x14ac:dyDescent="0.25">
      <c r="A372" s="68" t="s">
        <v>526</v>
      </c>
      <c r="B372" s="68" t="s">
        <v>1353</v>
      </c>
      <c r="C372" s="80" t="s">
        <v>2165</v>
      </c>
      <c r="D372" s="68" t="s">
        <v>526</v>
      </c>
      <c r="E372"/>
      <c r="F372" s="68" t="s">
        <v>2962</v>
      </c>
      <c r="G372" s="80"/>
      <c r="H372" s="122">
        <v>44553</v>
      </c>
      <c r="I372" s="68" t="s">
        <v>3452</v>
      </c>
      <c r="J372" s="68">
        <v>138</v>
      </c>
      <c r="K372" s="68" t="s">
        <v>3671</v>
      </c>
      <c r="L372" s="68" t="s">
        <v>3672</v>
      </c>
    </row>
    <row r="373" spans="1:12" x14ac:dyDescent="0.25">
      <c r="A373" s="68" t="s">
        <v>527</v>
      </c>
      <c r="B373" s="68" t="s">
        <v>1354</v>
      </c>
      <c r="C373" s="80" t="s">
        <v>2166</v>
      </c>
      <c r="D373" s="68" t="s">
        <v>527</v>
      </c>
      <c r="E373"/>
      <c r="F373" s="68" t="s">
        <v>2963</v>
      </c>
      <c r="G373" s="80"/>
      <c r="H373" s="122">
        <v>44553</v>
      </c>
      <c r="I373" s="68" t="s">
        <v>3452</v>
      </c>
      <c r="J373" s="68">
        <v>873.6</v>
      </c>
      <c r="K373" s="68" t="s">
        <v>3671</v>
      </c>
      <c r="L373" s="68" t="s">
        <v>3672</v>
      </c>
    </row>
    <row r="374" spans="1:12" x14ac:dyDescent="0.25">
      <c r="A374" s="68" t="s">
        <v>528</v>
      </c>
      <c r="B374" s="68" t="s">
        <v>1355</v>
      </c>
      <c r="C374" s="80" t="s">
        <v>2167</v>
      </c>
      <c r="D374" s="68" t="s">
        <v>528</v>
      </c>
      <c r="E374"/>
      <c r="F374" s="68" t="s">
        <v>2964</v>
      </c>
      <c r="G374" s="80"/>
      <c r="H374" s="122">
        <v>44552</v>
      </c>
      <c r="I374" s="68" t="s">
        <v>3528</v>
      </c>
      <c r="J374" s="68">
        <v>227.6</v>
      </c>
      <c r="K374" s="68" t="s">
        <v>3671</v>
      </c>
      <c r="L374" s="68" t="s">
        <v>3672</v>
      </c>
    </row>
    <row r="375" spans="1:12" x14ac:dyDescent="0.25">
      <c r="A375" s="68" t="s">
        <v>529</v>
      </c>
      <c r="B375" s="68" t="s">
        <v>1356</v>
      </c>
      <c r="C375" s="80" t="s">
        <v>2168</v>
      </c>
      <c r="D375" s="68" t="s">
        <v>529</v>
      </c>
      <c r="E375"/>
      <c r="F375" s="68" t="s">
        <v>2965</v>
      </c>
      <c r="G375" s="80"/>
      <c r="H375" s="122">
        <v>44552</v>
      </c>
      <c r="I375" s="68" t="s">
        <v>3528</v>
      </c>
      <c r="J375" s="68">
        <v>244.4</v>
      </c>
      <c r="K375" s="68" t="s">
        <v>3671</v>
      </c>
      <c r="L375" s="68" t="s">
        <v>3672</v>
      </c>
    </row>
    <row r="376" spans="1:12" x14ac:dyDescent="0.25">
      <c r="A376" s="68" t="s">
        <v>530</v>
      </c>
      <c r="B376" s="68" t="s">
        <v>1357</v>
      </c>
      <c r="C376" s="80" t="s">
        <v>2169</v>
      </c>
      <c r="D376" s="68" t="s">
        <v>530</v>
      </c>
      <c r="E376"/>
      <c r="F376" s="68" t="s">
        <v>2966</v>
      </c>
      <c r="G376" s="80"/>
      <c r="H376" s="122">
        <v>44552</v>
      </c>
      <c r="I376" s="68" t="s">
        <v>3528</v>
      </c>
      <c r="J376" s="68">
        <v>378</v>
      </c>
      <c r="K376" s="68" t="s">
        <v>3671</v>
      </c>
      <c r="L376" s="68" t="s">
        <v>3672</v>
      </c>
    </row>
    <row r="377" spans="1:12" x14ac:dyDescent="0.25">
      <c r="A377" s="68" t="s">
        <v>531</v>
      </c>
      <c r="B377" s="68" t="s">
        <v>1358</v>
      </c>
      <c r="C377" s="80" t="s">
        <v>2170</v>
      </c>
      <c r="D377" s="68" t="s">
        <v>531</v>
      </c>
      <c r="E377"/>
      <c r="F377" s="68" t="s">
        <v>2967</v>
      </c>
      <c r="G377" s="80"/>
      <c r="H377" s="122">
        <v>44551</v>
      </c>
      <c r="I377" s="68" t="s">
        <v>3474</v>
      </c>
      <c r="J377" s="68">
        <v>441.2</v>
      </c>
      <c r="K377" s="68" t="s">
        <v>3671</v>
      </c>
      <c r="L377" s="68" t="s">
        <v>3672</v>
      </c>
    </row>
    <row r="378" spans="1:12" x14ac:dyDescent="0.25">
      <c r="A378" s="68" t="s">
        <v>532</v>
      </c>
      <c r="B378" s="68" t="s">
        <v>1359</v>
      </c>
      <c r="C378" s="80" t="s">
        <v>2171</v>
      </c>
      <c r="D378" s="68" t="s">
        <v>532</v>
      </c>
      <c r="E378"/>
      <c r="F378" s="68" t="s">
        <v>2968</v>
      </c>
      <c r="G378" s="80"/>
      <c r="H378" s="122">
        <v>44551</v>
      </c>
      <c r="I378" s="68" t="s">
        <v>3474</v>
      </c>
      <c r="J378" s="68">
        <v>360</v>
      </c>
      <c r="K378" s="68" t="s">
        <v>3671</v>
      </c>
      <c r="L378" s="68" t="s">
        <v>3672</v>
      </c>
    </row>
    <row r="379" spans="1:12" x14ac:dyDescent="0.25">
      <c r="A379" s="68" t="s">
        <v>533</v>
      </c>
      <c r="B379" s="68" t="s">
        <v>1360</v>
      </c>
      <c r="C379" s="80" t="s">
        <v>2172</v>
      </c>
      <c r="D379" s="68" t="s">
        <v>533</v>
      </c>
      <c r="E379"/>
      <c r="F379" s="68" t="s">
        <v>2969</v>
      </c>
      <c r="G379" s="80"/>
      <c r="H379" s="122">
        <v>44551</v>
      </c>
      <c r="I379" s="68" t="s">
        <v>3474</v>
      </c>
      <c r="J379" s="68">
        <v>891.2</v>
      </c>
      <c r="K379" s="68" t="s">
        <v>3671</v>
      </c>
      <c r="L379" s="68" t="s">
        <v>3672</v>
      </c>
    </row>
    <row r="380" spans="1:12" x14ac:dyDescent="0.25">
      <c r="A380" s="68" t="s">
        <v>534</v>
      </c>
      <c r="B380" s="68" t="s">
        <v>1361</v>
      </c>
      <c r="C380" s="80" t="s">
        <v>2173</v>
      </c>
      <c r="D380" s="68" t="s">
        <v>534</v>
      </c>
      <c r="E380"/>
      <c r="F380" s="68" t="s">
        <v>2970</v>
      </c>
      <c r="G380" s="80"/>
      <c r="H380" s="122">
        <v>44551</v>
      </c>
      <c r="I380" s="68" t="s">
        <v>3474</v>
      </c>
      <c r="J380" s="68">
        <v>542</v>
      </c>
      <c r="K380" s="68" t="s">
        <v>3671</v>
      </c>
      <c r="L380" s="68" t="s">
        <v>3672</v>
      </c>
    </row>
    <row r="381" spans="1:12" x14ac:dyDescent="0.25">
      <c r="A381" s="68" t="s">
        <v>535</v>
      </c>
      <c r="B381" s="68" t="s">
        <v>1362</v>
      </c>
      <c r="C381" s="80" t="s">
        <v>2174</v>
      </c>
      <c r="D381" s="68" t="s">
        <v>535</v>
      </c>
      <c r="E381"/>
      <c r="F381" s="68" t="s">
        <v>2971</v>
      </c>
      <c r="G381" s="80"/>
      <c r="H381" s="122">
        <v>44550</v>
      </c>
      <c r="I381" s="68" t="s">
        <v>3474</v>
      </c>
      <c r="J381" s="68">
        <v>175.2</v>
      </c>
      <c r="K381" s="68" t="s">
        <v>3671</v>
      </c>
      <c r="L381" s="68" t="s">
        <v>3672</v>
      </c>
    </row>
    <row r="382" spans="1:12" x14ac:dyDescent="0.25">
      <c r="A382" s="68" t="s">
        <v>536</v>
      </c>
      <c r="B382" s="68" t="s">
        <v>1363</v>
      </c>
      <c r="C382" s="80" t="s">
        <v>2175</v>
      </c>
      <c r="D382" s="68" t="s">
        <v>536</v>
      </c>
      <c r="E382"/>
      <c r="F382" s="68" t="s">
        <v>2972</v>
      </c>
      <c r="G382" s="80"/>
      <c r="H382" s="122">
        <v>44547</v>
      </c>
      <c r="I382" s="68" t="s">
        <v>3474</v>
      </c>
      <c r="J382" s="68">
        <v>227.6</v>
      </c>
      <c r="K382" s="68" t="s">
        <v>3671</v>
      </c>
      <c r="L382" s="68" t="s">
        <v>3672</v>
      </c>
    </row>
    <row r="383" spans="1:12" x14ac:dyDescent="0.25">
      <c r="A383" s="68" t="s">
        <v>537</v>
      </c>
      <c r="B383" s="68" t="s">
        <v>1364</v>
      </c>
      <c r="C383" s="80" t="s">
        <v>2176</v>
      </c>
      <c r="D383" s="68" t="s">
        <v>537</v>
      </c>
      <c r="E383"/>
      <c r="F383" s="68" t="s">
        <v>2973</v>
      </c>
      <c r="G383" s="80"/>
      <c r="H383" s="122">
        <v>44547</v>
      </c>
      <c r="I383" s="68" t="s">
        <v>3474</v>
      </c>
      <c r="J383" s="68">
        <v>266</v>
      </c>
      <c r="K383" s="68" t="s">
        <v>3671</v>
      </c>
      <c r="L383" s="68" t="s">
        <v>3672</v>
      </c>
    </row>
    <row r="384" spans="1:12" x14ac:dyDescent="0.25">
      <c r="A384" s="68" t="s">
        <v>538</v>
      </c>
      <c r="B384" s="68" t="s">
        <v>1365</v>
      </c>
      <c r="C384" s="80" t="s">
        <v>2177</v>
      </c>
      <c r="D384" s="68" t="s">
        <v>538</v>
      </c>
      <c r="E384"/>
      <c r="F384" s="68" t="s">
        <v>2974</v>
      </c>
      <c r="G384" s="80"/>
      <c r="H384" s="122">
        <v>44547</v>
      </c>
      <c r="I384" s="68" t="s">
        <v>3474</v>
      </c>
      <c r="J384" s="68">
        <v>72</v>
      </c>
      <c r="K384" s="68" t="s">
        <v>3671</v>
      </c>
      <c r="L384" s="68" t="s">
        <v>3672</v>
      </c>
    </row>
    <row r="385" spans="1:12" x14ac:dyDescent="0.25">
      <c r="A385" s="68" t="s">
        <v>539</v>
      </c>
      <c r="B385" s="68" t="s">
        <v>1366</v>
      </c>
      <c r="C385" s="80" t="s">
        <v>2178</v>
      </c>
      <c r="D385" s="68" t="s">
        <v>539</v>
      </c>
      <c r="E385"/>
      <c r="F385" s="68" t="s">
        <v>2975</v>
      </c>
      <c r="G385" s="80"/>
      <c r="H385" s="122">
        <v>44547</v>
      </c>
      <c r="I385" s="68" t="s">
        <v>3474</v>
      </c>
      <c r="J385" s="68">
        <v>159.6</v>
      </c>
      <c r="K385" s="68" t="s">
        <v>3671</v>
      </c>
      <c r="L385" s="68" t="s">
        <v>3672</v>
      </c>
    </row>
    <row r="386" spans="1:12" x14ac:dyDescent="0.25">
      <c r="A386" s="68" t="s">
        <v>540</v>
      </c>
      <c r="B386" s="68" t="s">
        <v>1367</v>
      </c>
      <c r="C386" s="80" t="s">
        <v>2179</v>
      </c>
      <c r="D386" s="68" t="s">
        <v>540</v>
      </c>
      <c r="E386"/>
      <c r="F386" s="68" t="s">
        <v>2976</v>
      </c>
      <c r="G386" s="80"/>
      <c r="H386" s="122">
        <v>44548</v>
      </c>
      <c r="I386" s="68" t="s">
        <v>3474</v>
      </c>
      <c r="J386" s="68">
        <v>227.6</v>
      </c>
      <c r="K386" s="68" t="s">
        <v>3671</v>
      </c>
      <c r="L386" s="68" t="s">
        <v>3672</v>
      </c>
    </row>
    <row r="387" spans="1:12" x14ac:dyDescent="0.25">
      <c r="A387" s="68" t="s">
        <v>541</v>
      </c>
      <c r="B387" s="68" t="s">
        <v>1368</v>
      </c>
      <c r="C387" s="80" t="s">
        <v>2180</v>
      </c>
      <c r="D387" s="68" t="s">
        <v>541</v>
      </c>
      <c r="E387"/>
      <c r="F387" s="68" t="s">
        <v>2977</v>
      </c>
      <c r="G387" s="80"/>
      <c r="H387" s="122">
        <v>44548</v>
      </c>
      <c r="I387" s="68" t="s">
        <v>3474</v>
      </c>
      <c r="J387" s="68">
        <v>244.4</v>
      </c>
      <c r="K387" s="68" t="s">
        <v>3671</v>
      </c>
      <c r="L387" s="68" t="s">
        <v>3672</v>
      </c>
    </row>
    <row r="388" spans="1:12" x14ac:dyDescent="0.25">
      <c r="A388" s="68" t="s">
        <v>542</v>
      </c>
      <c r="B388" s="68" t="s">
        <v>1369</v>
      </c>
      <c r="C388" s="80" t="s">
        <v>2181</v>
      </c>
      <c r="D388" s="68" t="s">
        <v>542</v>
      </c>
      <c r="E388"/>
      <c r="F388" s="68" t="s">
        <v>2978</v>
      </c>
      <c r="G388" s="80"/>
      <c r="H388" s="122">
        <v>44548</v>
      </c>
      <c r="I388" s="68" t="s">
        <v>3474</v>
      </c>
      <c r="J388" s="68">
        <v>244.4</v>
      </c>
      <c r="K388" s="68" t="s">
        <v>3671</v>
      </c>
      <c r="L388" s="68" t="s">
        <v>3672</v>
      </c>
    </row>
    <row r="389" spans="1:12" x14ac:dyDescent="0.25">
      <c r="A389" s="68" t="s">
        <v>543</v>
      </c>
      <c r="B389" s="68" t="s">
        <v>1370</v>
      </c>
      <c r="C389" s="80" t="s">
        <v>2182</v>
      </c>
      <c r="D389" s="68" t="s">
        <v>543</v>
      </c>
      <c r="E389"/>
      <c r="F389" s="68" t="s">
        <v>2979</v>
      </c>
      <c r="G389" s="80"/>
      <c r="H389" s="122">
        <v>44551</v>
      </c>
      <c r="I389" s="68" t="s">
        <v>3474</v>
      </c>
      <c r="J389" s="68">
        <v>404.8</v>
      </c>
      <c r="K389" s="68" t="s">
        <v>3671</v>
      </c>
      <c r="L389" s="68" t="s">
        <v>3672</v>
      </c>
    </row>
    <row r="390" spans="1:12" x14ac:dyDescent="0.25">
      <c r="A390" s="68" t="s">
        <v>544</v>
      </c>
      <c r="B390" s="68" t="s">
        <v>1371</v>
      </c>
      <c r="C390" s="80" t="s">
        <v>2183</v>
      </c>
      <c r="D390" s="68" t="s">
        <v>544</v>
      </c>
      <c r="E390"/>
      <c r="F390" s="68" t="s">
        <v>2980</v>
      </c>
      <c r="G390" s="80"/>
      <c r="H390" s="122">
        <v>44547</v>
      </c>
      <c r="I390" s="68" t="s">
        <v>3474</v>
      </c>
      <c r="J390" s="68">
        <v>266</v>
      </c>
      <c r="K390" s="68" t="s">
        <v>3671</v>
      </c>
      <c r="L390" s="68" t="s">
        <v>3672</v>
      </c>
    </row>
    <row r="391" spans="1:12" x14ac:dyDescent="0.25">
      <c r="A391" s="68" t="s">
        <v>545</v>
      </c>
      <c r="B391" s="68" t="s">
        <v>1372</v>
      </c>
      <c r="C391" s="80" t="s">
        <v>2184</v>
      </c>
      <c r="D391" s="68" t="s">
        <v>545</v>
      </c>
      <c r="E391"/>
      <c r="F391" s="68" t="s">
        <v>2981</v>
      </c>
      <c r="G391" s="80"/>
      <c r="H391" s="122">
        <v>44547</v>
      </c>
      <c r="I391" s="68" t="s">
        <v>3474</v>
      </c>
      <c r="J391" s="68">
        <v>294.8</v>
      </c>
      <c r="K391" s="68" t="s">
        <v>3671</v>
      </c>
      <c r="L391" s="68" t="s">
        <v>3672</v>
      </c>
    </row>
    <row r="392" spans="1:12" x14ac:dyDescent="0.25">
      <c r="A392" s="68" t="s">
        <v>546</v>
      </c>
      <c r="B392" s="68" t="s">
        <v>1373</v>
      </c>
      <c r="C392" s="80" t="s">
        <v>2185</v>
      </c>
      <c r="D392" s="68" t="s">
        <v>546</v>
      </c>
      <c r="E392"/>
      <c r="F392" s="68" t="s">
        <v>2982</v>
      </c>
      <c r="G392" s="80"/>
      <c r="H392" s="122">
        <v>44547</v>
      </c>
      <c r="I392" s="68" t="s">
        <v>3474</v>
      </c>
      <c r="J392" s="68">
        <v>294.8</v>
      </c>
      <c r="K392" s="68" t="s">
        <v>3671</v>
      </c>
      <c r="L392" s="68" t="s">
        <v>3672</v>
      </c>
    </row>
    <row r="393" spans="1:12" x14ac:dyDescent="0.25">
      <c r="A393" s="68" t="s">
        <v>547</v>
      </c>
      <c r="B393" s="68" t="s">
        <v>1374</v>
      </c>
      <c r="C393" s="80" t="s">
        <v>2186</v>
      </c>
      <c r="D393" s="68" t="s">
        <v>547</v>
      </c>
      <c r="E393"/>
      <c r="F393" s="68" t="s">
        <v>2983</v>
      </c>
      <c r="G393" s="80"/>
      <c r="H393" s="122">
        <v>44547</v>
      </c>
      <c r="I393" s="68" t="s">
        <v>3474</v>
      </c>
      <c r="J393" s="68">
        <v>2600.4</v>
      </c>
      <c r="K393" s="68" t="s">
        <v>3671</v>
      </c>
      <c r="L393" s="68" t="s">
        <v>3672</v>
      </c>
    </row>
    <row r="394" spans="1:12" x14ac:dyDescent="0.25">
      <c r="A394" s="68" t="s">
        <v>548</v>
      </c>
      <c r="B394" s="68" t="s">
        <v>1375</v>
      </c>
      <c r="C394" s="80" t="s">
        <v>2187</v>
      </c>
      <c r="D394" s="68" t="s">
        <v>548</v>
      </c>
      <c r="E394"/>
      <c r="F394" s="68" t="s">
        <v>2984</v>
      </c>
      <c r="G394" s="80"/>
      <c r="H394" s="122">
        <v>44547</v>
      </c>
      <c r="I394" s="68" t="s">
        <v>3474</v>
      </c>
      <c r="J394" s="68">
        <v>294.8</v>
      </c>
      <c r="K394" s="68" t="s">
        <v>3671</v>
      </c>
      <c r="L394" s="68" t="s">
        <v>3672</v>
      </c>
    </row>
    <row r="395" spans="1:12" x14ac:dyDescent="0.25">
      <c r="A395" s="68" t="s">
        <v>549</v>
      </c>
      <c r="B395" s="68" t="s">
        <v>1376</v>
      </c>
      <c r="C395" s="80" t="s">
        <v>2188</v>
      </c>
      <c r="D395" s="68" t="s">
        <v>549</v>
      </c>
      <c r="E395"/>
      <c r="F395" s="68" t="s">
        <v>2985</v>
      </c>
      <c r="G395" s="80"/>
      <c r="H395" s="122">
        <v>44545</v>
      </c>
      <c r="I395" s="68" t="s">
        <v>3474</v>
      </c>
      <c r="J395" s="68">
        <v>512.4</v>
      </c>
      <c r="K395" s="68" t="s">
        <v>3671</v>
      </c>
      <c r="L395" s="68" t="s">
        <v>3672</v>
      </c>
    </row>
    <row r="396" spans="1:12" x14ac:dyDescent="0.25">
      <c r="A396" s="68" t="s">
        <v>478</v>
      </c>
      <c r="B396" s="68" t="s">
        <v>1305</v>
      </c>
      <c r="C396" s="80" t="s">
        <v>2118</v>
      </c>
      <c r="D396" s="68" t="s">
        <v>478</v>
      </c>
      <c r="E396"/>
      <c r="F396" s="68" t="s">
        <v>2914</v>
      </c>
      <c r="G396" s="80"/>
      <c r="H396" s="122">
        <v>44545</v>
      </c>
      <c r="I396" s="68" t="s">
        <v>3474</v>
      </c>
      <c r="J396" s="68">
        <v>88.8</v>
      </c>
      <c r="K396" s="68" t="s">
        <v>3671</v>
      </c>
      <c r="L396" s="68" t="s">
        <v>3672</v>
      </c>
    </row>
    <row r="397" spans="1:12" x14ac:dyDescent="0.25">
      <c r="A397" s="68" t="s">
        <v>550</v>
      </c>
      <c r="B397" s="68" t="s">
        <v>1377</v>
      </c>
      <c r="C397" s="80" t="s">
        <v>2189</v>
      </c>
      <c r="D397" s="68" t="s">
        <v>550</v>
      </c>
      <c r="E397"/>
      <c r="F397" s="68" t="s">
        <v>2986</v>
      </c>
      <c r="G397" s="80"/>
      <c r="H397" s="122">
        <v>44546</v>
      </c>
      <c r="I397" s="68" t="s">
        <v>3486</v>
      </c>
      <c r="J397" s="68">
        <v>480</v>
      </c>
      <c r="K397" s="68" t="s">
        <v>3671</v>
      </c>
      <c r="L397" s="68" t="s">
        <v>3672</v>
      </c>
    </row>
    <row r="398" spans="1:12" x14ac:dyDescent="0.25">
      <c r="A398" s="68" t="s">
        <v>551</v>
      </c>
      <c r="B398" s="68" t="s">
        <v>1378</v>
      </c>
      <c r="C398" s="80" t="s">
        <v>2190</v>
      </c>
      <c r="D398" s="68" t="s">
        <v>551</v>
      </c>
      <c r="E398"/>
      <c r="F398" s="68" t="s">
        <v>2987</v>
      </c>
      <c r="G398" s="80"/>
      <c r="H398" s="122">
        <v>44544</v>
      </c>
      <c r="I398" s="68" t="s">
        <v>3493</v>
      </c>
      <c r="J398" s="68">
        <v>748.8</v>
      </c>
      <c r="K398" s="68" t="s">
        <v>3671</v>
      </c>
      <c r="L398" s="68" t="s">
        <v>3672</v>
      </c>
    </row>
    <row r="399" spans="1:12" x14ac:dyDescent="0.25">
      <c r="A399" s="68" t="s">
        <v>503</v>
      </c>
      <c r="B399" s="68" t="s">
        <v>1330</v>
      </c>
      <c r="C399" s="80" t="s">
        <v>2142</v>
      </c>
      <c r="D399" s="68" t="s">
        <v>503</v>
      </c>
      <c r="E399"/>
      <c r="F399" s="68" t="s">
        <v>2939</v>
      </c>
      <c r="G399" s="80"/>
      <c r="H399" s="122">
        <v>44544</v>
      </c>
      <c r="I399" s="68" t="s">
        <v>3493</v>
      </c>
      <c r="J399" s="68">
        <v>227.6</v>
      </c>
      <c r="K399" s="68" t="s">
        <v>3671</v>
      </c>
      <c r="L399" s="68" t="s">
        <v>3672</v>
      </c>
    </row>
    <row r="400" spans="1:12" x14ac:dyDescent="0.25">
      <c r="A400" s="68" t="s">
        <v>532</v>
      </c>
      <c r="B400" s="68" t="s">
        <v>1359</v>
      </c>
      <c r="C400" s="80" t="s">
        <v>2171</v>
      </c>
      <c r="D400" s="68" t="s">
        <v>532</v>
      </c>
      <c r="E400"/>
      <c r="F400" s="68" t="s">
        <v>2968</v>
      </c>
      <c r="G400" s="80"/>
      <c r="H400" s="122">
        <v>44544</v>
      </c>
      <c r="I400" s="68" t="s">
        <v>3493</v>
      </c>
      <c r="J400" s="68">
        <v>266</v>
      </c>
      <c r="K400" s="68" t="s">
        <v>3671</v>
      </c>
      <c r="L400" s="68" t="s">
        <v>3672</v>
      </c>
    </row>
    <row r="401" spans="1:12" x14ac:dyDescent="0.25">
      <c r="A401" s="68" t="s">
        <v>552</v>
      </c>
      <c r="B401" s="68" t="s">
        <v>1379</v>
      </c>
      <c r="C401" s="80" t="s">
        <v>2191</v>
      </c>
      <c r="D401" s="68" t="s">
        <v>552</v>
      </c>
      <c r="E401"/>
      <c r="F401" s="68" t="s">
        <v>2988</v>
      </c>
      <c r="G401" s="80"/>
      <c r="H401" s="122">
        <v>44541</v>
      </c>
      <c r="I401" s="68" t="s">
        <v>3493</v>
      </c>
      <c r="J401" s="68">
        <v>1033.5999999999999</v>
      </c>
      <c r="K401" s="68" t="s">
        <v>3671</v>
      </c>
      <c r="L401" s="68" t="s">
        <v>3672</v>
      </c>
    </row>
    <row r="402" spans="1:12" x14ac:dyDescent="0.25">
      <c r="A402" s="68" t="s">
        <v>553</v>
      </c>
      <c r="B402" s="68" t="s">
        <v>1380</v>
      </c>
      <c r="C402" s="80" t="s">
        <v>2192</v>
      </c>
      <c r="D402" s="68" t="s">
        <v>553</v>
      </c>
      <c r="E402"/>
      <c r="F402" s="68" t="s">
        <v>2989</v>
      </c>
      <c r="G402" s="80"/>
      <c r="H402" s="122">
        <v>44540</v>
      </c>
      <c r="I402" s="68" t="s">
        <v>3493</v>
      </c>
      <c r="J402" s="68">
        <v>100</v>
      </c>
      <c r="K402" s="68" t="s">
        <v>3671</v>
      </c>
      <c r="L402" s="68" t="s">
        <v>3672</v>
      </c>
    </row>
    <row r="403" spans="1:12" x14ac:dyDescent="0.25">
      <c r="A403" s="68" t="s">
        <v>554</v>
      </c>
      <c r="B403" s="68" t="s">
        <v>1381</v>
      </c>
      <c r="C403" s="80" t="s">
        <v>2193</v>
      </c>
      <c r="D403" s="68" t="s">
        <v>554</v>
      </c>
      <c r="E403"/>
      <c r="F403" s="68" t="s">
        <v>2990</v>
      </c>
      <c r="G403" s="80"/>
      <c r="H403" s="122">
        <v>44547</v>
      </c>
      <c r="I403" s="68" t="s">
        <v>3529</v>
      </c>
      <c r="J403" s="68">
        <v>1062</v>
      </c>
      <c r="K403" s="68" t="s">
        <v>3671</v>
      </c>
      <c r="L403" s="68" t="s">
        <v>3672</v>
      </c>
    </row>
    <row r="404" spans="1:12" x14ac:dyDescent="0.25">
      <c r="A404" s="68" t="s">
        <v>486</v>
      </c>
      <c r="B404" s="68" t="s">
        <v>1313</v>
      </c>
      <c r="C404" s="80" t="s">
        <v>2126</v>
      </c>
      <c r="D404" s="68" t="s">
        <v>486</v>
      </c>
      <c r="E404"/>
      <c r="F404" s="68" t="s">
        <v>2922</v>
      </c>
      <c r="G404" s="80"/>
      <c r="H404" s="122">
        <v>44543</v>
      </c>
      <c r="I404" s="68" t="s">
        <v>3493</v>
      </c>
      <c r="J404" s="68">
        <v>252</v>
      </c>
      <c r="K404" s="68" t="s">
        <v>3671</v>
      </c>
      <c r="L404" s="68" t="s">
        <v>3672</v>
      </c>
    </row>
    <row r="405" spans="1:12" x14ac:dyDescent="0.25">
      <c r="A405" s="68" t="s">
        <v>555</v>
      </c>
      <c r="B405" s="68" t="s">
        <v>1382</v>
      </c>
      <c r="C405" s="80" t="s">
        <v>2194</v>
      </c>
      <c r="D405" s="68" t="s">
        <v>555</v>
      </c>
      <c r="E405"/>
      <c r="F405" s="68" t="s">
        <v>2991</v>
      </c>
      <c r="G405" s="80"/>
      <c r="H405" s="122">
        <v>44543</v>
      </c>
      <c r="I405" s="68" t="s">
        <v>3530</v>
      </c>
      <c r="J405" s="68">
        <v>532</v>
      </c>
      <c r="K405" s="68" t="s">
        <v>3671</v>
      </c>
      <c r="L405" s="68" t="s">
        <v>3672</v>
      </c>
    </row>
    <row r="406" spans="1:12" x14ac:dyDescent="0.25">
      <c r="A406" s="68" t="s">
        <v>556</v>
      </c>
      <c r="B406" s="68" t="s">
        <v>1383</v>
      </c>
      <c r="C406" s="80" t="s">
        <v>2195</v>
      </c>
      <c r="D406" s="68" t="s">
        <v>556</v>
      </c>
      <c r="E406"/>
      <c r="F406" s="68" t="s">
        <v>2992</v>
      </c>
      <c r="G406" s="80"/>
      <c r="H406" s="122">
        <v>44543</v>
      </c>
      <c r="I406" s="68" t="s">
        <v>3530</v>
      </c>
      <c r="J406" s="68">
        <v>199.2</v>
      </c>
      <c r="K406" s="68" t="s">
        <v>3671</v>
      </c>
      <c r="L406" s="68" t="s">
        <v>3672</v>
      </c>
    </row>
    <row r="407" spans="1:12" x14ac:dyDescent="0.25">
      <c r="A407" s="68" t="s">
        <v>557</v>
      </c>
      <c r="B407" s="68" t="s">
        <v>1384</v>
      </c>
      <c r="C407" s="80" t="s">
        <v>2196</v>
      </c>
      <c r="D407" s="68" t="s">
        <v>557</v>
      </c>
      <c r="E407"/>
      <c r="F407" s="68" t="s">
        <v>2993</v>
      </c>
      <c r="G407" s="80"/>
      <c r="H407" s="122">
        <v>44537</v>
      </c>
      <c r="I407" s="68" t="s">
        <v>3457</v>
      </c>
      <c r="J407" s="68">
        <v>202.8</v>
      </c>
      <c r="K407" s="68" t="s">
        <v>3671</v>
      </c>
      <c r="L407" s="68" t="s">
        <v>3672</v>
      </c>
    </row>
    <row r="408" spans="1:12" x14ac:dyDescent="0.25">
      <c r="A408" s="68" t="s">
        <v>558</v>
      </c>
      <c r="B408" s="68" t="s">
        <v>1385</v>
      </c>
      <c r="C408" s="80" t="s">
        <v>2197</v>
      </c>
      <c r="D408" s="68" t="s">
        <v>558</v>
      </c>
      <c r="E408"/>
      <c r="F408" s="68" t="s">
        <v>2994</v>
      </c>
      <c r="G408" s="80"/>
      <c r="H408" s="122">
        <v>44537</v>
      </c>
      <c r="I408" s="68" t="s">
        <v>3457</v>
      </c>
      <c r="J408" s="68">
        <v>453.2</v>
      </c>
      <c r="K408" s="68" t="s">
        <v>3671</v>
      </c>
      <c r="L408" s="68" t="s">
        <v>3672</v>
      </c>
    </row>
    <row r="409" spans="1:12" x14ac:dyDescent="0.25">
      <c r="A409" s="68" t="s">
        <v>559</v>
      </c>
      <c r="B409" s="68" t="s">
        <v>1386</v>
      </c>
      <c r="C409" s="80" t="s">
        <v>2198</v>
      </c>
      <c r="D409" s="68" t="s">
        <v>559</v>
      </c>
      <c r="E409"/>
      <c r="F409" s="68" t="s">
        <v>2995</v>
      </c>
      <c r="G409" s="80"/>
      <c r="H409" s="122">
        <v>44537</v>
      </c>
      <c r="I409" s="68" t="s">
        <v>3531</v>
      </c>
      <c r="J409" s="68">
        <v>266</v>
      </c>
      <c r="K409" s="68" t="s">
        <v>3671</v>
      </c>
      <c r="L409" s="68" t="s">
        <v>3672</v>
      </c>
    </row>
    <row r="410" spans="1:12" x14ac:dyDescent="0.25">
      <c r="A410" s="68" t="s">
        <v>560</v>
      </c>
      <c r="B410" s="68" t="s">
        <v>1387</v>
      </c>
      <c r="C410" s="80" t="s">
        <v>2199</v>
      </c>
      <c r="D410" s="68" t="s">
        <v>560</v>
      </c>
      <c r="E410"/>
      <c r="F410" s="68" t="s">
        <v>2996</v>
      </c>
      <c r="G410" s="80"/>
      <c r="H410" s="122">
        <v>44537</v>
      </c>
      <c r="I410" s="68" t="s">
        <v>3531</v>
      </c>
      <c r="J410" s="68">
        <v>166.8</v>
      </c>
      <c r="K410" s="68" t="s">
        <v>3671</v>
      </c>
      <c r="L410" s="68" t="s">
        <v>3672</v>
      </c>
    </row>
    <row r="411" spans="1:12" x14ac:dyDescent="0.25">
      <c r="A411" s="68" t="s">
        <v>561</v>
      </c>
      <c r="B411" s="68" t="s">
        <v>1388</v>
      </c>
      <c r="C411" s="80" t="s">
        <v>2200</v>
      </c>
      <c r="D411" s="68" t="s">
        <v>561</v>
      </c>
      <c r="E411"/>
      <c r="F411" s="68" t="s">
        <v>2997</v>
      </c>
      <c r="G411" s="80"/>
      <c r="H411" s="122">
        <v>44537</v>
      </c>
      <c r="I411" s="68" t="s">
        <v>3531</v>
      </c>
      <c r="J411" s="68">
        <v>185.6</v>
      </c>
      <c r="K411" s="68" t="s">
        <v>3671</v>
      </c>
      <c r="L411" s="68" t="s">
        <v>3672</v>
      </c>
    </row>
    <row r="412" spans="1:12" x14ac:dyDescent="0.25">
      <c r="A412" s="68" t="s">
        <v>502</v>
      </c>
      <c r="B412" s="68" t="s">
        <v>1329</v>
      </c>
      <c r="C412" s="80" t="s">
        <v>2141</v>
      </c>
      <c r="D412" s="68" t="s">
        <v>502</v>
      </c>
      <c r="E412"/>
      <c r="F412" s="68" t="s">
        <v>2938</v>
      </c>
      <c r="G412" s="80"/>
      <c r="H412" s="122">
        <v>44537</v>
      </c>
      <c r="I412" s="68" t="s">
        <v>3531</v>
      </c>
      <c r="J412" s="68">
        <v>186</v>
      </c>
      <c r="K412" s="68" t="s">
        <v>3671</v>
      </c>
      <c r="L412" s="68" t="s">
        <v>3672</v>
      </c>
    </row>
    <row r="413" spans="1:12" x14ac:dyDescent="0.25">
      <c r="A413" s="68" t="s">
        <v>562</v>
      </c>
      <c r="B413" s="68" t="s">
        <v>1389</v>
      </c>
      <c r="C413" s="80" t="s">
        <v>2201</v>
      </c>
      <c r="D413" s="68" t="s">
        <v>562</v>
      </c>
      <c r="E413"/>
      <c r="F413" s="68" t="s">
        <v>2998</v>
      </c>
      <c r="G413" s="80"/>
      <c r="H413" s="122">
        <v>44536</v>
      </c>
      <c r="I413" s="68" t="s">
        <v>3455</v>
      </c>
      <c r="J413" s="68">
        <v>61.2</v>
      </c>
      <c r="K413" s="68" t="s">
        <v>3671</v>
      </c>
      <c r="L413" s="68" t="s">
        <v>3672</v>
      </c>
    </row>
    <row r="414" spans="1:12" x14ac:dyDescent="0.25">
      <c r="A414" s="68" t="s">
        <v>563</v>
      </c>
      <c r="B414" s="68" t="s">
        <v>1390</v>
      </c>
      <c r="C414" s="80" t="s">
        <v>2202</v>
      </c>
      <c r="D414" s="68" t="s">
        <v>563</v>
      </c>
      <c r="E414"/>
      <c r="F414" s="68" t="s">
        <v>2999</v>
      </c>
      <c r="G414" s="80"/>
      <c r="H414" s="122">
        <v>44536</v>
      </c>
      <c r="I414" s="68" t="s">
        <v>3455</v>
      </c>
      <c r="J414" s="68">
        <v>244.4</v>
      </c>
      <c r="K414" s="68" t="s">
        <v>3671</v>
      </c>
      <c r="L414" s="68" t="s">
        <v>3672</v>
      </c>
    </row>
    <row r="415" spans="1:12" x14ac:dyDescent="0.25">
      <c r="A415" s="68" t="s">
        <v>564</v>
      </c>
      <c r="B415" s="68" t="s">
        <v>1391</v>
      </c>
      <c r="C415" s="80" t="s">
        <v>2203</v>
      </c>
      <c r="D415" s="68" t="s">
        <v>564</v>
      </c>
      <c r="E415"/>
      <c r="F415" s="68" t="s">
        <v>3000</v>
      </c>
      <c r="G415" s="80"/>
      <c r="H415" s="122">
        <v>44536</v>
      </c>
      <c r="I415" s="68" t="s">
        <v>3455</v>
      </c>
      <c r="J415" s="68">
        <v>430.4</v>
      </c>
      <c r="K415" s="68" t="s">
        <v>3671</v>
      </c>
      <c r="L415" s="68" t="s">
        <v>3672</v>
      </c>
    </row>
    <row r="416" spans="1:12" x14ac:dyDescent="0.25">
      <c r="A416" s="68" t="s">
        <v>565</v>
      </c>
      <c r="B416" s="68" t="s">
        <v>1392</v>
      </c>
      <c r="C416" s="80" t="s">
        <v>2204</v>
      </c>
      <c r="D416" s="68" t="s">
        <v>565</v>
      </c>
      <c r="E416"/>
      <c r="F416" s="68" t="s">
        <v>3001</v>
      </c>
      <c r="G416" s="80"/>
      <c r="H416" s="122">
        <v>44536</v>
      </c>
      <c r="I416" s="68" t="s">
        <v>3455</v>
      </c>
      <c r="J416" s="68">
        <v>1202.8</v>
      </c>
      <c r="K416" s="68" t="s">
        <v>3671</v>
      </c>
      <c r="L416" s="68" t="s">
        <v>3672</v>
      </c>
    </row>
    <row r="417" spans="1:12" x14ac:dyDescent="0.25">
      <c r="A417" s="68" t="s">
        <v>566</v>
      </c>
      <c r="B417" s="68" t="s">
        <v>1393</v>
      </c>
      <c r="C417" s="80" t="s">
        <v>2205</v>
      </c>
      <c r="D417" s="68" t="s">
        <v>566</v>
      </c>
      <c r="E417"/>
      <c r="F417" s="68" t="s">
        <v>3002</v>
      </c>
      <c r="G417" s="80"/>
      <c r="H417" s="122">
        <v>44533</v>
      </c>
      <c r="I417" s="68" t="s">
        <v>3455</v>
      </c>
      <c r="J417" s="68">
        <v>681.6</v>
      </c>
      <c r="K417" s="68" t="s">
        <v>3671</v>
      </c>
      <c r="L417" s="68" t="s">
        <v>3672</v>
      </c>
    </row>
    <row r="418" spans="1:12" x14ac:dyDescent="0.25">
      <c r="A418" s="68" t="s">
        <v>567</v>
      </c>
      <c r="B418" s="68" t="s">
        <v>1394</v>
      </c>
      <c r="C418" s="80" t="s">
        <v>2206</v>
      </c>
      <c r="D418" s="68" t="s">
        <v>567</v>
      </c>
      <c r="E418"/>
      <c r="F418" s="68" t="s">
        <v>3003</v>
      </c>
      <c r="G418" s="80"/>
      <c r="H418" s="122">
        <v>44503</v>
      </c>
      <c r="I418" s="68" t="s">
        <v>3455</v>
      </c>
      <c r="J418" s="68">
        <v>520</v>
      </c>
      <c r="K418" s="68" t="s">
        <v>3671</v>
      </c>
      <c r="L418" s="68" t="s">
        <v>3672</v>
      </c>
    </row>
    <row r="419" spans="1:12" x14ac:dyDescent="0.25">
      <c r="A419" s="68" t="s">
        <v>567</v>
      </c>
      <c r="B419" s="68" t="s">
        <v>1394</v>
      </c>
      <c r="C419" s="80" t="s">
        <v>2206</v>
      </c>
      <c r="D419" s="68" t="s">
        <v>567</v>
      </c>
      <c r="E419"/>
      <c r="F419" s="68" t="s">
        <v>3003</v>
      </c>
      <c r="G419" s="80"/>
      <c r="H419" s="122">
        <v>44540</v>
      </c>
      <c r="I419" s="68" t="s">
        <v>3455</v>
      </c>
      <c r="J419" s="68">
        <v>170.4</v>
      </c>
      <c r="K419" s="68" t="s">
        <v>3671</v>
      </c>
      <c r="L419" s="68" t="s">
        <v>3672</v>
      </c>
    </row>
    <row r="420" spans="1:12" x14ac:dyDescent="0.25">
      <c r="A420" s="68" t="s">
        <v>568</v>
      </c>
      <c r="B420" s="68" t="s">
        <v>1395</v>
      </c>
      <c r="C420" s="80" t="s">
        <v>2207</v>
      </c>
      <c r="D420" s="68" t="s">
        <v>568</v>
      </c>
      <c r="E420"/>
      <c r="F420" s="68" t="s">
        <v>3004</v>
      </c>
      <c r="G420" s="80"/>
      <c r="H420" s="122">
        <v>44536</v>
      </c>
      <c r="I420" s="68" t="s">
        <v>3459</v>
      </c>
      <c r="J420" s="68">
        <v>138</v>
      </c>
      <c r="K420" s="68" t="s">
        <v>3671</v>
      </c>
      <c r="L420" s="68" t="s">
        <v>3672</v>
      </c>
    </row>
    <row r="421" spans="1:12" x14ac:dyDescent="0.25">
      <c r="A421" s="68" t="s">
        <v>569</v>
      </c>
      <c r="B421" s="68" t="s">
        <v>1396</v>
      </c>
      <c r="C421" s="80" t="s">
        <v>2208</v>
      </c>
      <c r="D421" s="68" t="s">
        <v>569</v>
      </c>
      <c r="E421"/>
      <c r="F421" s="68" t="s">
        <v>3005</v>
      </c>
      <c r="G421" s="80"/>
      <c r="H421" s="122">
        <v>44537</v>
      </c>
      <c r="I421" s="68" t="s">
        <v>3459</v>
      </c>
      <c r="J421" s="68">
        <v>258.8</v>
      </c>
      <c r="K421" s="68" t="s">
        <v>3671</v>
      </c>
      <c r="L421" s="68" t="s">
        <v>3672</v>
      </c>
    </row>
    <row r="422" spans="1:12" x14ac:dyDescent="0.25">
      <c r="A422" s="68" t="s">
        <v>570</v>
      </c>
      <c r="B422" s="68" t="s">
        <v>1397</v>
      </c>
      <c r="C422" s="80" t="s">
        <v>2209</v>
      </c>
      <c r="D422" s="68" t="s">
        <v>570</v>
      </c>
      <c r="E422"/>
      <c r="F422" s="68" t="s">
        <v>3006</v>
      </c>
      <c r="G422" s="80"/>
      <c r="H422" s="122">
        <v>44537</v>
      </c>
      <c r="I422" s="68" t="s">
        <v>3459</v>
      </c>
      <c r="J422" s="68">
        <v>88.8</v>
      </c>
      <c r="K422" s="68" t="s">
        <v>3671</v>
      </c>
      <c r="L422" s="68" t="s">
        <v>3672</v>
      </c>
    </row>
    <row r="423" spans="1:12" x14ac:dyDescent="0.25">
      <c r="A423" s="68" t="s">
        <v>551</v>
      </c>
      <c r="B423" s="68" t="s">
        <v>1378</v>
      </c>
      <c r="C423" s="80" t="s">
        <v>2190</v>
      </c>
      <c r="D423" s="68" t="s">
        <v>551</v>
      </c>
      <c r="E423"/>
      <c r="F423" s="68" t="s">
        <v>2987</v>
      </c>
      <c r="G423" s="80"/>
      <c r="H423" s="122">
        <v>44537</v>
      </c>
      <c r="I423" s="68" t="s">
        <v>3459</v>
      </c>
      <c r="J423" s="68">
        <v>294.8</v>
      </c>
      <c r="K423" s="68" t="s">
        <v>3671</v>
      </c>
      <c r="L423" s="68" t="s">
        <v>3672</v>
      </c>
    </row>
    <row r="424" spans="1:12" x14ac:dyDescent="0.25">
      <c r="A424" s="68" t="s">
        <v>571</v>
      </c>
      <c r="B424" s="68" t="s">
        <v>1398</v>
      </c>
      <c r="C424" s="80" t="s">
        <v>2210</v>
      </c>
      <c r="D424" s="68" t="s">
        <v>571</v>
      </c>
      <c r="E424"/>
      <c r="F424" s="68" t="s">
        <v>3007</v>
      </c>
      <c r="G424" s="80"/>
      <c r="H424" s="122">
        <v>44537</v>
      </c>
      <c r="I424" s="68" t="s">
        <v>3459</v>
      </c>
      <c r="J424" s="68">
        <v>718</v>
      </c>
      <c r="K424" s="68" t="s">
        <v>3671</v>
      </c>
      <c r="L424" s="68" t="s">
        <v>3672</v>
      </c>
    </row>
    <row r="425" spans="1:12" x14ac:dyDescent="0.25">
      <c r="A425" s="68" t="s">
        <v>572</v>
      </c>
      <c r="B425" s="68" t="s">
        <v>1399</v>
      </c>
      <c r="C425" s="80" t="s">
        <v>2211</v>
      </c>
      <c r="D425" s="68" t="s">
        <v>572</v>
      </c>
      <c r="E425"/>
      <c r="F425" s="68" t="s">
        <v>3008</v>
      </c>
      <c r="G425" s="80"/>
      <c r="H425" s="122">
        <v>44537</v>
      </c>
      <c r="I425" s="68" t="s">
        <v>3459</v>
      </c>
      <c r="J425" s="68">
        <v>82.8</v>
      </c>
      <c r="K425" s="68" t="s">
        <v>3671</v>
      </c>
      <c r="L425" s="68" t="s">
        <v>3672</v>
      </c>
    </row>
    <row r="426" spans="1:12" x14ac:dyDescent="0.25">
      <c r="A426" s="68" t="s">
        <v>573</v>
      </c>
      <c r="B426" s="68" t="s">
        <v>1400</v>
      </c>
      <c r="C426" s="80" t="s">
        <v>2212</v>
      </c>
      <c r="D426" s="68" t="s">
        <v>573</v>
      </c>
      <c r="E426"/>
      <c r="F426" s="68" t="s">
        <v>3009</v>
      </c>
      <c r="G426" s="80"/>
      <c r="H426" s="122">
        <v>44534</v>
      </c>
      <c r="I426" s="68" t="s">
        <v>3459</v>
      </c>
      <c r="J426" s="68">
        <v>149.6</v>
      </c>
      <c r="K426" s="68" t="s">
        <v>3671</v>
      </c>
      <c r="L426" s="68" t="s">
        <v>3672</v>
      </c>
    </row>
    <row r="427" spans="1:12" x14ac:dyDescent="0.25">
      <c r="A427" s="68" t="s">
        <v>553</v>
      </c>
      <c r="B427" s="68" t="s">
        <v>1380</v>
      </c>
      <c r="C427" s="80" t="s">
        <v>2192</v>
      </c>
      <c r="D427" s="68" t="s">
        <v>553</v>
      </c>
      <c r="E427"/>
      <c r="F427" s="68" t="s">
        <v>2989</v>
      </c>
      <c r="G427" s="80"/>
      <c r="H427" s="122">
        <v>44533</v>
      </c>
      <c r="I427" s="68" t="s">
        <v>3459</v>
      </c>
      <c r="J427" s="68">
        <v>712</v>
      </c>
      <c r="K427" s="68" t="s">
        <v>3671</v>
      </c>
      <c r="L427" s="68" t="s">
        <v>3672</v>
      </c>
    </row>
    <row r="428" spans="1:12" x14ac:dyDescent="0.25">
      <c r="A428" s="68" t="s">
        <v>538</v>
      </c>
      <c r="B428" s="68" t="s">
        <v>1365</v>
      </c>
      <c r="C428" s="80" t="s">
        <v>2177</v>
      </c>
      <c r="D428" s="68" t="s">
        <v>538</v>
      </c>
      <c r="E428"/>
      <c r="F428" s="68" t="s">
        <v>2974</v>
      </c>
      <c r="G428" s="80"/>
      <c r="H428" s="122">
        <v>44533</v>
      </c>
      <c r="I428" s="68" t="s">
        <v>3459</v>
      </c>
      <c r="J428" s="68">
        <v>589.20000000000005</v>
      </c>
      <c r="K428" s="68" t="s">
        <v>3671</v>
      </c>
      <c r="L428" s="68" t="s">
        <v>3672</v>
      </c>
    </row>
    <row r="429" spans="1:12" x14ac:dyDescent="0.25">
      <c r="A429" s="68" t="s">
        <v>574</v>
      </c>
      <c r="B429" s="68" t="s">
        <v>1401</v>
      </c>
      <c r="C429" s="80" t="s">
        <v>2213</v>
      </c>
      <c r="D429" s="68" t="s">
        <v>574</v>
      </c>
      <c r="E429"/>
      <c r="F429" s="68" t="s">
        <v>3010</v>
      </c>
      <c r="G429" s="80"/>
      <c r="H429" s="122">
        <v>44532</v>
      </c>
      <c r="I429" s="68" t="s">
        <v>3474</v>
      </c>
      <c r="J429" s="68">
        <v>218.4</v>
      </c>
      <c r="K429" s="68" t="s">
        <v>3671</v>
      </c>
      <c r="L429" s="68" t="s">
        <v>3672</v>
      </c>
    </row>
    <row r="430" spans="1:12" x14ac:dyDescent="0.25">
      <c r="A430" s="68" t="s">
        <v>575</v>
      </c>
      <c r="B430" s="68" t="s">
        <v>1402</v>
      </c>
      <c r="C430" s="80" t="s">
        <v>2214</v>
      </c>
      <c r="D430" s="68" t="s">
        <v>575</v>
      </c>
      <c r="E430"/>
      <c r="F430" s="68" t="s">
        <v>3011</v>
      </c>
      <c r="G430" s="80"/>
      <c r="H430" s="122">
        <v>44532</v>
      </c>
      <c r="I430" s="68" t="s">
        <v>3459</v>
      </c>
      <c r="J430" s="68">
        <v>266</v>
      </c>
      <c r="K430" s="68" t="s">
        <v>3671</v>
      </c>
      <c r="L430" s="68" t="s">
        <v>3672</v>
      </c>
    </row>
    <row r="431" spans="1:12" x14ac:dyDescent="0.25">
      <c r="A431" s="68" t="s">
        <v>576</v>
      </c>
      <c r="B431" s="68" t="s">
        <v>1403</v>
      </c>
      <c r="C431" s="80" t="s">
        <v>2215</v>
      </c>
      <c r="D431" s="68" t="s">
        <v>576</v>
      </c>
      <c r="E431"/>
      <c r="F431" s="68" t="s">
        <v>3012</v>
      </c>
      <c r="G431" s="80"/>
      <c r="H431" s="122">
        <v>44532</v>
      </c>
      <c r="I431" s="68" t="s">
        <v>3459</v>
      </c>
      <c r="J431" s="68">
        <v>756</v>
      </c>
      <c r="K431" s="68" t="s">
        <v>3671</v>
      </c>
      <c r="L431" s="68" t="s">
        <v>3672</v>
      </c>
    </row>
    <row r="432" spans="1:12" x14ac:dyDescent="0.25">
      <c r="A432" s="68" t="s">
        <v>577</v>
      </c>
      <c r="B432" s="68" t="s">
        <v>1404</v>
      </c>
      <c r="C432" s="80" t="s">
        <v>2216</v>
      </c>
      <c r="D432" s="68" t="s">
        <v>577</v>
      </c>
      <c r="E432"/>
      <c r="F432" s="68" t="s">
        <v>3013</v>
      </c>
      <c r="G432" s="80"/>
      <c r="H432" s="122">
        <v>44531</v>
      </c>
      <c r="I432" s="68" t="s">
        <v>3532</v>
      </c>
      <c r="J432" s="68">
        <v>266</v>
      </c>
      <c r="K432" s="68" t="s">
        <v>3671</v>
      </c>
      <c r="L432" s="68" t="s">
        <v>3672</v>
      </c>
    </row>
    <row r="433" spans="1:12" x14ac:dyDescent="0.25">
      <c r="A433" s="68" t="s">
        <v>523</v>
      </c>
      <c r="B433" s="68" t="s">
        <v>1350</v>
      </c>
      <c r="C433" s="80" t="s">
        <v>2162</v>
      </c>
      <c r="D433" s="68" t="s">
        <v>523</v>
      </c>
      <c r="E433"/>
      <c r="F433" s="68" t="s">
        <v>2959</v>
      </c>
      <c r="G433" s="80"/>
      <c r="H433" s="122">
        <v>44530</v>
      </c>
      <c r="I433" s="68" t="s">
        <v>3532</v>
      </c>
      <c r="J433" s="68">
        <v>445.2</v>
      </c>
      <c r="K433" s="68" t="s">
        <v>3671</v>
      </c>
      <c r="L433" s="68" t="s">
        <v>3672</v>
      </c>
    </row>
    <row r="434" spans="1:12" x14ac:dyDescent="0.25">
      <c r="A434" s="68" t="s">
        <v>578</v>
      </c>
      <c r="B434" s="68" t="s">
        <v>1405</v>
      </c>
      <c r="C434" s="80" t="s">
        <v>2217</v>
      </c>
      <c r="D434" s="68" t="s">
        <v>578</v>
      </c>
      <c r="E434"/>
      <c r="F434" s="68" t="s">
        <v>3014</v>
      </c>
      <c r="G434" s="80"/>
      <c r="H434" s="122">
        <v>44530</v>
      </c>
      <c r="I434" s="68" t="s">
        <v>3532</v>
      </c>
      <c r="J434" s="68">
        <v>294.8</v>
      </c>
      <c r="K434" s="68" t="s">
        <v>3671</v>
      </c>
      <c r="L434" s="68" t="s">
        <v>3672</v>
      </c>
    </row>
    <row r="435" spans="1:12" x14ac:dyDescent="0.25">
      <c r="A435" s="68" t="s">
        <v>579</v>
      </c>
      <c r="B435" s="68" t="s">
        <v>1406</v>
      </c>
      <c r="C435" s="80" t="s">
        <v>2218</v>
      </c>
      <c r="D435" s="68" t="s">
        <v>579</v>
      </c>
      <c r="E435"/>
      <c r="F435" s="68" t="s">
        <v>3015</v>
      </c>
      <c r="G435" s="80"/>
      <c r="H435" s="122">
        <v>44530</v>
      </c>
      <c r="I435" s="68" t="s">
        <v>3465</v>
      </c>
      <c r="J435" s="68">
        <v>61.2</v>
      </c>
      <c r="K435" s="68" t="s">
        <v>3671</v>
      </c>
      <c r="L435" s="68" t="s">
        <v>3672</v>
      </c>
    </row>
    <row r="436" spans="1:12" x14ac:dyDescent="0.25">
      <c r="A436" s="68" t="s">
        <v>580</v>
      </c>
      <c r="B436" s="68" t="s">
        <v>1407</v>
      </c>
      <c r="C436" s="80" t="s">
        <v>2219</v>
      </c>
      <c r="D436" s="68" t="s">
        <v>580</v>
      </c>
      <c r="E436"/>
      <c r="F436" s="68" t="s">
        <v>3016</v>
      </c>
      <c r="G436" s="80"/>
      <c r="H436" s="122">
        <v>44529</v>
      </c>
      <c r="I436" s="68" t="s">
        <v>3465</v>
      </c>
      <c r="J436" s="68">
        <v>365.6</v>
      </c>
      <c r="K436" s="68" t="s">
        <v>3671</v>
      </c>
      <c r="L436" s="68" t="s">
        <v>3672</v>
      </c>
    </row>
    <row r="437" spans="1:12" x14ac:dyDescent="0.25">
      <c r="A437" s="68" t="s">
        <v>581</v>
      </c>
      <c r="B437" s="68" t="s">
        <v>1408</v>
      </c>
      <c r="C437" s="80" t="s">
        <v>2220</v>
      </c>
      <c r="D437" s="68" t="s">
        <v>581</v>
      </c>
      <c r="E437"/>
      <c r="F437" s="68" t="s">
        <v>3017</v>
      </c>
      <c r="G437" s="80"/>
      <c r="H437" s="122">
        <v>44523</v>
      </c>
      <c r="I437" s="68" t="s">
        <v>3465</v>
      </c>
      <c r="J437" s="68">
        <v>406</v>
      </c>
      <c r="K437" s="68" t="s">
        <v>3671</v>
      </c>
      <c r="L437" s="68" t="s">
        <v>3672</v>
      </c>
    </row>
    <row r="438" spans="1:12" x14ac:dyDescent="0.25">
      <c r="A438" s="68" t="s">
        <v>582</v>
      </c>
      <c r="B438" s="68" t="s">
        <v>1409</v>
      </c>
      <c r="C438" s="80" t="s">
        <v>2221</v>
      </c>
      <c r="D438" s="68" t="s">
        <v>582</v>
      </c>
      <c r="E438"/>
      <c r="F438" s="68" t="s">
        <v>3018</v>
      </c>
      <c r="G438" s="80"/>
      <c r="H438" s="122">
        <v>44522</v>
      </c>
      <c r="I438" s="68" t="s">
        <v>3465</v>
      </c>
      <c r="J438" s="68">
        <v>166.8</v>
      </c>
      <c r="K438" s="68" t="s">
        <v>3671</v>
      </c>
      <c r="L438" s="68" t="s">
        <v>3672</v>
      </c>
    </row>
    <row r="439" spans="1:12" x14ac:dyDescent="0.25">
      <c r="A439" s="68" t="s">
        <v>583</v>
      </c>
      <c r="B439" s="68" t="s">
        <v>1410</v>
      </c>
      <c r="C439" s="80" t="s">
        <v>2222</v>
      </c>
      <c r="D439" s="68" t="s">
        <v>583</v>
      </c>
      <c r="E439"/>
      <c r="F439" s="68" t="s">
        <v>3019</v>
      </c>
      <c r="G439" s="80"/>
      <c r="H439" s="122">
        <v>44519</v>
      </c>
      <c r="I439" s="68" t="s">
        <v>3465</v>
      </c>
      <c r="J439" s="68">
        <v>804</v>
      </c>
      <c r="K439" s="68" t="s">
        <v>3671</v>
      </c>
      <c r="L439" s="68" t="s">
        <v>3672</v>
      </c>
    </row>
    <row r="440" spans="1:12" x14ac:dyDescent="0.25">
      <c r="A440" s="68" t="s">
        <v>584</v>
      </c>
      <c r="B440" s="68" t="s">
        <v>1411</v>
      </c>
      <c r="C440" s="80" t="s">
        <v>2223</v>
      </c>
      <c r="D440" s="68" t="s">
        <v>584</v>
      </c>
      <c r="E440"/>
      <c r="F440" s="68" t="s">
        <v>3020</v>
      </c>
      <c r="G440" s="80"/>
      <c r="H440" s="122">
        <v>44518</v>
      </c>
      <c r="I440" s="68" t="s">
        <v>3465</v>
      </c>
      <c r="J440" s="68">
        <v>253.2</v>
      </c>
      <c r="K440" s="68" t="s">
        <v>3671</v>
      </c>
      <c r="L440" s="68" t="s">
        <v>3672</v>
      </c>
    </row>
    <row r="441" spans="1:12" x14ac:dyDescent="0.25">
      <c r="A441" s="68" t="s">
        <v>585</v>
      </c>
      <c r="B441" s="68" t="s">
        <v>1412</v>
      </c>
      <c r="C441" s="80" t="s">
        <v>2224</v>
      </c>
      <c r="D441" s="68" t="s">
        <v>585</v>
      </c>
      <c r="E441"/>
      <c r="F441" s="68" t="s">
        <v>3021</v>
      </c>
      <c r="G441" s="80"/>
      <c r="H441" s="122">
        <v>44518</v>
      </c>
      <c r="I441" s="68" t="s">
        <v>3507</v>
      </c>
      <c r="J441" s="68">
        <v>365.6</v>
      </c>
      <c r="K441" s="68" t="s">
        <v>3671</v>
      </c>
      <c r="L441" s="68" t="s">
        <v>3672</v>
      </c>
    </row>
    <row r="442" spans="1:12" x14ac:dyDescent="0.25">
      <c r="A442" s="68" t="s">
        <v>586</v>
      </c>
      <c r="B442" s="68" t="s">
        <v>1413</v>
      </c>
      <c r="C442" s="80" t="s">
        <v>2225</v>
      </c>
      <c r="D442" s="68" t="s">
        <v>586</v>
      </c>
      <c r="E442"/>
      <c r="F442" s="68" t="s">
        <v>3022</v>
      </c>
      <c r="G442" s="80"/>
      <c r="H442" s="122">
        <v>44518</v>
      </c>
      <c r="I442" s="68" t="s">
        <v>3507</v>
      </c>
      <c r="J442" s="68">
        <v>403.2</v>
      </c>
      <c r="K442" s="68" t="s">
        <v>3671</v>
      </c>
      <c r="L442" s="68" t="s">
        <v>3672</v>
      </c>
    </row>
    <row r="443" spans="1:12" x14ac:dyDescent="0.25">
      <c r="A443" s="68" t="s">
        <v>587</v>
      </c>
      <c r="B443" s="68" t="s">
        <v>1414</v>
      </c>
      <c r="C443" s="80" t="s">
        <v>2226</v>
      </c>
      <c r="D443" s="68" t="s">
        <v>587</v>
      </c>
      <c r="E443"/>
      <c r="F443" s="68" t="s">
        <v>3023</v>
      </c>
      <c r="G443" s="80"/>
      <c r="H443" s="122">
        <v>44517</v>
      </c>
      <c r="I443" s="68" t="s">
        <v>3507</v>
      </c>
      <c r="J443" s="68">
        <v>227.6</v>
      </c>
      <c r="K443" s="68" t="s">
        <v>3671</v>
      </c>
      <c r="L443" s="68" t="s">
        <v>3672</v>
      </c>
    </row>
    <row r="444" spans="1:12" x14ac:dyDescent="0.25">
      <c r="A444" s="68" t="s">
        <v>588</v>
      </c>
      <c r="B444" s="68" t="s">
        <v>1415</v>
      </c>
      <c r="C444" s="80" t="s">
        <v>2227</v>
      </c>
      <c r="D444" s="68" t="s">
        <v>588</v>
      </c>
      <c r="E444"/>
      <c r="F444" s="68" t="s">
        <v>3024</v>
      </c>
      <c r="G444" s="80"/>
      <c r="H444" s="122">
        <v>44517</v>
      </c>
      <c r="I444" s="68" t="s">
        <v>3507</v>
      </c>
      <c r="J444" s="68">
        <v>227.6</v>
      </c>
      <c r="K444" s="68" t="s">
        <v>3671</v>
      </c>
      <c r="L444" s="68" t="s">
        <v>3672</v>
      </c>
    </row>
    <row r="445" spans="1:12" x14ac:dyDescent="0.25">
      <c r="A445" s="68" t="s">
        <v>589</v>
      </c>
      <c r="B445" s="68" t="s">
        <v>1416</v>
      </c>
      <c r="C445" s="80" t="s">
        <v>1874</v>
      </c>
      <c r="D445" s="68" t="s">
        <v>589</v>
      </c>
      <c r="E445"/>
      <c r="F445" s="68" t="s">
        <v>3025</v>
      </c>
      <c r="G445" s="80"/>
      <c r="H445" s="122">
        <v>44517</v>
      </c>
      <c r="I445" s="68" t="s">
        <v>3507</v>
      </c>
      <c r="J445" s="68">
        <v>287.60000000000002</v>
      </c>
      <c r="K445" s="68" t="s">
        <v>3671</v>
      </c>
      <c r="L445" s="68" t="s">
        <v>3672</v>
      </c>
    </row>
    <row r="446" spans="1:12" x14ac:dyDescent="0.25">
      <c r="A446" s="68" t="s">
        <v>590</v>
      </c>
      <c r="B446" s="68" t="s">
        <v>1417</v>
      </c>
      <c r="C446" s="80" t="s">
        <v>2228</v>
      </c>
      <c r="D446" s="68" t="s">
        <v>590</v>
      </c>
      <c r="E446"/>
      <c r="F446" s="68" t="s">
        <v>3026</v>
      </c>
      <c r="G446" s="80"/>
      <c r="H446" s="122">
        <v>44516</v>
      </c>
      <c r="I446" s="68" t="s">
        <v>3507</v>
      </c>
      <c r="J446" s="68">
        <v>61.2</v>
      </c>
      <c r="K446" s="68" t="s">
        <v>3671</v>
      </c>
      <c r="L446" s="68" t="s">
        <v>3672</v>
      </c>
    </row>
    <row r="447" spans="1:12" x14ac:dyDescent="0.25">
      <c r="A447" s="68" t="s">
        <v>557</v>
      </c>
      <c r="B447" s="68" t="s">
        <v>1384</v>
      </c>
      <c r="C447" s="80" t="s">
        <v>2196</v>
      </c>
      <c r="D447" s="68" t="s">
        <v>557</v>
      </c>
      <c r="E447"/>
      <c r="F447" s="68" t="s">
        <v>2993</v>
      </c>
      <c r="G447" s="80"/>
      <c r="H447" s="122">
        <v>44516</v>
      </c>
      <c r="I447" s="68" t="s">
        <v>3507</v>
      </c>
      <c r="J447" s="68">
        <v>199.2</v>
      </c>
      <c r="K447" s="68" t="s">
        <v>3671</v>
      </c>
      <c r="L447" s="68" t="s">
        <v>3672</v>
      </c>
    </row>
    <row r="448" spans="1:12" x14ac:dyDescent="0.25">
      <c r="A448" s="68" t="s">
        <v>591</v>
      </c>
      <c r="B448" s="68" t="s">
        <v>1418</v>
      </c>
      <c r="C448" s="80" t="s">
        <v>2229</v>
      </c>
      <c r="D448" s="68" t="s">
        <v>591</v>
      </c>
      <c r="E448"/>
      <c r="F448" s="68" t="s">
        <v>3027</v>
      </c>
      <c r="G448" s="80"/>
      <c r="H448" s="122">
        <v>44516</v>
      </c>
      <c r="I448" s="68" t="s">
        <v>3507</v>
      </c>
      <c r="J448" s="68">
        <v>350.8</v>
      </c>
      <c r="K448" s="68" t="s">
        <v>3671</v>
      </c>
      <c r="L448" s="68" t="s">
        <v>3672</v>
      </c>
    </row>
    <row r="449" spans="1:12" x14ac:dyDescent="0.25">
      <c r="A449" s="68" t="s">
        <v>592</v>
      </c>
      <c r="B449" s="68" t="s">
        <v>1419</v>
      </c>
      <c r="C449" s="80" t="s">
        <v>1866</v>
      </c>
      <c r="D449" s="68" t="s">
        <v>592</v>
      </c>
      <c r="E449"/>
      <c r="F449" s="68" t="s">
        <v>3028</v>
      </c>
      <c r="G449" s="80"/>
      <c r="H449" s="122">
        <v>44515</v>
      </c>
      <c r="I449" s="68" t="s">
        <v>3507</v>
      </c>
      <c r="J449" s="68">
        <v>88.8</v>
      </c>
      <c r="K449" s="68" t="s">
        <v>3671</v>
      </c>
      <c r="L449" s="68" t="s">
        <v>3672</v>
      </c>
    </row>
    <row r="450" spans="1:12" x14ac:dyDescent="0.25">
      <c r="A450" s="68" t="s">
        <v>593</v>
      </c>
      <c r="B450" s="68" t="s">
        <v>1420</v>
      </c>
      <c r="C450" s="80" t="s">
        <v>2230</v>
      </c>
      <c r="D450" s="68" t="s">
        <v>593</v>
      </c>
      <c r="E450"/>
      <c r="F450" s="68" t="s">
        <v>3029</v>
      </c>
      <c r="G450" s="80"/>
      <c r="H450" s="122">
        <v>44518</v>
      </c>
      <c r="I450" s="68" t="s">
        <v>3507</v>
      </c>
      <c r="J450" s="68">
        <v>505.2</v>
      </c>
      <c r="K450" s="68" t="s">
        <v>3671</v>
      </c>
      <c r="L450" s="68" t="s">
        <v>3672</v>
      </c>
    </row>
    <row r="451" spans="1:12" x14ac:dyDescent="0.25">
      <c r="A451" s="68" t="s">
        <v>594</v>
      </c>
      <c r="B451" s="68" t="s">
        <v>1421</v>
      </c>
      <c r="C451" s="80" t="s">
        <v>2231</v>
      </c>
      <c r="D451" s="68" t="s">
        <v>594</v>
      </c>
      <c r="E451"/>
      <c r="F451" s="68" t="s">
        <v>3030</v>
      </c>
      <c r="G451" s="80"/>
      <c r="H451" s="122">
        <v>44518</v>
      </c>
      <c r="I451" s="68" t="s">
        <v>3507</v>
      </c>
      <c r="J451" s="68">
        <v>166.8</v>
      </c>
      <c r="K451" s="68" t="s">
        <v>3671</v>
      </c>
      <c r="L451" s="68" t="s">
        <v>3672</v>
      </c>
    </row>
    <row r="452" spans="1:12" x14ac:dyDescent="0.25">
      <c r="A452" s="68" t="s">
        <v>595</v>
      </c>
      <c r="B452" s="68" t="s">
        <v>1422</v>
      </c>
      <c r="C452" s="80" t="s">
        <v>2232</v>
      </c>
      <c r="D452" s="68" t="s">
        <v>595</v>
      </c>
      <c r="E452"/>
      <c r="F452" s="68" t="s">
        <v>3031</v>
      </c>
      <c r="G452" s="80"/>
      <c r="H452" s="122">
        <v>44515</v>
      </c>
      <c r="I452" s="68" t="s">
        <v>3507</v>
      </c>
      <c r="J452" s="68">
        <v>244.4</v>
      </c>
      <c r="K452" s="68" t="s">
        <v>3671</v>
      </c>
      <c r="L452" s="68" t="s">
        <v>3672</v>
      </c>
    </row>
    <row r="453" spans="1:12" x14ac:dyDescent="0.25">
      <c r="A453" s="68" t="s">
        <v>596</v>
      </c>
      <c r="B453" s="68" t="s">
        <v>1423</v>
      </c>
      <c r="C453" s="80" t="s">
        <v>2233</v>
      </c>
      <c r="D453" s="68" t="s">
        <v>596</v>
      </c>
      <c r="E453"/>
      <c r="F453" s="68" t="s">
        <v>3032</v>
      </c>
      <c r="G453" s="80"/>
      <c r="H453" s="122">
        <v>44515</v>
      </c>
      <c r="I453" s="68" t="s">
        <v>3507</v>
      </c>
      <c r="J453" s="68">
        <v>138</v>
      </c>
      <c r="K453" s="68" t="s">
        <v>3671</v>
      </c>
      <c r="L453" s="68" t="s">
        <v>3672</v>
      </c>
    </row>
    <row r="454" spans="1:12" x14ac:dyDescent="0.25">
      <c r="A454" s="68" t="s">
        <v>567</v>
      </c>
      <c r="B454" s="68" t="s">
        <v>1394</v>
      </c>
      <c r="C454" s="80" t="s">
        <v>2206</v>
      </c>
      <c r="D454" s="68" t="s">
        <v>567</v>
      </c>
      <c r="E454"/>
      <c r="F454" s="68" t="s">
        <v>3003</v>
      </c>
      <c r="G454" s="80"/>
      <c r="H454" s="122">
        <v>44515</v>
      </c>
      <c r="I454" s="68" t="s">
        <v>3475</v>
      </c>
      <c r="J454" s="68">
        <v>82.8</v>
      </c>
      <c r="K454" s="68" t="s">
        <v>3671</v>
      </c>
      <c r="L454" s="68" t="s">
        <v>3672</v>
      </c>
    </row>
    <row r="455" spans="1:12" x14ac:dyDescent="0.25">
      <c r="A455" s="68" t="s">
        <v>597</v>
      </c>
      <c r="B455" s="68" t="s">
        <v>1424</v>
      </c>
      <c r="C455" s="80" t="s">
        <v>2234</v>
      </c>
      <c r="D455" s="68" t="s">
        <v>597</v>
      </c>
      <c r="E455"/>
      <c r="F455" s="68" t="s">
        <v>3033</v>
      </c>
      <c r="G455" s="80"/>
      <c r="H455" s="122">
        <v>44515</v>
      </c>
      <c r="I455" s="68" t="s">
        <v>3475</v>
      </c>
      <c r="J455" s="68">
        <v>278.39999999999998</v>
      </c>
      <c r="K455" s="68" t="s">
        <v>3671</v>
      </c>
      <c r="L455" s="68" t="s">
        <v>3672</v>
      </c>
    </row>
    <row r="456" spans="1:12" x14ac:dyDescent="0.25">
      <c r="A456" s="68" t="s">
        <v>598</v>
      </c>
      <c r="B456" s="68" t="s">
        <v>1425</v>
      </c>
      <c r="C456" s="80" t="s">
        <v>2235</v>
      </c>
      <c r="D456" s="68" t="s">
        <v>598</v>
      </c>
      <c r="E456"/>
      <c r="F456" s="68" t="s">
        <v>3034</v>
      </c>
      <c r="G456" s="80"/>
      <c r="H456" s="122">
        <v>44513</v>
      </c>
      <c r="I456" s="68" t="s">
        <v>3475</v>
      </c>
      <c r="J456" s="68">
        <v>138</v>
      </c>
      <c r="K456" s="68" t="s">
        <v>3671</v>
      </c>
      <c r="L456" s="68" t="s">
        <v>3672</v>
      </c>
    </row>
    <row r="457" spans="1:12" x14ac:dyDescent="0.25">
      <c r="A457" s="68" t="s">
        <v>515</v>
      </c>
      <c r="B457" s="68" t="s">
        <v>1342</v>
      </c>
      <c r="C457" s="80" t="s">
        <v>2154</v>
      </c>
      <c r="D457" s="68" t="s">
        <v>515</v>
      </c>
      <c r="E457"/>
      <c r="F457" s="68" t="s">
        <v>2951</v>
      </c>
      <c r="G457" s="80"/>
      <c r="H457" s="122">
        <v>44512</v>
      </c>
      <c r="I457" s="68" t="s">
        <v>3475</v>
      </c>
      <c r="J457" s="68">
        <v>285.60000000000002</v>
      </c>
      <c r="K457" s="68" t="s">
        <v>3671</v>
      </c>
      <c r="L457" s="68" t="s">
        <v>3672</v>
      </c>
    </row>
    <row r="458" spans="1:12" x14ac:dyDescent="0.25">
      <c r="A458" s="68" t="s">
        <v>599</v>
      </c>
      <c r="B458" s="68" t="s">
        <v>1426</v>
      </c>
      <c r="C458" s="80" t="s">
        <v>2236</v>
      </c>
      <c r="D458" s="68" t="s">
        <v>599</v>
      </c>
      <c r="E458"/>
      <c r="F458" s="68" t="s">
        <v>3035</v>
      </c>
      <c r="G458" s="80"/>
      <c r="H458" s="122">
        <v>44512</v>
      </c>
      <c r="I458" s="68" t="s">
        <v>3475</v>
      </c>
      <c r="J458" s="68">
        <v>314.39999999999998</v>
      </c>
      <c r="K458" s="68" t="s">
        <v>3671</v>
      </c>
      <c r="L458" s="68" t="s">
        <v>3672</v>
      </c>
    </row>
    <row r="459" spans="1:12" x14ac:dyDescent="0.25">
      <c r="A459" s="68" t="s">
        <v>600</v>
      </c>
      <c r="B459" s="68" t="s">
        <v>1427</v>
      </c>
      <c r="C459" s="80" t="s">
        <v>2237</v>
      </c>
      <c r="D459" s="68" t="s">
        <v>600</v>
      </c>
      <c r="E459"/>
      <c r="F459" s="68" t="s">
        <v>3036</v>
      </c>
      <c r="G459" s="80"/>
      <c r="H459" s="122">
        <v>44511</v>
      </c>
      <c r="I459" s="68" t="s">
        <v>3495</v>
      </c>
      <c r="J459" s="68">
        <v>935.6</v>
      </c>
      <c r="K459" s="68" t="s">
        <v>3671</v>
      </c>
      <c r="L459" s="68" t="s">
        <v>3672</v>
      </c>
    </row>
    <row r="460" spans="1:12" x14ac:dyDescent="0.25">
      <c r="A460" s="68" t="s">
        <v>601</v>
      </c>
      <c r="B460" s="68" t="s">
        <v>1428</v>
      </c>
      <c r="C460" s="80" t="s">
        <v>2238</v>
      </c>
      <c r="D460" s="68" t="s">
        <v>601</v>
      </c>
      <c r="E460"/>
      <c r="F460" s="68" t="s">
        <v>3037</v>
      </c>
      <c r="G460" s="80"/>
      <c r="H460" s="122">
        <v>44511</v>
      </c>
      <c r="I460" s="68" t="s">
        <v>3495</v>
      </c>
      <c r="J460" s="68">
        <v>404</v>
      </c>
      <c r="K460" s="68" t="s">
        <v>3671</v>
      </c>
      <c r="L460" s="68" t="s">
        <v>3672</v>
      </c>
    </row>
    <row r="461" spans="1:12" x14ac:dyDescent="0.25">
      <c r="A461" s="68" t="s">
        <v>602</v>
      </c>
      <c r="B461" s="68" t="s">
        <v>1429</v>
      </c>
      <c r="C461" s="80" t="s">
        <v>2239</v>
      </c>
      <c r="D461" s="68" t="s">
        <v>602</v>
      </c>
      <c r="E461"/>
      <c r="F461" s="68" t="s">
        <v>3038</v>
      </c>
      <c r="G461" s="80"/>
      <c r="H461" s="122">
        <v>44511</v>
      </c>
      <c r="I461" s="68" t="s">
        <v>3495</v>
      </c>
      <c r="J461" s="68">
        <v>532</v>
      </c>
      <c r="K461" s="68" t="s">
        <v>3671</v>
      </c>
      <c r="L461" s="68" t="s">
        <v>3672</v>
      </c>
    </row>
    <row r="462" spans="1:12" x14ac:dyDescent="0.25">
      <c r="A462" s="68" t="s">
        <v>603</v>
      </c>
      <c r="B462" s="68" t="s">
        <v>1430</v>
      </c>
      <c r="C462" s="80" t="s">
        <v>2240</v>
      </c>
      <c r="D462" s="68" t="s">
        <v>603</v>
      </c>
      <c r="E462"/>
      <c r="F462" s="68" t="s">
        <v>3039</v>
      </c>
      <c r="G462" s="80"/>
      <c r="H462" s="122">
        <v>44511</v>
      </c>
      <c r="I462" s="68" t="s">
        <v>3495</v>
      </c>
      <c r="J462" s="68">
        <v>108</v>
      </c>
      <c r="K462" s="68" t="s">
        <v>3671</v>
      </c>
      <c r="L462" s="68" t="s">
        <v>3672</v>
      </c>
    </row>
    <row r="463" spans="1:12" x14ac:dyDescent="0.25">
      <c r="A463" s="68" t="s">
        <v>604</v>
      </c>
      <c r="B463" s="68" t="s">
        <v>1431</v>
      </c>
      <c r="C463" s="80" t="s">
        <v>2241</v>
      </c>
      <c r="D463" s="68" t="s">
        <v>604</v>
      </c>
      <c r="E463"/>
      <c r="F463" s="68" t="s">
        <v>3040</v>
      </c>
      <c r="G463" s="80"/>
      <c r="H463" s="122">
        <v>44511</v>
      </c>
      <c r="I463" s="68" t="s">
        <v>3495</v>
      </c>
      <c r="J463" s="68">
        <v>432</v>
      </c>
      <c r="K463" s="68" t="s">
        <v>3671</v>
      </c>
      <c r="L463" s="68" t="s">
        <v>3672</v>
      </c>
    </row>
    <row r="464" spans="1:12" x14ac:dyDescent="0.25">
      <c r="A464" s="68" t="s">
        <v>605</v>
      </c>
      <c r="B464" s="68" t="s">
        <v>1432</v>
      </c>
      <c r="C464" s="80" t="s">
        <v>2242</v>
      </c>
      <c r="D464" s="68" t="s">
        <v>605</v>
      </c>
      <c r="E464"/>
      <c r="F464" s="68" t="s">
        <v>3041</v>
      </c>
      <c r="G464" s="80"/>
      <c r="H464" s="122">
        <v>44510</v>
      </c>
      <c r="I464" s="68" t="s">
        <v>3495</v>
      </c>
      <c r="J464" s="68">
        <v>227.6</v>
      </c>
      <c r="K464" s="68" t="s">
        <v>3671</v>
      </c>
      <c r="L464" s="68" t="s">
        <v>3672</v>
      </c>
    </row>
    <row r="465" spans="1:12" x14ac:dyDescent="0.25">
      <c r="A465" s="68" t="s">
        <v>606</v>
      </c>
      <c r="B465" s="68" t="s">
        <v>1433</v>
      </c>
      <c r="C465" s="80" t="s">
        <v>2243</v>
      </c>
      <c r="D465" s="68" t="s">
        <v>606</v>
      </c>
      <c r="E465"/>
      <c r="F465" s="68" t="s">
        <v>3042</v>
      </c>
      <c r="G465" s="80"/>
      <c r="H465" s="122">
        <v>44510</v>
      </c>
      <c r="I465" s="68" t="s">
        <v>3495</v>
      </c>
      <c r="J465" s="68">
        <v>82.8</v>
      </c>
      <c r="K465" s="68" t="s">
        <v>3671</v>
      </c>
      <c r="L465" s="68" t="s">
        <v>3672</v>
      </c>
    </row>
    <row r="466" spans="1:12" x14ac:dyDescent="0.25">
      <c r="A466" s="68" t="s">
        <v>607</v>
      </c>
      <c r="B466" s="68" t="s">
        <v>1434</v>
      </c>
      <c r="C466" s="80" t="s">
        <v>2244</v>
      </c>
      <c r="D466" s="68" t="s">
        <v>607</v>
      </c>
      <c r="E466"/>
      <c r="F466" s="68" t="s">
        <v>3043</v>
      </c>
      <c r="G466" s="80"/>
      <c r="H466" s="122">
        <v>44510</v>
      </c>
      <c r="I466" s="68" t="s">
        <v>3495</v>
      </c>
      <c r="J466" s="68">
        <v>166.8</v>
      </c>
      <c r="K466" s="68" t="s">
        <v>3671</v>
      </c>
      <c r="L466" s="68" t="s">
        <v>3672</v>
      </c>
    </row>
    <row r="467" spans="1:12" x14ac:dyDescent="0.25">
      <c r="A467" s="68" t="s">
        <v>608</v>
      </c>
      <c r="B467" s="68" t="s">
        <v>1435</v>
      </c>
      <c r="C467" s="80" t="s">
        <v>2245</v>
      </c>
      <c r="D467" s="68" t="s">
        <v>608</v>
      </c>
      <c r="E467"/>
      <c r="F467" s="68" t="s">
        <v>3044</v>
      </c>
      <c r="G467" s="80"/>
      <c r="H467" s="122">
        <v>44509</v>
      </c>
      <c r="I467" s="68" t="s">
        <v>3495</v>
      </c>
      <c r="J467" s="68">
        <v>294.8</v>
      </c>
      <c r="K467" s="68" t="s">
        <v>3671</v>
      </c>
      <c r="L467" s="68" t="s">
        <v>3672</v>
      </c>
    </row>
    <row r="468" spans="1:12" x14ac:dyDescent="0.25">
      <c r="A468" s="68" t="s">
        <v>609</v>
      </c>
      <c r="B468" s="68" t="s">
        <v>1436</v>
      </c>
      <c r="C468" s="80" t="s">
        <v>2246</v>
      </c>
      <c r="D468" s="68" t="s">
        <v>609</v>
      </c>
      <c r="E468"/>
      <c r="F468" s="68" t="s">
        <v>3045</v>
      </c>
      <c r="G468" s="80"/>
      <c r="H468" s="122">
        <v>44509</v>
      </c>
      <c r="I468" s="68" t="s">
        <v>3495</v>
      </c>
      <c r="J468" s="68">
        <v>180</v>
      </c>
      <c r="K468" s="68" t="s">
        <v>3671</v>
      </c>
      <c r="L468" s="68" t="s">
        <v>3672</v>
      </c>
    </row>
    <row r="469" spans="1:12" x14ac:dyDescent="0.25">
      <c r="A469" s="68" t="s">
        <v>470</v>
      </c>
      <c r="B469" s="68" t="s">
        <v>1297</v>
      </c>
      <c r="C469" s="80" t="s">
        <v>2110</v>
      </c>
      <c r="D469" s="68" t="s">
        <v>470</v>
      </c>
      <c r="E469"/>
      <c r="F469" s="68" t="s">
        <v>2906</v>
      </c>
      <c r="G469" s="80"/>
      <c r="H469" s="122">
        <v>44462</v>
      </c>
      <c r="I469" s="68" t="s">
        <v>3533</v>
      </c>
      <c r="J469" s="68">
        <v>180</v>
      </c>
      <c r="K469" s="68" t="s">
        <v>3671</v>
      </c>
      <c r="L469" s="68" t="s">
        <v>3672</v>
      </c>
    </row>
    <row r="470" spans="1:12" x14ac:dyDescent="0.25">
      <c r="A470" s="68" t="s">
        <v>556</v>
      </c>
      <c r="B470" s="68" t="s">
        <v>1383</v>
      </c>
      <c r="C470" s="80" t="s">
        <v>2195</v>
      </c>
      <c r="D470" s="68" t="s">
        <v>556</v>
      </c>
      <c r="E470"/>
      <c r="F470" s="68" t="s">
        <v>2992</v>
      </c>
      <c r="G470" s="80"/>
      <c r="H470" s="122">
        <v>44417</v>
      </c>
      <c r="I470" s="68" t="s">
        <v>3508</v>
      </c>
      <c r="J470" s="68">
        <v>88.8</v>
      </c>
      <c r="K470" s="68" t="s">
        <v>3671</v>
      </c>
      <c r="L470" s="68" t="s">
        <v>3672</v>
      </c>
    </row>
    <row r="471" spans="1:12" x14ac:dyDescent="0.25">
      <c r="A471" s="68" t="s">
        <v>610</v>
      </c>
      <c r="B471" s="68" t="s">
        <v>1437</v>
      </c>
      <c r="C471" s="80" t="s">
        <v>2247</v>
      </c>
      <c r="D471" s="68" t="s">
        <v>610</v>
      </c>
      <c r="E471"/>
      <c r="F471" s="68" t="s">
        <v>3046</v>
      </c>
      <c r="G471" s="80"/>
      <c r="H471" s="122">
        <v>44483</v>
      </c>
      <c r="I471" s="68" t="s">
        <v>3508</v>
      </c>
      <c r="J471" s="68">
        <v>556.79999999999995</v>
      </c>
      <c r="K471" s="68" t="s">
        <v>3671</v>
      </c>
      <c r="L471" s="68" t="s">
        <v>3672</v>
      </c>
    </row>
    <row r="472" spans="1:12" x14ac:dyDescent="0.25">
      <c r="A472" s="68" t="s">
        <v>611</v>
      </c>
      <c r="B472" s="68" t="s">
        <v>1438</v>
      </c>
      <c r="C472" s="80" t="s">
        <v>2248</v>
      </c>
      <c r="D472" s="68" t="s">
        <v>611</v>
      </c>
      <c r="E472"/>
      <c r="F472" s="68" t="s">
        <v>3047</v>
      </c>
      <c r="G472" s="80"/>
      <c r="H472" s="122">
        <v>44508</v>
      </c>
      <c r="I472" s="68" t="s">
        <v>3508</v>
      </c>
      <c r="J472" s="68">
        <v>114</v>
      </c>
      <c r="K472" s="68" t="s">
        <v>3671</v>
      </c>
      <c r="L472" s="68" t="s">
        <v>3672</v>
      </c>
    </row>
    <row r="473" spans="1:12" x14ac:dyDescent="0.25">
      <c r="A473" s="68" t="s">
        <v>533</v>
      </c>
      <c r="B473" s="68" t="s">
        <v>1360</v>
      </c>
      <c r="C473" s="80" t="s">
        <v>2172</v>
      </c>
      <c r="D473" s="68" t="s">
        <v>533</v>
      </c>
      <c r="E473"/>
      <c r="F473" s="68" t="s">
        <v>2969</v>
      </c>
      <c r="G473" s="80"/>
      <c r="H473" s="122">
        <v>44508</v>
      </c>
      <c r="I473" s="68" t="s">
        <v>3508</v>
      </c>
      <c r="J473" s="68">
        <v>61.2</v>
      </c>
      <c r="K473" s="68" t="s">
        <v>3671</v>
      </c>
      <c r="L473" s="68" t="s">
        <v>3672</v>
      </c>
    </row>
    <row r="474" spans="1:12" x14ac:dyDescent="0.25">
      <c r="A474" s="68" t="s">
        <v>554</v>
      </c>
      <c r="B474" s="68" t="s">
        <v>1381</v>
      </c>
      <c r="C474" s="80" t="s">
        <v>2193</v>
      </c>
      <c r="D474" s="68" t="s">
        <v>554</v>
      </c>
      <c r="E474"/>
      <c r="F474" s="68" t="s">
        <v>2990</v>
      </c>
      <c r="G474" s="80"/>
      <c r="H474" s="122">
        <v>44508</v>
      </c>
      <c r="I474" s="68" t="s">
        <v>3508</v>
      </c>
      <c r="J474" s="68">
        <v>250.8</v>
      </c>
      <c r="K474" s="68" t="s">
        <v>3671</v>
      </c>
      <c r="L474" s="68" t="s">
        <v>3672</v>
      </c>
    </row>
    <row r="475" spans="1:12" x14ac:dyDescent="0.25">
      <c r="A475" s="68" t="s">
        <v>544</v>
      </c>
      <c r="B475" s="68" t="s">
        <v>1371</v>
      </c>
      <c r="C475" s="80" t="s">
        <v>2183</v>
      </c>
      <c r="D475" s="68" t="s">
        <v>544</v>
      </c>
      <c r="E475"/>
      <c r="F475" s="68" t="s">
        <v>2980</v>
      </c>
      <c r="G475" s="80"/>
      <c r="H475" s="122">
        <v>44508</v>
      </c>
      <c r="I475" s="68" t="s">
        <v>3509</v>
      </c>
      <c r="J475" s="68">
        <v>511.2</v>
      </c>
      <c r="K475" s="68" t="s">
        <v>3671</v>
      </c>
      <c r="L475" s="68" t="s">
        <v>3672</v>
      </c>
    </row>
    <row r="476" spans="1:12" x14ac:dyDescent="0.25">
      <c r="A476" s="68" t="s">
        <v>612</v>
      </c>
      <c r="B476" s="68" t="s">
        <v>1439</v>
      </c>
      <c r="C476" s="80" t="s">
        <v>2249</v>
      </c>
      <c r="D476" s="68" t="s">
        <v>612</v>
      </c>
      <c r="E476"/>
      <c r="F476" s="68" t="s">
        <v>3048</v>
      </c>
      <c r="G476" s="80"/>
      <c r="H476" s="122">
        <v>44508</v>
      </c>
      <c r="I476" s="68" t="s">
        <v>3509</v>
      </c>
      <c r="J476" s="68">
        <v>244.8</v>
      </c>
      <c r="K476" s="68" t="s">
        <v>3671</v>
      </c>
      <c r="L476" s="68" t="s">
        <v>3672</v>
      </c>
    </row>
    <row r="477" spans="1:12" x14ac:dyDescent="0.25">
      <c r="A477" s="68" t="s">
        <v>591</v>
      </c>
      <c r="B477" s="68" t="s">
        <v>1418</v>
      </c>
      <c r="C477" s="80" t="s">
        <v>2229</v>
      </c>
      <c r="D477" s="68" t="s">
        <v>591</v>
      </c>
      <c r="E477"/>
      <c r="F477" s="68" t="s">
        <v>3027</v>
      </c>
      <c r="G477" s="80"/>
      <c r="H477" s="122">
        <v>44508</v>
      </c>
      <c r="I477" s="68" t="s">
        <v>3509</v>
      </c>
      <c r="J477" s="68">
        <v>460.4</v>
      </c>
      <c r="K477" s="68" t="s">
        <v>3671</v>
      </c>
      <c r="L477" s="68" t="s">
        <v>3672</v>
      </c>
    </row>
    <row r="478" spans="1:12" x14ac:dyDescent="0.25">
      <c r="A478" s="68" t="s">
        <v>613</v>
      </c>
      <c r="B478" s="68" t="s">
        <v>1440</v>
      </c>
      <c r="C478" s="80" t="s">
        <v>2250</v>
      </c>
      <c r="D478" s="68" t="s">
        <v>613</v>
      </c>
      <c r="E478"/>
      <c r="F478" s="68" t="s">
        <v>3049</v>
      </c>
      <c r="G478" s="80"/>
      <c r="H478" s="122">
        <v>44509</v>
      </c>
      <c r="I478" s="68" t="s">
        <v>3509</v>
      </c>
      <c r="J478" s="68">
        <v>199.2</v>
      </c>
      <c r="K478" s="68" t="s">
        <v>3671</v>
      </c>
      <c r="L478" s="68" t="s">
        <v>3672</v>
      </c>
    </row>
    <row r="479" spans="1:12" x14ac:dyDescent="0.25">
      <c r="A479" s="68" t="s">
        <v>614</v>
      </c>
      <c r="B479" s="68" t="s">
        <v>1441</v>
      </c>
      <c r="C479" s="80" t="s">
        <v>2251</v>
      </c>
      <c r="D479" s="68" t="s">
        <v>614</v>
      </c>
      <c r="E479"/>
      <c r="F479" s="68" t="s">
        <v>3050</v>
      </c>
      <c r="G479" s="80"/>
      <c r="H479" s="122">
        <v>44505</v>
      </c>
      <c r="I479" s="68" t="s">
        <v>3509</v>
      </c>
      <c r="J479" s="68">
        <v>61.2</v>
      </c>
      <c r="K479" s="68" t="s">
        <v>3671</v>
      </c>
      <c r="L479" s="68" t="s">
        <v>3672</v>
      </c>
    </row>
    <row r="480" spans="1:12" x14ac:dyDescent="0.25">
      <c r="A480" s="68" t="s">
        <v>615</v>
      </c>
      <c r="B480" s="68" t="s">
        <v>1442</v>
      </c>
      <c r="C480" s="80" t="s">
        <v>2252</v>
      </c>
      <c r="D480" s="68" t="s">
        <v>615</v>
      </c>
      <c r="E480"/>
      <c r="F480" s="68" t="s">
        <v>3051</v>
      </c>
      <c r="G480" s="80"/>
      <c r="H480" s="122">
        <v>44505</v>
      </c>
      <c r="I480" s="68" t="s">
        <v>3509</v>
      </c>
      <c r="J480" s="68">
        <v>61.2</v>
      </c>
      <c r="K480" s="68" t="s">
        <v>3671</v>
      </c>
      <c r="L480" s="68" t="s">
        <v>3672</v>
      </c>
    </row>
    <row r="481" spans="1:12" x14ac:dyDescent="0.25">
      <c r="A481" s="68" t="s">
        <v>602</v>
      </c>
      <c r="B481" s="68" t="s">
        <v>1429</v>
      </c>
      <c r="C481" s="80" t="s">
        <v>2239</v>
      </c>
      <c r="D481" s="68" t="s">
        <v>602</v>
      </c>
      <c r="E481"/>
      <c r="F481" s="68" t="s">
        <v>3038</v>
      </c>
      <c r="G481" s="80"/>
      <c r="H481" s="122">
        <v>44504</v>
      </c>
      <c r="I481" s="68" t="s">
        <v>3509</v>
      </c>
      <c r="J481" s="68">
        <v>748</v>
      </c>
      <c r="K481" s="68" t="s">
        <v>3671</v>
      </c>
      <c r="L481" s="68" t="s">
        <v>3672</v>
      </c>
    </row>
    <row r="482" spans="1:12" x14ac:dyDescent="0.25">
      <c r="A482" s="68" t="s">
        <v>616</v>
      </c>
      <c r="B482" s="68" t="s">
        <v>1443</v>
      </c>
      <c r="C482" s="68" t="s">
        <v>2253</v>
      </c>
      <c r="D482" s="68" t="s">
        <v>616</v>
      </c>
      <c r="F482" s="68" t="s">
        <v>3052</v>
      </c>
      <c r="H482" s="122">
        <v>44504</v>
      </c>
      <c r="I482" s="68" t="s">
        <v>3509</v>
      </c>
      <c r="J482" s="68">
        <v>199.2</v>
      </c>
      <c r="K482" s="68" t="s">
        <v>3671</v>
      </c>
      <c r="L482" s="68" t="s">
        <v>3672</v>
      </c>
    </row>
    <row r="483" spans="1:12" x14ac:dyDescent="0.25">
      <c r="A483" s="68" t="s">
        <v>509</v>
      </c>
      <c r="B483" s="68" t="s">
        <v>1336</v>
      </c>
      <c r="C483" s="68" t="s">
        <v>2148</v>
      </c>
      <c r="D483" s="68" t="s">
        <v>509</v>
      </c>
      <c r="F483" s="68" t="s">
        <v>2945</v>
      </c>
      <c r="H483" s="122">
        <v>44505</v>
      </c>
      <c r="I483" s="68" t="s">
        <v>3510</v>
      </c>
      <c r="J483" s="68">
        <v>88.8</v>
      </c>
      <c r="K483" s="68" t="s">
        <v>3671</v>
      </c>
      <c r="L483" s="68" t="s">
        <v>3672</v>
      </c>
    </row>
    <row r="484" spans="1:12" x14ac:dyDescent="0.25">
      <c r="A484" s="68" t="s">
        <v>617</v>
      </c>
      <c r="B484" s="68" t="s">
        <v>1444</v>
      </c>
      <c r="C484" s="68" t="s">
        <v>2254</v>
      </c>
      <c r="D484" s="68" t="s">
        <v>617</v>
      </c>
      <c r="F484" s="68" t="s">
        <v>3053</v>
      </c>
      <c r="H484" s="122">
        <v>44505</v>
      </c>
      <c r="I484" s="68" t="s">
        <v>3510</v>
      </c>
      <c r="J484" s="68">
        <v>420.8</v>
      </c>
      <c r="K484" s="68" t="s">
        <v>3671</v>
      </c>
      <c r="L484" s="68" t="s">
        <v>3672</v>
      </c>
    </row>
    <row r="485" spans="1:12" x14ac:dyDescent="0.25">
      <c r="A485" s="68" t="s">
        <v>554</v>
      </c>
      <c r="B485" s="68" t="s">
        <v>1381</v>
      </c>
      <c r="C485" s="68" t="s">
        <v>2193</v>
      </c>
      <c r="D485" s="68" t="s">
        <v>554</v>
      </c>
      <c r="F485" s="68" t="s">
        <v>2990</v>
      </c>
      <c r="H485" s="122">
        <v>44502</v>
      </c>
      <c r="I485" s="68" t="s">
        <v>3510</v>
      </c>
      <c r="J485" s="68">
        <v>266</v>
      </c>
      <c r="K485" s="68" t="s">
        <v>3671</v>
      </c>
      <c r="L485" s="68" t="s">
        <v>3672</v>
      </c>
    </row>
    <row r="486" spans="1:12" x14ac:dyDescent="0.25">
      <c r="A486" s="68" t="s">
        <v>618</v>
      </c>
      <c r="B486" s="68" t="s">
        <v>1445</v>
      </c>
      <c r="C486" s="68" t="s">
        <v>2255</v>
      </c>
      <c r="D486" s="68" t="s">
        <v>618</v>
      </c>
      <c r="F486" s="68" t="s">
        <v>3054</v>
      </c>
      <c r="H486" s="122">
        <v>44502</v>
      </c>
      <c r="I486" s="68" t="s">
        <v>3510</v>
      </c>
      <c r="J486" s="68">
        <v>175.2</v>
      </c>
      <c r="K486" s="68" t="s">
        <v>3671</v>
      </c>
      <c r="L486" s="68" t="s">
        <v>3672</v>
      </c>
    </row>
    <row r="487" spans="1:12" x14ac:dyDescent="0.25">
      <c r="A487" s="68" t="s">
        <v>619</v>
      </c>
      <c r="B487" s="68" t="s">
        <v>1446</v>
      </c>
      <c r="C487" s="68" t="s">
        <v>2256</v>
      </c>
      <c r="D487" s="68" t="s">
        <v>619</v>
      </c>
      <c r="F487" s="68" t="s">
        <v>3055</v>
      </c>
      <c r="H487" s="122">
        <v>44502</v>
      </c>
      <c r="I487" s="68" t="s">
        <v>3510</v>
      </c>
      <c r="J487" s="68">
        <v>698</v>
      </c>
      <c r="K487" s="68" t="s">
        <v>3671</v>
      </c>
      <c r="L487" s="68" t="s">
        <v>3672</v>
      </c>
    </row>
    <row r="488" spans="1:12" x14ac:dyDescent="0.25">
      <c r="A488" s="68" t="s">
        <v>620</v>
      </c>
      <c r="B488" s="68" t="s">
        <v>1447</v>
      </c>
      <c r="C488" s="68" t="s">
        <v>2257</v>
      </c>
      <c r="D488" s="68" t="s">
        <v>620</v>
      </c>
      <c r="F488" s="68" t="s">
        <v>3056</v>
      </c>
      <c r="H488" s="122">
        <v>44502</v>
      </c>
      <c r="I488" s="68" t="s">
        <v>3510</v>
      </c>
      <c r="J488" s="68">
        <v>437.2</v>
      </c>
      <c r="K488" s="68" t="s">
        <v>3671</v>
      </c>
      <c r="L488" s="68" t="s">
        <v>3672</v>
      </c>
    </row>
    <row r="489" spans="1:12" x14ac:dyDescent="0.25">
      <c r="A489" s="68" t="s">
        <v>596</v>
      </c>
      <c r="B489" s="68" t="s">
        <v>1423</v>
      </c>
      <c r="C489" s="68" t="s">
        <v>2233</v>
      </c>
      <c r="D489" s="68" t="s">
        <v>596</v>
      </c>
      <c r="F489" s="68" t="s">
        <v>3032</v>
      </c>
      <c r="H489" s="122">
        <v>44503</v>
      </c>
      <c r="I489" s="68" t="s">
        <v>3534</v>
      </c>
      <c r="J489" s="68">
        <v>266</v>
      </c>
      <c r="K489" s="68" t="s">
        <v>3671</v>
      </c>
      <c r="L489" s="68" t="s">
        <v>3672</v>
      </c>
    </row>
    <row r="490" spans="1:12" x14ac:dyDescent="0.25">
      <c r="A490" s="68" t="s">
        <v>572</v>
      </c>
      <c r="B490" s="68" t="s">
        <v>1399</v>
      </c>
      <c r="C490" s="68" t="s">
        <v>2211</v>
      </c>
      <c r="D490" s="68" t="s">
        <v>572</v>
      </c>
      <c r="F490" s="68" t="s">
        <v>3008</v>
      </c>
      <c r="H490" s="122">
        <v>44503</v>
      </c>
      <c r="I490" s="68" t="s">
        <v>3534</v>
      </c>
      <c r="J490" s="68">
        <v>303.60000000000002</v>
      </c>
      <c r="K490" s="68" t="s">
        <v>3671</v>
      </c>
      <c r="L490" s="68" t="s">
        <v>3672</v>
      </c>
    </row>
    <row r="491" spans="1:12" x14ac:dyDescent="0.25">
      <c r="A491" s="68" t="s">
        <v>621</v>
      </c>
      <c r="B491" s="68" t="s">
        <v>1448</v>
      </c>
      <c r="C491" s="68" t="s">
        <v>2258</v>
      </c>
      <c r="D491" s="68" t="s">
        <v>621</v>
      </c>
      <c r="F491" s="68" t="s">
        <v>3057</v>
      </c>
      <c r="H491" s="122">
        <v>44504</v>
      </c>
      <c r="I491" s="68" t="s">
        <v>3496</v>
      </c>
      <c r="J491" s="68">
        <v>61.2</v>
      </c>
      <c r="K491" s="68" t="s">
        <v>3671</v>
      </c>
      <c r="L491" s="68" t="s">
        <v>3672</v>
      </c>
    </row>
    <row r="492" spans="1:12" x14ac:dyDescent="0.25">
      <c r="A492" s="68" t="s">
        <v>622</v>
      </c>
      <c r="B492" s="68" t="s">
        <v>1449</v>
      </c>
      <c r="C492" s="68" t="s">
        <v>2259</v>
      </c>
      <c r="D492" s="68" t="s">
        <v>622</v>
      </c>
      <c r="F492" s="68" t="s">
        <v>3058</v>
      </c>
      <c r="H492" s="122">
        <v>44503</v>
      </c>
      <c r="I492" s="68" t="s">
        <v>3496</v>
      </c>
      <c r="J492" s="68">
        <v>238</v>
      </c>
      <c r="K492" s="68" t="s">
        <v>3671</v>
      </c>
      <c r="L492" s="68" t="s">
        <v>3672</v>
      </c>
    </row>
    <row r="493" spans="1:12" x14ac:dyDescent="0.25">
      <c r="A493" s="68" t="s">
        <v>623</v>
      </c>
      <c r="B493" s="68" t="s">
        <v>1450</v>
      </c>
      <c r="C493" s="68" t="s">
        <v>2260</v>
      </c>
      <c r="D493" s="68" t="s">
        <v>623</v>
      </c>
      <c r="F493" s="68" t="s">
        <v>3059</v>
      </c>
      <c r="H493" s="122">
        <v>44502</v>
      </c>
      <c r="I493" s="68" t="s">
        <v>3496</v>
      </c>
      <c r="J493" s="68">
        <v>756</v>
      </c>
      <c r="K493" s="68" t="s">
        <v>3671</v>
      </c>
      <c r="L493" s="68" t="s">
        <v>3672</v>
      </c>
    </row>
    <row r="494" spans="1:12" x14ac:dyDescent="0.25">
      <c r="A494" s="68" t="s">
        <v>606</v>
      </c>
      <c r="B494" s="68" t="s">
        <v>1433</v>
      </c>
      <c r="C494" s="68" t="s">
        <v>2243</v>
      </c>
      <c r="D494" s="68" t="s">
        <v>606</v>
      </c>
      <c r="F494" s="68" t="s">
        <v>3042</v>
      </c>
      <c r="H494" s="122">
        <v>44501</v>
      </c>
      <c r="I494" s="68" t="s">
        <v>3496</v>
      </c>
      <c r="J494" s="68">
        <v>226.8</v>
      </c>
      <c r="K494" s="68" t="s">
        <v>3671</v>
      </c>
      <c r="L494" s="68" t="s">
        <v>3672</v>
      </c>
    </row>
    <row r="495" spans="1:12" x14ac:dyDescent="0.25">
      <c r="A495" s="68" t="s">
        <v>624</v>
      </c>
      <c r="B495" s="68" t="s">
        <v>1451</v>
      </c>
      <c r="C495" s="68" t="s">
        <v>2261</v>
      </c>
      <c r="D495" s="68" t="s">
        <v>624</v>
      </c>
      <c r="F495" s="68" t="s">
        <v>3060</v>
      </c>
      <c r="H495" s="122">
        <v>44501</v>
      </c>
      <c r="I495" s="68" t="s">
        <v>3496</v>
      </c>
      <c r="J495" s="68">
        <v>332.4</v>
      </c>
      <c r="K495" s="68" t="s">
        <v>3671</v>
      </c>
      <c r="L495" s="68" t="s">
        <v>3672</v>
      </c>
    </row>
    <row r="496" spans="1:12" x14ac:dyDescent="0.25">
      <c r="A496" s="68" t="s">
        <v>625</v>
      </c>
      <c r="B496" s="68" t="s">
        <v>1452</v>
      </c>
      <c r="C496" s="68" t="s">
        <v>2262</v>
      </c>
      <c r="D496" s="68" t="s">
        <v>625</v>
      </c>
      <c r="F496" s="68" t="s">
        <v>3061</v>
      </c>
      <c r="H496" s="122">
        <v>44498</v>
      </c>
      <c r="I496" s="68" t="s">
        <v>3511</v>
      </c>
      <c r="J496" s="68">
        <v>138</v>
      </c>
      <c r="K496" s="68" t="s">
        <v>3671</v>
      </c>
      <c r="L496" s="68" t="s">
        <v>3672</v>
      </c>
    </row>
    <row r="497" spans="1:12" x14ac:dyDescent="0.25">
      <c r="A497" s="68" t="s">
        <v>626</v>
      </c>
      <c r="B497" s="68" t="s">
        <v>1453</v>
      </c>
      <c r="C497" s="68" t="s">
        <v>2263</v>
      </c>
      <c r="D497" s="68" t="s">
        <v>626</v>
      </c>
      <c r="F497" s="68" t="s">
        <v>3062</v>
      </c>
      <c r="H497" s="122">
        <v>44498</v>
      </c>
      <c r="I497" s="68" t="s">
        <v>3511</v>
      </c>
      <c r="J497" s="68">
        <v>244.4</v>
      </c>
      <c r="K497" s="68" t="s">
        <v>3671</v>
      </c>
      <c r="L497" s="68" t="s">
        <v>3672</v>
      </c>
    </row>
    <row r="498" spans="1:12" x14ac:dyDescent="0.25">
      <c r="A498" s="68" t="s">
        <v>627</v>
      </c>
      <c r="B498" s="68" t="s">
        <v>1454</v>
      </c>
      <c r="C498" s="68" t="s">
        <v>2264</v>
      </c>
      <c r="D498" s="68" t="s">
        <v>627</v>
      </c>
      <c r="F498" s="68" t="s">
        <v>3063</v>
      </c>
      <c r="H498" s="122">
        <v>44501</v>
      </c>
      <c r="I498" s="68" t="s">
        <v>3511</v>
      </c>
      <c r="J498" s="68">
        <v>266</v>
      </c>
      <c r="K498" s="68" t="s">
        <v>3671</v>
      </c>
      <c r="L498" s="68" t="s">
        <v>3672</v>
      </c>
    </row>
    <row r="499" spans="1:12" x14ac:dyDescent="0.25">
      <c r="A499" s="68" t="s">
        <v>628</v>
      </c>
      <c r="B499" s="68" t="s">
        <v>1455</v>
      </c>
      <c r="C499" s="68" t="s">
        <v>2265</v>
      </c>
      <c r="D499" s="68" t="s">
        <v>628</v>
      </c>
      <c r="F499" s="68" t="s">
        <v>3064</v>
      </c>
      <c r="H499" s="122">
        <v>44499</v>
      </c>
      <c r="I499" s="68" t="s">
        <v>3512</v>
      </c>
      <c r="J499" s="68">
        <v>244.4</v>
      </c>
      <c r="K499" s="68" t="s">
        <v>3671</v>
      </c>
      <c r="L499" s="68" t="s">
        <v>3672</v>
      </c>
    </row>
    <row r="500" spans="1:12" x14ac:dyDescent="0.25">
      <c r="A500" s="68" t="s">
        <v>629</v>
      </c>
      <c r="B500" s="68" t="s">
        <v>1456</v>
      </c>
      <c r="C500" s="68" t="s">
        <v>2266</v>
      </c>
      <c r="D500" s="68" t="s">
        <v>629</v>
      </c>
      <c r="F500" s="68" t="s">
        <v>3065</v>
      </c>
      <c r="H500" s="122">
        <v>44499</v>
      </c>
      <c r="I500" s="68" t="s">
        <v>3512</v>
      </c>
      <c r="J500" s="68">
        <v>424.4</v>
      </c>
      <c r="K500" s="68" t="s">
        <v>3671</v>
      </c>
      <c r="L500" s="68" t="s">
        <v>3672</v>
      </c>
    </row>
    <row r="501" spans="1:12" x14ac:dyDescent="0.25">
      <c r="A501" s="68" t="s">
        <v>482</v>
      </c>
      <c r="B501" s="68" t="s">
        <v>1309</v>
      </c>
      <c r="C501" s="68" t="s">
        <v>2122</v>
      </c>
      <c r="D501" s="68" t="s">
        <v>482</v>
      </c>
      <c r="F501" s="68" t="s">
        <v>2918</v>
      </c>
      <c r="H501" s="122">
        <v>44499</v>
      </c>
      <c r="I501" s="68" t="s">
        <v>3512</v>
      </c>
      <c r="J501" s="68">
        <v>294.8</v>
      </c>
      <c r="K501" s="68" t="s">
        <v>3671</v>
      </c>
      <c r="L501" s="68" t="s">
        <v>3672</v>
      </c>
    </row>
    <row r="502" spans="1:12" x14ac:dyDescent="0.25">
      <c r="A502" s="68" t="s">
        <v>630</v>
      </c>
      <c r="B502" s="68" t="s">
        <v>1457</v>
      </c>
      <c r="C502" s="68" t="s">
        <v>2267</v>
      </c>
      <c r="D502" s="68" t="s">
        <v>630</v>
      </c>
      <c r="F502" s="68" t="s">
        <v>3066</v>
      </c>
      <c r="H502" s="122">
        <v>44499</v>
      </c>
      <c r="I502" s="68" t="s">
        <v>3512</v>
      </c>
      <c r="J502" s="68">
        <v>532</v>
      </c>
      <c r="K502" s="68" t="s">
        <v>3671</v>
      </c>
      <c r="L502" s="68" t="s">
        <v>3672</v>
      </c>
    </row>
    <row r="503" spans="1:12" x14ac:dyDescent="0.25">
      <c r="A503" s="68" t="s">
        <v>631</v>
      </c>
      <c r="B503" s="68" t="s">
        <v>1458</v>
      </c>
      <c r="C503" s="68" t="s">
        <v>2268</v>
      </c>
      <c r="D503" s="68" t="s">
        <v>631</v>
      </c>
      <c r="F503" s="68" t="s">
        <v>3067</v>
      </c>
      <c r="H503" s="122">
        <v>44497</v>
      </c>
      <c r="I503" s="68" t="s">
        <v>3512</v>
      </c>
      <c r="J503" s="68">
        <v>244.4</v>
      </c>
      <c r="K503" s="68" t="s">
        <v>3671</v>
      </c>
      <c r="L503" s="68" t="s">
        <v>3672</v>
      </c>
    </row>
    <row r="504" spans="1:12" x14ac:dyDescent="0.25">
      <c r="A504" s="68" t="s">
        <v>632</v>
      </c>
      <c r="B504" s="68" t="s">
        <v>1459</v>
      </c>
      <c r="C504" s="68" t="s">
        <v>2269</v>
      </c>
      <c r="D504" s="68" t="s">
        <v>632</v>
      </c>
      <c r="F504" s="68" t="s">
        <v>3068</v>
      </c>
      <c r="H504" s="122">
        <v>44497</v>
      </c>
      <c r="I504" s="68" t="s">
        <v>3512</v>
      </c>
      <c r="J504" s="68">
        <v>216</v>
      </c>
      <c r="K504" s="68" t="s">
        <v>3671</v>
      </c>
      <c r="L504" s="68" t="s">
        <v>3672</v>
      </c>
    </row>
    <row r="505" spans="1:12" x14ac:dyDescent="0.25">
      <c r="A505" s="68" t="s">
        <v>633</v>
      </c>
      <c r="B505" s="68" t="s">
        <v>1460</v>
      </c>
      <c r="C505" s="68" t="s">
        <v>2270</v>
      </c>
      <c r="D505" s="68" t="s">
        <v>633</v>
      </c>
      <c r="F505" s="68" t="s">
        <v>3069</v>
      </c>
      <c r="H505" s="122">
        <v>44498</v>
      </c>
      <c r="I505" s="68" t="s">
        <v>3512</v>
      </c>
      <c r="J505" s="68">
        <v>175.2</v>
      </c>
      <c r="K505" s="68" t="s">
        <v>3671</v>
      </c>
      <c r="L505" s="68" t="s">
        <v>3672</v>
      </c>
    </row>
    <row r="506" spans="1:12" x14ac:dyDescent="0.25">
      <c r="A506" s="68" t="s">
        <v>567</v>
      </c>
      <c r="B506" s="68" t="s">
        <v>1394</v>
      </c>
      <c r="C506" s="68" t="s">
        <v>2206</v>
      </c>
      <c r="D506" s="68" t="s">
        <v>567</v>
      </c>
      <c r="F506" s="68" t="s">
        <v>3003</v>
      </c>
      <c r="H506" s="122">
        <v>44498</v>
      </c>
      <c r="I506" s="68" t="s">
        <v>3512</v>
      </c>
      <c r="J506" s="68">
        <v>227.6</v>
      </c>
      <c r="K506" s="68" t="s">
        <v>3671</v>
      </c>
      <c r="L506" s="68" t="s">
        <v>3672</v>
      </c>
    </row>
    <row r="507" spans="1:12" x14ac:dyDescent="0.25">
      <c r="A507" s="68" t="s">
        <v>634</v>
      </c>
      <c r="B507" s="68" t="s">
        <v>1461</v>
      </c>
      <c r="C507" s="68" t="s">
        <v>2271</v>
      </c>
      <c r="D507" s="68" t="s">
        <v>634</v>
      </c>
      <c r="F507" s="68" t="s">
        <v>3070</v>
      </c>
      <c r="H507" s="122">
        <v>44498</v>
      </c>
      <c r="I507" s="68" t="s">
        <v>3512</v>
      </c>
      <c r="J507" s="68">
        <v>244.4</v>
      </c>
      <c r="K507" s="68" t="s">
        <v>3671</v>
      </c>
      <c r="L507" s="68" t="s">
        <v>3672</v>
      </c>
    </row>
    <row r="508" spans="1:12" x14ac:dyDescent="0.25">
      <c r="A508" s="68" t="s">
        <v>635</v>
      </c>
      <c r="B508" s="68" t="s">
        <v>1462</v>
      </c>
      <c r="C508" s="68" t="s">
        <v>2272</v>
      </c>
      <c r="D508" s="68" t="s">
        <v>635</v>
      </c>
      <c r="F508" s="68" t="s">
        <v>3071</v>
      </c>
      <c r="H508" s="122">
        <v>44498</v>
      </c>
      <c r="I508" s="68" t="s">
        <v>3512</v>
      </c>
      <c r="J508" s="68">
        <v>454</v>
      </c>
      <c r="K508" s="68" t="s">
        <v>3671</v>
      </c>
      <c r="L508" s="68" t="s">
        <v>3672</v>
      </c>
    </row>
    <row r="509" spans="1:12" x14ac:dyDescent="0.25">
      <c r="A509" s="68" t="s">
        <v>636</v>
      </c>
      <c r="B509" s="68" t="s">
        <v>1463</v>
      </c>
      <c r="C509" s="68" t="s">
        <v>2273</v>
      </c>
      <c r="D509" s="68" t="s">
        <v>636</v>
      </c>
      <c r="F509" s="68" t="s">
        <v>3072</v>
      </c>
      <c r="H509" s="122">
        <v>44497</v>
      </c>
      <c r="I509" s="68" t="s">
        <v>3512</v>
      </c>
      <c r="J509" s="68">
        <v>227.6</v>
      </c>
      <c r="K509" s="68" t="s">
        <v>3671</v>
      </c>
      <c r="L509" s="68" t="s">
        <v>3672</v>
      </c>
    </row>
    <row r="510" spans="1:12" x14ac:dyDescent="0.25">
      <c r="A510" s="68" t="s">
        <v>637</v>
      </c>
      <c r="B510" s="68" t="s">
        <v>1464</v>
      </c>
      <c r="C510" s="68" t="s">
        <v>2274</v>
      </c>
      <c r="D510" s="68" t="s">
        <v>637</v>
      </c>
      <c r="F510" s="68" t="s">
        <v>3073</v>
      </c>
      <c r="H510" s="122">
        <v>44497</v>
      </c>
      <c r="I510" s="68" t="s">
        <v>3512</v>
      </c>
      <c r="J510" s="68">
        <v>266</v>
      </c>
      <c r="K510" s="68" t="s">
        <v>3671</v>
      </c>
      <c r="L510" s="68" t="s">
        <v>3672</v>
      </c>
    </row>
    <row r="511" spans="1:12" x14ac:dyDescent="0.25">
      <c r="A511" s="68" t="s">
        <v>581</v>
      </c>
      <c r="B511" s="68" t="s">
        <v>1408</v>
      </c>
      <c r="C511" s="68" t="s">
        <v>2220</v>
      </c>
      <c r="D511" s="68" t="s">
        <v>581</v>
      </c>
      <c r="F511" s="68" t="s">
        <v>3017</v>
      </c>
      <c r="H511" s="122">
        <v>44497</v>
      </c>
      <c r="I511" s="68" t="s">
        <v>3512</v>
      </c>
      <c r="J511" s="68">
        <v>1216</v>
      </c>
      <c r="K511" s="68" t="s">
        <v>3671</v>
      </c>
      <c r="L511" s="68" t="s">
        <v>3672</v>
      </c>
    </row>
    <row r="512" spans="1:12" x14ac:dyDescent="0.25">
      <c r="A512" s="68" t="s">
        <v>622</v>
      </c>
      <c r="B512" s="68" t="s">
        <v>1449</v>
      </c>
      <c r="C512" s="68" t="s">
        <v>2259</v>
      </c>
      <c r="D512" s="68" t="s">
        <v>622</v>
      </c>
      <c r="F512" s="68" t="s">
        <v>3058</v>
      </c>
      <c r="H512" s="122">
        <v>44497</v>
      </c>
      <c r="I512" s="68" t="s">
        <v>3512</v>
      </c>
      <c r="J512" s="68">
        <v>175.2</v>
      </c>
      <c r="K512" s="68" t="s">
        <v>3671</v>
      </c>
      <c r="L512" s="68" t="s">
        <v>3672</v>
      </c>
    </row>
    <row r="513" spans="1:12" x14ac:dyDescent="0.25">
      <c r="A513" s="68" t="s">
        <v>638</v>
      </c>
      <c r="B513" s="68" t="s">
        <v>1465</v>
      </c>
      <c r="C513" s="68" t="s">
        <v>2275</v>
      </c>
      <c r="D513" s="68" t="s">
        <v>638</v>
      </c>
      <c r="F513" s="68" t="s">
        <v>3074</v>
      </c>
      <c r="H513" s="122">
        <v>44501</v>
      </c>
      <c r="I513" s="68" t="s">
        <v>3512</v>
      </c>
      <c r="J513" s="68">
        <v>61.2</v>
      </c>
      <c r="K513" s="68" t="s">
        <v>3671</v>
      </c>
      <c r="L513" s="68" t="s">
        <v>3672</v>
      </c>
    </row>
    <row r="514" spans="1:12" x14ac:dyDescent="0.25">
      <c r="A514" s="68" t="s">
        <v>639</v>
      </c>
      <c r="B514" s="68" t="s">
        <v>1466</v>
      </c>
      <c r="C514" s="68" t="s">
        <v>2276</v>
      </c>
      <c r="D514" s="68" t="s">
        <v>639</v>
      </c>
      <c r="F514" s="68" t="s">
        <v>3075</v>
      </c>
      <c r="H514" s="122">
        <v>44501</v>
      </c>
      <c r="I514" s="68" t="s">
        <v>3512</v>
      </c>
      <c r="J514" s="68">
        <v>474.4</v>
      </c>
      <c r="K514" s="68" t="s">
        <v>3671</v>
      </c>
      <c r="L514" s="68" t="s">
        <v>3672</v>
      </c>
    </row>
    <row r="515" spans="1:12" x14ac:dyDescent="0.25">
      <c r="A515" s="68" t="s">
        <v>640</v>
      </c>
      <c r="B515" s="68" t="s">
        <v>1467</v>
      </c>
      <c r="C515" s="68" t="s">
        <v>2277</v>
      </c>
      <c r="D515" s="68" t="s">
        <v>640</v>
      </c>
      <c r="F515" s="68" t="s">
        <v>3076</v>
      </c>
      <c r="H515" s="122">
        <v>44496</v>
      </c>
      <c r="I515" s="68" t="s">
        <v>3535</v>
      </c>
      <c r="J515" s="68">
        <v>138</v>
      </c>
      <c r="K515" s="68" t="s">
        <v>3671</v>
      </c>
      <c r="L515" s="68" t="s">
        <v>3672</v>
      </c>
    </row>
    <row r="516" spans="1:12" x14ac:dyDescent="0.25">
      <c r="A516" s="68" t="s">
        <v>641</v>
      </c>
      <c r="B516" s="68" t="s">
        <v>1468</v>
      </c>
      <c r="C516" s="68" t="s">
        <v>2278</v>
      </c>
      <c r="D516" s="68" t="s">
        <v>641</v>
      </c>
      <c r="F516" s="68" t="s">
        <v>3077</v>
      </c>
      <c r="H516" s="122">
        <v>44495</v>
      </c>
      <c r="I516" s="68" t="s">
        <v>3513</v>
      </c>
      <c r="J516" s="68">
        <v>266</v>
      </c>
      <c r="K516" s="68" t="s">
        <v>3671</v>
      </c>
      <c r="L516" s="68" t="s">
        <v>3672</v>
      </c>
    </row>
    <row r="517" spans="1:12" x14ac:dyDescent="0.25">
      <c r="A517" s="68" t="s">
        <v>581</v>
      </c>
      <c r="B517" s="68" t="s">
        <v>1408</v>
      </c>
      <c r="C517" s="68" t="s">
        <v>2220</v>
      </c>
      <c r="D517" s="68" t="s">
        <v>581</v>
      </c>
      <c r="F517" s="68" t="s">
        <v>3017</v>
      </c>
      <c r="H517" s="122">
        <v>44495</v>
      </c>
      <c r="I517" s="68" t="s">
        <v>3513</v>
      </c>
      <c r="J517" s="68">
        <v>863.2</v>
      </c>
      <c r="K517" s="68" t="s">
        <v>3671</v>
      </c>
      <c r="L517" s="68" t="s">
        <v>3672</v>
      </c>
    </row>
    <row r="518" spans="1:12" x14ac:dyDescent="0.25">
      <c r="A518" s="68" t="s">
        <v>642</v>
      </c>
      <c r="B518" s="68" t="s">
        <v>1469</v>
      </c>
      <c r="C518" s="68" t="s">
        <v>2279</v>
      </c>
      <c r="D518" s="68" t="s">
        <v>642</v>
      </c>
      <c r="F518" s="68" t="s">
        <v>3078</v>
      </c>
      <c r="H518" s="122">
        <v>44492</v>
      </c>
      <c r="I518" s="68" t="s">
        <v>3513</v>
      </c>
      <c r="J518" s="68">
        <v>396</v>
      </c>
      <c r="K518" s="68" t="s">
        <v>3671</v>
      </c>
      <c r="L518" s="68" t="s">
        <v>3672</v>
      </c>
    </row>
    <row r="519" spans="1:12" x14ac:dyDescent="0.25">
      <c r="A519" s="68" t="s">
        <v>643</v>
      </c>
      <c r="B519" s="68" t="s">
        <v>1470</v>
      </c>
      <c r="C519" s="68" t="s">
        <v>2280</v>
      </c>
      <c r="D519" s="68" t="s">
        <v>643</v>
      </c>
      <c r="F519" s="68" t="s">
        <v>3079</v>
      </c>
      <c r="H519" s="122">
        <v>44492</v>
      </c>
      <c r="I519" s="68" t="s">
        <v>3536</v>
      </c>
      <c r="J519" s="68">
        <v>249.2</v>
      </c>
      <c r="K519" s="68" t="s">
        <v>3671</v>
      </c>
      <c r="L519" s="68" t="s">
        <v>3672</v>
      </c>
    </row>
    <row r="520" spans="1:12" x14ac:dyDescent="0.25">
      <c r="A520" s="68" t="s">
        <v>644</v>
      </c>
      <c r="B520" s="68" t="s">
        <v>1471</v>
      </c>
      <c r="C520" s="68" t="s">
        <v>2281</v>
      </c>
      <c r="D520" s="68" t="s">
        <v>644</v>
      </c>
      <c r="F520" s="68" t="s">
        <v>3080</v>
      </c>
      <c r="H520" s="122">
        <v>44492</v>
      </c>
      <c r="I520" s="68" t="s">
        <v>3536</v>
      </c>
      <c r="J520" s="68">
        <v>594.4</v>
      </c>
      <c r="K520" s="68" t="s">
        <v>3671</v>
      </c>
      <c r="L520" s="68" t="s">
        <v>3672</v>
      </c>
    </row>
    <row r="521" spans="1:12" x14ac:dyDescent="0.25">
      <c r="A521" s="68" t="s">
        <v>645</v>
      </c>
      <c r="B521" s="68" t="s">
        <v>1472</v>
      </c>
      <c r="C521" s="68" t="s">
        <v>2282</v>
      </c>
      <c r="D521" s="68" t="s">
        <v>645</v>
      </c>
      <c r="F521" s="68" t="s">
        <v>3081</v>
      </c>
      <c r="H521" s="122">
        <v>44492</v>
      </c>
      <c r="I521" s="68" t="s">
        <v>3536</v>
      </c>
      <c r="J521" s="68">
        <v>278.39999999999998</v>
      </c>
      <c r="K521" s="68" t="s">
        <v>3671</v>
      </c>
      <c r="L521" s="68" t="s">
        <v>3672</v>
      </c>
    </row>
    <row r="522" spans="1:12" x14ac:dyDescent="0.25">
      <c r="A522" s="68" t="s">
        <v>646</v>
      </c>
      <c r="B522" s="68" t="s">
        <v>1473</v>
      </c>
      <c r="C522" s="68" t="s">
        <v>2283</v>
      </c>
      <c r="D522" s="68" t="s">
        <v>646</v>
      </c>
      <c r="F522" s="68" t="s">
        <v>3082</v>
      </c>
      <c r="H522" s="122">
        <v>44492</v>
      </c>
      <c r="I522" s="68" t="s">
        <v>3536</v>
      </c>
      <c r="J522" s="68">
        <v>114</v>
      </c>
      <c r="K522" s="68" t="s">
        <v>3671</v>
      </c>
      <c r="L522" s="68" t="s">
        <v>3672</v>
      </c>
    </row>
    <row r="523" spans="1:12" x14ac:dyDescent="0.25">
      <c r="A523" s="68" t="s">
        <v>647</v>
      </c>
      <c r="B523" s="68" t="s">
        <v>1474</v>
      </c>
      <c r="C523" s="68" t="s">
        <v>2284</v>
      </c>
      <c r="D523" s="68" t="s">
        <v>647</v>
      </c>
      <c r="F523" s="68" t="s">
        <v>3083</v>
      </c>
      <c r="H523" s="122">
        <v>44492</v>
      </c>
      <c r="I523" s="68" t="s">
        <v>3536</v>
      </c>
      <c r="J523" s="68">
        <v>205.2</v>
      </c>
      <c r="K523" s="68" t="s">
        <v>3671</v>
      </c>
      <c r="L523" s="68" t="s">
        <v>3672</v>
      </c>
    </row>
    <row r="524" spans="1:12" x14ac:dyDescent="0.25">
      <c r="A524" s="68" t="s">
        <v>648</v>
      </c>
      <c r="B524" s="68" t="s">
        <v>1475</v>
      </c>
      <c r="C524" s="68" t="s">
        <v>2285</v>
      </c>
      <c r="D524" s="68" t="s">
        <v>648</v>
      </c>
      <c r="F524" s="68" t="s">
        <v>3084</v>
      </c>
      <c r="H524" s="122">
        <v>44492</v>
      </c>
      <c r="I524" s="68" t="s">
        <v>3536</v>
      </c>
      <c r="J524" s="68">
        <v>316</v>
      </c>
      <c r="K524" s="68" t="s">
        <v>3671</v>
      </c>
      <c r="L524" s="68" t="s">
        <v>3672</v>
      </c>
    </row>
    <row r="525" spans="1:12" x14ac:dyDescent="0.25">
      <c r="A525" s="68" t="s">
        <v>572</v>
      </c>
      <c r="B525" s="68" t="s">
        <v>1399</v>
      </c>
      <c r="C525" s="68" t="s">
        <v>2211</v>
      </c>
      <c r="D525" s="68" t="s">
        <v>572</v>
      </c>
      <c r="F525" s="68" t="s">
        <v>3008</v>
      </c>
      <c r="H525" s="122">
        <v>44491</v>
      </c>
      <c r="I525" s="68" t="s">
        <v>3536</v>
      </c>
      <c r="J525" s="68">
        <v>88.8</v>
      </c>
      <c r="K525" s="68" t="s">
        <v>3671</v>
      </c>
      <c r="L525" s="68" t="s">
        <v>3672</v>
      </c>
    </row>
    <row r="526" spans="1:12" x14ac:dyDescent="0.25">
      <c r="A526" s="68" t="s">
        <v>649</v>
      </c>
      <c r="B526" s="68" t="s">
        <v>1476</v>
      </c>
      <c r="C526" s="68" t="s">
        <v>2286</v>
      </c>
      <c r="D526" s="68" t="s">
        <v>649</v>
      </c>
      <c r="F526" s="68" t="s">
        <v>3085</v>
      </c>
      <c r="H526" s="122">
        <v>44491</v>
      </c>
      <c r="I526" s="68" t="s">
        <v>3536</v>
      </c>
      <c r="J526" s="68">
        <v>424.4</v>
      </c>
      <c r="K526" s="68" t="s">
        <v>3671</v>
      </c>
      <c r="L526" s="68" t="s">
        <v>3672</v>
      </c>
    </row>
    <row r="527" spans="1:12" x14ac:dyDescent="0.25">
      <c r="A527" s="68" t="s">
        <v>650</v>
      </c>
      <c r="B527" s="68" t="s">
        <v>1477</v>
      </c>
      <c r="C527" s="68" t="s">
        <v>2287</v>
      </c>
      <c r="D527" s="68" t="s">
        <v>650</v>
      </c>
      <c r="F527" s="68" t="s">
        <v>3086</v>
      </c>
      <c r="H527" s="122">
        <v>44495</v>
      </c>
      <c r="I527" s="68" t="s">
        <v>3536</v>
      </c>
      <c r="J527" s="68">
        <v>266</v>
      </c>
      <c r="K527" s="68" t="s">
        <v>3671</v>
      </c>
      <c r="L527" s="68" t="s">
        <v>3672</v>
      </c>
    </row>
    <row r="528" spans="1:12" x14ac:dyDescent="0.25">
      <c r="A528" s="68" t="s">
        <v>609</v>
      </c>
      <c r="B528" s="68" t="s">
        <v>1436</v>
      </c>
      <c r="C528" s="68" t="s">
        <v>2246</v>
      </c>
      <c r="D528" s="68" t="s">
        <v>609</v>
      </c>
      <c r="F528" s="68" t="s">
        <v>3045</v>
      </c>
      <c r="H528" s="122">
        <v>44490</v>
      </c>
      <c r="I528" s="68" t="s">
        <v>3514</v>
      </c>
      <c r="J528" s="68">
        <v>470</v>
      </c>
      <c r="K528" s="68" t="s">
        <v>3671</v>
      </c>
      <c r="L528" s="68" t="s">
        <v>3672</v>
      </c>
    </row>
    <row r="529" spans="1:12" x14ac:dyDescent="0.25">
      <c r="A529" s="68" t="s">
        <v>630</v>
      </c>
      <c r="B529" s="68" t="s">
        <v>1457</v>
      </c>
      <c r="C529" s="68" t="s">
        <v>2267</v>
      </c>
      <c r="D529" s="68" t="s">
        <v>630</v>
      </c>
      <c r="F529" s="68" t="s">
        <v>3066</v>
      </c>
      <c r="H529" s="122">
        <v>44489</v>
      </c>
      <c r="I529" s="68" t="s">
        <v>3514</v>
      </c>
      <c r="J529" s="68">
        <v>432</v>
      </c>
      <c r="K529" s="68" t="s">
        <v>3671</v>
      </c>
      <c r="L529" s="68" t="s">
        <v>3672</v>
      </c>
    </row>
    <row r="530" spans="1:12" x14ac:dyDescent="0.25">
      <c r="A530" s="68" t="s">
        <v>651</v>
      </c>
      <c r="B530" s="68" t="s">
        <v>1478</v>
      </c>
      <c r="C530" s="68" t="s">
        <v>2288</v>
      </c>
      <c r="D530" s="68" t="s">
        <v>651</v>
      </c>
      <c r="F530" s="68" t="s">
        <v>3087</v>
      </c>
      <c r="H530" s="122">
        <v>44490</v>
      </c>
      <c r="I530" s="68" t="s">
        <v>3514</v>
      </c>
      <c r="J530" s="68">
        <v>332.4</v>
      </c>
      <c r="K530" s="68" t="s">
        <v>3671</v>
      </c>
      <c r="L530" s="68" t="s">
        <v>3672</v>
      </c>
    </row>
    <row r="531" spans="1:12" x14ac:dyDescent="0.25">
      <c r="A531" s="68" t="s">
        <v>652</v>
      </c>
      <c r="B531" s="68" t="s">
        <v>1479</v>
      </c>
      <c r="C531" s="68" t="s">
        <v>2289</v>
      </c>
      <c r="D531" s="68" t="s">
        <v>652</v>
      </c>
      <c r="F531" s="68" t="s">
        <v>3088</v>
      </c>
      <c r="H531" s="122">
        <v>44490</v>
      </c>
      <c r="I531" s="68" t="s">
        <v>3514</v>
      </c>
      <c r="J531" s="68">
        <v>360</v>
      </c>
      <c r="K531" s="68" t="s">
        <v>3671</v>
      </c>
      <c r="L531" s="68" t="s">
        <v>3672</v>
      </c>
    </row>
    <row r="532" spans="1:12" x14ac:dyDescent="0.25">
      <c r="A532" s="68" t="s">
        <v>653</v>
      </c>
      <c r="B532" s="68" t="s">
        <v>1480</v>
      </c>
      <c r="C532" s="68" t="s">
        <v>2290</v>
      </c>
      <c r="D532" s="68" t="s">
        <v>653</v>
      </c>
      <c r="F532" s="68" t="s">
        <v>3089</v>
      </c>
      <c r="H532" s="122">
        <v>44489</v>
      </c>
      <c r="I532" s="68" t="s">
        <v>3515</v>
      </c>
      <c r="J532" s="68">
        <v>268.8</v>
      </c>
      <c r="K532" s="68" t="s">
        <v>3671</v>
      </c>
      <c r="L532" s="68" t="s">
        <v>3672</v>
      </c>
    </row>
    <row r="533" spans="1:12" x14ac:dyDescent="0.25">
      <c r="A533" s="68" t="s">
        <v>654</v>
      </c>
      <c r="B533" s="68" t="s">
        <v>1481</v>
      </c>
      <c r="C533" s="68" t="s">
        <v>2291</v>
      </c>
      <c r="D533" s="68" t="s">
        <v>654</v>
      </c>
      <c r="F533" s="68" t="s">
        <v>3090</v>
      </c>
      <c r="H533" s="122">
        <v>44489</v>
      </c>
      <c r="I533" s="68" t="s">
        <v>3515</v>
      </c>
      <c r="J533" s="68">
        <v>227.6</v>
      </c>
      <c r="K533" s="68" t="s">
        <v>3671</v>
      </c>
      <c r="L533" s="68" t="s">
        <v>3672</v>
      </c>
    </row>
    <row r="534" spans="1:12" x14ac:dyDescent="0.25">
      <c r="A534" s="68" t="s">
        <v>449</v>
      </c>
      <c r="B534" s="68" t="s">
        <v>1276</v>
      </c>
      <c r="C534" s="68" t="s">
        <v>2089</v>
      </c>
      <c r="D534" s="68" t="s">
        <v>449</v>
      </c>
      <c r="F534" s="68" t="s">
        <v>2885</v>
      </c>
      <c r="H534" s="122">
        <v>44488</v>
      </c>
      <c r="I534" s="68" t="s">
        <v>3515</v>
      </c>
      <c r="J534" s="68">
        <v>349.2</v>
      </c>
      <c r="K534" s="68" t="s">
        <v>3671</v>
      </c>
      <c r="L534" s="68" t="s">
        <v>3672</v>
      </c>
    </row>
    <row r="535" spans="1:12" x14ac:dyDescent="0.25">
      <c r="A535" s="68" t="s">
        <v>655</v>
      </c>
      <c r="B535" s="68" t="s">
        <v>1482</v>
      </c>
      <c r="C535" s="68" t="s">
        <v>2292</v>
      </c>
      <c r="D535" s="68" t="s">
        <v>655</v>
      </c>
      <c r="F535" s="68" t="s">
        <v>3091</v>
      </c>
      <c r="H535" s="122">
        <v>44488</v>
      </c>
      <c r="I535" s="68" t="s">
        <v>3515</v>
      </c>
      <c r="J535" s="68">
        <v>612</v>
      </c>
      <c r="K535" s="68" t="s">
        <v>3671</v>
      </c>
      <c r="L535" s="68" t="s">
        <v>3672</v>
      </c>
    </row>
    <row r="536" spans="1:12" x14ac:dyDescent="0.25">
      <c r="A536" s="68" t="s">
        <v>656</v>
      </c>
      <c r="B536" s="68" t="s">
        <v>1483</v>
      </c>
      <c r="C536" s="68" t="s">
        <v>2293</v>
      </c>
      <c r="D536" s="68" t="s">
        <v>656</v>
      </c>
      <c r="F536" s="68" t="s">
        <v>3092</v>
      </c>
      <c r="H536" s="122">
        <v>44448</v>
      </c>
      <c r="I536" s="68" t="s">
        <v>3466</v>
      </c>
      <c r="J536" s="68">
        <v>256.39999999999998</v>
      </c>
      <c r="K536" s="68" t="s">
        <v>3671</v>
      </c>
      <c r="L536" s="68" t="s">
        <v>3672</v>
      </c>
    </row>
    <row r="537" spans="1:12" x14ac:dyDescent="0.25">
      <c r="A537" s="68" t="s">
        <v>657</v>
      </c>
      <c r="B537" s="68" t="s">
        <v>1484</v>
      </c>
      <c r="C537" s="68" t="s">
        <v>2294</v>
      </c>
      <c r="D537" s="68" t="s">
        <v>657</v>
      </c>
      <c r="F537" s="68" t="s">
        <v>3093</v>
      </c>
      <c r="H537" s="122">
        <v>44448</v>
      </c>
      <c r="I537" s="68" t="s">
        <v>3515</v>
      </c>
      <c r="J537" s="68">
        <v>662.4</v>
      </c>
      <c r="K537" s="68" t="s">
        <v>3671</v>
      </c>
      <c r="L537" s="68" t="s">
        <v>3672</v>
      </c>
    </row>
    <row r="538" spans="1:12" x14ac:dyDescent="0.25">
      <c r="A538" s="68" t="s">
        <v>658</v>
      </c>
      <c r="B538" s="68" t="s">
        <v>1485</v>
      </c>
      <c r="C538" s="68" t="s">
        <v>2295</v>
      </c>
      <c r="D538" s="68" t="s">
        <v>658</v>
      </c>
      <c r="F538" s="68" t="s">
        <v>3094</v>
      </c>
      <c r="H538" s="122">
        <v>44487</v>
      </c>
      <c r="I538" s="68" t="s">
        <v>3515</v>
      </c>
      <c r="J538" s="68">
        <v>159.6</v>
      </c>
      <c r="K538" s="68" t="s">
        <v>3671</v>
      </c>
      <c r="L538" s="68" t="s">
        <v>3672</v>
      </c>
    </row>
    <row r="539" spans="1:12" x14ac:dyDescent="0.25">
      <c r="A539" s="68" t="s">
        <v>659</v>
      </c>
      <c r="B539" s="68" t="s">
        <v>1486</v>
      </c>
      <c r="C539" s="68" t="s">
        <v>2296</v>
      </c>
      <c r="D539" s="68" t="s">
        <v>659</v>
      </c>
      <c r="F539" s="68" t="s">
        <v>3095</v>
      </c>
      <c r="H539" s="122">
        <v>44487</v>
      </c>
      <c r="I539" s="68" t="s">
        <v>3515</v>
      </c>
      <c r="J539" s="68">
        <v>1670.4</v>
      </c>
      <c r="K539" s="68" t="s">
        <v>3671</v>
      </c>
      <c r="L539" s="68" t="s">
        <v>3672</v>
      </c>
    </row>
    <row r="540" spans="1:12" x14ac:dyDescent="0.25">
      <c r="A540" s="68" t="s">
        <v>507</v>
      </c>
      <c r="B540" s="68" t="s">
        <v>1334</v>
      </c>
      <c r="C540" s="68" t="s">
        <v>2146</v>
      </c>
      <c r="D540" s="68" t="s">
        <v>507</v>
      </c>
      <c r="F540" s="68" t="s">
        <v>2943</v>
      </c>
      <c r="H540" s="122">
        <v>44487</v>
      </c>
      <c r="I540" s="68" t="s">
        <v>3515</v>
      </c>
      <c r="J540" s="68">
        <v>782.8</v>
      </c>
      <c r="K540" s="68" t="s">
        <v>3671</v>
      </c>
      <c r="L540" s="68" t="s">
        <v>3672</v>
      </c>
    </row>
    <row r="541" spans="1:12" x14ac:dyDescent="0.25">
      <c r="A541" s="68" t="s">
        <v>635</v>
      </c>
      <c r="B541" s="68" t="s">
        <v>1462</v>
      </c>
      <c r="C541" s="68" t="s">
        <v>2272</v>
      </c>
      <c r="D541" s="68" t="s">
        <v>635</v>
      </c>
      <c r="F541" s="68" t="s">
        <v>3071</v>
      </c>
      <c r="H541" s="122">
        <v>44484</v>
      </c>
      <c r="I541" s="68" t="s">
        <v>3515</v>
      </c>
      <c r="J541" s="68">
        <v>850</v>
      </c>
      <c r="K541" s="68" t="s">
        <v>3671</v>
      </c>
      <c r="L541" s="68" t="s">
        <v>3672</v>
      </c>
    </row>
    <row r="542" spans="1:12" x14ac:dyDescent="0.25">
      <c r="A542" s="68" t="s">
        <v>660</v>
      </c>
      <c r="B542" s="68" t="s">
        <v>1487</v>
      </c>
      <c r="C542" s="68" t="s">
        <v>2297</v>
      </c>
      <c r="D542" s="68" t="s">
        <v>660</v>
      </c>
      <c r="F542" s="68" t="s">
        <v>3096</v>
      </c>
      <c r="H542" s="122">
        <v>44484</v>
      </c>
      <c r="I542" s="68" t="s">
        <v>3515</v>
      </c>
      <c r="J542" s="68">
        <v>646.79999999999995</v>
      </c>
      <c r="K542" s="68" t="s">
        <v>3671</v>
      </c>
      <c r="L542" s="68" t="s">
        <v>3672</v>
      </c>
    </row>
    <row r="543" spans="1:12" x14ac:dyDescent="0.25">
      <c r="A543" s="68" t="s">
        <v>661</v>
      </c>
      <c r="B543" s="68" t="s">
        <v>1488</v>
      </c>
      <c r="C543" s="68" t="s">
        <v>2298</v>
      </c>
      <c r="D543" s="68" t="s">
        <v>661</v>
      </c>
      <c r="F543" s="68" t="s">
        <v>3097</v>
      </c>
      <c r="H543" s="122">
        <v>44483</v>
      </c>
      <c r="I543" s="68" t="s">
        <v>3537</v>
      </c>
      <c r="J543" s="68">
        <v>182.8</v>
      </c>
      <c r="K543" s="68" t="s">
        <v>3671</v>
      </c>
      <c r="L543" s="68" t="s">
        <v>3672</v>
      </c>
    </row>
    <row r="544" spans="1:12" x14ac:dyDescent="0.25">
      <c r="A544" s="68" t="s">
        <v>662</v>
      </c>
      <c r="B544" s="68" t="s">
        <v>1489</v>
      </c>
      <c r="C544" s="68" t="s">
        <v>2299</v>
      </c>
      <c r="D544" s="68" t="s">
        <v>662</v>
      </c>
      <c r="F544" s="68" t="s">
        <v>3098</v>
      </c>
      <c r="H544" s="122">
        <v>44483</v>
      </c>
      <c r="I544" s="68" t="s">
        <v>3537</v>
      </c>
      <c r="J544" s="68">
        <v>253.2</v>
      </c>
      <c r="K544" s="68" t="s">
        <v>3671</v>
      </c>
      <c r="L544" s="68" t="s">
        <v>3672</v>
      </c>
    </row>
    <row r="545" spans="1:12" x14ac:dyDescent="0.25">
      <c r="A545" s="68" t="s">
        <v>663</v>
      </c>
      <c r="B545" s="68" t="s">
        <v>1490</v>
      </c>
      <c r="C545" s="68" t="s">
        <v>2300</v>
      </c>
      <c r="D545" s="68" t="s">
        <v>663</v>
      </c>
      <c r="F545" s="68" t="s">
        <v>3099</v>
      </c>
      <c r="H545" s="122">
        <v>44482</v>
      </c>
      <c r="I545" s="68" t="s">
        <v>3538</v>
      </c>
      <c r="J545" s="68">
        <v>227.6</v>
      </c>
      <c r="K545" s="68" t="s">
        <v>3671</v>
      </c>
      <c r="L545" s="68" t="s">
        <v>3672</v>
      </c>
    </row>
    <row r="546" spans="1:12" x14ac:dyDescent="0.25">
      <c r="A546" s="68" t="s">
        <v>664</v>
      </c>
      <c r="B546" s="68" t="s">
        <v>1491</v>
      </c>
      <c r="C546" s="68" t="s">
        <v>2301</v>
      </c>
      <c r="D546" s="68" t="s">
        <v>664</v>
      </c>
      <c r="F546" s="68" t="s">
        <v>3100</v>
      </c>
      <c r="H546" s="122">
        <v>44482</v>
      </c>
      <c r="I546" s="68" t="s">
        <v>3538</v>
      </c>
      <c r="J546" s="68">
        <v>486</v>
      </c>
      <c r="K546" s="68" t="s">
        <v>3671</v>
      </c>
      <c r="L546" s="68" t="s">
        <v>3672</v>
      </c>
    </row>
    <row r="547" spans="1:12" x14ac:dyDescent="0.25">
      <c r="A547" s="68" t="s">
        <v>604</v>
      </c>
      <c r="B547" s="68" t="s">
        <v>1431</v>
      </c>
      <c r="C547" s="68" t="s">
        <v>2241</v>
      </c>
      <c r="D547" s="68" t="s">
        <v>604</v>
      </c>
      <c r="F547" s="68" t="s">
        <v>3040</v>
      </c>
      <c r="H547" s="122">
        <v>44482</v>
      </c>
      <c r="I547" s="68" t="s">
        <v>3538</v>
      </c>
      <c r="J547" s="68">
        <v>506.4</v>
      </c>
      <c r="K547" s="68" t="s">
        <v>3671</v>
      </c>
      <c r="L547" s="68" t="s">
        <v>3672</v>
      </c>
    </row>
    <row r="548" spans="1:12" x14ac:dyDescent="0.25">
      <c r="A548" s="68" t="s">
        <v>665</v>
      </c>
      <c r="B548" s="68" t="s">
        <v>1492</v>
      </c>
      <c r="C548" s="68" t="s">
        <v>2302</v>
      </c>
      <c r="D548" s="68" t="s">
        <v>665</v>
      </c>
      <c r="F548" s="68" t="s">
        <v>3101</v>
      </c>
      <c r="H548" s="122">
        <v>44482</v>
      </c>
      <c r="I548" s="68" t="s">
        <v>3538</v>
      </c>
      <c r="J548" s="68">
        <v>227.6</v>
      </c>
      <c r="K548" s="68" t="s">
        <v>3671</v>
      </c>
      <c r="L548" s="68" t="s">
        <v>3672</v>
      </c>
    </row>
    <row r="549" spans="1:12" x14ac:dyDescent="0.25">
      <c r="A549" s="68" t="s">
        <v>586</v>
      </c>
      <c r="B549" s="68" t="s">
        <v>1413</v>
      </c>
      <c r="C549" s="68" t="s">
        <v>2225</v>
      </c>
      <c r="D549" s="68" t="s">
        <v>586</v>
      </c>
      <c r="F549" s="68" t="s">
        <v>3022</v>
      </c>
      <c r="H549" s="122">
        <v>44482</v>
      </c>
      <c r="I549" s="68" t="s">
        <v>3538</v>
      </c>
      <c r="J549" s="68">
        <v>332.4</v>
      </c>
      <c r="K549" s="68" t="s">
        <v>3671</v>
      </c>
      <c r="L549" s="68" t="s">
        <v>3672</v>
      </c>
    </row>
    <row r="550" spans="1:12" x14ac:dyDescent="0.25">
      <c r="A550" s="68" t="s">
        <v>666</v>
      </c>
      <c r="B550" s="68" t="s">
        <v>1493</v>
      </c>
      <c r="C550" s="68" t="s">
        <v>2303</v>
      </c>
      <c r="D550" s="68" t="s">
        <v>666</v>
      </c>
      <c r="F550" s="68" t="s">
        <v>3102</v>
      </c>
      <c r="H550" s="122">
        <v>44452</v>
      </c>
      <c r="I550" s="68" t="s">
        <v>3442</v>
      </c>
      <c r="J550" s="68">
        <v>244.4</v>
      </c>
      <c r="K550" s="68" t="s">
        <v>3671</v>
      </c>
      <c r="L550" s="68" t="s">
        <v>3672</v>
      </c>
    </row>
    <row r="551" spans="1:12" x14ac:dyDescent="0.25">
      <c r="A551" s="68" t="s">
        <v>662</v>
      </c>
      <c r="B551" s="68" t="s">
        <v>1489</v>
      </c>
      <c r="C551" s="68" t="s">
        <v>2299</v>
      </c>
      <c r="D551" s="68" t="s">
        <v>662</v>
      </c>
      <c r="F551" s="68" t="s">
        <v>3098</v>
      </c>
      <c r="H551" s="122">
        <v>44481</v>
      </c>
      <c r="I551" s="68" t="s">
        <v>3516</v>
      </c>
      <c r="J551" s="68">
        <v>451.2</v>
      </c>
      <c r="K551" s="68" t="s">
        <v>3671</v>
      </c>
      <c r="L551" s="68" t="s">
        <v>3672</v>
      </c>
    </row>
    <row r="552" spans="1:12" x14ac:dyDescent="0.25">
      <c r="A552" s="68" t="s">
        <v>667</v>
      </c>
      <c r="B552" s="68" t="s">
        <v>1494</v>
      </c>
      <c r="C552" s="68" t="s">
        <v>2304</v>
      </c>
      <c r="D552" s="68" t="s">
        <v>667</v>
      </c>
      <c r="F552" s="68" t="s">
        <v>3103</v>
      </c>
      <c r="H552" s="122">
        <v>44477</v>
      </c>
      <c r="I552" s="68" t="s">
        <v>3513</v>
      </c>
      <c r="J552" s="68">
        <v>266</v>
      </c>
      <c r="K552" s="68" t="s">
        <v>3671</v>
      </c>
      <c r="L552" s="68" t="s">
        <v>3672</v>
      </c>
    </row>
    <row r="553" spans="1:12" x14ac:dyDescent="0.25">
      <c r="A553" s="68" t="s">
        <v>668</v>
      </c>
      <c r="B553" s="68" t="s">
        <v>1495</v>
      </c>
      <c r="C553" s="68" t="s">
        <v>2304</v>
      </c>
      <c r="D553" s="68" t="s">
        <v>668</v>
      </c>
      <c r="F553" s="68" t="s">
        <v>3104</v>
      </c>
      <c r="H553" s="122">
        <v>44477</v>
      </c>
      <c r="I553" s="68" t="s">
        <v>3513</v>
      </c>
      <c r="J553" s="68">
        <v>266</v>
      </c>
      <c r="K553" s="68" t="s">
        <v>3671</v>
      </c>
      <c r="L553" s="68" t="s">
        <v>3672</v>
      </c>
    </row>
    <row r="554" spans="1:12" x14ac:dyDescent="0.25">
      <c r="A554" s="68" t="s">
        <v>669</v>
      </c>
      <c r="B554" s="68" t="s">
        <v>1496</v>
      </c>
      <c r="C554" s="68" t="s">
        <v>2305</v>
      </c>
      <c r="D554" s="68" t="s">
        <v>669</v>
      </c>
      <c r="F554" s="68" t="s">
        <v>3105</v>
      </c>
      <c r="H554" s="122">
        <v>44477</v>
      </c>
      <c r="I554" s="68" t="s">
        <v>3513</v>
      </c>
      <c r="J554" s="68">
        <v>266</v>
      </c>
      <c r="K554" s="68" t="s">
        <v>3671</v>
      </c>
      <c r="L554" s="68" t="s">
        <v>3672</v>
      </c>
    </row>
    <row r="555" spans="1:12" x14ac:dyDescent="0.25">
      <c r="A555" s="68" t="s">
        <v>670</v>
      </c>
      <c r="B555" s="68" t="s">
        <v>1497</v>
      </c>
      <c r="C555" s="68" t="s">
        <v>2306</v>
      </c>
      <c r="D555" s="68" t="s">
        <v>670</v>
      </c>
      <c r="F555" s="68" t="s">
        <v>3106</v>
      </c>
      <c r="H555" s="122">
        <v>44477</v>
      </c>
      <c r="I555" s="68" t="s">
        <v>3444</v>
      </c>
      <c r="J555" s="68">
        <v>244.8</v>
      </c>
      <c r="K555" s="68" t="s">
        <v>3671</v>
      </c>
      <c r="L555" s="68" t="s">
        <v>3672</v>
      </c>
    </row>
    <row r="556" spans="1:12" x14ac:dyDescent="0.25">
      <c r="A556" s="68" t="s">
        <v>499</v>
      </c>
      <c r="B556" s="68" t="s">
        <v>1326</v>
      </c>
      <c r="C556" s="68" t="s">
        <v>2138</v>
      </c>
      <c r="D556" s="68" t="s">
        <v>499</v>
      </c>
      <c r="F556" s="68" t="s">
        <v>2935</v>
      </c>
      <c r="H556" s="122">
        <v>44477</v>
      </c>
      <c r="I556" s="68" t="s">
        <v>3444</v>
      </c>
      <c r="J556" s="68">
        <v>332.4</v>
      </c>
      <c r="K556" s="68" t="s">
        <v>3671</v>
      </c>
      <c r="L556" s="68" t="s">
        <v>3672</v>
      </c>
    </row>
    <row r="557" spans="1:12" x14ac:dyDescent="0.25">
      <c r="A557" s="68" t="s">
        <v>566</v>
      </c>
      <c r="B557" s="68" t="s">
        <v>1393</v>
      </c>
      <c r="C557" s="68" t="s">
        <v>2205</v>
      </c>
      <c r="D557" s="68" t="s">
        <v>566</v>
      </c>
      <c r="F557" s="68" t="s">
        <v>3002</v>
      </c>
      <c r="H557" s="122">
        <v>44476</v>
      </c>
      <c r="I557" s="68" t="s">
        <v>3444</v>
      </c>
      <c r="J557" s="68">
        <v>374.4</v>
      </c>
      <c r="K557" s="68" t="s">
        <v>3671</v>
      </c>
      <c r="L557" s="68" t="s">
        <v>3672</v>
      </c>
    </row>
    <row r="558" spans="1:12" x14ac:dyDescent="0.25">
      <c r="A558" s="68" t="s">
        <v>544</v>
      </c>
      <c r="B558" s="68" t="s">
        <v>1371</v>
      </c>
      <c r="C558" s="68" t="s">
        <v>2183</v>
      </c>
      <c r="D558" s="68" t="s">
        <v>544</v>
      </c>
      <c r="F558" s="68" t="s">
        <v>2980</v>
      </c>
      <c r="H558" s="122">
        <v>44475</v>
      </c>
      <c r="I558" s="68" t="s">
        <v>3539</v>
      </c>
      <c r="J558" s="68">
        <v>114</v>
      </c>
      <c r="K558" s="68" t="s">
        <v>3671</v>
      </c>
      <c r="L558" s="68" t="s">
        <v>3672</v>
      </c>
    </row>
    <row r="559" spans="1:12" x14ac:dyDescent="0.25">
      <c r="A559" s="68" t="s">
        <v>561</v>
      </c>
      <c r="B559" s="68" t="s">
        <v>1388</v>
      </c>
      <c r="C559" s="68" t="s">
        <v>2200</v>
      </c>
      <c r="D559" s="68" t="s">
        <v>561</v>
      </c>
      <c r="F559" s="68" t="s">
        <v>2997</v>
      </c>
      <c r="H559" s="122">
        <v>44469</v>
      </c>
      <c r="I559" s="68" t="s">
        <v>3540</v>
      </c>
      <c r="J559" s="68">
        <v>250.8</v>
      </c>
      <c r="K559" s="68" t="s">
        <v>3671</v>
      </c>
      <c r="L559" s="68" t="s">
        <v>3672</v>
      </c>
    </row>
    <row r="560" spans="1:12" x14ac:dyDescent="0.25">
      <c r="A560" s="68" t="s">
        <v>657</v>
      </c>
      <c r="B560" s="68" t="s">
        <v>1484</v>
      </c>
      <c r="C560" s="68" t="s">
        <v>2294</v>
      </c>
      <c r="D560" s="68" t="s">
        <v>657</v>
      </c>
      <c r="F560" s="68" t="s">
        <v>3093</v>
      </c>
      <c r="H560" s="122">
        <v>44467</v>
      </c>
      <c r="I560" s="68" t="s">
        <v>3541</v>
      </c>
      <c r="J560" s="68">
        <v>520</v>
      </c>
      <c r="K560" s="68" t="s">
        <v>3671</v>
      </c>
      <c r="L560" s="68" t="s">
        <v>3672</v>
      </c>
    </row>
    <row r="561" spans="1:12" x14ac:dyDescent="0.25">
      <c r="A561" s="68" t="s">
        <v>671</v>
      </c>
      <c r="B561" s="68" t="s">
        <v>1498</v>
      </c>
      <c r="C561" s="68" t="s">
        <v>2307</v>
      </c>
      <c r="D561" s="68" t="s">
        <v>671</v>
      </c>
      <c r="F561" s="68" t="s">
        <v>3107</v>
      </c>
      <c r="H561" s="122">
        <v>44463</v>
      </c>
      <c r="I561" s="68" t="s">
        <v>3542</v>
      </c>
      <c r="J561" s="68">
        <v>466.8</v>
      </c>
      <c r="K561" s="68" t="s">
        <v>3671</v>
      </c>
      <c r="L561" s="68" t="s">
        <v>3672</v>
      </c>
    </row>
    <row r="562" spans="1:12" x14ac:dyDescent="0.25">
      <c r="A562" s="68" t="s">
        <v>431</v>
      </c>
      <c r="B562" s="68" t="s">
        <v>1258</v>
      </c>
      <c r="C562" s="68" t="s">
        <v>2071</v>
      </c>
      <c r="D562" s="68" t="s">
        <v>431</v>
      </c>
      <c r="F562" s="68" t="s">
        <v>2867</v>
      </c>
      <c r="H562" s="122">
        <v>44447</v>
      </c>
      <c r="I562" s="68" t="s">
        <v>3543</v>
      </c>
      <c r="J562" s="68">
        <v>170.4</v>
      </c>
      <c r="K562" s="68" t="s">
        <v>3671</v>
      </c>
      <c r="L562" s="68" t="s">
        <v>3672</v>
      </c>
    </row>
    <row r="563" spans="1:12" x14ac:dyDescent="0.25">
      <c r="A563" s="68" t="s">
        <v>672</v>
      </c>
      <c r="B563" s="68" t="s">
        <v>1499</v>
      </c>
      <c r="C563" s="68" t="s">
        <v>2308</v>
      </c>
      <c r="D563" s="68" t="s">
        <v>672</v>
      </c>
      <c r="F563" s="68" t="s">
        <v>3108</v>
      </c>
      <c r="H563" s="122">
        <v>44457</v>
      </c>
      <c r="I563" s="68" t="s">
        <v>3438</v>
      </c>
      <c r="J563" s="68">
        <v>266</v>
      </c>
      <c r="K563" s="68" t="s">
        <v>3671</v>
      </c>
      <c r="L563" s="68" t="s">
        <v>3672</v>
      </c>
    </row>
    <row r="564" spans="1:12" x14ac:dyDescent="0.25">
      <c r="A564" s="68" t="s">
        <v>673</v>
      </c>
      <c r="B564" s="68" t="s">
        <v>1500</v>
      </c>
      <c r="C564" s="68" t="s">
        <v>2309</v>
      </c>
      <c r="D564" s="68" t="s">
        <v>673</v>
      </c>
      <c r="F564" s="68" t="s">
        <v>3109</v>
      </c>
      <c r="H564" s="122">
        <v>44456</v>
      </c>
      <c r="I564" s="68" t="s">
        <v>3544</v>
      </c>
      <c r="J564" s="68">
        <v>218.4</v>
      </c>
      <c r="K564" s="68" t="s">
        <v>3671</v>
      </c>
      <c r="L564" s="68" t="s">
        <v>3672</v>
      </c>
    </row>
    <row r="565" spans="1:12" x14ac:dyDescent="0.25">
      <c r="A565" s="68" t="s">
        <v>590</v>
      </c>
      <c r="B565" s="68" t="s">
        <v>1417</v>
      </c>
      <c r="C565" s="68" t="s">
        <v>2228</v>
      </c>
      <c r="D565" s="68" t="s">
        <v>590</v>
      </c>
      <c r="F565" s="68" t="s">
        <v>3026</v>
      </c>
      <c r="H565" s="122">
        <v>44456</v>
      </c>
      <c r="I565" s="68" t="s">
        <v>3544</v>
      </c>
      <c r="J565" s="68">
        <v>302.39999999999998</v>
      </c>
      <c r="K565" s="68" t="s">
        <v>3671</v>
      </c>
      <c r="L565" s="68" t="s">
        <v>3672</v>
      </c>
    </row>
    <row r="566" spans="1:12" x14ac:dyDescent="0.25">
      <c r="A566" s="68" t="s">
        <v>435</v>
      </c>
      <c r="B566" s="68" t="s">
        <v>1262</v>
      </c>
      <c r="C566" s="68" t="s">
        <v>2075</v>
      </c>
      <c r="D566" s="68" t="s">
        <v>435</v>
      </c>
      <c r="F566" s="68" t="s">
        <v>2871</v>
      </c>
      <c r="H566" s="122">
        <v>44455</v>
      </c>
      <c r="I566" s="68" t="s">
        <v>3544</v>
      </c>
      <c r="J566" s="68">
        <v>507.6</v>
      </c>
      <c r="K566" s="68" t="s">
        <v>3671</v>
      </c>
      <c r="L566" s="68" t="s">
        <v>3672</v>
      </c>
    </row>
    <row r="567" spans="1:12" x14ac:dyDescent="0.25">
      <c r="A567" s="68" t="s">
        <v>674</v>
      </c>
      <c r="B567" s="68" t="s">
        <v>1501</v>
      </c>
      <c r="C567" s="68" t="s">
        <v>2310</v>
      </c>
      <c r="D567" s="68" t="s">
        <v>674</v>
      </c>
      <c r="F567" s="68" t="s">
        <v>3110</v>
      </c>
      <c r="H567" s="122">
        <v>44454</v>
      </c>
      <c r="I567" s="68" t="s">
        <v>3545</v>
      </c>
      <c r="J567" s="68">
        <v>432</v>
      </c>
      <c r="K567" s="68" t="s">
        <v>3671</v>
      </c>
      <c r="L567" s="68" t="s">
        <v>3672</v>
      </c>
    </row>
    <row r="568" spans="1:12" x14ac:dyDescent="0.25">
      <c r="A568" s="68" t="s">
        <v>675</v>
      </c>
      <c r="B568" s="68" t="s">
        <v>1502</v>
      </c>
      <c r="C568" s="68" t="s">
        <v>2311</v>
      </c>
      <c r="D568" s="68" t="s">
        <v>675</v>
      </c>
      <c r="F568" s="68" t="s">
        <v>3111</v>
      </c>
      <c r="H568" s="122">
        <v>44453</v>
      </c>
      <c r="I568" s="68" t="s">
        <v>3545</v>
      </c>
      <c r="J568" s="68">
        <v>1006.8</v>
      </c>
      <c r="K568" s="68" t="s">
        <v>3671</v>
      </c>
      <c r="L568" s="68" t="s">
        <v>3672</v>
      </c>
    </row>
    <row r="569" spans="1:12" x14ac:dyDescent="0.25">
      <c r="A569" s="68" t="s">
        <v>676</v>
      </c>
      <c r="B569" s="68" t="s">
        <v>1503</v>
      </c>
      <c r="C569" s="68" t="s">
        <v>2312</v>
      </c>
      <c r="D569" s="68" t="s">
        <v>676</v>
      </c>
      <c r="F569" s="68" t="s">
        <v>3112</v>
      </c>
      <c r="H569" s="122">
        <v>44452</v>
      </c>
      <c r="I569" s="68" t="s">
        <v>3476</v>
      </c>
      <c r="J569" s="68">
        <v>216</v>
      </c>
      <c r="K569" s="68" t="s">
        <v>3671</v>
      </c>
      <c r="L569" s="68" t="s">
        <v>3672</v>
      </c>
    </row>
    <row r="570" spans="1:12" x14ac:dyDescent="0.25">
      <c r="A570" s="68" t="s">
        <v>675</v>
      </c>
      <c r="B570" s="68" t="s">
        <v>1502</v>
      </c>
      <c r="C570" s="68" t="s">
        <v>2311</v>
      </c>
      <c r="D570" s="68" t="s">
        <v>675</v>
      </c>
      <c r="F570" s="68" t="s">
        <v>3111</v>
      </c>
      <c r="H570" s="122">
        <v>44447</v>
      </c>
      <c r="I570" s="68" t="s">
        <v>3476</v>
      </c>
      <c r="J570" s="68">
        <v>266</v>
      </c>
      <c r="K570" s="68" t="s">
        <v>3671</v>
      </c>
      <c r="L570" s="68" t="s">
        <v>3672</v>
      </c>
    </row>
    <row r="571" spans="1:12" x14ac:dyDescent="0.25">
      <c r="A571" s="68" t="s">
        <v>547</v>
      </c>
      <c r="B571" s="68" t="s">
        <v>1374</v>
      </c>
      <c r="C571" s="68" t="s">
        <v>2186</v>
      </c>
      <c r="D571" s="68" t="s">
        <v>547</v>
      </c>
      <c r="F571" s="68" t="s">
        <v>2983</v>
      </c>
      <c r="H571" s="122">
        <v>44447</v>
      </c>
      <c r="I571" s="68" t="s">
        <v>3476</v>
      </c>
      <c r="J571" s="68">
        <v>186</v>
      </c>
      <c r="K571" s="68" t="s">
        <v>3671</v>
      </c>
      <c r="L571" s="68" t="s">
        <v>3672</v>
      </c>
    </row>
    <row r="572" spans="1:12" x14ac:dyDescent="0.25">
      <c r="A572" s="68" t="s">
        <v>611</v>
      </c>
      <c r="B572" s="68" t="s">
        <v>1438</v>
      </c>
      <c r="C572" s="68" t="s">
        <v>2248</v>
      </c>
      <c r="D572" s="68" t="s">
        <v>611</v>
      </c>
      <c r="F572" s="68" t="s">
        <v>3047</v>
      </c>
      <c r="H572" s="122">
        <v>44447</v>
      </c>
      <c r="I572" s="68" t="s">
        <v>3476</v>
      </c>
      <c r="J572" s="68">
        <v>453.2</v>
      </c>
      <c r="K572" s="68" t="s">
        <v>3671</v>
      </c>
      <c r="L572" s="68" t="s">
        <v>3672</v>
      </c>
    </row>
    <row r="573" spans="1:12" x14ac:dyDescent="0.25">
      <c r="A573" s="68" t="s">
        <v>610</v>
      </c>
      <c r="B573" s="68" t="s">
        <v>1437</v>
      </c>
      <c r="C573" s="68" t="s">
        <v>2247</v>
      </c>
      <c r="D573" s="68" t="s">
        <v>610</v>
      </c>
      <c r="F573" s="68" t="s">
        <v>3046</v>
      </c>
      <c r="H573" s="122">
        <v>44446</v>
      </c>
      <c r="I573" s="68" t="s">
        <v>3546</v>
      </c>
      <c r="J573" s="68">
        <v>846</v>
      </c>
      <c r="K573" s="68" t="s">
        <v>3671</v>
      </c>
      <c r="L573" s="68" t="s">
        <v>3672</v>
      </c>
    </row>
    <row r="574" spans="1:12" x14ac:dyDescent="0.25">
      <c r="A574" s="68" t="s">
        <v>610</v>
      </c>
      <c r="B574" s="68" t="s">
        <v>1437</v>
      </c>
      <c r="C574" s="68" t="s">
        <v>2247</v>
      </c>
      <c r="D574" s="68" t="s">
        <v>610</v>
      </c>
      <c r="F574" s="68" t="s">
        <v>3046</v>
      </c>
      <c r="H574" s="122">
        <v>44446</v>
      </c>
      <c r="I574" s="68" t="s">
        <v>3546</v>
      </c>
      <c r="J574" s="68">
        <v>453.2</v>
      </c>
      <c r="K574" s="68" t="s">
        <v>3671</v>
      </c>
      <c r="L574" s="68" t="s">
        <v>3672</v>
      </c>
    </row>
    <row r="575" spans="1:12" x14ac:dyDescent="0.25">
      <c r="A575" s="68" t="s">
        <v>677</v>
      </c>
      <c r="B575" s="68" t="s">
        <v>1504</v>
      </c>
      <c r="C575" s="68" t="s">
        <v>2313</v>
      </c>
      <c r="D575" s="68" t="s">
        <v>677</v>
      </c>
      <c r="F575" s="68" t="s">
        <v>3113</v>
      </c>
      <c r="H575" s="122">
        <v>44442</v>
      </c>
      <c r="I575" s="68" t="s">
        <v>3517</v>
      </c>
      <c r="J575" s="68">
        <v>316</v>
      </c>
      <c r="K575" s="68" t="s">
        <v>3671</v>
      </c>
      <c r="L575" s="68" t="s">
        <v>3672</v>
      </c>
    </row>
    <row r="576" spans="1:12" x14ac:dyDescent="0.25">
      <c r="A576" s="68" t="s">
        <v>678</v>
      </c>
      <c r="B576" s="68" t="s">
        <v>1505</v>
      </c>
      <c r="C576" s="68" t="s">
        <v>2314</v>
      </c>
      <c r="D576" s="68" t="s">
        <v>678</v>
      </c>
      <c r="F576" s="68" t="s">
        <v>3114</v>
      </c>
      <c r="H576" s="122">
        <v>44439</v>
      </c>
      <c r="I576" s="68" t="s">
        <v>3547</v>
      </c>
      <c r="J576" s="68">
        <v>61.2</v>
      </c>
      <c r="K576" s="68" t="s">
        <v>3671</v>
      </c>
      <c r="L576" s="68" t="s">
        <v>3672</v>
      </c>
    </row>
    <row r="577" spans="1:12" x14ac:dyDescent="0.25">
      <c r="A577" s="68" t="s">
        <v>447</v>
      </c>
      <c r="B577" s="68" t="s">
        <v>1274</v>
      </c>
      <c r="C577" s="68" t="s">
        <v>2087</v>
      </c>
      <c r="D577" s="68" t="s">
        <v>447</v>
      </c>
      <c r="F577" s="68" t="s">
        <v>2883</v>
      </c>
      <c r="H577" s="122">
        <v>44435</v>
      </c>
      <c r="I577" s="68" t="s">
        <v>3477</v>
      </c>
      <c r="J577" s="68">
        <v>196.8</v>
      </c>
      <c r="K577" s="68" t="s">
        <v>3671</v>
      </c>
      <c r="L577" s="68" t="s">
        <v>3672</v>
      </c>
    </row>
    <row r="578" spans="1:12" x14ac:dyDescent="0.25">
      <c r="A578" s="68" t="s">
        <v>679</v>
      </c>
      <c r="B578" s="68" t="s">
        <v>1506</v>
      </c>
      <c r="C578" s="68" t="s">
        <v>2315</v>
      </c>
      <c r="D578" s="68" t="s">
        <v>679</v>
      </c>
      <c r="F578" s="68" t="s">
        <v>3115</v>
      </c>
      <c r="H578" s="122">
        <v>44434</v>
      </c>
      <c r="I578" s="68" t="s">
        <v>3477</v>
      </c>
      <c r="J578" s="68">
        <v>278.39999999999998</v>
      </c>
      <c r="K578" s="68" t="s">
        <v>3671</v>
      </c>
      <c r="L578" s="68" t="s">
        <v>3672</v>
      </c>
    </row>
    <row r="579" spans="1:12" x14ac:dyDescent="0.25">
      <c r="A579" s="68" t="s">
        <v>450</v>
      </c>
      <c r="B579" s="68" t="s">
        <v>1277</v>
      </c>
      <c r="C579" s="68" t="s">
        <v>2090</v>
      </c>
      <c r="D579" s="68" t="s">
        <v>450</v>
      </c>
      <c r="F579" s="68" t="s">
        <v>2886</v>
      </c>
      <c r="H579" s="122">
        <v>44433</v>
      </c>
      <c r="I579" s="68" t="s">
        <v>3477</v>
      </c>
      <c r="J579" s="68">
        <v>180</v>
      </c>
      <c r="K579" s="68" t="s">
        <v>3671</v>
      </c>
      <c r="L579" s="68" t="s">
        <v>3672</v>
      </c>
    </row>
    <row r="580" spans="1:12" x14ac:dyDescent="0.25">
      <c r="A580" s="68" t="s">
        <v>674</v>
      </c>
      <c r="B580" s="68" t="s">
        <v>1501</v>
      </c>
      <c r="C580" s="68" t="s">
        <v>2310</v>
      </c>
      <c r="D580" s="68" t="s">
        <v>674</v>
      </c>
      <c r="F580" s="68" t="s">
        <v>3110</v>
      </c>
      <c r="H580" s="122">
        <v>44431</v>
      </c>
      <c r="I580" s="68" t="s">
        <v>3518</v>
      </c>
      <c r="J580" s="68">
        <v>432</v>
      </c>
      <c r="K580" s="68" t="s">
        <v>3671</v>
      </c>
      <c r="L580" s="68" t="s">
        <v>3672</v>
      </c>
    </row>
    <row r="581" spans="1:12" x14ac:dyDescent="0.25">
      <c r="A581" s="68" t="s">
        <v>680</v>
      </c>
      <c r="B581" s="68" t="s">
        <v>1507</v>
      </c>
      <c r="C581" s="68" t="s">
        <v>2316</v>
      </c>
      <c r="D581" s="68" t="s">
        <v>680</v>
      </c>
      <c r="F581" s="68" t="s">
        <v>3116</v>
      </c>
      <c r="H581" s="122">
        <v>44410</v>
      </c>
      <c r="I581" s="68" t="s">
        <v>3519</v>
      </c>
      <c r="J581" s="68">
        <v>216</v>
      </c>
      <c r="K581" s="68" t="s">
        <v>3671</v>
      </c>
      <c r="L581" s="68" t="s">
        <v>3672</v>
      </c>
    </row>
    <row r="582" spans="1:12" x14ac:dyDescent="0.25">
      <c r="A582" s="68" t="s">
        <v>681</v>
      </c>
      <c r="B582" s="68" t="s">
        <v>1508</v>
      </c>
      <c r="C582" s="68" t="s">
        <v>2317</v>
      </c>
      <c r="D582" s="68" t="s">
        <v>681</v>
      </c>
      <c r="F582" s="68" t="s">
        <v>3117</v>
      </c>
      <c r="H582" s="122">
        <v>44407</v>
      </c>
      <c r="I582" s="68" t="s">
        <v>3519</v>
      </c>
      <c r="J582" s="68">
        <v>540</v>
      </c>
      <c r="K582" s="68" t="s">
        <v>3671</v>
      </c>
      <c r="L582" s="68" t="s">
        <v>3672</v>
      </c>
    </row>
    <row r="583" spans="1:12" x14ac:dyDescent="0.25">
      <c r="A583" s="68" t="s">
        <v>682</v>
      </c>
      <c r="B583" s="68" t="s">
        <v>1509</v>
      </c>
      <c r="C583" s="68" t="s">
        <v>2318</v>
      </c>
      <c r="D583" s="68" t="s">
        <v>682</v>
      </c>
      <c r="F583" s="68" t="s">
        <v>3118</v>
      </c>
      <c r="H583" s="122">
        <v>44407</v>
      </c>
      <c r="I583" s="68" t="s">
        <v>3519</v>
      </c>
      <c r="J583" s="68">
        <v>61.2</v>
      </c>
      <c r="K583" s="68" t="s">
        <v>3671</v>
      </c>
      <c r="L583" s="68" t="s">
        <v>3672</v>
      </c>
    </row>
    <row r="584" spans="1:12" x14ac:dyDescent="0.25">
      <c r="A584" s="68" t="s">
        <v>683</v>
      </c>
      <c r="B584" s="68" t="s">
        <v>1510</v>
      </c>
      <c r="C584" s="68" t="s">
        <v>2319</v>
      </c>
      <c r="D584" s="68" t="s">
        <v>683</v>
      </c>
      <c r="F584" s="68" t="s">
        <v>3119</v>
      </c>
      <c r="H584" s="122">
        <v>44406</v>
      </c>
      <c r="I584" s="68" t="s">
        <v>3519</v>
      </c>
      <c r="J584" s="68">
        <v>162</v>
      </c>
      <c r="K584" s="68" t="s">
        <v>3671</v>
      </c>
      <c r="L584" s="68" t="s">
        <v>3672</v>
      </c>
    </row>
    <row r="585" spans="1:12" x14ac:dyDescent="0.25">
      <c r="A585" s="68" t="s">
        <v>684</v>
      </c>
      <c r="B585" s="68" t="s">
        <v>1511</v>
      </c>
      <c r="C585" s="68" t="s">
        <v>2320</v>
      </c>
      <c r="D585" s="68" t="s">
        <v>684</v>
      </c>
      <c r="F585" s="68" t="s">
        <v>3120</v>
      </c>
      <c r="H585" s="122">
        <v>44396</v>
      </c>
      <c r="I585" s="68" t="s">
        <v>3548</v>
      </c>
      <c r="J585" s="68">
        <v>333.6</v>
      </c>
      <c r="K585" s="68" t="s">
        <v>3671</v>
      </c>
      <c r="L585" s="68" t="s">
        <v>3672</v>
      </c>
    </row>
    <row r="586" spans="1:12" x14ac:dyDescent="0.25">
      <c r="A586" s="68" t="s">
        <v>685</v>
      </c>
      <c r="B586" s="68" t="s">
        <v>1512</v>
      </c>
      <c r="C586" s="68" t="s">
        <v>2321</v>
      </c>
      <c r="D586" s="68" t="s">
        <v>685</v>
      </c>
      <c r="F586" s="68" t="s">
        <v>3121</v>
      </c>
      <c r="H586" s="122">
        <v>44355</v>
      </c>
      <c r="I586" s="68" t="s">
        <v>3548</v>
      </c>
      <c r="J586" s="68">
        <v>408</v>
      </c>
      <c r="K586" s="68" t="s">
        <v>3671</v>
      </c>
      <c r="L586" s="68" t="s">
        <v>3672</v>
      </c>
    </row>
    <row r="587" spans="1:12" x14ac:dyDescent="0.25">
      <c r="A587" s="68" t="s">
        <v>685</v>
      </c>
      <c r="B587" s="68" t="s">
        <v>1512</v>
      </c>
      <c r="C587" s="68" t="s">
        <v>2321</v>
      </c>
      <c r="D587" s="68" t="s">
        <v>685</v>
      </c>
      <c r="F587" s="68" t="s">
        <v>3121</v>
      </c>
      <c r="H587" s="122">
        <v>44357</v>
      </c>
      <c r="I587" s="68" t="s">
        <v>3548</v>
      </c>
      <c r="J587" s="68">
        <v>204</v>
      </c>
      <c r="K587" s="68" t="s">
        <v>3671</v>
      </c>
      <c r="L587" s="68" t="s">
        <v>3672</v>
      </c>
    </row>
    <row r="588" spans="1:12" x14ac:dyDescent="0.25">
      <c r="A588" s="68" t="s">
        <v>686</v>
      </c>
      <c r="B588" s="68" t="s">
        <v>1513</v>
      </c>
      <c r="C588" s="68" t="s">
        <v>2322</v>
      </c>
      <c r="D588" s="68" t="s">
        <v>686</v>
      </c>
      <c r="F588" s="68" t="s">
        <v>3122</v>
      </c>
      <c r="H588" s="122">
        <v>44364</v>
      </c>
      <c r="I588" s="68" t="s">
        <v>3548</v>
      </c>
      <c r="J588" s="68">
        <v>487.2</v>
      </c>
      <c r="K588" s="68" t="s">
        <v>3671</v>
      </c>
      <c r="L588" s="68" t="s">
        <v>3672</v>
      </c>
    </row>
    <row r="589" spans="1:12" x14ac:dyDescent="0.25">
      <c r="A589" s="68" t="s">
        <v>686</v>
      </c>
      <c r="B589" s="68" t="s">
        <v>1513</v>
      </c>
      <c r="C589" s="68" t="s">
        <v>2322</v>
      </c>
      <c r="D589" s="68" t="s">
        <v>686</v>
      </c>
      <c r="F589" s="68" t="s">
        <v>3122</v>
      </c>
      <c r="H589" s="122">
        <v>44363</v>
      </c>
      <c r="I589" s="68" t="s">
        <v>3548</v>
      </c>
      <c r="J589" s="68">
        <v>134.4</v>
      </c>
      <c r="K589" s="68" t="s">
        <v>3671</v>
      </c>
      <c r="L589" s="68" t="s">
        <v>3672</v>
      </c>
    </row>
    <row r="590" spans="1:12" x14ac:dyDescent="0.25">
      <c r="A590" s="68" t="s">
        <v>687</v>
      </c>
      <c r="B590" s="68" t="s">
        <v>1514</v>
      </c>
      <c r="C590" s="68" t="s">
        <v>2323</v>
      </c>
      <c r="D590" s="68" t="s">
        <v>687</v>
      </c>
      <c r="F590" s="68" t="s">
        <v>3123</v>
      </c>
      <c r="H590" s="122">
        <v>44363</v>
      </c>
      <c r="I590" s="68" t="s">
        <v>3548</v>
      </c>
      <c r="J590" s="68">
        <v>374.4</v>
      </c>
      <c r="K590" s="68" t="s">
        <v>3671</v>
      </c>
      <c r="L590" s="68" t="s">
        <v>3672</v>
      </c>
    </row>
    <row r="591" spans="1:12" x14ac:dyDescent="0.25">
      <c r="A591" s="68" t="s">
        <v>687</v>
      </c>
      <c r="B591" s="68" t="s">
        <v>1514</v>
      </c>
      <c r="C591" s="68" t="s">
        <v>2323</v>
      </c>
      <c r="D591" s="68" t="s">
        <v>687</v>
      </c>
      <c r="F591" s="68" t="s">
        <v>3123</v>
      </c>
      <c r="H591" s="122">
        <v>44362</v>
      </c>
      <c r="I591" s="68" t="s">
        <v>3548</v>
      </c>
      <c r="J591" s="68">
        <v>204</v>
      </c>
      <c r="K591" s="68" t="s">
        <v>3671</v>
      </c>
      <c r="L591" s="68" t="s">
        <v>3672</v>
      </c>
    </row>
    <row r="592" spans="1:12" x14ac:dyDescent="0.25">
      <c r="A592" s="68" t="s">
        <v>688</v>
      </c>
      <c r="B592" s="68" t="s">
        <v>1515</v>
      </c>
      <c r="C592" s="68" t="s">
        <v>2324</v>
      </c>
      <c r="D592" s="68" t="s">
        <v>688</v>
      </c>
      <c r="F592" s="68" t="s">
        <v>3124</v>
      </c>
      <c r="H592" s="122">
        <v>44371</v>
      </c>
      <c r="I592" s="68" t="s">
        <v>3548</v>
      </c>
      <c r="J592" s="68">
        <v>216</v>
      </c>
      <c r="K592" s="68" t="s">
        <v>3671</v>
      </c>
      <c r="L592" s="68" t="s">
        <v>3672</v>
      </c>
    </row>
    <row r="593" spans="1:12" x14ac:dyDescent="0.25">
      <c r="A593" s="68" t="s">
        <v>688</v>
      </c>
      <c r="B593" s="68" t="s">
        <v>1515</v>
      </c>
      <c r="C593" s="68" t="s">
        <v>2324</v>
      </c>
      <c r="D593" s="68" t="s">
        <v>688</v>
      </c>
      <c r="F593" s="68" t="s">
        <v>3124</v>
      </c>
      <c r="H593" s="122">
        <v>44361</v>
      </c>
      <c r="I593" s="68" t="s">
        <v>3548</v>
      </c>
      <c r="J593" s="68">
        <v>216</v>
      </c>
      <c r="K593" s="68" t="s">
        <v>3671</v>
      </c>
      <c r="L593" s="68" t="s">
        <v>3672</v>
      </c>
    </row>
    <row r="594" spans="1:12" x14ac:dyDescent="0.25">
      <c r="A594" s="68" t="s">
        <v>681</v>
      </c>
      <c r="B594" s="68" t="s">
        <v>1508</v>
      </c>
      <c r="C594" s="68" t="s">
        <v>2317</v>
      </c>
      <c r="D594" s="68" t="s">
        <v>681</v>
      </c>
      <c r="F594" s="68" t="s">
        <v>3117</v>
      </c>
      <c r="H594" s="122">
        <v>44391</v>
      </c>
      <c r="I594" s="68" t="s">
        <v>3548</v>
      </c>
      <c r="J594" s="68">
        <v>576</v>
      </c>
      <c r="K594" s="68" t="s">
        <v>3671</v>
      </c>
      <c r="L594" s="68" t="s">
        <v>3672</v>
      </c>
    </row>
    <row r="595" spans="1:12" x14ac:dyDescent="0.25">
      <c r="A595" s="68" t="s">
        <v>431</v>
      </c>
      <c r="B595" s="68" t="s">
        <v>1258</v>
      </c>
      <c r="C595" s="68" t="s">
        <v>2071</v>
      </c>
      <c r="D595" s="68" t="s">
        <v>431</v>
      </c>
      <c r="F595" s="68" t="s">
        <v>2867</v>
      </c>
      <c r="H595" s="122">
        <v>44371</v>
      </c>
      <c r="I595" s="68" t="s">
        <v>3549</v>
      </c>
      <c r="J595" s="68">
        <v>561.6</v>
      </c>
      <c r="K595" s="68" t="s">
        <v>3671</v>
      </c>
      <c r="L595" s="68" t="s">
        <v>3672</v>
      </c>
    </row>
    <row r="596" spans="1:12" x14ac:dyDescent="0.25">
      <c r="A596" s="68" t="s">
        <v>678</v>
      </c>
      <c r="B596" s="68" t="s">
        <v>1505</v>
      </c>
      <c r="C596" s="68" t="s">
        <v>2314</v>
      </c>
      <c r="D596" s="68" t="s">
        <v>678</v>
      </c>
      <c r="F596" s="68" t="s">
        <v>3114</v>
      </c>
      <c r="H596" s="122">
        <v>44371</v>
      </c>
      <c r="I596" s="68" t="s">
        <v>3549</v>
      </c>
      <c r="J596" s="68">
        <v>88.8</v>
      </c>
      <c r="K596" s="68" t="s">
        <v>3671</v>
      </c>
      <c r="L596" s="68" t="s">
        <v>3672</v>
      </c>
    </row>
    <row r="597" spans="1:12" x14ac:dyDescent="0.25">
      <c r="A597" s="68" t="s">
        <v>621</v>
      </c>
      <c r="B597" s="68" t="s">
        <v>1448</v>
      </c>
      <c r="C597" s="68" t="s">
        <v>2258</v>
      </c>
      <c r="D597" s="68" t="s">
        <v>621</v>
      </c>
      <c r="F597" s="68" t="s">
        <v>3057</v>
      </c>
      <c r="H597" s="122">
        <v>44371</v>
      </c>
      <c r="I597" s="68" t="s">
        <v>3550</v>
      </c>
      <c r="J597" s="68">
        <v>244.4</v>
      </c>
      <c r="K597" s="68" t="s">
        <v>3671</v>
      </c>
      <c r="L597" s="68" t="s">
        <v>3672</v>
      </c>
    </row>
    <row r="598" spans="1:12" x14ac:dyDescent="0.25">
      <c r="A598" s="68" t="s">
        <v>602</v>
      </c>
      <c r="B598" s="68" t="s">
        <v>1429</v>
      </c>
      <c r="C598" s="68" t="s">
        <v>2239</v>
      </c>
      <c r="D598" s="68" t="s">
        <v>602</v>
      </c>
      <c r="F598" s="68" t="s">
        <v>3038</v>
      </c>
      <c r="H598" s="122">
        <v>44371</v>
      </c>
      <c r="I598" s="68" t="s">
        <v>3550</v>
      </c>
      <c r="J598" s="68">
        <v>478.8</v>
      </c>
      <c r="K598" s="68" t="s">
        <v>3671</v>
      </c>
      <c r="L598" s="68" t="s">
        <v>3672</v>
      </c>
    </row>
    <row r="599" spans="1:12" x14ac:dyDescent="0.25">
      <c r="A599" s="68" t="s">
        <v>689</v>
      </c>
      <c r="B599" s="68" t="s">
        <v>1516</v>
      </c>
      <c r="C599" s="68" t="s">
        <v>2325</v>
      </c>
      <c r="D599" s="68" t="s">
        <v>689</v>
      </c>
      <c r="F599" s="68" t="s">
        <v>3125</v>
      </c>
      <c r="H599" s="122">
        <v>44371</v>
      </c>
      <c r="I599" s="68" t="s">
        <v>3550</v>
      </c>
      <c r="J599" s="68">
        <v>244.4</v>
      </c>
      <c r="K599" s="68" t="s">
        <v>3671</v>
      </c>
      <c r="L599" s="68" t="s">
        <v>3672</v>
      </c>
    </row>
    <row r="600" spans="1:12" x14ac:dyDescent="0.25">
      <c r="A600" s="68" t="s">
        <v>690</v>
      </c>
      <c r="B600" s="68" t="s">
        <v>1517</v>
      </c>
      <c r="C600" s="68" t="s">
        <v>2326</v>
      </c>
      <c r="D600" s="68" t="s">
        <v>690</v>
      </c>
      <c r="F600" s="68" t="s">
        <v>3126</v>
      </c>
      <c r="H600" s="122">
        <v>44370</v>
      </c>
      <c r="I600" s="68" t="s">
        <v>3550</v>
      </c>
      <c r="J600" s="68">
        <v>748.8</v>
      </c>
      <c r="K600" s="68" t="s">
        <v>3671</v>
      </c>
      <c r="L600" s="68" t="s">
        <v>3672</v>
      </c>
    </row>
    <row r="601" spans="1:12" x14ac:dyDescent="0.25">
      <c r="A601" s="68" t="s">
        <v>691</v>
      </c>
      <c r="B601" s="68" t="s">
        <v>1518</v>
      </c>
      <c r="C601" s="68" t="s">
        <v>2327</v>
      </c>
      <c r="D601" s="68" t="s">
        <v>691</v>
      </c>
      <c r="F601" s="68" t="s">
        <v>3127</v>
      </c>
      <c r="H601" s="122">
        <v>44370</v>
      </c>
      <c r="I601" s="68" t="s">
        <v>3550</v>
      </c>
      <c r="J601" s="68">
        <v>82.8</v>
      </c>
      <c r="K601" s="68" t="s">
        <v>3671</v>
      </c>
      <c r="L601" s="68" t="s">
        <v>3672</v>
      </c>
    </row>
    <row r="602" spans="1:12" x14ac:dyDescent="0.25">
      <c r="A602" s="68" t="s">
        <v>692</v>
      </c>
      <c r="B602" s="68" t="s">
        <v>1519</v>
      </c>
      <c r="C602" s="68" t="s">
        <v>2328</v>
      </c>
      <c r="D602" s="68" t="s">
        <v>692</v>
      </c>
      <c r="F602" s="68" t="s">
        <v>3128</v>
      </c>
      <c r="H602" s="122">
        <v>44369</v>
      </c>
      <c r="I602" s="68" t="s">
        <v>3550</v>
      </c>
      <c r="J602" s="68">
        <v>1062</v>
      </c>
      <c r="K602" s="68" t="s">
        <v>3671</v>
      </c>
      <c r="L602" s="68" t="s">
        <v>3672</v>
      </c>
    </row>
    <row r="603" spans="1:12" x14ac:dyDescent="0.25">
      <c r="A603" s="68" t="s">
        <v>526</v>
      </c>
      <c r="B603" s="68" t="s">
        <v>1353</v>
      </c>
      <c r="C603" s="68" t="s">
        <v>2165</v>
      </c>
      <c r="D603" s="68" t="s">
        <v>526</v>
      </c>
      <c r="F603" s="68" t="s">
        <v>2962</v>
      </c>
      <c r="H603" s="122">
        <v>44369</v>
      </c>
      <c r="I603" s="68" t="s">
        <v>3550</v>
      </c>
      <c r="J603" s="68">
        <v>166.8</v>
      </c>
      <c r="K603" s="68" t="s">
        <v>3671</v>
      </c>
      <c r="L603" s="68" t="s">
        <v>3672</v>
      </c>
    </row>
    <row r="604" spans="1:12" x14ac:dyDescent="0.25">
      <c r="A604" s="68" t="s">
        <v>525</v>
      </c>
      <c r="B604" s="68" t="s">
        <v>1352</v>
      </c>
      <c r="C604" s="68" t="s">
        <v>2164</v>
      </c>
      <c r="D604" s="68" t="s">
        <v>525</v>
      </c>
      <c r="F604" s="68" t="s">
        <v>2961</v>
      </c>
      <c r="H604" s="122">
        <v>44369</v>
      </c>
      <c r="I604" s="68" t="s">
        <v>3550</v>
      </c>
      <c r="J604" s="68">
        <v>507.6</v>
      </c>
      <c r="K604" s="68" t="s">
        <v>3671</v>
      </c>
      <c r="L604" s="68" t="s">
        <v>3672</v>
      </c>
    </row>
    <row r="605" spans="1:12" x14ac:dyDescent="0.25">
      <c r="A605" s="68" t="s">
        <v>472</v>
      </c>
      <c r="B605" s="68" t="s">
        <v>1299</v>
      </c>
      <c r="C605" s="68" t="s">
        <v>2112</v>
      </c>
      <c r="D605" s="68" t="s">
        <v>472</v>
      </c>
      <c r="F605" s="68" t="s">
        <v>2908</v>
      </c>
      <c r="H605" s="122">
        <v>44369</v>
      </c>
      <c r="I605" s="68" t="s">
        <v>3550</v>
      </c>
      <c r="J605" s="68">
        <v>483.6</v>
      </c>
      <c r="K605" s="68" t="s">
        <v>3671</v>
      </c>
      <c r="L605" s="68" t="s">
        <v>3672</v>
      </c>
    </row>
    <row r="606" spans="1:12" x14ac:dyDescent="0.25">
      <c r="A606" s="68" t="s">
        <v>693</v>
      </c>
      <c r="B606" s="68" t="s">
        <v>1520</v>
      </c>
      <c r="C606" s="68" t="s">
        <v>2329</v>
      </c>
      <c r="D606" s="68" t="s">
        <v>693</v>
      </c>
      <c r="F606" s="68" t="s">
        <v>3129</v>
      </c>
      <c r="H606" s="122">
        <v>44368</v>
      </c>
      <c r="I606" s="68" t="s">
        <v>3550</v>
      </c>
      <c r="J606" s="68">
        <v>415.2</v>
      </c>
      <c r="K606" s="68" t="s">
        <v>3671</v>
      </c>
      <c r="L606" s="68" t="s">
        <v>3672</v>
      </c>
    </row>
    <row r="607" spans="1:12" x14ac:dyDescent="0.25">
      <c r="A607" s="68" t="s">
        <v>513</v>
      </c>
      <c r="B607" s="68" t="s">
        <v>1340</v>
      </c>
      <c r="C607" s="68" t="s">
        <v>2152</v>
      </c>
      <c r="D607" s="68" t="s">
        <v>513</v>
      </c>
      <c r="F607" s="68" t="s">
        <v>2949</v>
      </c>
      <c r="H607" s="122">
        <v>44368</v>
      </c>
      <c r="I607" s="68" t="s">
        <v>3550</v>
      </c>
      <c r="J607" s="68">
        <v>110.4</v>
      </c>
      <c r="K607" s="68" t="s">
        <v>3671</v>
      </c>
      <c r="L607" s="68" t="s">
        <v>3672</v>
      </c>
    </row>
    <row r="608" spans="1:12" x14ac:dyDescent="0.25">
      <c r="A608" s="68" t="s">
        <v>678</v>
      </c>
      <c r="B608" s="68" t="s">
        <v>1505</v>
      </c>
      <c r="C608" s="68" t="s">
        <v>2314</v>
      </c>
      <c r="D608" s="68" t="s">
        <v>678</v>
      </c>
      <c r="F608" s="68" t="s">
        <v>3114</v>
      </c>
      <c r="H608" s="122">
        <v>44368</v>
      </c>
      <c r="I608" s="68" t="s">
        <v>3550</v>
      </c>
      <c r="J608" s="68">
        <v>480</v>
      </c>
      <c r="K608" s="68" t="s">
        <v>3671</v>
      </c>
      <c r="L608" s="68" t="s">
        <v>3672</v>
      </c>
    </row>
    <row r="609" spans="1:12" x14ac:dyDescent="0.25">
      <c r="A609" s="68" t="s">
        <v>694</v>
      </c>
      <c r="B609" s="68" t="s">
        <v>1521</v>
      </c>
      <c r="C609" s="68" t="s">
        <v>2330</v>
      </c>
      <c r="D609" s="68" t="s">
        <v>694</v>
      </c>
      <c r="F609" s="68" t="s">
        <v>3130</v>
      </c>
      <c r="H609" s="122">
        <v>44365</v>
      </c>
      <c r="I609" s="68" t="s">
        <v>3551</v>
      </c>
      <c r="J609" s="68">
        <v>413.2</v>
      </c>
      <c r="K609" s="68" t="s">
        <v>3671</v>
      </c>
      <c r="L609" s="68" t="s">
        <v>3672</v>
      </c>
    </row>
    <row r="610" spans="1:12" x14ac:dyDescent="0.25">
      <c r="A610" s="68" t="s">
        <v>685</v>
      </c>
      <c r="B610" s="68" t="s">
        <v>1512</v>
      </c>
      <c r="C610" s="68" t="s">
        <v>2321</v>
      </c>
      <c r="D610" s="68" t="s">
        <v>685</v>
      </c>
      <c r="F610" s="68" t="s">
        <v>3121</v>
      </c>
      <c r="H610" s="122">
        <v>44364</v>
      </c>
      <c r="I610" s="68" t="s">
        <v>3551</v>
      </c>
      <c r="J610" s="68">
        <v>566.79999999999995</v>
      </c>
      <c r="K610" s="68" t="s">
        <v>3671</v>
      </c>
      <c r="L610" s="68" t="s">
        <v>3672</v>
      </c>
    </row>
    <row r="611" spans="1:12" x14ac:dyDescent="0.25">
      <c r="A611" s="68" t="s">
        <v>695</v>
      </c>
      <c r="B611" s="68" t="s">
        <v>1522</v>
      </c>
      <c r="C611" s="68" t="s">
        <v>2331</v>
      </c>
      <c r="D611" s="68" t="s">
        <v>695</v>
      </c>
      <c r="F611" s="68" t="s">
        <v>3131</v>
      </c>
      <c r="H611" s="122">
        <v>44364</v>
      </c>
      <c r="I611" s="68" t="s">
        <v>3551</v>
      </c>
      <c r="J611" s="68">
        <v>480</v>
      </c>
      <c r="K611" s="68" t="s">
        <v>3671</v>
      </c>
      <c r="L611" s="68" t="s">
        <v>3672</v>
      </c>
    </row>
    <row r="612" spans="1:12" x14ac:dyDescent="0.25">
      <c r="A612" s="68" t="s">
        <v>678</v>
      </c>
      <c r="B612" s="68" t="s">
        <v>1505</v>
      </c>
      <c r="C612" s="68" t="s">
        <v>2314</v>
      </c>
      <c r="D612" s="68" t="s">
        <v>678</v>
      </c>
      <c r="F612" s="68" t="s">
        <v>3114</v>
      </c>
      <c r="H612" s="122">
        <v>44361</v>
      </c>
      <c r="I612" s="68" t="s">
        <v>3552</v>
      </c>
      <c r="J612" s="68">
        <v>480</v>
      </c>
      <c r="K612" s="68" t="s">
        <v>3671</v>
      </c>
      <c r="L612" s="68" t="s">
        <v>3672</v>
      </c>
    </row>
    <row r="613" spans="1:12" x14ac:dyDescent="0.25">
      <c r="A613" s="68" t="s">
        <v>696</v>
      </c>
      <c r="B613" s="68" t="s">
        <v>1523</v>
      </c>
      <c r="C613" s="68" t="s">
        <v>2332</v>
      </c>
      <c r="D613" s="68" t="s">
        <v>696</v>
      </c>
      <c r="F613" s="68" t="s">
        <v>3132</v>
      </c>
      <c r="H613" s="122">
        <v>44358</v>
      </c>
      <c r="I613" s="68" t="s">
        <v>3553</v>
      </c>
      <c r="J613" s="68">
        <v>138</v>
      </c>
      <c r="K613" s="68" t="s">
        <v>3671</v>
      </c>
      <c r="L613" s="68" t="s">
        <v>3672</v>
      </c>
    </row>
    <row r="614" spans="1:12" x14ac:dyDescent="0.25">
      <c r="A614" s="68" t="s">
        <v>697</v>
      </c>
      <c r="B614" s="68" t="s">
        <v>1524</v>
      </c>
      <c r="C614" s="68" t="s">
        <v>2333</v>
      </c>
      <c r="D614" s="68" t="s">
        <v>697</v>
      </c>
      <c r="F614" s="68" t="s">
        <v>3133</v>
      </c>
      <c r="H614" s="122">
        <v>44357</v>
      </c>
      <c r="I614" s="68" t="s">
        <v>3554</v>
      </c>
      <c r="J614" s="68">
        <v>414</v>
      </c>
      <c r="K614" s="68" t="s">
        <v>3671</v>
      </c>
      <c r="L614" s="68" t="s">
        <v>3672</v>
      </c>
    </row>
    <row r="615" spans="1:12" x14ac:dyDescent="0.25">
      <c r="A615" s="68" t="s">
        <v>688</v>
      </c>
      <c r="B615" s="68" t="s">
        <v>1515</v>
      </c>
      <c r="C615" s="68" t="s">
        <v>2324</v>
      </c>
      <c r="D615" s="68" t="s">
        <v>688</v>
      </c>
      <c r="F615" s="68" t="s">
        <v>3124</v>
      </c>
      <c r="H615" s="122">
        <v>44357</v>
      </c>
      <c r="I615" s="68" t="s">
        <v>3554</v>
      </c>
      <c r="J615" s="68">
        <v>396</v>
      </c>
      <c r="K615" s="68" t="s">
        <v>3671</v>
      </c>
      <c r="L615" s="68" t="s">
        <v>3672</v>
      </c>
    </row>
    <row r="616" spans="1:12" x14ac:dyDescent="0.25">
      <c r="A616" s="68" t="s">
        <v>698</v>
      </c>
      <c r="B616" s="68" t="s">
        <v>1525</v>
      </c>
      <c r="C616" s="68" t="s">
        <v>2334</v>
      </c>
      <c r="D616" s="68" t="s">
        <v>698</v>
      </c>
      <c r="F616" s="68" t="s">
        <v>3134</v>
      </c>
      <c r="H616" s="122">
        <v>44356</v>
      </c>
      <c r="I616" s="68" t="s">
        <v>3555</v>
      </c>
      <c r="J616" s="68">
        <v>437.2</v>
      </c>
      <c r="K616" s="68" t="s">
        <v>3671</v>
      </c>
      <c r="L616" s="68" t="s">
        <v>3672</v>
      </c>
    </row>
    <row r="617" spans="1:12" x14ac:dyDescent="0.25">
      <c r="A617" s="68" t="s">
        <v>678</v>
      </c>
      <c r="B617" s="68" t="s">
        <v>1505</v>
      </c>
      <c r="C617" s="68" t="s">
        <v>2314</v>
      </c>
      <c r="D617" s="68" t="s">
        <v>678</v>
      </c>
      <c r="F617" s="68" t="s">
        <v>3114</v>
      </c>
      <c r="H617" s="122">
        <v>44351</v>
      </c>
      <c r="I617" s="68" t="s">
        <v>3556</v>
      </c>
      <c r="J617" s="68">
        <v>432</v>
      </c>
      <c r="K617" s="68" t="s">
        <v>3671</v>
      </c>
      <c r="L617" s="68" t="s">
        <v>3672</v>
      </c>
    </row>
    <row r="618" spans="1:12" x14ac:dyDescent="0.25">
      <c r="A618" s="68" t="s">
        <v>699</v>
      </c>
      <c r="B618" s="68" t="s">
        <v>1526</v>
      </c>
      <c r="C618" s="68" t="s">
        <v>2335</v>
      </c>
      <c r="D618" s="68" t="s">
        <v>699</v>
      </c>
      <c r="F618" s="68" t="s">
        <v>3135</v>
      </c>
      <c r="H618" s="122">
        <v>44351</v>
      </c>
      <c r="I618" s="68" t="s">
        <v>3556</v>
      </c>
      <c r="J618" s="68">
        <v>61.2</v>
      </c>
      <c r="K618" s="68" t="s">
        <v>3671</v>
      </c>
      <c r="L618" s="68" t="s">
        <v>3672</v>
      </c>
    </row>
    <row r="619" spans="1:12" x14ac:dyDescent="0.25">
      <c r="A619" s="68" t="s">
        <v>696</v>
      </c>
      <c r="B619" s="68" t="s">
        <v>1523</v>
      </c>
      <c r="C619" s="68" t="s">
        <v>2332</v>
      </c>
      <c r="D619" s="68" t="s">
        <v>696</v>
      </c>
      <c r="F619" s="68" t="s">
        <v>3132</v>
      </c>
      <c r="H619" s="122">
        <v>44338</v>
      </c>
      <c r="I619" s="68" t="s">
        <v>3497</v>
      </c>
      <c r="J619" s="68">
        <v>631.20000000000005</v>
      </c>
      <c r="K619" s="68" t="s">
        <v>3671</v>
      </c>
      <c r="L619" s="68" t="s">
        <v>3672</v>
      </c>
    </row>
    <row r="620" spans="1:12" x14ac:dyDescent="0.25">
      <c r="A620" s="68" t="s">
        <v>700</v>
      </c>
      <c r="B620" s="68" t="s">
        <v>1527</v>
      </c>
      <c r="C620" s="68" t="s">
        <v>2336</v>
      </c>
      <c r="D620" s="68" t="s">
        <v>700</v>
      </c>
      <c r="F620" s="68" t="s">
        <v>3136</v>
      </c>
      <c r="H620" s="122">
        <v>44336</v>
      </c>
      <c r="I620" s="68" t="s">
        <v>3497</v>
      </c>
      <c r="J620" s="68">
        <v>166.8</v>
      </c>
      <c r="K620" s="68" t="s">
        <v>3671</v>
      </c>
      <c r="L620" s="68" t="s">
        <v>3672</v>
      </c>
    </row>
    <row r="621" spans="1:12" x14ac:dyDescent="0.25">
      <c r="A621" s="68" t="s">
        <v>701</v>
      </c>
      <c r="B621" s="68" t="s">
        <v>1528</v>
      </c>
      <c r="C621" s="68" t="s">
        <v>2276</v>
      </c>
      <c r="D621" s="68" t="s">
        <v>701</v>
      </c>
      <c r="F621" s="68" t="s">
        <v>3137</v>
      </c>
      <c r="H621" s="122">
        <v>44336</v>
      </c>
      <c r="I621" s="68" t="s">
        <v>3497</v>
      </c>
      <c r="J621" s="68">
        <v>273.2</v>
      </c>
      <c r="K621" s="68" t="s">
        <v>3671</v>
      </c>
      <c r="L621" s="68" t="s">
        <v>3672</v>
      </c>
    </row>
    <row r="622" spans="1:12" x14ac:dyDescent="0.25">
      <c r="A622" s="68" t="s">
        <v>702</v>
      </c>
      <c r="B622" s="68" t="s">
        <v>1529</v>
      </c>
      <c r="C622" s="68" t="s">
        <v>2337</v>
      </c>
      <c r="D622" s="68" t="s">
        <v>702</v>
      </c>
      <c r="F622" s="68" t="s">
        <v>3138</v>
      </c>
      <c r="H622" s="122">
        <v>44335</v>
      </c>
      <c r="I622" s="68" t="s">
        <v>3497</v>
      </c>
      <c r="J622" s="68">
        <v>401.2</v>
      </c>
      <c r="K622" s="68" t="s">
        <v>3671</v>
      </c>
      <c r="L622" s="68" t="s">
        <v>3672</v>
      </c>
    </row>
    <row r="623" spans="1:12" x14ac:dyDescent="0.25">
      <c r="A623" s="68" t="s">
        <v>703</v>
      </c>
      <c r="B623" s="68" t="s">
        <v>1530</v>
      </c>
      <c r="C623" s="68" t="s">
        <v>2338</v>
      </c>
      <c r="D623" s="68" t="s">
        <v>703</v>
      </c>
      <c r="F623" s="68" t="s">
        <v>3139</v>
      </c>
      <c r="H623" s="122">
        <v>44335</v>
      </c>
      <c r="I623" s="68" t="s">
        <v>3557</v>
      </c>
      <c r="J623" s="68">
        <v>332.4</v>
      </c>
      <c r="K623" s="68" t="s">
        <v>3671</v>
      </c>
      <c r="L623" s="68" t="s">
        <v>3672</v>
      </c>
    </row>
    <row r="624" spans="1:12" x14ac:dyDescent="0.25">
      <c r="A624" s="68" t="s">
        <v>704</v>
      </c>
      <c r="B624" s="68" t="s">
        <v>1531</v>
      </c>
      <c r="C624" s="68" t="s">
        <v>2339</v>
      </c>
      <c r="D624" s="68" t="s">
        <v>704</v>
      </c>
      <c r="F624" s="68" t="s">
        <v>3140</v>
      </c>
      <c r="H624" s="122">
        <v>44334</v>
      </c>
      <c r="I624" s="68" t="s">
        <v>3557</v>
      </c>
      <c r="J624" s="68">
        <v>166.8</v>
      </c>
      <c r="K624" s="68" t="s">
        <v>3671</v>
      </c>
      <c r="L624" s="68" t="s">
        <v>3672</v>
      </c>
    </row>
    <row r="625" spans="1:12" x14ac:dyDescent="0.25">
      <c r="A625" s="68" t="s">
        <v>705</v>
      </c>
      <c r="B625" s="68" t="s">
        <v>1532</v>
      </c>
      <c r="C625" s="68" t="s">
        <v>2281</v>
      </c>
      <c r="D625" s="68" t="s">
        <v>705</v>
      </c>
      <c r="F625" s="68" t="s">
        <v>3141</v>
      </c>
      <c r="H625" s="122">
        <v>44334</v>
      </c>
      <c r="I625" s="68" t="s">
        <v>3552</v>
      </c>
      <c r="J625" s="68">
        <v>258.39999999999998</v>
      </c>
      <c r="K625" s="68" t="s">
        <v>3671</v>
      </c>
      <c r="L625" s="68" t="s">
        <v>3672</v>
      </c>
    </row>
    <row r="626" spans="1:12" x14ac:dyDescent="0.25">
      <c r="A626" s="68" t="s">
        <v>706</v>
      </c>
      <c r="B626" s="68" t="s">
        <v>1533</v>
      </c>
      <c r="C626" s="68" t="s">
        <v>2340</v>
      </c>
      <c r="D626" s="68" t="s">
        <v>706</v>
      </c>
      <c r="F626" s="68" t="s">
        <v>3142</v>
      </c>
      <c r="H626" s="122">
        <v>44328</v>
      </c>
      <c r="I626" s="68" t="s">
        <v>3558</v>
      </c>
      <c r="J626" s="68">
        <v>432</v>
      </c>
      <c r="K626" s="68" t="s">
        <v>3671</v>
      </c>
      <c r="L626" s="68" t="s">
        <v>3672</v>
      </c>
    </row>
    <row r="627" spans="1:12" x14ac:dyDescent="0.25">
      <c r="A627" s="68" t="s">
        <v>688</v>
      </c>
      <c r="B627" s="68" t="s">
        <v>1515</v>
      </c>
      <c r="C627" s="68" t="s">
        <v>2324</v>
      </c>
      <c r="D627" s="68" t="s">
        <v>688</v>
      </c>
      <c r="F627" s="68" t="s">
        <v>3124</v>
      </c>
      <c r="H627" s="122">
        <v>44327</v>
      </c>
      <c r="I627" s="68" t="s">
        <v>3558</v>
      </c>
      <c r="J627" s="68">
        <v>530.4</v>
      </c>
      <c r="K627" s="68" t="s">
        <v>3671</v>
      </c>
      <c r="L627" s="68" t="s">
        <v>3672</v>
      </c>
    </row>
    <row r="628" spans="1:12" x14ac:dyDescent="0.25">
      <c r="A628" s="68" t="s">
        <v>707</v>
      </c>
      <c r="B628" s="68" t="s">
        <v>1534</v>
      </c>
      <c r="C628" s="68" t="s">
        <v>2341</v>
      </c>
      <c r="D628" s="68" t="s">
        <v>707</v>
      </c>
      <c r="F628" s="68" t="s">
        <v>3143</v>
      </c>
      <c r="H628" s="122">
        <v>44323</v>
      </c>
      <c r="I628" s="68" t="s">
        <v>3470</v>
      </c>
      <c r="J628" s="68">
        <v>285.60000000000002</v>
      </c>
      <c r="K628" s="68" t="s">
        <v>3671</v>
      </c>
      <c r="L628" s="68" t="s">
        <v>3672</v>
      </c>
    </row>
    <row r="629" spans="1:12" x14ac:dyDescent="0.25">
      <c r="A629" s="68" t="s">
        <v>708</v>
      </c>
      <c r="B629" s="68" t="s">
        <v>1535</v>
      </c>
      <c r="C629" s="68" t="s">
        <v>2342</v>
      </c>
      <c r="D629" s="68" t="s">
        <v>708</v>
      </c>
      <c r="F629" s="68" t="s">
        <v>3144</v>
      </c>
      <c r="H629" s="122">
        <v>44322</v>
      </c>
      <c r="I629" s="68" t="s">
        <v>3445</v>
      </c>
      <c r="J629" s="68">
        <v>250.8</v>
      </c>
      <c r="K629" s="68" t="s">
        <v>3671</v>
      </c>
      <c r="L629" s="68" t="s">
        <v>3672</v>
      </c>
    </row>
    <row r="630" spans="1:12" x14ac:dyDescent="0.25">
      <c r="A630" s="68" t="s">
        <v>708</v>
      </c>
      <c r="B630" s="68" t="s">
        <v>1535</v>
      </c>
      <c r="C630" s="68" t="s">
        <v>2342</v>
      </c>
      <c r="D630" s="68" t="s">
        <v>708</v>
      </c>
      <c r="F630" s="68" t="s">
        <v>3144</v>
      </c>
      <c r="H630" s="122">
        <v>44321</v>
      </c>
      <c r="I630" s="68" t="s">
        <v>3445</v>
      </c>
      <c r="J630" s="68">
        <v>495.6</v>
      </c>
      <c r="K630" s="68" t="s">
        <v>3671</v>
      </c>
      <c r="L630" s="68" t="s">
        <v>3672</v>
      </c>
    </row>
    <row r="631" spans="1:12" x14ac:dyDescent="0.25">
      <c r="A631" s="68" t="s">
        <v>709</v>
      </c>
      <c r="B631" s="68" t="s">
        <v>1536</v>
      </c>
      <c r="C631" s="68" t="s">
        <v>2343</v>
      </c>
      <c r="D631" s="68" t="s">
        <v>709</v>
      </c>
      <c r="F631" s="68" t="s">
        <v>3145</v>
      </c>
      <c r="H631" s="122">
        <v>44319</v>
      </c>
      <c r="I631" s="68" t="s">
        <v>3559</v>
      </c>
      <c r="J631" s="68">
        <v>253.2</v>
      </c>
      <c r="K631" s="68" t="s">
        <v>3671</v>
      </c>
      <c r="L631" s="68" t="s">
        <v>3672</v>
      </c>
    </row>
    <row r="632" spans="1:12" x14ac:dyDescent="0.25">
      <c r="A632" s="68" t="s">
        <v>621</v>
      </c>
      <c r="B632" s="68" t="s">
        <v>1448</v>
      </c>
      <c r="C632" s="68" t="s">
        <v>2258</v>
      </c>
      <c r="D632" s="68" t="s">
        <v>621</v>
      </c>
      <c r="F632" s="68" t="s">
        <v>3057</v>
      </c>
      <c r="H632" s="122">
        <v>44275</v>
      </c>
      <c r="I632" s="68" t="s">
        <v>3559</v>
      </c>
      <c r="J632" s="68">
        <v>314.39999999999998</v>
      </c>
      <c r="K632" s="68" t="s">
        <v>3671</v>
      </c>
      <c r="L632" s="68" t="s">
        <v>3672</v>
      </c>
    </row>
    <row r="633" spans="1:12" x14ac:dyDescent="0.25">
      <c r="A633" s="68" t="s">
        <v>710</v>
      </c>
      <c r="B633" s="68" t="s">
        <v>1537</v>
      </c>
      <c r="C633" s="68" t="s">
        <v>2344</v>
      </c>
      <c r="D633" s="68" t="s">
        <v>710</v>
      </c>
      <c r="F633" s="68" t="s">
        <v>3146</v>
      </c>
      <c r="H633" s="122">
        <v>44314</v>
      </c>
      <c r="I633" s="68" t="s">
        <v>3559</v>
      </c>
      <c r="J633" s="68">
        <v>727.2</v>
      </c>
      <c r="K633" s="68" t="s">
        <v>3671</v>
      </c>
      <c r="L633" s="68" t="s">
        <v>3672</v>
      </c>
    </row>
    <row r="634" spans="1:12" x14ac:dyDescent="0.25">
      <c r="A634" s="68" t="s">
        <v>711</v>
      </c>
      <c r="B634" s="68" t="s">
        <v>1538</v>
      </c>
      <c r="C634" s="68" t="s">
        <v>2345</v>
      </c>
      <c r="D634" s="68" t="s">
        <v>711</v>
      </c>
      <c r="F634" s="68" t="s">
        <v>3147</v>
      </c>
      <c r="H634" s="122">
        <v>44312</v>
      </c>
      <c r="I634" s="68" t="s">
        <v>3560</v>
      </c>
      <c r="J634" s="68">
        <v>516</v>
      </c>
      <c r="K634" s="68" t="s">
        <v>3671</v>
      </c>
      <c r="L634" s="68" t="s">
        <v>3672</v>
      </c>
    </row>
    <row r="635" spans="1:12" x14ac:dyDescent="0.25">
      <c r="A635" s="68" t="s">
        <v>712</v>
      </c>
      <c r="B635" s="68" t="s">
        <v>1539</v>
      </c>
      <c r="C635" s="68" t="s">
        <v>2346</v>
      </c>
      <c r="D635" s="68" t="s">
        <v>712</v>
      </c>
      <c r="F635" s="68" t="s">
        <v>3148</v>
      </c>
      <c r="H635" s="122">
        <v>44306</v>
      </c>
      <c r="I635" s="68" t="s">
        <v>3472</v>
      </c>
      <c r="J635" s="68">
        <v>378</v>
      </c>
      <c r="K635" s="68" t="s">
        <v>3671</v>
      </c>
      <c r="L635" s="68" t="s">
        <v>3672</v>
      </c>
    </row>
    <row r="636" spans="1:12" x14ac:dyDescent="0.25">
      <c r="A636" s="68" t="s">
        <v>713</v>
      </c>
      <c r="B636" s="68" t="s">
        <v>1540</v>
      </c>
      <c r="C636" s="68" t="s">
        <v>2347</v>
      </c>
      <c r="D636" s="68" t="s">
        <v>713</v>
      </c>
      <c r="F636" s="68" t="s">
        <v>3149</v>
      </c>
      <c r="H636" s="122">
        <v>44287</v>
      </c>
      <c r="I636" s="68" t="s">
        <v>3561</v>
      </c>
      <c r="J636" s="68">
        <v>341.2</v>
      </c>
      <c r="K636" s="68" t="s">
        <v>3671</v>
      </c>
      <c r="L636" s="68" t="s">
        <v>3672</v>
      </c>
    </row>
    <row r="637" spans="1:12" x14ac:dyDescent="0.25">
      <c r="A637" s="68" t="s">
        <v>241</v>
      </c>
      <c r="B637" s="68" t="s">
        <v>1067</v>
      </c>
      <c r="C637" s="68" t="s">
        <v>2348</v>
      </c>
      <c r="D637" s="68" t="s">
        <v>241</v>
      </c>
      <c r="F637" s="68" t="s">
        <v>3150</v>
      </c>
      <c r="H637" s="122">
        <v>44298</v>
      </c>
      <c r="I637" s="68" t="s">
        <v>3446</v>
      </c>
      <c r="J637" s="68">
        <v>464</v>
      </c>
      <c r="K637" s="68" t="s">
        <v>3671</v>
      </c>
      <c r="L637" s="68" t="s">
        <v>3672</v>
      </c>
    </row>
    <row r="638" spans="1:12" x14ac:dyDescent="0.25">
      <c r="A638" s="68" t="s">
        <v>714</v>
      </c>
      <c r="B638" s="68" t="s">
        <v>1541</v>
      </c>
      <c r="C638" s="68" t="s">
        <v>2349</v>
      </c>
      <c r="D638" s="68" t="s">
        <v>714</v>
      </c>
      <c r="F638" s="68" t="s">
        <v>3151</v>
      </c>
      <c r="H638" s="122">
        <v>44296</v>
      </c>
      <c r="I638" s="68" t="s">
        <v>3562</v>
      </c>
      <c r="J638" s="68">
        <v>332.4</v>
      </c>
      <c r="K638" s="68" t="s">
        <v>3671</v>
      </c>
      <c r="L638" s="68" t="s">
        <v>3672</v>
      </c>
    </row>
    <row r="639" spans="1:12" x14ac:dyDescent="0.25">
      <c r="A639" s="68" t="s">
        <v>715</v>
      </c>
      <c r="B639" s="68" t="s">
        <v>1542</v>
      </c>
      <c r="C639" s="68" t="s">
        <v>2350</v>
      </c>
      <c r="D639" s="68" t="s">
        <v>715</v>
      </c>
      <c r="F639" s="68" t="s">
        <v>3152</v>
      </c>
      <c r="H639" s="122">
        <v>44294</v>
      </c>
      <c r="I639" s="68" t="s">
        <v>3562</v>
      </c>
      <c r="J639" s="68">
        <v>1861.2</v>
      </c>
      <c r="K639" s="68" t="s">
        <v>3671</v>
      </c>
      <c r="L639" s="68" t="s">
        <v>3672</v>
      </c>
    </row>
    <row r="640" spans="1:12" x14ac:dyDescent="0.25">
      <c r="A640" s="68" t="s">
        <v>418</v>
      </c>
      <c r="B640" s="68" t="s">
        <v>1245</v>
      </c>
      <c r="C640" s="68" t="s">
        <v>2058</v>
      </c>
      <c r="D640" s="68" t="s">
        <v>418</v>
      </c>
      <c r="F640" s="68" t="s">
        <v>2854</v>
      </c>
      <c r="H640" s="122">
        <v>44285</v>
      </c>
      <c r="I640" s="68" t="s">
        <v>3563</v>
      </c>
      <c r="J640" s="68">
        <v>1056.8</v>
      </c>
      <c r="K640" s="68" t="s">
        <v>3671</v>
      </c>
      <c r="L640" s="68" t="s">
        <v>3672</v>
      </c>
    </row>
    <row r="641" spans="1:12" x14ac:dyDescent="0.25">
      <c r="A641" s="68" t="s">
        <v>716</v>
      </c>
      <c r="B641" s="68" t="s">
        <v>1543</v>
      </c>
      <c r="C641" s="68" t="s">
        <v>2351</v>
      </c>
      <c r="D641" s="68" t="s">
        <v>716</v>
      </c>
      <c r="F641" s="68" t="s">
        <v>3153</v>
      </c>
      <c r="H641" s="122">
        <v>44275</v>
      </c>
      <c r="I641" s="68" t="s">
        <v>3460</v>
      </c>
      <c r="J641" s="68">
        <v>150</v>
      </c>
      <c r="K641" s="68" t="s">
        <v>3671</v>
      </c>
      <c r="L641" s="68" t="s">
        <v>3672</v>
      </c>
    </row>
    <row r="642" spans="1:12" x14ac:dyDescent="0.25">
      <c r="A642" s="68" t="s">
        <v>717</v>
      </c>
      <c r="B642" s="68" t="s">
        <v>1544</v>
      </c>
      <c r="C642" s="68" t="s">
        <v>2352</v>
      </c>
      <c r="D642" s="68" t="s">
        <v>717</v>
      </c>
      <c r="F642" s="68" t="s">
        <v>3154</v>
      </c>
      <c r="H642" s="122">
        <v>44273</v>
      </c>
      <c r="I642" s="68" t="s">
        <v>3460</v>
      </c>
      <c r="J642" s="68">
        <v>300</v>
      </c>
      <c r="K642" s="68" t="s">
        <v>3671</v>
      </c>
      <c r="L642" s="68" t="s">
        <v>3672</v>
      </c>
    </row>
    <row r="643" spans="1:12" x14ac:dyDescent="0.25">
      <c r="A643" s="68" t="s">
        <v>718</v>
      </c>
      <c r="B643" s="68" t="s">
        <v>1545</v>
      </c>
      <c r="C643" s="68" t="s">
        <v>2353</v>
      </c>
      <c r="D643" s="68" t="s">
        <v>718</v>
      </c>
      <c r="F643" s="68" t="s">
        <v>3155</v>
      </c>
      <c r="H643" s="122">
        <v>44259</v>
      </c>
      <c r="I643" s="68" t="s">
        <v>3564</v>
      </c>
      <c r="J643" s="68">
        <v>61.2</v>
      </c>
      <c r="K643" s="68" t="s">
        <v>3671</v>
      </c>
      <c r="L643" s="68" t="s">
        <v>3672</v>
      </c>
    </row>
    <row r="644" spans="1:12" x14ac:dyDescent="0.25">
      <c r="A644" s="68" t="s">
        <v>717</v>
      </c>
      <c r="B644" s="68" t="s">
        <v>1544</v>
      </c>
      <c r="C644" s="68" t="s">
        <v>2352</v>
      </c>
      <c r="D644" s="68" t="s">
        <v>717</v>
      </c>
      <c r="F644" s="68" t="s">
        <v>3154</v>
      </c>
      <c r="H644" s="122">
        <v>44254</v>
      </c>
      <c r="I644" s="68" t="s">
        <v>3565</v>
      </c>
      <c r="J644" s="68">
        <v>300</v>
      </c>
      <c r="K644" s="68" t="s">
        <v>3671</v>
      </c>
      <c r="L644" s="68" t="s">
        <v>3672</v>
      </c>
    </row>
    <row r="645" spans="1:12" x14ac:dyDescent="0.25">
      <c r="A645" s="68" t="s">
        <v>719</v>
      </c>
      <c r="B645" s="68" t="s">
        <v>1546</v>
      </c>
      <c r="C645" s="68" t="s">
        <v>2354</v>
      </c>
      <c r="D645" s="68" t="s">
        <v>719</v>
      </c>
      <c r="F645" s="68" t="s">
        <v>3156</v>
      </c>
      <c r="H645" s="122">
        <v>44254</v>
      </c>
      <c r="I645" s="68" t="s">
        <v>3565</v>
      </c>
      <c r="J645" s="68">
        <v>227.6</v>
      </c>
      <c r="K645" s="68" t="s">
        <v>3671</v>
      </c>
      <c r="L645" s="68" t="s">
        <v>3672</v>
      </c>
    </row>
    <row r="646" spans="1:12" x14ac:dyDescent="0.25">
      <c r="A646" s="68" t="s">
        <v>720</v>
      </c>
      <c r="B646" s="68" t="s">
        <v>1547</v>
      </c>
      <c r="C646" s="68" t="s">
        <v>2355</v>
      </c>
      <c r="D646" s="68" t="s">
        <v>720</v>
      </c>
      <c r="F646" s="68" t="s">
        <v>3157</v>
      </c>
      <c r="H646" s="122">
        <v>44252</v>
      </c>
      <c r="I646" s="68" t="s">
        <v>3566</v>
      </c>
      <c r="J646" s="68">
        <v>1032</v>
      </c>
      <c r="K646" s="68" t="s">
        <v>3671</v>
      </c>
      <c r="L646" s="68" t="s">
        <v>3672</v>
      </c>
    </row>
    <row r="647" spans="1:12" x14ac:dyDescent="0.25">
      <c r="A647" s="68" t="s">
        <v>721</v>
      </c>
      <c r="B647" s="68" t="s">
        <v>1548</v>
      </c>
      <c r="C647" s="68" t="s">
        <v>2075</v>
      </c>
      <c r="D647" s="68" t="s">
        <v>721</v>
      </c>
      <c r="F647" s="68" t="s">
        <v>3158</v>
      </c>
      <c r="H647" s="122">
        <v>44249</v>
      </c>
      <c r="I647" s="68" t="s">
        <v>3567</v>
      </c>
      <c r="J647" s="68">
        <v>329.6</v>
      </c>
      <c r="K647" s="68" t="s">
        <v>3671</v>
      </c>
      <c r="L647" s="68" t="s">
        <v>3672</v>
      </c>
    </row>
    <row r="648" spans="1:12" x14ac:dyDescent="0.25">
      <c r="A648" s="68" t="s">
        <v>616</v>
      </c>
      <c r="B648" s="68" t="s">
        <v>1443</v>
      </c>
      <c r="C648" s="68" t="s">
        <v>2253</v>
      </c>
      <c r="D648" s="68" t="s">
        <v>616</v>
      </c>
      <c r="F648" s="68" t="s">
        <v>3052</v>
      </c>
      <c r="H648" s="122">
        <v>44242</v>
      </c>
      <c r="I648" s="68" t="s">
        <v>3568</v>
      </c>
      <c r="J648" s="68">
        <v>226.8</v>
      </c>
      <c r="K648" s="68" t="s">
        <v>3671</v>
      </c>
      <c r="L648" s="68" t="s">
        <v>3672</v>
      </c>
    </row>
    <row r="649" spans="1:12" x14ac:dyDescent="0.25">
      <c r="A649" s="68" t="s">
        <v>711</v>
      </c>
      <c r="B649" s="68" t="s">
        <v>1538</v>
      </c>
      <c r="C649" s="68" t="s">
        <v>2345</v>
      </c>
      <c r="D649" s="68" t="s">
        <v>711</v>
      </c>
      <c r="F649" s="68" t="s">
        <v>3147</v>
      </c>
      <c r="H649" s="122">
        <v>44235</v>
      </c>
      <c r="I649" s="68" t="s">
        <v>3569</v>
      </c>
      <c r="J649" s="68">
        <v>376.4</v>
      </c>
      <c r="K649" s="68" t="s">
        <v>3671</v>
      </c>
      <c r="L649" s="68" t="s">
        <v>3672</v>
      </c>
    </row>
    <row r="650" spans="1:12" x14ac:dyDescent="0.25">
      <c r="A650" s="68" t="s">
        <v>722</v>
      </c>
      <c r="B650" s="68" t="s">
        <v>1549</v>
      </c>
      <c r="C650" s="68" t="s">
        <v>2356</v>
      </c>
      <c r="D650" s="68" t="s">
        <v>722</v>
      </c>
      <c r="F650" s="68" t="s">
        <v>3159</v>
      </c>
      <c r="H650" s="122">
        <v>44231</v>
      </c>
      <c r="I650" s="68" t="s">
        <v>3570</v>
      </c>
      <c r="J650" s="68">
        <v>82.8</v>
      </c>
      <c r="K650" s="68" t="s">
        <v>3671</v>
      </c>
      <c r="L650" s="68" t="s">
        <v>3672</v>
      </c>
    </row>
    <row r="651" spans="1:12" x14ac:dyDescent="0.25">
      <c r="A651" s="68" t="s">
        <v>640</v>
      </c>
      <c r="B651" s="68" t="s">
        <v>1467</v>
      </c>
      <c r="C651" s="68" t="s">
        <v>2277</v>
      </c>
      <c r="D651" s="68" t="s">
        <v>640</v>
      </c>
      <c r="F651" s="68" t="s">
        <v>3076</v>
      </c>
      <c r="H651" s="122">
        <v>44228</v>
      </c>
      <c r="I651" s="68" t="s">
        <v>3571</v>
      </c>
      <c r="J651" s="68">
        <v>612</v>
      </c>
      <c r="K651" s="68" t="s">
        <v>3671</v>
      </c>
      <c r="L651" s="68" t="s">
        <v>3672</v>
      </c>
    </row>
    <row r="652" spans="1:12" x14ac:dyDescent="0.25">
      <c r="A652" s="68" t="s">
        <v>723</v>
      </c>
      <c r="B652" s="68" t="s">
        <v>1550</v>
      </c>
      <c r="C652" s="68" t="s">
        <v>2357</v>
      </c>
      <c r="D652" s="68" t="s">
        <v>723</v>
      </c>
      <c r="F652" s="68" t="s">
        <v>3160</v>
      </c>
      <c r="H652" s="122">
        <v>44225</v>
      </c>
      <c r="I652" s="68" t="s">
        <v>3471</v>
      </c>
      <c r="J652" s="68">
        <v>302.39999999999998</v>
      </c>
      <c r="K652" s="68" t="s">
        <v>3671</v>
      </c>
      <c r="L652" s="68" t="s">
        <v>3672</v>
      </c>
    </row>
    <row r="653" spans="1:12" x14ac:dyDescent="0.25">
      <c r="A653" s="68" t="s">
        <v>724</v>
      </c>
      <c r="B653" s="68" t="s">
        <v>1551</v>
      </c>
      <c r="C653" s="68" t="s">
        <v>2358</v>
      </c>
      <c r="D653" s="68" t="s">
        <v>724</v>
      </c>
      <c r="F653" s="68" t="s">
        <v>3161</v>
      </c>
      <c r="H653" s="122">
        <v>44216</v>
      </c>
      <c r="I653" s="68" t="s">
        <v>3572</v>
      </c>
      <c r="J653" s="68">
        <v>532</v>
      </c>
      <c r="K653" s="68" t="s">
        <v>3671</v>
      </c>
      <c r="L653" s="68" t="s">
        <v>3672</v>
      </c>
    </row>
    <row r="654" spans="1:12" x14ac:dyDescent="0.25">
      <c r="A654" s="68" t="s">
        <v>634</v>
      </c>
      <c r="B654" s="68" t="s">
        <v>1461</v>
      </c>
      <c r="C654" s="68" t="s">
        <v>2271</v>
      </c>
      <c r="D654" s="68" t="s">
        <v>634</v>
      </c>
      <c r="F654" s="68" t="s">
        <v>3070</v>
      </c>
      <c r="H654" s="122">
        <v>44208</v>
      </c>
      <c r="I654" s="68" t="s">
        <v>3573</v>
      </c>
      <c r="J654" s="68">
        <v>403.2</v>
      </c>
      <c r="K654" s="68" t="s">
        <v>3671</v>
      </c>
      <c r="L654" s="68" t="s">
        <v>3672</v>
      </c>
    </row>
    <row r="655" spans="1:12" x14ac:dyDescent="0.25">
      <c r="A655" s="68" t="s">
        <v>725</v>
      </c>
      <c r="B655" s="68" t="s">
        <v>1552</v>
      </c>
      <c r="C655" s="68" t="s">
        <v>2359</v>
      </c>
      <c r="D655" s="68" t="s">
        <v>725</v>
      </c>
      <c r="F655" s="68" t="s">
        <v>3162</v>
      </c>
      <c r="H655" s="122">
        <v>43839</v>
      </c>
      <c r="I655" s="68" t="s">
        <v>3574</v>
      </c>
      <c r="J655" s="68">
        <v>216</v>
      </c>
      <c r="K655" s="68" t="s">
        <v>3671</v>
      </c>
      <c r="L655" s="68" t="s">
        <v>3672</v>
      </c>
    </row>
    <row r="656" spans="1:12" x14ac:dyDescent="0.25">
      <c r="A656" s="68" t="s">
        <v>474</v>
      </c>
      <c r="B656" s="68" t="s">
        <v>1301</v>
      </c>
      <c r="C656" s="68" t="s">
        <v>2114</v>
      </c>
      <c r="D656" s="68" t="s">
        <v>474</v>
      </c>
      <c r="F656" s="68" t="s">
        <v>2910</v>
      </c>
      <c r="H656" s="122">
        <v>44200</v>
      </c>
      <c r="I656" s="68" t="s">
        <v>3574</v>
      </c>
      <c r="J656" s="68">
        <v>102</v>
      </c>
      <c r="K656" s="68" t="s">
        <v>3671</v>
      </c>
      <c r="L656" s="68" t="s">
        <v>3672</v>
      </c>
    </row>
    <row r="657" spans="1:12" x14ac:dyDescent="0.25">
      <c r="A657" s="68" t="s">
        <v>508</v>
      </c>
      <c r="B657" s="68" t="s">
        <v>1335</v>
      </c>
      <c r="C657" s="68" t="s">
        <v>2147</v>
      </c>
      <c r="D657" s="68" t="s">
        <v>508</v>
      </c>
      <c r="F657" s="68" t="s">
        <v>2944</v>
      </c>
      <c r="H657" s="122">
        <v>44196</v>
      </c>
      <c r="I657" s="68" t="s">
        <v>3575</v>
      </c>
      <c r="J657" s="68">
        <v>2313.6</v>
      </c>
      <c r="K657" s="68" t="s">
        <v>3671</v>
      </c>
      <c r="L657" s="68" t="s">
        <v>3672</v>
      </c>
    </row>
    <row r="658" spans="1:12" x14ac:dyDescent="0.25">
      <c r="A658" s="68" t="s">
        <v>428</v>
      </c>
      <c r="B658" s="68" t="s">
        <v>1255</v>
      </c>
      <c r="C658" s="68" t="s">
        <v>2068</v>
      </c>
      <c r="D658" s="68" t="s">
        <v>428</v>
      </c>
      <c r="F658" s="68" t="s">
        <v>2864</v>
      </c>
      <c r="H658" s="122">
        <v>44195</v>
      </c>
      <c r="I658" s="68" t="s">
        <v>3576</v>
      </c>
      <c r="J658" s="68">
        <v>1062</v>
      </c>
      <c r="K658" s="68" t="s">
        <v>3671</v>
      </c>
      <c r="L658" s="68" t="s">
        <v>3672</v>
      </c>
    </row>
    <row r="659" spans="1:12" x14ac:dyDescent="0.25">
      <c r="A659" s="68" t="s">
        <v>726</v>
      </c>
      <c r="B659" s="68" t="s">
        <v>1553</v>
      </c>
      <c r="C659" s="68" t="s">
        <v>2360</v>
      </c>
      <c r="D659" s="68" t="s">
        <v>726</v>
      </c>
      <c r="F659" s="68" t="s">
        <v>3163</v>
      </c>
      <c r="H659" s="122">
        <v>44194</v>
      </c>
      <c r="I659" s="68" t="s">
        <v>3576</v>
      </c>
      <c r="J659" s="68">
        <v>379.2</v>
      </c>
      <c r="K659" s="68" t="s">
        <v>3671</v>
      </c>
      <c r="L659" s="68" t="s">
        <v>3672</v>
      </c>
    </row>
    <row r="660" spans="1:12" x14ac:dyDescent="0.25">
      <c r="A660" s="68" t="s">
        <v>727</v>
      </c>
      <c r="B660" s="68" t="s">
        <v>1554</v>
      </c>
      <c r="C660" s="68" t="s">
        <v>2361</v>
      </c>
      <c r="D660" s="68" t="s">
        <v>727</v>
      </c>
      <c r="F660" s="68" t="s">
        <v>3164</v>
      </c>
      <c r="H660" s="122">
        <v>44186</v>
      </c>
      <c r="I660" s="68" t="s">
        <v>3577</v>
      </c>
      <c r="J660" s="68">
        <v>860.4</v>
      </c>
      <c r="K660" s="68" t="s">
        <v>3671</v>
      </c>
      <c r="L660" s="68" t="s">
        <v>3672</v>
      </c>
    </row>
    <row r="661" spans="1:12" x14ac:dyDescent="0.25">
      <c r="A661" s="68" t="s">
        <v>428</v>
      </c>
      <c r="B661" s="68" t="s">
        <v>1255</v>
      </c>
      <c r="C661" s="68" t="s">
        <v>2068</v>
      </c>
      <c r="D661" s="68" t="s">
        <v>428</v>
      </c>
      <c r="F661" s="68" t="s">
        <v>2864</v>
      </c>
      <c r="H661" s="122">
        <v>44184</v>
      </c>
      <c r="I661" s="68" t="s">
        <v>3578</v>
      </c>
      <c r="J661" s="68">
        <v>92.4</v>
      </c>
      <c r="K661" s="68" t="s">
        <v>3671</v>
      </c>
      <c r="L661" s="68" t="s">
        <v>3672</v>
      </c>
    </row>
    <row r="662" spans="1:12" x14ac:dyDescent="0.25">
      <c r="A662" s="68" t="s">
        <v>728</v>
      </c>
      <c r="B662" s="68" t="s">
        <v>1555</v>
      </c>
      <c r="C662" s="68" t="s">
        <v>2362</v>
      </c>
      <c r="D662" s="68" t="s">
        <v>728</v>
      </c>
      <c r="F662" s="68" t="s">
        <v>3165</v>
      </c>
      <c r="H662" s="122">
        <v>44183</v>
      </c>
      <c r="I662" s="68" t="s">
        <v>3578</v>
      </c>
      <c r="J662" s="68">
        <v>294.8</v>
      </c>
      <c r="K662" s="68" t="s">
        <v>3671</v>
      </c>
      <c r="L662" s="68" t="s">
        <v>3672</v>
      </c>
    </row>
    <row r="663" spans="1:12" x14ac:dyDescent="0.25">
      <c r="A663" s="68" t="s">
        <v>729</v>
      </c>
      <c r="B663" s="68" t="s">
        <v>1556</v>
      </c>
      <c r="C663" s="68" t="s">
        <v>2363</v>
      </c>
      <c r="D663" s="68" t="s">
        <v>729</v>
      </c>
      <c r="F663" s="68" t="s">
        <v>3166</v>
      </c>
      <c r="H663" s="122">
        <v>44179</v>
      </c>
      <c r="I663" s="68" t="s">
        <v>3579</v>
      </c>
      <c r="J663" s="68">
        <v>99.6</v>
      </c>
      <c r="K663" s="68" t="s">
        <v>3671</v>
      </c>
      <c r="L663" s="68" t="s">
        <v>3672</v>
      </c>
    </row>
    <row r="664" spans="1:12" x14ac:dyDescent="0.25">
      <c r="A664" s="68" t="s">
        <v>730</v>
      </c>
      <c r="B664" s="68" t="s">
        <v>1557</v>
      </c>
      <c r="C664" s="68" t="s">
        <v>2364</v>
      </c>
      <c r="D664" s="68" t="s">
        <v>730</v>
      </c>
      <c r="F664" s="68" t="s">
        <v>3167</v>
      </c>
      <c r="H664" s="122">
        <v>44174</v>
      </c>
      <c r="I664" s="68" t="s">
        <v>3580</v>
      </c>
      <c r="J664" s="68">
        <v>558</v>
      </c>
      <c r="K664" s="68" t="s">
        <v>3671</v>
      </c>
      <c r="L664" s="68" t="s">
        <v>3672</v>
      </c>
    </row>
    <row r="665" spans="1:12" x14ac:dyDescent="0.25">
      <c r="A665" s="68" t="s">
        <v>731</v>
      </c>
      <c r="B665" s="68" t="s">
        <v>1558</v>
      </c>
      <c r="C665" s="68" t="s">
        <v>2365</v>
      </c>
      <c r="D665" s="68" t="s">
        <v>731</v>
      </c>
      <c r="F665" s="68" t="s">
        <v>3168</v>
      </c>
      <c r="H665" s="122">
        <v>44174</v>
      </c>
      <c r="I665" s="68" t="s">
        <v>3580</v>
      </c>
      <c r="J665" s="68">
        <v>378</v>
      </c>
      <c r="K665" s="68" t="s">
        <v>3671</v>
      </c>
      <c r="L665" s="68" t="s">
        <v>3672</v>
      </c>
    </row>
    <row r="666" spans="1:12" x14ac:dyDescent="0.25">
      <c r="A666" s="68" t="s">
        <v>561</v>
      </c>
      <c r="B666" s="68" t="s">
        <v>1388</v>
      </c>
      <c r="C666" s="68" t="s">
        <v>2200</v>
      </c>
      <c r="D666" s="68" t="s">
        <v>561</v>
      </c>
      <c r="F666" s="68" t="s">
        <v>2997</v>
      </c>
      <c r="H666" s="122">
        <v>44170</v>
      </c>
      <c r="I666" s="68" t="s">
        <v>3580</v>
      </c>
      <c r="J666" s="68">
        <v>480</v>
      </c>
      <c r="K666" s="68" t="s">
        <v>3671</v>
      </c>
      <c r="L666" s="68" t="s">
        <v>3672</v>
      </c>
    </row>
    <row r="667" spans="1:12" x14ac:dyDescent="0.25">
      <c r="A667" s="68" t="s">
        <v>577</v>
      </c>
      <c r="B667" s="68" t="s">
        <v>1404</v>
      </c>
      <c r="C667" s="68" t="s">
        <v>2216</v>
      </c>
      <c r="D667" s="68" t="s">
        <v>577</v>
      </c>
      <c r="F667" s="68" t="s">
        <v>3013</v>
      </c>
      <c r="H667" s="122">
        <v>44159</v>
      </c>
      <c r="I667" s="68" t="s">
        <v>3581</v>
      </c>
      <c r="J667" s="68">
        <v>80.400000000000006</v>
      </c>
      <c r="K667" s="68" t="s">
        <v>3671</v>
      </c>
      <c r="L667" s="68" t="s">
        <v>3672</v>
      </c>
    </row>
    <row r="668" spans="1:12" x14ac:dyDescent="0.25">
      <c r="A668" s="68" t="s">
        <v>554</v>
      </c>
      <c r="B668" s="68" t="s">
        <v>1381</v>
      </c>
      <c r="C668" s="68" t="s">
        <v>2193</v>
      </c>
      <c r="D668" s="68" t="s">
        <v>554</v>
      </c>
      <c r="F668" s="68" t="s">
        <v>2990</v>
      </c>
      <c r="H668" s="122">
        <v>44152</v>
      </c>
      <c r="I668" s="68" t="s">
        <v>3582</v>
      </c>
      <c r="J668" s="68">
        <v>396</v>
      </c>
      <c r="K668" s="68" t="s">
        <v>3671</v>
      </c>
      <c r="L668" s="68" t="s">
        <v>3672</v>
      </c>
    </row>
    <row r="669" spans="1:12" x14ac:dyDescent="0.25">
      <c r="A669" s="68" t="s">
        <v>561</v>
      </c>
      <c r="B669" s="68" t="s">
        <v>1388</v>
      </c>
      <c r="C669" s="68" t="s">
        <v>2200</v>
      </c>
      <c r="D669" s="68" t="s">
        <v>561</v>
      </c>
      <c r="F669" s="68" t="s">
        <v>2997</v>
      </c>
      <c r="H669" s="122">
        <v>44151</v>
      </c>
      <c r="I669" s="68" t="s">
        <v>3583</v>
      </c>
      <c r="J669" s="68">
        <v>480</v>
      </c>
      <c r="K669" s="68" t="s">
        <v>3671</v>
      </c>
      <c r="L669" s="68" t="s">
        <v>3672</v>
      </c>
    </row>
    <row r="670" spans="1:12" x14ac:dyDescent="0.25">
      <c r="A670" s="68" t="s">
        <v>732</v>
      </c>
      <c r="B670" s="68" t="s">
        <v>1559</v>
      </c>
      <c r="C670" s="68" t="s">
        <v>2366</v>
      </c>
      <c r="D670" s="68" t="s">
        <v>732</v>
      </c>
      <c r="F670" s="68" t="s">
        <v>3169</v>
      </c>
      <c r="H670" s="122">
        <v>44034</v>
      </c>
      <c r="I670" s="68" t="s">
        <v>3584</v>
      </c>
      <c r="J670" s="68">
        <v>67.599999999999994</v>
      </c>
      <c r="K670" s="68" t="s">
        <v>3671</v>
      </c>
      <c r="L670" s="68" t="s">
        <v>3672</v>
      </c>
    </row>
    <row r="671" spans="1:12" x14ac:dyDescent="0.25">
      <c r="A671" s="68" t="s">
        <v>733</v>
      </c>
      <c r="B671" s="68" t="s">
        <v>1560</v>
      </c>
      <c r="C671" s="68" t="s">
        <v>2367</v>
      </c>
      <c r="D671" s="68" t="s">
        <v>733</v>
      </c>
      <c r="F671" s="68" t="s">
        <v>3170</v>
      </c>
      <c r="H671" s="122">
        <v>44105</v>
      </c>
      <c r="I671" s="68" t="s">
        <v>3585</v>
      </c>
      <c r="J671" s="68">
        <v>895.2</v>
      </c>
      <c r="K671" s="68" t="s">
        <v>3671</v>
      </c>
      <c r="L671" s="68" t="s">
        <v>3672</v>
      </c>
    </row>
    <row r="672" spans="1:12" x14ac:dyDescent="0.25">
      <c r="A672" s="68" t="s">
        <v>734</v>
      </c>
      <c r="B672" s="68" t="s">
        <v>1561</v>
      </c>
      <c r="C672" s="68" t="s">
        <v>2368</v>
      </c>
      <c r="D672" s="68" t="s">
        <v>734</v>
      </c>
      <c r="F672" s="68" t="s">
        <v>3171</v>
      </c>
      <c r="H672" s="122">
        <v>44104</v>
      </c>
      <c r="I672" s="68" t="s">
        <v>3585</v>
      </c>
      <c r="J672" s="68">
        <v>399.6</v>
      </c>
      <c r="K672" s="68" t="s">
        <v>3671</v>
      </c>
      <c r="L672" s="68" t="s">
        <v>3672</v>
      </c>
    </row>
    <row r="673" spans="1:12" x14ac:dyDescent="0.25">
      <c r="A673" s="68" t="s">
        <v>735</v>
      </c>
      <c r="B673" s="68" t="s">
        <v>1562</v>
      </c>
      <c r="C673" s="68" t="s">
        <v>2369</v>
      </c>
      <c r="D673" s="68" t="s">
        <v>735</v>
      </c>
      <c r="F673" s="68" t="s">
        <v>3172</v>
      </c>
      <c r="H673" s="122">
        <v>44013</v>
      </c>
      <c r="I673" s="68" t="s">
        <v>3586</v>
      </c>
      <c r="J673" s="68">
        <v>674.8</v>
      </c>
      <c r="K673" s="68" t="s">
        <v>3671</v>
      </c>
      <c r="L673" s="68" t="s">
        <v>3672</v>
      </c>
    </row>
    <row r="674" spans="1:12" x14ac:dyDescent="0.25">
      <c r="A674" s="68" t="s">
        <v>736</v>
      </c>
      <c r="B674" s="68" t="s">
        <v>1563</v>
      </c>
      <c r="C674" s="68" t="s">
        <v>2370</v>
      </c>
      <c r="D674" s="68" t="s">
        <v>736</v>
      </c>
      <c r="F674" s="68" t="s">
        <v>3173</v>
      </c>
      <c r="H674" s="122">
        <v>44000</v>
      </c>
      <c r="I674" s="68" t="s">
        <v>3587</v>
      </c>
      <c r="J674" s="68">
        <v>202.8</v>
      </c>
      <c r="K674" s="68" t="s">
        <v>3671</v>
      </c>
      <c r="L674" s="68" t="s">
        <v>3672</v>
      </c>
    </row>
    <row r="675" spans="1:12" x14ac:dyDescent="0.25">
      <c r="A675" s="68" t="s">
        <v>737</v>
      </c>
      <c r="B675" s="68" t="s">
        <v>1564</v>
      </c>
      <c r="C675" s="68" t="s">
        <v>2371</v>
      </c>
      <c r="D675" s="68" t="s">
        <v>737</v>
      </c>
      <c r="F675" s="68" t="s">
        <v>3174</v>
      </c>
      <c r="H675" s="122">
        <v>43999</v>
      </c>
      <c r="I675" s="68" t="s">
        <v>3587</v>
      </c>
      <c r="J675" s="68">
        <v>922.8</v>
      </c>
      <c r="K675" s="68" t="s">
        <v>3671</v>
      </c>
      <c r="L675" s="68" t="s">
        <v>3672</v>
      </c>
    </row>
    <row r="676" spans="1:12" x14ac:dyDescent="0.25">
      <c r="A676" s="68" t="s">
        <v>738</v>
      </c>
      <c r="B676" s="68" t="s">
        <v>1565</v>
      </c>
      <c r="C676" s="68" t="s">
        <v>2372</v>
      </c>
      <c r="D676" s="68" t="s">
        <v>738</v>
      </c>
      <c r="F676" s="68" t="s">
        <v>3175</v>
      </c>
      <c r="H676" s="122">
        <v>43999</v>
      </c>
      <c r="I676" s="68" t="s">
        <v>3587</v>
      </c>
      <c r="J676" s="68">
        <v>72</v>
      </c>
      <c r="K676" s="68" t="s">
        <v>3671</v>
      </c>
      <c r="L676" s="68" t="s">
        <v>3672</v>
      </c>
    </row>
    <row r="677" spans="1:12" x14ac:dyDescent="0.25">
      <c r="A677" s="68" t="s">
        <v>739</v>
      </c>
      <c r="B677" s="68" t="s">
        <v>1566</v>
      </c>
      <c r="C677" s="68" t="s">
        <v>2373</v>
      </c>
      <c r="D677" s="68" t="s">
        <v>739</v>
      </c>
      <c r="F677" s="68" t="s">
        <v>3176</v>
      </c>
      <c r="H677" s="122">
        <v>43999</v>
      </c>
      <c r="I677" s="68" t="s">
        <v>3587</v>
      </c>
      <c r="J677" s="68">
        <v>364.8</v>
      </c>
      <c r="K677" s="68" t="s">
        <v>3671</v>
      </c>
      <c r="L677" s="68" t="s">
        <v>3672</v>
      </c>
    </row>
    <row r="678" spans="1:12" x14ac:dyDescent="0.25">
      <c r="A678" s="68" t="s">
        <v>740</v>
      </c>
      <c r="B678" s="68" t="s">
        <v>1567</v>
      </c>
      <c r="C678" s="68" t="s">
        <v>2374</v>
      </c>
      <c r="D678" s="68" t="s">
        <v>740</v>
      </c>
      <c r="F678" s="68" t="s">
        <v>3177</v>
      </c>
      <c r="H678" s="122">
        <v>43999</v>
      </c>
      <c r="I678" s="68" t="s">
        <v>3587</v>
      </c>
      <c r="J678" s="68">
        <v>599.79999999999995</v>
      </c>
      <c r="K678" s="68" t="s">
        <v>3671</v>
      </c>
      <c r="L678" s="68" t="s">
        <v>3672</v>
      </c>
    </row>
    <row r="679" spans="1:12" x14ac:dyDescent="0.25">
      <c r="A679" s="68" t="s">
        <v>503</v>
      </c>
      <c r="B679" s="68" t="s">
        <v>1330</v>
      </c>
      <c r="C679" s="68" t="s">
        <v>2142</v>
      </c>
      <c r="D679" s="68" t="s">
        <v>503</v>
      </c>
      <c r="F679" s="68" t="s">
        <v>2939</v>
      </c>
      <c r="H679" s="122">
        <v>43997</v>
      </c>
      <c r="I679" s="68" t="s">
        <v>3588</v>
      </c>
      <c r="J679" s="68">
        <v>410.4</v>
      </c>
      <c r="K679" s="68" t="s">
        <v>3671</v>
      </c>
      <c r="L679" s="68" t="s">
        <v>3672</v>
      </c>
    </row>
    <row r="680" spans="1:12" x14ac:dyDescent="0.25">
      <c r="A680" s="68" t="s">
        <v>736</v>
      </c>
      <c r="B680" s="68" t="s">
        <v>1563</v>
      </c>
      <c r="C680" s="68" t="s">
        <v>2370</v>
      </c>
      <c r="D680" s="68" t="s">
        <v>736</v>
      </c>
      <c r="F680" s="68" t="s">
        <v>3173</v>
      </c>
      <c r="H680" s="122">
        <v>43997</v>
      </c>
      <c r="I680" s="68" t="s">
        <v>3588</v>
      </c>
      <c r="J680" s="68">
        <v>498.8</v>
      </c>
      <c r="K680" s="68" t="s">
        <v>3671</v>
      </c>
      <c r="L680" s="68" t="s">
        <v>3672</v>
      </c>
    </row>
    <row r="681" spans="1:12" x14ac:dyDescent="0.25">
      <c r="A681" s="68" t="s">
        <v>741</v>
      </c>
      <c r="B681" s="68" t="s">
        <v>1568</v>
      </c>
      <c r="C681" s="68" t="s">
        <v>2197</v>
      </c>
      <c r="D681" s="68" t="s">
        <v>741</v>
      </c>
      <c r="F681" s="68" t="s">
        <v>3178</v>
      </c>
      <c r="H681" s="122">
        <v>43850</v>
      </c>
      <c r="I681" s="68" t="s">
        <v>3589</v>
      </c>
      <c r="J681" s="68">
        <v>27.6</v>
      </c>
      <c r="K681" s="68" t="s">
        <v>3671</v>
      </c>
      <c r="L681" s="68" t="s">
        <v>3672</v>
      </c>
    </row>
    <row r="682" spans="1:12" x14ac:dyDescent="0.25">
      <c r="A682" s="68" t="s">
        <v>741</v>
      </c>
      <c r="B682" s="68" t="s">
        <v>1568</v>
      </c>
      <c r="C682" s="68" t="s">
        <v>2197</v>
      </c>
      <c r="D682" s="68" t="s">
        <v>741</v>
      </c>
      <c r="F682" s="68" t="s">
        <v>3178</v>
      </c>
      <c r="H682" s="122">
        <v>43832</v>
      </c>
      <c r="I682" s="68" t="s">
        <v>3590</v>
      </c>
      <c r="J682" s="68">
        <v>104</v>
      </c>
      <c r="K682" s="68" t="s">
        <v>3671</v>
      </c>
      <c r="L682" s="68" t="s">
        <v>3672</v>
      </c>
    </row>
    <row r="683" spans="1:12" x14ac:dyDescent="0.25">
      <c r="A683" s="68" t="s">
        <v>742</v>
      </c>
      <c r="B683" s="68" t="s">
        <v>1569</v>
      </c>
      <c r="C683" s="68" t="s">
        <v>2375</v>
      </c>
      <c r="D683" s="68" t="s">
        <v>742</v>
      </c>
      <c r="F683" s="68" t="s">
        <v>3179</v>
      </c>
      <c r="H683" s="122">
        <v>43839</v>
      </c>
      <c r="I683" s="68" t="s">
        <v>3591</v>
      </c>
      <c r="J683" s="68">
        <v>166.8</v>
      </c>
      <c r="K683" s="68" t="s">
        <v>3671</v>
      </c>
      <c r="L683" s="68" t="s">
        <v>3672</v>
      </c>
    </row>
    <row r="684" spans="1:12" x14ac:dyDescent="0.25">
      <c r="A684" s="68" t="s">
        <v>743</v>
      </c>
      <c r="B684" s="68" t="s">
        <v>1570</v>
      </c>
      <c r="C684" s="68" t="s">
        <v>2376</v>
      </c>
      <c r="D684" s="68" t="s">
        <v>743</v>
      </c>
      <c r="F684" s="68" t="s">
        <v>3180</v>
      </c>
      <c r="H684" s="122">
        <v>43839</v>
      </c>
      <c r="I684" s="68" t="s">
        <v>3591</v>
      </c>
      <c r="J684" s="68">
        <v>138</v>
      </c>
      <c r="K684" s="68" t="s">
        <v>3671</v>
      </c>
      <c r="L684" s="68" t="s">
        <v>3672</v>
      </c>
    </row>
    <row r="685" spans="1:12" x14ac:dyDescent="0.25">
      <c r="A685" s="68" t="s">
        <v>744</v>
      </c>
      <c r="B685" s="68" t="s">
        <v>1571</v>
      </c>
      <c r="C685" s="68" t="s">
        <v>2377</v>
      </c>
      <c r="D685" s="68" t="s">
        <v>744</v>
      </c>
      <c r="F685" s="68" t="s">
        <v>3181</v>
      </c>
      <c r="H685" s="122">
        <v>43832</v>
      </c>
      <c r="I685" s="68" t="s">
        <v>3592</v>
      </c>
      <c r="J685" s="68">
        <v>375.2</v>
      </c>
      <c r="K685" s="68" t="s">
        <v>3671</v>
      </c>
      <c r="L685" s="68" t="s">
        <v>3672</v>
      </c>
    </row>
    <row r="686" spans="1:12" x14ac:dyDescent="0.25">
      <c r="A686" s="68" t="s">
        <v>745</v>
      </c>
      <c r="B686" s="68" t="s">
        <v>1572</v>
      </c>
      <c r="C686" s="68" t="s">
        <v>2378</v>
      </c>
      <c r="D686" s="68" t="s">
        <v>745</v>
      </c>
      <c r="F686" s="68" t="s">
        <v>3182</v>
      </c>
      <c r="H686" s="122">
        <v>43832</v>
      </c>
      <c r="I686" s="68" t="s">
        <v>3592</v>
      </c>
      <c r="J686" s="68">
        <v>166.8</v>
      </c>
      <c r="K686" s="68" t="s">
        <v>3671</v>
      </c>
      <c r="L686" s="68" t="s">
        <v>3672</v>
      </c>
    </row>
    <row r="687" spans="1:12" x14ac:dyDescent="0.25">
      <c r="A687" s="68" t="s">
        <v>746</v>
      </c>
      <c r="B687" s="68" t="s">
        <v>1573</v>
      </c>
      <c r="C687" s="68" t="s">
        <v>2379</v>
      </c>
      <c r="D687" s="68" t="s">
        <v>746</v>
      </c>
      <c r="F687" s="68" t="s">
        <v>3183</v>
      </c>
      <c r="H687" s="122">
        <v>43832</v>
      </c>
      <c r="I687" s="68" t="s">
        <v>3592</v>
      </c>
      <c r="J687" s="68">
        <v>326</v>
      </c>
      <c r="K687" s="68" t="s">
        <v>3671</v>
      </c>
      <c r="L687" s="68" t="s">
        <v>3672</v>
      </c>
    </row>
    <row r="688" spans="1:12" x14ac:dyDescent="0.25">
      <c r="A688" s="68" t="s">
        <v>747</v>
      </c>
      <c r="B688" s="68" t="s">
        <v>1574</v>
      </c>
      <c r="C688" s="68" t="s">
        <v>2380</v>
      </c>
      <c r="D688" s="68" t="s">
        <v>747</v>
      </c>
      <c r="F688" s="68" t="s">
        <v>3184</v>
      </c>
      <c r="H688" s="122">
        <v>43813</v>
      </c>
      <c r="I688" s="68" t="s">
        <v>3593</v>
      </c>
      <c r="J688" s="68">
        <v>273.2</v>
      </c>
      <c r="K688" s="68" t="s">
        <v>3671</v>
      </c>
      <c r="L688" s="68" t="s">
        <v>3672</v>
      </c>
    </row>
    <row r="689" spans="1:12" x14ac:dyDescent="0.25">
      <c r="A689" s="68" t="s">
        <v>748</v>
      </c>
      <c r="B689" s="68" t="s">
        <v>1575</v>
      </c>
      <c r="C689" s="68" t="s">
        <v>2381</v>
      </c>
      <c r="D689" s="68" t="s">
        <v>748</v>
      </c>
      <c r="F689" s="68" t="s">
        <v>3185</v>
      </c>
      <c r="H689" s="122">
        <v>43810</v>
      </c>
      <c r="I689" s="68" t="s">
        <v>3594</v>
      </c>
      <c r="J689" s="68">
        <v>266</v>
      </c>
      <c r="K689" s="68" t="s">
        <v>3671</v>
      </c>
      <c r="L689" s="68" t="s">
        <v>3672</v>
      </c>
    </row>
    <row r="690" spans="1:12" x14ac:dyDescent="0.25">
      <c r="A690" s="68" t="s">
        <v>749</v>
      </c>
      <c r="B690" s="68" t="s">
        <v>1576</v>
      </c>
      <c r="C690" s="68" t="s">
        <v>2382</v>
      </c>
      <c r="D690" s="68" t="s">
        <v>749</v>
      </c>
      <c r="F690" s="68" t="s">
        <v>3186</v>
      </c>
      <c r="H690" s="122">
        <v>43685</v>
      </c>
      <c r="I690" s="68" t="s">
        <v>3595</v>
      </c>
      <c r="J690" s="68">
        <v>166.8</v>
      </c>
      <c r="K690" s="68" t="s">
        <v>3671</v>
      </c>
      <c r="L690" s="68" t="s">
        <v>3672</v>
      </c>
    </row>
    <row r="691" spans="1:12" x14ac:dyDescent="0.25">
      <c r="A691" s="68" t="s">
        <v>750</v>
      </c>
      <c r="B691" s="68" t="s">
        <v>1577</v>
      </c>
      <c r="C691" s="68" t="s">
        <v>2383</v>
      </c>
      <c r="D691" s="68" t="s">
        <v>750</v>
      </c>
      <c r="F691" s="68" t="s">
        <v>3187</v>
      </c>
      <c r="H691" s="122">
        <v>43621</v>
      </c>
      <c r="I691" s="68" t="s">
        <v>3596</v>
      </c>
      <c r="J691" s="68">
        <v>414</v>
      </c>
      <c r="K691" s="68" t="s">
        <v>3671</v>
      </c>
      <c r="L691" s="68" t="s">
        <v>3672</v>
      </c>
    </row>
    <row r="692" spans="1:12" x14ac:dyDescent="0.25">
      <c r="A692" s="68" t="s">
        <v>751</v>
      </c>
      <c r="B692" s="68" t="s">
        <v>1578</v>
      </c>
      <c r="C692" s="68" t="s">
        <v>2384</v>
      </c>
      <c r="D692" s="68" t="s">
        <v>751</v>
      </c>
      <c r="F692" s="68" t="s">
        <v>3188</v>
      </c>
      <c r="H692" s="122">
        <v>43571</v>
      </c>
      <c r="I692" s="68" t="s">
        <v>3597</v>
      </c>
      <c r="J692" s="68">
        <v>88.8</v>
      </c>
      <c r="K692" s="68" t="s">
        <v>3671</v>
      </c>
      <c r="L692" s="68" t="s">
        <v>3672</v>
      </c>
    </row>
    <row r="693" spans="1:12" x14ac:dyDescent="0.25">
      <c r="A693" s="68" t="s">
        <v>752</v>
      </c>
      <c r="B693" s="68" t="s">
        <v>1579</v>
      </c>
      <c r="C693" s="68" t="s">
        <v>2315</v>
      </c>
      <c r="D693" s="68" t="s">
        <v>752</v>
      </c>
      <c r="F693" s="68" t="s">
        <v>3189</v>
      </c>
      <c r="H693" s="122">
        <v>44652</v>
      </c>
      <c r="I693" s="68" t="s">
        <v>3478</v>
      </c>
      <c r="J693" s="68">
        <v>992.4</v>
      </c>
      <c r="K693" s="68" t="s">
        <v>3673</v>
      </c>
      <c r="L693" s="68" t="s">
        <v>3674</v>
      </c>
    </row>
    <row r="694" spans="1:12" x14ac:dyDescent="0.25">
      <c r="A694" s="68" t="s">
        <v>753</v>
      </c>
      <c r="B694" s="68" t="s">
        <v>1580</v>
      </c>
      <c r="C694" s="68" t="s">
        <v>2385</v>
      </c>
      <c r="D694" s="68" t="s">
        <v>753</v>
      </c>
      <c r="F694" s="68" t="s">
        <v>3190</v>
      </c>
      <c r="H694" s="122">
        <v>44652</v>
      </c>
      <c r="I694" s="68" t="s">
        <v>3478</v>
      </c>
      <c r="J694" s="68">
        <v>808.8</v>
      </c>
      <c r="K694" s="68" t="s">
        <v>3673</v>
      </c>
      <c r="L694" s="68" t="s">
        <v>3674</v>
      </c>
    </row>
    <row r="695" spans="1:12" x14ac:dyDescent="0.25">
      <c r="A695" s="68" t="s">
        <v>754</v>
      </c>
      <c r="B695" s="68" t="s">
        <v>1581</v>
      </c>
      <c r="C695" s="68" t="s">
        <v>2386</v>
      </c>
      <c r="D695" s="68" t="s">
        <v>754</v>
      </c>
      <c r="F695" s="68" t="s">
        <v>3191</v>
      </c>
      <c r="H695" s="122">
        <v>44652</v>
      </c>
      <c r="I695" s="68" t="s">
        <v>3478</v>
      </c>
      <c r="J695" s="68">
        <v>266</v>
      </c>
      <c r="K695" s="68" t="s">
        <v>3673</v>
      </c>
      <c r="L695" s="68" t="s">
        <v>3674</v>
      </c>
    </row>
    <row r="696" spans="1:12" x14ac:dyDescent="0.25">
      <c r="A696" s="68" t="s">
        <v>755</v>
      </c>
      <c r="B696" s="68" t="s">
        <v>1582</v>
      </c>
      <c r="C696" s="68" t="s">
        <v>2387</v>
      </c>
      <c r="D696" s="68" t="s">
        <v>755</v>
      </c>
      <c r="F696" s="68" t="s">
        <v>3192</v>
      </c>
      <c r="H696" s="122">
        <v>44651</v>
      </c>
      <c r="I696" s="68" t="s">
        <v>3461</v>
      </c>
      <c r="J696" s="68">
        <v>2019.6</v>
      </c>
      <c r="K696" s="68" t="s">
        <v>3673</v>
      </c>
      <c r="L696" s="68" t="s">
        <v>3674</v>
      </c>
    </row>
    <row r="697" spans="1:12" x14ac:dyDescent="0.25">
      <c r="A697" s="68" t="s">
        <v>756</v>
      </c>
      <c r="B697" s="68" t="s">
        <v>1583</v>
      </c>
      <c r="C697" s="68" t="s">
        <v>2388</v>
      </c>
      <c r="D697" s="68" t="s">
        <v>756</v>
      </c>
      <c r="F697" s="68" t="s">
        <v>3193</v>
      </c>
      <c r="H697" s="122">
        <v>44651</v>
      </c>
      <c r="I697" s="68" t="s">
        <v>3461</v>
      </c>
      <c r="J697" s="68">
        <v>348</v>
      </c>
      <c r="K697" s="68" t="s">
        <v>3673</v>
      </c>
      <c r="L697" s="68" t="s">
        <v>3674</v>
      </c>
    </row>
    <row r="698" spans="1:12" x14ac:dyDescent="0.25">
      <c r="A698" s="68" t="s">
        <v>757</v>
      </c>
      <c r="B698" s="68" t="s">
        <v>1584</v>
      </c>
      <c r="C698" s="68" t="s">
        <v>2389</v>
      </c>
      <c r="D698" s="68" t="s">
        <v>757</v>
      </c>
      <c r="F698" s="68" t="s">
        <v>3194</v>
      </c>
      <c r="H698" s="122">
        <v>44650</v>
      </c>
      <c r="I698" s="68" t="s">
        <v>3461</v>
      </c>
      <c r="J698" s="68">
        <v>226.8</v>
      </c>
      <c r="K698" s="68" t="s">
        <v>3673</v>
      </c>
      <c r="L698" s="68" t="s">
        <v>3674</v>
      </c>
    </row>
    <row r="699" spans="1:12" x14ac:dyDescent="0.25">
      <c r="A699" s="68" t="s">
        <v>758</v>
      </c>
      <c r="B699" s="68" t="s">
        <v>1585</v>
      </c>
      <c r="C699" s="68" t="s">
        <v>2390</v>
      </c>
      <c r="D699" s="68" t="s">
        <v>758</v>
      </c>
      <c r="F699" s="68" t="s">
        <v>3195</v>
      </c>
      <c r="H699" s="122">
        <v>44650</v>
      </c>
      <c r="I699" s="68" t="s">
        <v>3499</v>
      </c>
      <c r="J699" s="68">
        <v>253.2</v>
      </c>
      <c r="K699" s="68" t="s">
        <v>3673</v>
      </c>
      <c r="L699" s="68" t="s">
        <v>3674</v>
      </c>
    </row>
    <row r="700" spans="1:12" x14ac:dyDescent="0.25">
      <c r="A700" s="68" t="s">
        <v>759</v>
      </c>
      <c r="B700" s="68" t="s">
        <v>1586</v>
      </c>
      <c r="C700" s="68" t="s">
        <v>2391</v>
      </c>
      <c r="D700" s="68" t="s">
        <v>759</v>
      </c>
      <c r="F700" s="68" t="s">
        <v>3196</v>
      </c>
      <c r="H700" s="122">
        <v>44650</v>
      </c>
      <c r="I700" s="68" t="s">
        <v>3499</v>
      </c>
      <c r="J700" s="68">
        <v>480</v>
      </c>
      <c r="K700" s="68" t="s">
        <v>3673</v>
      </c>
      <c r="L700" s="68" t="s">
        <v>3674</v>
      </c>
    </row>
    <row r="701" spans="1:12" x14ac:dyDescent="0.25">
      <c r="A701" s="68" t="s">
        <v>760</v>
      </c>
      <c r="B701" s="68" t="s">
        <v>1587</v>
      </c>
      <c r="C701" s="68" t="s">
        <v>2392</v>
      </c>
      <c r="D701" s="68" t="s">
        <v>760</v>
      </c>
      <c r="F701" s="68" t="s">
        <v>3197</v>
      </c>
      <c r="H701" s="122">
        <v>44649</v>
      </c>
      <c r="I701" s="68" t="s">
        <v>3479</v>
      </c>
      <c r="J701" s="68">
        <v>250.8</v>
      </c>
      <c r="K701" s="68" t="s">
        <v>3673</v>
      </c>
      <c r="L701" s="68" t="s">
        <v>3674</v>
      </c>
    </row>
    <row r="702" spans="1:12" x14ac:dyDescent="0.25">
      <c r="A702" s="68" t="s">
        <v>761</v>
      </c>
      <c r="B702" s="68" t="s">
        <v>1588</v>
      </c>
      <c r="C702" s="68" t="s">
        <v>2393</v>
      </c>
      <c r="D702" s="68" t="s">
        <v>761</v>
      </c>
      <c r="F702" s="68" t="s">
        <v>3198</v>
      </c>
      <c r="H702" s="122">
        <v>44649</v>
      </c>
      <c r="I702" s="68" t="s">
        <v>3479</v>
      </c>
      <c r="J702" s="68">
        <v>966</v>
      </c>
      <c r="K702" s="68" t="s">
        <v>3673</v>
      </c>
      <c r="L702" s="68" t="s">
        <v>3674</v>
      </c>
    </row>
    <row r="703" spans="1:12" x14ac:dyDescent="0.25">
      <c r="A703" s="68" t="s">
        <v>762</v>
      </c>
      <c r="B703" s="68" t="s">
        <v>1589</v>
      </c>
      <c r="C703" s="68" t="s">
        <v>2394</v>
      </c>
      <c r="D703" s="68" t="s">
        <v>762</v>
      </c>
      <c r="F703" s="68" t="s">
        <v>3199</v>
      </c>
      <c r="H703" s="122">
        <v>44649</v>
      </c>
      <c r="I703" s="68" t="s">
        <v>3479</v>
      </c>
      <c r="J703" s="68">
        <v>162</v>
      </c>
      <c r="K703" s="68" t="s">
        <v>3673</v>
      </c>
      <c r="L703" s="68" t="s">
        <v>3674</v>
      </c>
    </row>
    <row r="704" spans="1:12" x14ac:dyDescent="0.25">
      <c r="A704" s="68" t="s">
        <v>763</v>
      </c>
      <c r="B704" s="68" t="s">
        <v>1590</v>
      </c>
      <c r="C704" s="68" t="s">
        <v>2395</v>
      </c>
      <c r="D704" s="68" t="s">
        <v>763</v>
      </c>
      <c r="F704" s="68" t="s">
        <v>3200</v>
      </c>
      <c r="H704" s="122">
        <v>44649</v>
      </c>
      <c r="I704" s="68" t="s">
        <v>3479</v>
      </c>
      <c r="J704" s="68">
        <v>259.2</v>
      </c>
      <c r="K704" s="68" t="s">
        <v>3673</v>
      </c>
      <c r="L704" s="68" t="s">
        <v>3674</v>
      </c>
    </row>
    <row r="705" spans="1:12" x14ac:dyDescent="0.25">
      <c r="A705" s="68" t="s">
        <v>764</v>
      </c>
      <c r="B705" s="68" t="s">
        <v>1591</v>
      </c>
      <c r="C705" s="68" t="s">
        <v>2396</v>
      </c>
      <c r="D705" s="68" t="s">
        <v>764</v>
      </c>
      <c r="F705" s="68" t="s">
        <v>3201</v>
      </c>
      <c r="H705" s="122">
        <v>44649</v>
      </c>
      <c r="I705" s="68" t="s">
        <v>3479</v>
      </c>
      <c r="J705" s="68">
        <v>227.6</v>
      </c>
      <c r="K705" s="68" t="s">
        <v>3673</v>
      </c>
      <c r="L705" s="68" t="s">
        <v>3674</v>
      </c>
    </row>
    <row r="706" spans="1:12" x14ac:dyDescent="0.25">
      <c r="A706" s="68" t="s">
        <v>765</v>
      </c>
      <c r="B706" s="68" t="s">
        <v>1592</v>
      </c>
      <c r="C706" s="68" t="s">
        <v>2397</v>
      </c>
      <c r="D706" s="68" t="s">
        <v>765</v>
      </c>
      <c r="F706" s="68" t="s">
        <v>3202</v>
      </c>
      <c r="H706" s="122">
        <v>44649</v>
      </c>
      <c r="I706" s="68" t="s">
        <v>3479</v>
      </c>
      <c r="J706" s="68">
        <v>564</v>
      </c>
      <c r="K706" s="68" t="s">
        <v>3673</v>
      </c>
      <c r="L706" s="68" t="s">
        <v>3674</v>
      </c>
    </row>
    <row r="707" spans="1:12" x14ac:dyDescent="0.25">
      <c r="A707" s="68" t="s">
        <v>766</v>
      </c>
      <c r="B707" s="68" t="s">
        <v>1593</v>
      </c>
      <c r="C707" s="68" t="s">
        <v>2398</v>
      </c>
      <c r="D707" s="68" t="s">
        <v>766</v>
      </c>
      <c r="F707" s="68" t="s">
        <v>3203</v>
      </c>
      <c r="H707" s="122">
        <v>44621</v>
      </c>
      <c r="I707" s="68" t="s">
        <v>3479</v>
      </c>
      <c r="J707" s="68">
        <v>1312.8</v>
      </c>
      <c r="K707" s="68" t="s">
        <v>3673</v>
      </c>
      <c r="L707" s="68" t="s">
        <v>3674</v>
      </c>
    </row>
    <row r="708" spans="1:12" x14ac:dyDescent="0.25">
      <c r="A708" s="68" t="s">
        <v>767</v>
      </c>
      <c r="B708" s="68" t="s">
        <v>1594</v>
      </c>
      <c r="C708" s="68" t="s">
        <v>2399</v>
      </c>
      <c r="D708" s="68" t="s">
        <v>767</v>
      </c>
      <c r="F708" s="68" t="s">
        <v>3204</v>
      </c>
      <c r="H708" s="122">
        <v>44648</v>
      </c>
      <c r="I708" s="68" t="s">
        <v>3598</v>
      </c>
      <c r="J708" s="68">
        <v>191.6</v>
      </c>
      <c r="K708" s="68" t="s">
        <v>3673</v>
      </c>
      <c r="L708" s="68" t="s">
        <v>3674</v>
      </c>
    </row>
    <row r="709" spans="1:12" x14ac:dyDescent="0.25">
      <c r="A709" s="68" t="s">
        <v>768</v>
      </c>
      <c r="B709" s="68" t="s">
        <v>1595</v>
      </c>
      <c r="C709" s="68" t="s">
        <v>2400</v>
      </c>
      <c r="D709" s="68" t="s">
        <v>768</v>
      </c>
      <c r="F709" s="68" t="s">
        <v>3205</v>
      </c>
      <c r="H709" s="122">
        <v>44645</v>
      </c>
      <c r="I709" s="68" t="s">
        <v>3480</v>
      </c>
      <c r="J709" s="68">
        <v>492</v>
      </c>
      <c r="K709" s="68" t="s">
        <v>3673</v>
      </c>
      <c r="L709" s="68" t="s">
        <v>3674</v>
      </c>
    </row>
    <row r="710" spans="1:12" x14ac:dyDescent="0.25">
      <c r="A710" s="68" t="s">
        <v>769</v>
      </c>
      <c r="B710" s="68" t="s">
        <v>1596</v>
      </c>
      <c r="C710" s="68" t="s">
        <v>2401</v>
      </c>
      <c r="D710" s="68" t="s">
        <v>769</v>
      </c>
      <c r="F710" s="68" t="s">
        <v>3206</v>
      </c>
      <c r="H710" s="122">
        <v>44636</v>
      </c>
      <c r="I710" s="68" t="s">
        <v>3480</v>
      </c>
      <c r="J710" s="68">
        <v>61.2</v>
      </c>
      <c r="K710" s="68" t="s">
        <v>3673</v>
      </c>
      <c r="L710" s="68" t="s">
        <v>3674</v>
      </c>
    </row>
    <row r="711" spans="1:12" x14ac:dyDescent="0.25">
      <c r="A711" s="68" t="s">
        <v>770</v>
      </c>
      <c r="B711" s="68" t="s">
        <v>1597</v>
      </c>
      <c r="C711" s="68" t="s">
        <v>2402</v>
      </c>
      <c r="D711" s="68" t="s">
        <v>770</v>
      </c>
      <c r="F711" s="68" t="s">
        <v>3207</v>
      </c>
      <c r="H711" s="122">
        <v>44643</v>
      </c>
      <c r="I711" s="68" t="s">
        <v>3437</v>
      </c>
      <c r="J711" s="68">
        <v>186</v>
      </c>
      <c r="K711" s="68" t="s">
        <v>3673</v>
      </c>
      <c r="L711" s="68" t="s">
        <v>3674</v>
      </c>
    </row>
    <row r="712" spans="1:12" x14ac:dyDescent="0.25">
      <c r="A712" s="68" t="s">
        <v>771</v>
      </c>
      <c r="B712" s="68" t="s">
        <v>1598</v>
      </c>
      <c r="C712" s="68" t="s">
        <v>1879</v>
      </c>
      <c r="D712" s="68" t="s">
        <v>771</v>
      </c>
      <c r="F712" s="68" t="s">
        <v>3208</v>
      </c>
      <c r="H712" s="122">
        <v>44643</v>
      </c>
      <c r="I712" s="68" t="s">
        <v>3437</v>
      </c>
      <c r="J712" s="68">
        <v>88.8</v>
      </c>
      <c r="K712" s="68" t="s">
        <v>3673</v>
      </c>
      <c r="L712" s="68" t="s">
        <v>3674</v>
      </c>
    </row>
    <row r="713" spans="1:12" x14ac:dyDescent="0.25">
      <c r="A713" s="68" t="s">
        <v>772</v>
      </c>
      <c r="B713" s="68" t="s">
        <v>1599</v>
      </c>
      <c r="C713" s="68" t="s">
        <v>2403</v>
      </c>
      <c r="D713" s="68" t="s">
        <v>772</v>
      </c>
      <c r="F713" s="68" t="s">
        <v>3209</v>
      </c>
      <c r="H713" s="122">
        <v>44643</v>
      </c>
      <c r="I713" s="68" t="s">
        <v>3437</v>
      </c>
      <c r="J713" s="68">
        <v>432</v>
      </c>
      <c r="K713" s="68" t="s">
        <v>3673</v>
      </c>
      <c r="L713" s="68" t="s">
        <v>3674</v>
      </c>
    </row>
    <row r="714" spans="1:12" x14ac:dyDescent="0.25">
      <c r="A714" s="68" t="s">
        <v>773</v>
      </c>
      <c r="B714" s="68" t="s">
        <v>1600</v>
      </c>
      <c r="C714" s="68" t="s">
        <v>2404</v>
      </c>
      <c r="D714" s="68" t="s">
        <v>773</v>
      </c>
      <c r="F714" s="68" t="s">
        <v>3210</v>
      </c>
      <c r="H714" s="122">
        <v>44643</v>
      </c>
      <c r="I714" s="68" t="s">
        <v>3437</v>
      </c>
      <c r="J714" s="68">
        <v>708</v>
      </c>
      <c r="K714" s="68" t="s">
        <v>3673</v>
      </c>
      <c r="L714" s="68" t="s">
        <v>3674</v>
      </c>
    </row>
    <row r="715" spans="1:12" x14ac:dyDescent="0.25">
      <c r="A715" s="68" t="s">
        <v>774</v>
      </c>
      <c r="B715" s="68" t="s">
        <v>1601</v>
      </c>
      <c r="C715" s="68" t="s">
        <v>2405</v>
      </c>
      <c r="D715" s="68" t="s">
        <v>774</v>
      </c>
      <c r="F715" s="68" t="s">
        <v>3211</v>
      </c>
      <c r="H715" s="122">
        <v>44642</v>
      </c>
      <c r="I715" s="68" t="s">
        <v>3481</v>
      </c>
      <c r="J715" s="68">
        <v>116.4</v>
      </c>
      <c r="K715" s="68" t="s">
        <v>3673</v>
      </c>
      <c r="L715" s="68" t="s">
        <v>3674</v>
      </c>
    </row>
    <row r="716" spans="1:12" x14ac:dyDescent="0.25">
      <c r="A716" s="68" t="s">
        <v>775</v>
      </c>
      <c r="B716" s="68" t="s">
        <v>1602</v>
      </c>
      <c r="C716" s="68" t="s">
        <v>2406</v>
      </c>
      <c r="D716" s="68" t="s">
        <v>775</v>
      </c>
      <c r="F716" s="68" t="s">
        <v>3212</v>
      </c>
      <c r="H716" s="122">
        <v>44642</v>
      </c>
      <c r="I716" s="68" t="s">
        <v>3481</v>
      </c>
      <c r="J716" s="68">
        <v>727.2</v>
      </c>
      <c r="K716" s="68" t="s">
        <v>3673</v>
      </c>
      <c r="L716" s="68" t="s">
        <v>3674</v>
      </c>
    </row>
    <row r="717" spans="1:12" x14ac:dyDescent="0.25">
      <c r="A717" s="68" t="s">
        <v>776</v>
      </c>
      <c r="B717" s="68" t="s">
        <v>1603</v>
      </c>
      <c r="C717" s="68" t="s">
        <v>2407</v>
      </c>
      <c r="D717" s="68" t="s">
        <v>776</v>
      </c>
      <c r="F717" s="68" t="s">
        <v>3213</v>
      </c>
      <c r="H717" s="122">
        <v>44642</v>
      </c>
      <c r="I717" s="68" t="s">
        <v>3481</v>
      </c>
      <c r="J717" s="68">
        <v>138</v>
      </c>
      <c r="K717" s="68" t="s">
        <v>3673</v>
      </c>
      <c r="L717" s="68" t="s">
        <v>3674</v>
      </c>
    </row>
    <row r="718" spans="1:12" x14ac:dyDescent="0.25">
      <c r="A718" s="68" t="s">
        <v>777</v>
      </c>
      <c r="B718" s="68" t="s">
        <v>1604</v>
      </c>
      <c r="C718" s="68" t="s">
        <v>2408</v>
      </c>
      <c r="D718" s="68" t="s">
        <v>777</v>
      </c>
      <c r="F718" s="68" t="s">
        <v>3214</v>
      </c>
      <c r="H718" s="122">
        <v>44642</v>
      </c>
      <c r="I718" s="68" t="s">
        <v>3481</v>
      </c>
      <c r="J718" s="68">
        <v>276</v>
      </c>
      <c r="K718" s="68" t="s">
        <v>3673</v>
      </c>
      <c r="L718" s="68" t="s">
        <v>3674</v>
      </c>
    </row>
    <row r="719" spans="1:12" x14ac:dyDescent="0.25">
      <c r="A719" s="68" t="s">
        <v>778</v>
      </c>
      <c r="B719" s="68" t="s">
        <v>1605</v>
      </c>
      <c r="C719" s="68" t="s">
        <v>2409</v>
      </c>
      <c r="D719" s="68" t="s">
        <v>778</v>
      </c>
      <c r="F719" s="68" t="s">
        <v>3215</v>
      </c>
      <c r="H719" s="122">
        <v>44642</v>
      </c>
      <c r="I719" s="68" t="s">
        <v>3481</v>
      </c>
      <c r="J719" s="68">
        <v>302.39999999999998</v>
      </c>
      <c r="K719" s="68" t="s">
        <v>3673</v>
      </c>
      <c r="L719" s="68" t="s">
        <v>3674</v>
      </c>
    </row>
    <row r="720" spans="1:12" x14ac:dyDescent="0.25">
      <c r="A720" s="68" t="s">
        <v>779</v>
      </c>
      <c r="B720" s="68" t="s">
        <v>1606</v>
      </c>
      <c r="C720" s="68" t="s">
        <v>2410</v>
      </c>
      <c r="D720" s="68" t="s">
        <v>779</v>
      </c>
      <c r="F720" s="68" t="s">
        <v>3216</v>
      </c>
      <c r="H720" s="122">
        <v>44642</v>
      </c>
      <c r="I720" s="68" t="s">
        <v>3481</v>
      </c>
      <c r="J720" s="68">
        <v>986</v>
      </c>
      <c r="K720" s="68" t="s">
        <v>3673</v>
      </c>
      <c r="L720" s="68" t="s">
        <v>3674</v>
      </c>
    </row>
    <row r="721" spans="1:12" x14ac:dyDescent="0.25">
      <c r="A721" s="68" t="s">
        <v>780</v>
      </c>
      <c r="B721" s="68" t="s">
        <v>1607</v>
      </c>
      <c r="C721" s="68" t="s">
        <v>2411</v>
      </c>
      <c r="D721" s="68" t="s">
        <v>780</v>
      </c>
      <c r="F721" s="68" t="s">
        <v>3217</v>
      </c>
      <c r="H721" s="122">
        <v>44642</v>
      </c>
      <c r="I721" s="68" t="s">
        <v>3481</v>
      </c>
      <c r="J721" s="68">
        <v>227.6</v>
      </c>
      <c r="K721" s="68" t="s">
        <v>3673</v>
      </c>
      <c r="L721" s="68" t="s">
        <v>3674</v>
      </c>
    </row>
    <row r="722" spans="1:12" x14ac:dyDescent="0.25">
      <c r="A722" s="68" t="s">
        <v>781</v>
      </c>
      <c r="B722" s="68" t="s">
        <v>1608</v>
      </c>
      <c r="C722" s="68" t="s">
        <v>2412</v>
      </c>
      <c r="D722" s="68" t="s">
        <v>781</v>
      </c>
      <c r="F722" s="68" t="s">
        <v>3218</v>
      </c>
      <c r="H722" s="122">
        <v>44642</v>
      </c>
      <c r="I722" s="68" t="s">
        <v>3481</v>
      </c>
      <c r="J722" s="68">
        <v>428.4</v>
      </c>
      <c r="K722" s="68" t="s">
        <v>3673</v>
      </c>
      <c r="L722" s="68" t="s">
        <v>3674</v>
      </c>
    </row>
    <row r="723" spans="1:12" x14ac:dyDescent="0.25">
      <c r="A723" s="68" t="s">
        <v>759</v>
      </c>
      <c r="B723" s="68" t="s">
        <v>1586</v>
      </c>
      <c r="C723" s="68" t="s">
        <v>2391</v>
      </c>
      <c r="D723" s="68" t="s">
        <v>759</v>
      </c>
      <c r="F723" s="68" t="s">
        <v>3196</v>
      </c>
      <c r="H723" s="122">
        <v>44641</v>
      </c>
      <c r="I723" s="68" t="s">
        <v>3522</v>
      </c>
      <c r="J723" s="68">
        <v>480</v>
      </c>
      <c r="K723" s="68" t="s">
        <v>3673</v>
      </c>
      <c r="L723" s="68" t="s">
        <v>3674</v>
      </c>
    </row>
    <row r="724" spans="1:12" x14ac:dyDescent="0.25">
      <c r="A724" s="68" t="s">
        <v>772</v>
      </c>
      <c r="B724" s="68" t="s">
        <v>1599</v>
      </c>
      <c r="C724" s="68" t="s">
        <v>2403</v>
      </c>
      <c r="D724" s="68" t="s">
        <v>772</v>
      </c>
      <c r="F724" s="68" t="s">
        <v>3209</v>
      </c>
      <c r="H724" s="122">
        <v>44641</v>
      </c>
      <c r="I724" s="68" t="s">
        <v>3522</v>
      </c>
      <c r="J724" s="68">
        <v>354.8</v>
      </c>
      <c r="K724" s="68" t="s">
        <v>3673</v>
      </c>
      <c r="L724" s="68" t="s">
        <v>3674</v>
      </c>
    </row>
    <row r="725" spans="1:12" x14ac:dyDescent="0.25">
      <c r="A725" s="68" t="s">
        <v>773</v>
      </c>
      <c r="B725" s="68" t="s">
        <v>1600</v>
      </c>
      <c r="C725" s="68" t="s">
        <v>2404</v>
      </c>
      <c r="D725" s="68" t="s">
        <v>773</v>
      </c>
      <c r="F725" s="68" t="s">
        <v>3210</v>
      </c>
      <c r="H725" s="122">
        <v>44641</v>
      </c>
      <c r="I725" s="68" t="s">
        <v>3522</v>
      </c>
      <c r="J725" s="68">
        <v>256.39999999999998</v>
      </c>
      <c r="K725" s="68" t="s">
        <v>3673</v>
      </c>
      <c r="L725" s="68" t="s">
        <v>3674</v>
      </c>
    </row>
    <row r="726" spans="1:12" x14ac:dyDescent="0.25">
      <c r="A726" s="68" t="s">
        <v>782</v>
      </c>
      <c r="B726" s="68" t="s">
        <v>1609</v>
      </c>
      <c r="C726" s="68" t="s">
        <v>2413</v>
      </c>
      <c r="D726" s="68" t="s">
        <v>782</v>
      </c>
      <c r="F726" s="68" t="s">
        <v>3219</v>
      </c>
      <c r="H726" s="122">
        <v>44639</v>
      </c>
      <c r="I726" s="68" t="s">
        <v>3442</v>
      </c>
      <c r="J726" s="68">
        <v>226.8</v>
      </c>
      <c r="K726" s="68" t="s">
        <v>3673</v>
      </c>
      <c r="L726" s="68" t="s">
        <v>3674</v>
      </c>
    </row>
    <row r="727" spans="1:12" x14ac:dyDescent="0.25">
      <c r="A727" s="68" t="s">
        <v>783</v>
      </c>
      <c r="B727" s="68" t="s">
        <v>1610</v>
      </c>
      <c r="C727" s="68" t="s">
        <v>2414</v>
      </c>
      <c r="D727" s="68" t="s">
        <v>783</v>
      </c>
      <c r="F727" s="68" t="s">
        <v>3220</v>
      </c>
      <c r="H727" s="122">
        <v>44639</v>
      </c>
      <c r="I727" s="68" t="s">
        <v>3442</v>
      </c>
      <c r="J727" s="68">
        <v>149.6</v>
      </c>
      <c r="K727" s="68" t="s">
        <v>3673</v>
      </c>
      <c r="L727" s="68" t="s">
        <v>3674</v>
      </c>
    </row>
    <row r="728" spans="1:12" x14ac:dyDescent="0.25">
      <c r="A728" s="68" t="s">
        <v>784</v>
      </c>
      <c r="B728" s="68" t="s">
        <v>1611</v>
      </c>
      <c r="C728" s="68" t="s">
        <v>2415</v>
      </c>
      <c r="D728" s="68" t="s">
        <v>784</v>
      </c>
      <c r="F728" s="68" t="s">
        <v>3221</v>
      </c>
      <c r="H728" s="122">
        <v>44638</v>
      </c>
      <c r="I728" s="68" t="s">
        <v>3442</v>
      </c>
      <c r="J728" s="68">
        <v>466.8</v>
      </c>
      <c r="K728" s="68" t="s">
        <v>3673</v>
      </c>
      <c r="L728" s="68" t="s">
        <v>3674</v>
      </c>
    </row>
    <row r="729" spans="1:12" x14ac:dyDescent="0.25">
      <c r="A729" s="68" t="s">
        <v>785</v>
      </c>
      <c r="B729" s="68" t="s">
        <v>1612</v>
      </c>
      <c r="C729" s="68" t="s">
        <v>2416</v>
      </c>
      <c r="D729" s="68" t="s">
        <v>785</v>
      </c>
      <c r="F729" s="68" t="s">
        <v>3222</v>
      </c>
      <c r="H729" s="122">
        <v>44638</v>
      </c>
      <c r="I729" s="68" t="s">
        <v>3442</v>
      </c>
      <c r="J729" s="68">
        <v>266</v>
      </c>
      <c r="K729" s="68" t="s">
        <v>3673</v>
      </c>
      <c r="L729" s="68" t="s">
        <v>3674</v>
      </c>
    </row>
    <row r="730" spans="1:12" x14ac:dyDescent="0.25">
      <c r="A730" s="68" t="s">
        <v>786</v>
      </c>
      <c r="B730" s="68" t="s">
        <v>1613</v>
      </c>
      <c r="C730" s="68" t="s">
        <v>2417</v>
      </c>
      <c r="D730" s="68" t="s">
        <v>786</v>
      </c>
      <c r="F730" s="68" t="s">
        <v>3223</v>
      </c>
      <c r="H730" s="122">
        <v>44638</v>
      </c>
      <c r="I730" s="68" t="s">
        <v>3442</v>
      </c>
      <c r="J730" s="68">
        <v>61.2</v>
      </c>
      <c r="K730" s="68" t="s">
        <v>3673</v>
      </c>
      <c r="L730" s="68" t="s">
        <v>3674</v>
      </c>
    </row>
    <row r="731" spans="1:12" x14ac:dyDescent="0.25">
      <c r="A731" s="68" t="s">
        <v>755</v>
      </c>
      <c r="B731" s="68" t="s">
        <v>1582</v>
      </c>
      <c r="C731" s="68" t="s">
        <v>2387</v>
      </c>
      <c r="D731" s="68" t="s">
        <v>755</v>
      </c>
      <c r="F731" s="68" t="s">
        <v>3192</v>
      </c>
      <c r="H731" s="122">
        <v>44637</v>
      </c>
      <c r="I731" s="68" t="s">
        <v>3523</v>
      </c>
      <c r="J731" s="68">
        <v>1058.4000000000001</v>
      </c>
      <c r="K731" s="68" t="s">
        <v>3673</v>
      </c>
      <c r="L731" s="68" t="s">
        <v>3674</v>
      </c>
    </row>
    <row r="732" spans="1:12" x14ac:dyDescent="0.25">
      <c r="A732" s="68" t="s">
        <v>787</v>
      </c>
      <c r="B732" s="68" t="s">
        <v>1614</v>
      </c>
      <c r="C732" s="68" t="s">
        <v>2418</v>
      </c>
      <c r="D732" s="68" t="s">
        <v>787</v>
      </c>
      <c r="F732" s="68" t="s">
        <v>3224</v>
      </c>
      <c r="H732" s="122">
        <v>44637</v>
      </c>
      <c r="I732" s="68" t="s">
        <v>3523</v>
      </c>
      <c r="J732" s="68">
        <v>162</v>
      </c>
      <c r="K732" s="68" t="s">
        <v>3673</v>
      </c>
      <c r="L732" s="68" t="s">
        <v>3674</v>
      </c>
    </row>
    <row r="733" spans="1:12" x14ac:dyDescent="0.25">
      <c r="A733" s="68" t="s">
        <v>788</v>
      </c>
      <c r="B733" s="68" t="s">
        <v>1615</v>
      </c>
      <c r="C733" s="68" t="s">
        <v>2419</v>
      </c>
      <c r="D733" s="68" t="s">
        <v>788</v>
      </c>
      <c r="F733" s="68" t="s">
        <v>3225</v>
      </c>
      <c r="H733" s="122">
        <v>44637</v>
      </c>
      <c r="I733" s="68" t="s">
        <v>3523</v>
      </c>
      <c r="J733" s="68">
        <v>186</v>
      </c>
      <c r="K733" s="68" t="s">
        <v>3673</v>
      </c>
      <c r="L733" s="68" t="s">
        <v>3674</v>
      </c>
    </row>
    <row r="734" spans="1:12" x14ac:dyDescent="0.25">
      <c r="A734" s="68" t="s">
        <v>789</v>
      </c>
      <c r="B734" s="68" t="s">
        <v>1616</v>
      </c>
      <c r="C734" s="68" t="s">
        <v>2420</v>
      </c>
      <c r="D734" s="68" t="s">
        <v>789</v>
      </c>
      <c r="F734" s="68" t="s">
        <v>3226</v>
      </c>
      <c r="H734" s="122">
        <v>44636</v>
      </c>
      <c r="I734" s="68" t="s">
        <v>3447</v>
      </c>
      <c r="J734" s="68">
        <v>960</v>
      </c>
      <c r="K734" s="68" t="s">
        <v>3673</v>
      </c>
      <c r="L734" s="68" t="s">
        <v>3674</v>
      </c>
    </row>
    <row r="735" spans="1:12" x14ac:dyDescent="0.25">
      <c r="A735" s="68" t="s">
        <v>790</v>
      </c>
      <c r="B735" s="68" t="s">
        <v>1617</v>
      </c>
      <c r="C735" s="68" t="s">
        <v>2421</v>
      </c>
      <c r="D735" s="68" t="s">
        <v>790</v>
      </c>
      <c r="F735" s="68" t="s">
        <v>3227</v>
      </c>
      <c r="H735" s="122">
        <v>44636</v>
      </c>
      <c r="I735" s="68" t="s">
        <v>3447</v>
      </c>
      <c r="J735" s="68">
        <v>266</v>
      </c>
      <c r="K735" s="68" t="s">
        <v>3673</v>
      </c>
      <c r="L735" s="68" t="s">
        <v>3674</v>
      </c>
    </row>
    <row r="736" spans="1:12" x14ac:dyDescent="0.25">
      <c r="A736" s="68" t="s">
        <v>777</v>
      </c>
      <c r="B736" s="68" t="s">
        <v>1604</v>
      </c>
      <c r="C736" s="68" t="s">
        <v>2408</v>
      </c>
      <c r="D736" s="68" t="s">
        <v>777</v>
      </c>
      <c r="F736" s="68" t="s">
        <v>3214</v>
      </c>
      <c r="H736" s="122">
        <v>44636</v>
      </c>
      <c r="I736" s="68" t="s">
        <v>3447</v>
      </c>
      <c r="J736" s="68">
        <v>186</v>
      </c>
      <c r="K736" s="68" t="s">
        <v>3673</v>
      </c>
      <c r="L736" s="68" t="s">
        <v>3674</v>
      </c>
    </row>
    <row r="737" spans="1:12" x14ac:dyDescent="0.25">
      <c r="A737" s="68" t="s">
        <v>791</v>
      </c>
      <c r="B737" s="68" t="s">
        <v>1618</v>
      </c>
      <c r="C737" s="68" t="s">
        <v>2422</v>
      </c>
      <c r="D737" s="68" t="s">
        <v>791</v>
      </c>
      <c r="F737" s="68" t="s">
        <v>3228</v>
      </c>
      <c r="H737" s="122">
        <v>44634</v>
      </c>
      <c r="I737" s="68" t="s">
        <v>3447</v>
      </c>
      <c r="J737" s="68">
        <v>428.4</v>
      </c>
      <c r="K737" s="68" t="s">
        <v>3673</v>
      </c>
      <c r="L737" s="68" t="s">
        <v>3674</v>
      </c>
    </row>
    <row r="738" spans="1:12" x14ac:dyDescent="0.25">
      <c r="A738" s="68" t="s">
        <v>792</v>
      </c>
      <c r="B738" s="68" t="s">
        <v>1619</v>
      </c>
      <c r="C738" s="68" t="s">
        <v>2423</v>
      </c>
      <c r="D738" s="68" t="s">
        <v>792</v>
      </c>
      <c r="F738" s="68" t="s">
        <v>3229</v>
      </c>
      <c r="H738" s="122">
        <v>44635</v>
      </c>
      <c r="I738" s="68" t="s">
        <v>3501</v>
      </c>
      <c r="J738" s="68">
        <v>552</v>
      </c>
      <c r="K738" s="68" t="s">
        <v>3673</v>
      </c>
      <c r="L738" s="68" t="s">
        <v>3674</v>
      </c>
    </row>
    <row r="739" spans="1:12" x14ac:dyDescent="0.25">
      <c r="A739" s="68" t="s">
        <v>793</v>
      </c>
      <c r="B739" s="68" t="s">
        <v>1620</v>
      </c>
      <c r="C739" s="68" t="s">
        <v>2424</v>
      </c>
      <c r="D739" s="68" t="s">
        <v>793</v>
      </c>
      <c r="F739" s="68" t="s">
        <v>3230</v>
      </c>
      <c r="H739" s="122">
        <v>44635</v>
      </c>
      <c r="I739" s="68" t="s">
        <v>3501</v>
      </c>
      <c r="J739" s="68">
        <v>1312.8</v>
      </c>
      <c r="K739" s="68" t="s">
        <v>3673</v>
      </c>
      <c r="L739" s="68" t="s">
        <v>3674</v>
      </c>
    </row>
    <row r="740" spans="1:12" x14ac:dyDescent="0.25">
      <c r="A740" s="68" t="s">
        <v>762</v>
      </c>
      <c r="B740" s="68" t="s">
        <v>1589</v>
      </c>
      <c r="C740" s="68" t="s">
        <v>2394</v>
      </c>
      <c r="D740" s="68" t="s">
        <v>762</v>
      </c>
      <c r="F740" s="68" t="s">
        <v>3199</v>
      </c>
      <c r="H740" s="122">
        <v>44635</v>
      </c>
      <c r="I740" s="68" t="s">
        <v>3501</v>
      </c>
      <c r="J740" s="68">
        <v>313.2</v>
      </c>
      <c r="K740" s="68" t="s">
        <v>3673</v>
      </c>
      <c r="L740" s="68" t="s">
        <v>3674</v>
      </c>
    </row>
    <row r="741" spans="1:12" x14ac:dyDescent="0.25">
      <c r="A741" s="68" t="s">
        <v>794</v>
      </c>
      <c r="B741" s="68" t="s">
        <v>1621</v>
      </c>
      <c r="C741" s="68" t="s">
        <v>2425</v>
      </c>
      <c r="D741" s="68" t="s">
        <v>794</v>
      </c>
      <c r="F741" s="68" t="s">
        <v>3231</v>
      </c>
      <c r="H741" s="122">
        <v>44635</v>
      </c>
      <c r="I741" s="68" t="s">
        <v>3501</v>
      </c>
      <c r="J741" s="68">
        <v>175.2</v>
      </c>
      <c r="K741" s="68" t="s">
        <v>3673</v>
      </c>
      <c r="L741" s="68" t="s">
        <v>3674</v>
      </c>
    </row>
    <row r="742" spans="1:12" x14ac:dyDescent="0.25">
      <c r="A742" s="68" t="s">
        <v>758</v>
      </c>
      <c r="B742" s="68" t="s">
        <v>1585</v>
      </c>
      <c r="C742" s="68" t="s">
        <v>2390</v>
      </c>
      <c r="D742" s="68" t="s">
        <v>758</v>
      </c>
      <c r="F742" s="68" t="s">
        <v>3195</v>
      </c>
      <c r="H742" s="122">
        <v>44632</v>
      </c>
      <c r="I742" s="68" t="s">
        <v>3524</v>
      </c>
      <c r="J742" s="68">
        <v>162</v>
      </c>
      <c r="K742" s="68" t="s">
        <v>3673</v>
      </c>
      <c r="L742" s="68" t="s">
        <v>3674</v>
      </c>
    </row>
    <row r="743" spans="1:12" x14ac:dyDescent="0.25">
      <c r="A743" s="68" t="s">
        <v>795</v>
      </c>
      <c r="B743" s="68" t="s">
        <v>1622</v>
      </c>
      <c r="C743" s="68" t="s">
        <v>2426</v>
      </c>
      <c r="D743" s="68" t="s">
        <v>795</v>
      </c>
      <c r="F743" s="68" t="s">
        <v>3232</v>
      </c>
      <c r="H743" s="122">
        <v>44632</v>
      </c>
      <c r="I743" s="68" t="s">
        <v>3524</v>
      </c>
      <c r="J743" s="68">
        <v>133.19999999999999</v>
      </c>
      <c r="K743" s="68" t="s">
        <v>3673</v>
      </c>
      <c r="L743" s="68" t="s">
        <v>3674</v>
      </c>
    </row>
    <row r="744" spans="1:12" x14ac:dyDescent="0.25">
      <c r="A744" s="68" t="s">
        <v>796</v>
      </c>
      <c r="B744" s="68" t="s">
        <v>1623</v>
      </c>
      <c r="C744" s="68" t="s">
        <v>2427</v>
      </c>
      <c r="D744" s="68" t="s">
        <v>796</v>
      </c>
      <c r="F744" s="68" t="s">
        <v>3233</v>
      </c>
      <c r="H744" s="122">
        <v>44632</v>
      </c>
      <c r="I744" s="68" t="s">
        <v>3524</v>
      </c>
      <c r="J744" s="68">
        <v>873.6</v>
      </c>
      <c r="K744" s="68" t="s">
        <v>3673</v>
      </c>
      <c r="L744" s="68" t="s">
        <v>3674</v>
      </c>
    </row>
    <row r="745" spans="1:12" x14ac:dyDescent="0.25">
      <c r="A745" s="68" t="s">
        <v>797</v>
      </c>
      <c r="B745" s="68" t="s">
        <v>1624</v>
      </c>
      <c r="C745" s="68" t="s">
        <v>2428</v>
      </c>
      <c r="D745" s="68" t="s">
        <v>797</v>
      </c>
      <c r="F745" s="68" t="s">
        <v>3234</v>
      </c>
      <c r="H745" s="122">
        <v>44617</v>
      </c>
      <c r="I745" s="68" t="s">
        <v>3500</v>
      </c>
      <c r="J745" s="68">
        <v>27.6</v>
      </c>
      <c r="K745" s="68" t="s">
        <v>3673</v>
      </c>
      <c r="L745" s="68" t="s">
        <v>3674</v>
      </c>
    </row>
    <row r="746" spans="1:12" x14ac:dyDescent="0.25">
      <c r="A746" s="68" t="s">
        <v>798</v>
      </c>
      <c r="B746" s="68" t="s">
        <v>1625</v>
      </c>
      <c r="C746" s="68" t="s">
        <v>2429</v>
      </c>
      <c r="D746" s="68" t="s">
        <v>798</v>
      </c>
      <c r="F746" s="68" t="s">
        <v>3235</v>
      </c>
      <c r="H746" s="122">
        <v>44617</v>
      </c>
      <c r="I746" s="68" t="s">
        <v>3500</v>
      </c>
      <c r="J746" s="68">
        <v>80.400000000000006</v>
      </c>
      <c r="K746" s="68" t="s">
        <v>3673</v>
      </c>
      <c r="L746" s="68" t="s">
        <v>3674</v>
      </c>
    </row>
    <row r="747" spans="1:12" x14ac:dyDescent="0.25">
      <c r="A747" s="68" t="s">
        <v>799</v>
      </c>
      <c r="B747" s="68" t="s">
        <v>1626</v>
      </c>
      <c r="C747" s="68" t="s">
        <v>2430</v>
      </c>
      <c r="D747" s="68" t="s">
        <v>799</v>
      </c>
      <c r="F747" s="68" t="s">
        <v>3236</v>
      </c>
      <c r="H747" s="122">
        <v>44631</v>
      </c>
      <c r="I747" s="68" t="s">
        <v>3500</v>
      </c>
      <c r="J747" s="68">
        <v>61.2</v>
      </c>
      <c r="K747" s="68" t="s">
        <v>3673</v>
      </c>
      <c r="L747" s="68" t="s">
        <v>3674</v>
      </c>
    </row>
    <row r="748" spans="1:12" x14ac:dyDescent="0.25">
      <c r="A748" s="68" t="s">
        <v>800</v>
      </c>
      <c r="B748" s="68" t="s">
        <v>1627</v>
      </c>
      <c r="C748" s="68" t="s">
        <v>2431</v>
      </c>
      <c r="D748" s="68" t="s">
        <v>800</v>
      </c>
      <c r="F748" s="68" t="s">
        <v>3237</v>
      </c>
      <c r="H748" s="122">
        <v>44631</v>
      </c>
      <c r="I748" s="68" t="s">
        <v>3437</v>
      </c>
      <c r="J748" s="68">
        <v>249.2</v>
      </c>
      <c r="K748" s="68" t="s">
        <v>3673</v>
      </c>
      <c r="L748" s="68" t="s">
        <v>3674</v>
      </c>
    </row>
    <row r="749" spans="1:12" x14ac:dyDescent="0.25">
      <c r="A749" s="68" t="s">
        <v>798</v>
      </c>
      <c r="B749" s="68" t="s">
        <v>1625</v>
      </c>
      <c r="C749" s="68" t="s">
        <v>2429</v>
      </c>
      <c r="D749" s="68" t="s">
        <v>798</v>
      </c>
      <c r="F749" s="68" t="s">
        <v>3235</v>
      </c>
      <c r="H749" s="122">
        <v>44630</v>
      </c>
      <c r="I749" s="68" t="s">
        <v>3500</v>
      </c>
      <c r="J749" s="68">
        <v>278.39999999999998</v>
      </c>
      <c r="K749" s="68" t="s">
        <v>3673</v>
      </c>
      <c r="L749" s="68" t="s">
        <v>3674</v>
      </c>
    </row>
    <row r="750" spans="1:12" x14ac:dyDescent="0.25">
      <c r="A750" s="68" t="s">
        <v>801</v>
      </c>
      <c r="B750" s="68" t="s">
        <v>1628</v>
      </c>
      <c r="C750" s="68" t="s">
        <v>2432</v>
      </c>
      <c r="D750" s="68" t="s">
        <v>801</v>
      </c>
      <c r="F750" s="68" t="s">
        <v>3238</v>
      </c>
      <c r="H750" s="122">
        <v>44630</v>
      </c>
      <c r="I750" s="68" t="s">
        <v>3448</v>
      </c>
      <c r="J750" s="68">
        <v>61.2</v>
      </c>
      <c r="K750" s="68" t="s">
        <v>3673</v>
      </c>
      <c r="L750" s="68" t="s">
        <v>3674</v>
      </c>
    </row>
    <row r="751" spans="1:12" x14ac:dyDescent="0.25">
      <c r="A751" s="68" t="s">
        <v>802</v>
      </c>
      <c r="B751" s="68" t="s">
        <v>1629</v>
      </c>
      <c r="C751" s="68" t="s">
        <v>2018</v>
      </c>
      <c r="D751" s="68" t="s">
        <v>802</v>
      </c>
      <c r="F751" s="68" t="s">
        <v>3239</v>
      </c>
      <c r="H751" s="122">
        <v>44629</v>
      </c>
      <c r="I751" s="68" t="s">
        <v>3599</v>
      </c>
      <c r="J751" s="68">
        <v>419.2</v>
      </c>
      <c r="K751" s="68" t="s">
        <v>3673</v>
      </c>
      <c r="L751" s="68" t="s">
        <v>3674</v>
      </c>
    </row>
    <row r="752" spans="1:12" x14ac:dyDescent="0.25">
      <c r="A752" s="68" t="s">
        <v>803</v>
      </c>
      <c r="B752" s="68" t="s">
        <v>1630</v>
      </c>
      <c r="C752" s="68" t="s">
        <v>2226</v>
      </c>
      <c r="D752" s="68" t="s">
        <v>803</v>
      </c>
      <c r="F752" s="68" t="s">
        <v>3240</v>
      </c>
      <c r="H752" s="122">
        <v>44629</v>
      </c>
      <c r="I752" s="68" t="s">
        <v>3599</v>
      </c>
      <c r="J752" s="68">
        <v>360</v>
      </c>
      <c r="K752" s="68" t="s">
        <v>3673</v>
      </c>
      <c r="L752" s="68" t="s">
        <v>3674</v>
      </c>
    </row>
    <row r="753" spans="1:12" x14ac:dyDescent="0.25">
      <c r="A753" s="68" t="s">
        <v>804</v>
      </c>
      <c r="B753" s="68" t="s">
        <v>1631</v>
      </c>
      <c r="C753" s="68" t="s">
        <v>2433</v>
      </c>
      <c r="D753" s="68" t="s">
        <v>804</v>
      </c>
      <c r="F753" s="68" t="s">
        <v>3241</v>
      </c>
      <c r="H753" s="122">
        <v>44629</v>
      </c>
      <c r="I753" s="68" t="s">
        <v>3599</v>
      </c>
      <c r="J753" s="68">
        <v>61.2</v>
      </c>
      <c r="K753" s="68" t="s">
        <v>3673</v>
      </c>
      <c r="L753" s="68" t="s">
        <v>3674</v>
      </c>
    </row>
    <row r="754" spans="1:12" x14ac:dyDescent="0.25">
      <c r="A754" s="68" t="s">
        <v>805</v>
      </c>
      <c r="B754" s="68" t="s">
        <v>1632</v>
      </c>
      <c r="C754" s="68" t="s">
        <v>2434</v>
      </c>
      <c r="D754" s="68" t="s">
        <v>805</v>
      </c>
      <c r="F754" s="68" t="s">
        <v>3242</v>
      </c>
      <c r="H754" s="122">
        <v>44629</v>
      </c>
      <c r="I754" s="68" t="s">
        <v>3599</v>
      </c>
      <c r="J754" s="68">
        <v>348</v>
      </c>
      <c r="K754" s="68" t="s">
        <v>3673</v>
      </c>
      <c r="L754" s="68" t="s">
        <v>3674</v>
      </c>
    </row>
    <row r="755" spans="1:12" x14ac:dyDescent="0.25">
      <c r="A755" s="68" t="s">
        <v>806</v>
      </c>
      <c r="B755" s="68" t="s">
        <v>1633</v>
      </c>
      <c r="C755" s="68" t="s">
        <v>2435</v>
      </c>
      <c r="D755" s="68" t="s">
        <v>806</v>
      </c>
      <c r="F755" s="68" t="s">
        <v>3243</v>
      </c>
      <c r="H755" s="122">
        <v>44629</v>
      </c>
      <c r="I755" s="68" t="s">
        <v>3599</v>
      </c>
      <c r="J755" s="68">
        <v>88.8</v>
      </c>
      <c r="K755" s="68" t="s">
        <v>3673</v>
      </c>
      <c r="L755" s="68" t="s">
        <v>3674</v>
      </c>
    </row>
    <row r="756" spans="1:12" x14ac:dyDescent="0.25">
      <c r="A756" s="68" t="s">
        <v>761</v>
      </c>
      <c r="B756" s="68" t="s">
        <v>1588</v>
      </c>
      <c r="C756" s="68" t="s">
        <v>2393</v>
      </c>
      <c r="D756" s="68" t="s">
        <v>761</v>
      </c>
      <c r="F756" s="68" t="s">
        <v>3198</v>
      </c>
      <c r="H756" s="122">
        <v>44628</v>
      </c>
      <c r="I756" s="68" t="s">
        <v>3502</v>
      </c>
      <c r="J756" s="68">
        <v>966</v>
      </c>
      <c r="K756" s="68" t="s">
        <v>3673</v>
      </c>
      <c r="L756" s="68" t="s">
        <v>3674</v>
      </c>
    </row>
    <row r="757" spans="1:12" x14ac:dyDescent="0.25">
      <c r="A757" s="68" t="s">
        <v>807</v>
      </c>
      <c r="B757" s="68" t="s">
        <v>1634</v>
      </c>
      <c r="C757" s="68" t="s">
        <v>2436</v>
      </c>
      <c r="D757" s="68" t="s">
        <v>807</v>
      </c>
      <c r="F757" s="68" t="s">
        <v>3244</v>
      </c>
      <c r="H757" s="122">
        <v>44628</v>
      </c>
      <c r="I757" s="68" t="s">
        <v>3502</v>
      </c>
      <c r="J757" s="68">
        <v>1348</v>
      </c>
      <c r="K757" s="68" t="s">
        <v>3673</v>
      </c>
      <c r="L757" s="68" t="s">
        <v>3674</v>
      </c>
    </row>
    <row r="758" spans="1:12" x14ac:dyDescent="0.25">
      <c r="A758" s="68" t="s">
        <v>808</v>
      </c>
      <c r="B758" s="68" t="s">
        <v>1635</v>
      </c>
      <c r="C758" s="68" t="s">
        <v>2437</v>
      </c>
      <c r="D758" s="68" t="s">
        <v>808</v>
      </c>
      <c r="F758" s="68" t="s">
        <v>3245</v>
      </c>
      <c r="H758" s="122">
        <v>44628</v>
      </c>
      <c r="I758" s="68" t="s">
        <v>3502</v>
      </c>
      <c r="J758" s="68">
        <v>175.2</v>
      </c>
      <c r="K758" s="68" t="s">
        <v>3673</v>
      </c>
      <c r="L758" s="68" t="s">
        <v>3674</v>
      </c>
    </row>
    <row r="759" spans="1:12" x14ac:dyDescent="0.25">
      <c r="A759" s="68" t="s">
        <v>809</v>
      </c>
      <c r="B759" s="68" t="s">
        <v>1636</v>
      </c>
      <c r="C759" s="68" t="s">
        <v>2438</v>
      </c>
      <c r="D759" s="68" t="s">
        <v>809</v>
      </c>
      <c r="F759" s="68" t="s">
        <v>3246</v>
      </c>
      <c r="H759" s="122">
        <v>44627</v>
      </c>
      <c r="I759" s="68" t="s">
        <v>3502</v>
      </c>
      <c r="J759" s="68">
        <v>414</v>
      </c>
      <c r="K759" s="68" t="s">
        <v>3673</v>
      </c>
      <c r="L759" s="68" t="s">
        <v>3674</v>
      </c>
    </row>
    <row r="760" spans="1:12" x14ac:dyDescent="0.25">
      <c r="A760" s="68" t="s">
        <v>810</v>
      </c>
      <c r="B760" s="68" t="s">
        <v>1637</v>
      </c>
      <c r="C760" s="68" t="s">
        <v>2439</v>
      </c>
      <c r="D760" s="68" t="s">
        <v>810</v>
      </c>
      <c r="F760" s="68" t="s">
        <v>3247</v>
      </c>
      <c r="H760" s="122">
        <v>44627</v>
      </c>
      <c r="I760" s="68" t="s">
        <v>3502</v>
      </c>
      <c r="J760" s="68">
        <v>1631.6</v>
      </c>
      <c r="K760" s="68" t="s">
        <v>3673</v>
      </c>
      <c r="L760" s="68" t="s">
        <v>3674</v>
      </c>
    </row>
    <row r="761" spans="1:12" x14ac:dyDescent="0.25">
      <c r="A761" s="68" t="s">
        <v>786</v>
      </c>
      <c r="B761" s="68" t="s">
        <v>1613</v>
      </c>
      <c r="C761" s="68" t="s">
        <v>2417</v>
      </c>
      <c r="D761" s="68" t="s">
        <v>786</v>
      </c>
      <c r="F761" s="68" t="s">
        <v>3223</v>
      </c>
      <c r="H761" s="122">
        <v>44627</v>
      </c>
      <c r="I761" s="68" t="s">
        <v>3502</v>
      </c>
      <c r="J761" s="68">
        <v>1044</v>
      </c>
      <c r="K761" s="68" t="s">
        <v>3673</v>
      </c>
      <c r="L761" s="68" t="s">
        <v>3674</v>
      </c>
    </row>
    <row r="762" spans="1:12" x14ac:dyDescent="0.25">
      <c r="A762" s="68" t="s">
        <v>811</v>
      </c>
      <c r="B762" s="68" t="s">
        <v>1638</v>
      </c>
      <c r="C762" s="68" t="s">
        <v>2440</v>
      </c>
      <c r="D762" s="68" t="s">
        <v>811</v>
      </c>
      <c r="F762" s="68" t="s">
        <v>3248</v>
      </c>
      <c r="H762" s="122">
        <v>44624</v>
      </c>
      <c r="I762" s="68" t="s">
        <v>3449</v>
      </c>
      <c r="J762" s="68">
        <v>134.4</v>
      </c>
      <c r="K762" s="68" t="s">
        <v>3673</v>
      </c>
      <c r="L762" s="68" t="s">
        <v>3674</v>
      </c>
    </row>
    <row r="763" spans="1:12" x14ac:dyDescent="0.25">
      <c r="A763" s="68" t="s">
        <v>812</v>
      </c>
      <c r="B763" s="68" t="s">
        <v>1639</v>
      </c>
      <c r="C763" s="68" t="s">
        <v>2441</v>
      </c>
      <c r="D763" s="68" t="s">
        <v>812</v>
      </c>
      <c r="F763" s="68" t="s">
        <v>3249</v>
      </c>
      <c r="H763" s="122">
        <v>44624</v>
      </c>
      <c r="I763" s="68" t="s">
        <v>3449</v>
      </c>
      <c r="J763" s="68">
        <v>545.6</v>
      </c>
      <c r="K763" s="68" t="s">
        <v>3673</v>
      </c>
      <c r="L763" s="68" t="s">
        <v>3674</v>
      </c>
    </row>
    <row r="764" spans="1:12" x14ac:dyDescent="0.25">
      <c r="A764" s="68" t="s">
        <v>813</v>
      </c>
      <c r="B764" s="68" t="s">
        <v>1640</v>
      </c>
      <c r="C764" s="68" t="s">
        <v>2442</v>
      </c>
      <c r="D764" s="68" t="s">
        <v>813</v>
      </c>
      <c r="F764" s="68" t="s">
        <v>3250</v>
      </c>
      <c r="H764" s="122">
        <v>44624</v>
      </c>
      <c r="I764" s="68" t="s">
        <v>3449</v>
      </c>
      <c r="J764" s="68">
        <v>253.2</v>
      </c>
      <c r="K764" s="68" t="s">
        <v>3673</v>
      </c>
      <c r="L764" s="68" t="s">
        <v>3674</v>
      </c>
    </row>
    <row r="765" spans="1:12" x14ac:dyDescent="0.25">
      <c r="A765" s="68" t="s">
        <v>814</v>
      </c>
      <c r="B765" s="68" t="s">
        <v>1641</v>
      </c>
      <c r="C765" s="68" t="s">
        <v>2443</v>
      </c>
      <c r="D765" s="68" t="s">
        <v>814</v>
      </c>
      <c r="F765" s="68" t="s">
        <v>3251</v>
      </c>
      <c r="H765" s="122">
        <v>44620</v>
      </c>
      <c r="I765" s="68" t="s">
        <v>3449</v>
      </c>
      <c r="J765" s="68">
        <v>270.8</v>
      </c>
      <c r="K765" s="68" t="s">
        <v>3673</v>
      </c>
      <c r="L765" s="68" t="s">
        <v>3674</v>
      </c>
    </row>
    <row r="766" spans="1:12" x14ac:dyDescent="0.25">
      <c r="A766" s="68" t="s">
        <v>815</v>
      </c>
      <c r="B766" s="68" t="s">
        <v>1642</v>
      </c>
      <c r="C766" s="68" t="s">
        <v>2444</v>
      </c>
      <c r="D766" s="68" t="s">
        <v>815</v>
      </c>
      <c r="F766" s="68" t="s">
        <v>3252</v>
      </c>
      <c r="H766" s="122">
        <v>44620</v>
      </c>
      <c r="I766" s="68" t="s">
        <v>3449</v>
      </c>
      <c r="J766" s="68">
        <v>162</v>
      </c>
      <c r="K766" s="68" t="s">
        <v>3673</v>
      </c>
      <c r="L766" s="68" t="s">
        <v>3674</v>
      </c>
    </row>
    <row r="767" spans="1:12" x14ac:dyDescent="0.25">
      <c r="A767" s="68" t="s">
        <v>755</v>
      </c>
      <c r="B767" s="68" t="s">
        <v>1582</v>
      </c>
      <c r="C767" s="68" t="s">
        <v>2387</v>
      </c>
      <c r="D767" s="68" t="s">
        <v>755</v>
      </c>
      <c r="F767" s="68" t="s">
        <v>3192</v>
      </c>
      <c r="H767" s="122">
        <v>44623</v>
      </c>
      <c r="I767" s="68" t="s">
        <v>3600</v>
      </c>
      <c r="J767" s="68">
        <v>186</v>
      </c>
      <c r="K767" s="68" t="s">
        <v>3673</v>
      </c>
      <c r="L767" s="68" t="s">
        <v>3674</v>
      </c>
    </row>
    <row r="768" spans="1:12" x14ac:dyDescent="0.25">
      <c r="A768" s="68" t="s">
        <v>816</v>
      </c>
      <c r="B768" s="68" t="s">
        <v>1643</v>
      </c>
      <c r="C768" s="68" t="s">
        <v>2445</v>
      </c>
      <c r="D768" s="68" t="s">
        <v>816</v>
      </c>
      <c r="F768" s="68" t="s">
        <v>3253</v>
      </c>
      <c r="H768" s="122">
        <v>44623</v>
      </c>
      <c r="I768" s="68" t="s">
        <v>3481</v>
      </c>
      <c r="J768" s="68">
        <v>157.19999999999999</v>
      </c>
      <c r="K768" s="68" t="s">
        <v>3673</v>
      </c>
      <c r="L768" s="68" t="s">
        <v>3674</v>
      </c>
    </row>
    <row r="769" spans="1:12" x14ac:dyDescent="0.25">
      <c r="A769" s="68" t="s">
        <v>774</v>
      </c>
      <c r="B769" s="68" t="s">
        <v>1601</v>
      </c>
      <c r="C769" s="68" t="s">
        <v>2405</v>
      </c>
      <c r="D769" s="68" t="s">
        <v>774</v>
      </c>
      <c r="F769" s="68" t="s">
        <v>3211</v>
      </c>
      <c r="H769" s="122">
        <v>44622</v>
      </c>
      <c r="I769" s="68" t="s">
        <v>3601</v>
      </c>
      <c r="J769" s="68">
        <v>114</v>
      </c>
      <c r="K769" s="68" t="s">
        <v>3673</v>
      </c>
      <c r="L769" s="68" t="s">
        <v>3674</v>
      </c>
    </row>
    <row r="770" spans="1:12" x14ac:dyDescent="0.25">
      <c r="A770" s="68" t="s">
        <v>817</v>
      </c>
      <c r="B770" s="68" t="s">
        <v>1644</v>
      </c>
      <c r="C770" s="68" t="s">
        <v>2432</v>
      </c>
      <c r="D770" s="68" t="s">
        <v>817</v>
      </c>
      <c r="F770" s="68" t="s">
        <v>3254</v>
      </c>
      <c r="H770" s="122">
        <v>44622</v>
      </c>
      <c r="I770" s="68" t="s">
        <v>3601</v>
      </c>
      <c r="J770" s="68">
        <v>186</v>
      </c>
      <c r="K770" s="68" t="s">
        <v>3673</v>
      </c>
      <c r="L770" s="68" t="s">
        <v>3674</v>
      </c>
    </row>
    <row r="771" spans="1:12" x14ac:dyDescent="0.25">
      <c r="A771" s="68" t="s">
        <v>784</v>
      </c>
      <c r="B771" s="68" t="s">
        <v>1611</v>
      </c>
      <c r="C771" s="68" t="s">
        <v>2415</v>
      </c>
      <c r="D771" s="68" t="s">
        <v>784</v>
      </c>
      <c r="F771" s="68" t="s">
        <v>3221</v>
      </c>
      <c r="H771" s="122">
        <v>44622</v>
      </c>
      <c r="I771" s="68" t="s">
        <v>3601</v>
      </c>
      <c r="J771" s="68">
        <v>266</v>
      </c>
      <c r="K771" s="68" t="s">
        <v>3673</v>
      </c>
      <c r="L771" s="68" t="s">
        <v>3674</v>
      </c>
    </row>
    <row r="772" spans="1:12" x14ac:dyDescent="0.25">
      <c r="A772" s="68" t="s">
        <v>818</v>
      </c>
      <c r="B772" s="68" t="s">
        <v>1645</v>
      </c>
      <c r="C772" s="68" t="s">
        <v>2446</v>
      </c>
      <c r="D772" s="68" t="s">
        <v>818</v>
      </c>
      <c r="F772" s="68" t="s">
        <v>3255</v>
      </c>
      <c r="H772" s="122">
        <v>44621</v>
      </c>
      <c r="I772" s="68" t="s">
        <v>3462</v>
      </c>
      <c r="J772" s="68">
        <v>266</v>
      </c>
      <c r="K772" s="68" t="s">
        <v>3673</v>
      </c>
      <c r="L772" s="68" t="s">
        <v>3674</v>
      </c>
    </row>
    <row r="773" spans="1:12" x14ac:dyDescent="0.25">
      <c r="A773" s="68" t="s">
        <v>819</v>
      </c>
      <c r="B773" s="68" t="s">
        <v>1646</v>
      </c>
      <c r="C773" s="68" t="s">
        <v>2447</v>
      </c>
      <c r="D773" s="68" t="s">
        <v>819</v>
      </c>
      <c r="F773" s="68" t="s">
        <v>3256</v>
      </c>
      <c r="H773" s="122">
        <v>44621</v>
      </c>
      <c r="I773" s="68" t="s">
        <v>3462</v>
      </c>
      <c r="J773" s="68">
        <v>226.8</v>
      </c>
      <c r="K773" s="68" t="s">
        <v>3673</v>
      </c>
      <c r="L773" s="68" t="s">
        <v>3674</v>
      </c>
    </row>
    <row r="774" spans="1:12" x14ac:dyDescent="0.25">
      <c r="A774" s="68" t="s">
        <v>820</v>
      </c>
      <c r="B774" s="68" t="s">
        <v>1647</v>
      </c>
      <c r="C774" s="68" t="s">
        <v>2448</v>
      </c>
      <c r="D774" s="68" t="s">
        <v>820</v>
      </c>
      <c r="F774" s="68" t="s">
        <v>3257</v>
      </c>
      <c r="H774" s="122">
        <v>44621</v>
      </c>
      <c r="I774" s="68" t="s">
        <v>3462</v>
      </c>
      <c r="J774" s="68">
        <v>756</v>
      </c>
      <c r="K774" s="68" t="s">
        <v>3673</v>
      </c>
      <c r="L774" s="68" t="s">
        <v>3674</v>
      </c>
    </row>
    <row r="775" spans="1:12" x14ac:dyDescent="0.25">
      <c r="A775" s="68" t="s">
        <v>821</v>
      </c>
      <c r="B775" s="68" t="s">
        <v>1648</v>
      </c>
      <c r="C775" s="68" t="s">
        <v>2449</v>
      </c>
      <c r="D775" s="68" t="s">
        <v>821</v>
      </c>
      <c r="F775" s="68" t="s">
        <v>3258</v>
      </c>
      <c r="H775" s="122">
        <v>44621</v>
      </c>
      <c r="I775" s="68" t="s">
        <v>3462</v>
      </c>
      <c r="J775" s="68">
        <v>820</v>
      </c>
      <c r="K775" s="68" t="s">
        <v>3673</v>
      </c>
      <c r="L775" s="68" t="s">
        <v>3674</v>
      </c>
    </row>
    <row r="776" spans="1:12" x14ac:dyDescent="0.25">
      <c r="A776" s="68" t="s">
        <v>786</v>
      </c>
      <c r="B776" s="68" t="s">
        <v>1613</v>
      </c>
      <c r="C776" s="68" t="s">
        <v>2417</v>
      </c>
      <c r="D776" s="68" t="s">
        <v>786</v>
      </c>
      <c r="F776" s="68" t="s">
        <v>3223</v>
      </c>
      <c r="H776" s="122">
        <v>44621</v>
      </c>
      <c r="I776" s="68" t="s">
        <v>3462</v>
      </c>
      <c r="J776" s="68">
        <v>266</v>
      </c>
      <c r="K776" s="68" t="s">
        <v>3673</v>
      </c>
      <c r="L776" s="68" t="s">
        <v>3674</v>
      </c>
    </row>
    <row r="777" spans="1:12" x14ac:dyDescent="0.25">
      <c r="A777" s="68" t="s">
        <v>822</v>
      </c>
      <c r="B777" s="68" t="s">
        <v>1649</v>
      </c>
      <c r="C777" s="68" t="s">
        <v>2450</v>
      </c>
      <c r="D777" s="68" t="s">
        <v>822</v>
      </c>
      <c r="F777" s="68" t="s">
        <v>3259</v>
      </c>
      <c r="H777" s="122">
        <v>44603</v>
      </c>
      <c r="I777" s="68" t="s">
        <v>3482</v>
      </c>
      <c r="J777" s="68">
        <v>528</v>
      </c>
      <c r="K777" s="68" t="s">
        <v>3673</v>
      </c>
      <c r="L777" s="68" t="s">
        <v>3674</v>
      </c>
    </row>
    <row r="778" spans="1:12" x14ac:dyDescent="0.25">
      <c r="A778" s="68" t="s">
        <v>823</v>
      </c>
      <c r="B778" s="68" t="s">
        <v>1650</v>
      </c>
      <c r="C778" s="68" t="s">
        <v>2451</v>
      </c>
      <c r="D778" s="68" t="s">
        <v>823</v>
      </c>
      <c r="F778" s="68" t="s">
        <v>3260</v>
      </c>
      <c r="H778" s="122">
        <v>44617</v>
      </c>
      <c r="I778" s="68" t="s">
        <v>3483</v>
      </c>
      <c r="J778" s="68">
        <v>1596.8</v>
      </c>
      <c r="K778" s="68" t="s">
        <v>3673</v>
      </c>
      <c r="L778" s="68" t="s">
        <v>3674</v>
      </c>
    </row>
    <row r="779" spans="1:12" x14ac:dyDescent="0.25">
      <c r="A779" s="68" t="s">
        <v>811</v>
      </c>
      <c r="B779" s="68" t="s">
        <v>1638</v>
      </c>
      <c r="C779" s="68" t="s">
        <v>2440</v>
      </c>
      <c r="D779" s="68" t="s">
        <v>811</v>
      </c>
      <c r="F779" s="68" t="s">
        <v>3248</v>
      </c>
      <c r="H779" s="122">
        <v>44587</v>
      </c>
      <c r="I779" s="68" t="s">
        <v>3483</v>
      </c>
      <c r="J779" s="68">
        <v>332.4</v>
      </c>
      <c r="K779" s="68" t="s">
        <v>3673</v>
      </c>
      <c r="L779" s="68" t="s">
        <v>3674</v>
      </c>
    </row>
    <row r="780" spans="1:12" x14ac:dyDescent="0.25">
      <c r="A780" s="68" t="s">
        <v>824</v>
      </c>
      <c r="B780" s="68" t="s">
        <v>1651</v>
      </c>
      <c r="C780" s="68" t="s">
        <v>2452</v>
      </c>
      <c r="D780" s="68" t="s">
        <v>824</v>
      </c>
      <c r="F780" s="68" t="s">
        <v>3261</v>
      </c>
      <c r="H780" s="122">
        <v>44589</v>
      </c>
      <c r="I780" s="68" t="s">
        <v>3483</v>
      </c>
      <c r="J780" s="68">
        <v>462.8</v>
      </c>
      <c r="K780" s="68" t="s">
        <v>3673</v>
      </c>
      <c r="L780" s="68" t="s">
        <v>3674</v>
      </c>
    </row>
    <row r="781" spans="1:12" x14ac:dyDescent="0.25">
      <c r="A781" s="68" t="s">
        <v>825</v>
      </c>
      <c r="B781" s="68" t="s">
        <v>1652</v>
      </c>
      <c r="C781" s="68" t="s">
        <v>2453</v>
      </c>
      <c r="D781" s="68" t="s">
        <v>825</v>
      </c>
      <c r="F781" s="68" t="s">
        <v>3262</v>
      </c>
      <c r="H781" s="122">
        <v>44604</v>
      </c>
      <c r="I781" s="68" t="s">
        <v>3486</v>
      </c>
      <c r="J781" s="68">
        <v>252</v>
      </c>
      <c r="K781" s="68" t="s">
        <v>3673</v>
      </c>
      <c r="L781" s="68" t="s">
        <v>3674</v>
      </c>
    </row>
    <row r="782" spans="1:12" x14ac:dyDescent="0.25">
      <c r="A782" s="68" t="s">
        <v>826</v>
      </c>
      <c r="B782" s="68" t="s">
        <v>1653</v>
      </c>
      <c r="C782" s="68" t="s">
        <v>2454</v>
      </c>
      <c r="D782" s="68" t="s">
        <v>826</v>
      </c>
      <c r="F782" s="68" t="s">
        <v>3263</v>
      </c>
      <c r="H782" s="122">
        <v>44530</v>
      </c>
      <c r="I782" s="68" t="s">
        <v>3602</v>
      </c>
      <c r="J782" s="68">
        <v>82.8</v>
      </c>
      <c r="K782" s="68" t="s">
        <v>3673</v>
      </c>
      <c r="L782" s="68" t="s">
        <v>3674</v>
      </c>
    </row>
    <row r="783" spans="1:12" x14ac:dyDescent="0.25">
      <c r="A783" s="68" t="s">
        <v>827</v>
      </c>
      <c r="B783" s="68" t="s">
        <v>1654</v>
      </c>
      <c r="C783" s="68" t="s">
        <v>2455</v>
      </c>
      <c r="D783" s="68" t="s">
        <v>827</v>
      </c>
      <c r="F783" s="68" t="s">
        <v>3264</v>
      </c>
      <c r="H783" s="122">
        <v>44607</v>
      </c>
      <c r="I783" s="68" t="s">
        <v>3489</v>
      </c>
      <c r="J783" s="68">
        <v>272.39999999999998</v>
      </c>
      <c r="K783" s="68" t="s">
        <v>3673</v>
      </c>
      <c r="L783" s="68" t="s">
        <v>3674</v>
      </c>
    </row>
    <row r="784" spans="1:12" x14ac:dyDescent="0.25">
      <c r="A784" s="68" t="s">
        <v>828</v>
      </c>
      <c r="B784" s="68" t="s">
        <v>1655</v>
      </c>
      <c r="C784" s="68" t="s">
        <v>2456</v>
      </c>
      <c r="D784" s="68" t="s">
        <v>828</v>
      </c>
      <c r="F784" s="68" t="s">
        <v>3265</v>
      </c>
      <c r="H784" s="122">
        <v>44607</v>
      </c>
      <c r="I784" s="68" t="s">
        <v>3464</v>
      </c>
      <c r="J784" s="68">
        <v>731.2</v>
      </c>
      <c r="K784" s="68" t="s">
        <v>3673</v>
      </c>
      <c r="L784" s="68" t="s">
        <v>3674</v>
      </c>
    </row>
    <row r="785" spans="1:12" x14ac:dyDescent="0.25">
      <c r="A785" s="68" t="s">
        <v>829</v>
      </c>
      <c r="B785" s="68" t="s">
        <v>1656</v>
      </c>
      <c r="C785" s="68" t="s">
        <v>2457</v>
      </c>
      <c r="D785" s="68" t="s">
        <v>829</v>
      </c>
      <c r="F785" s="68" t="s">
        <v>3266</v>
      </c>
      <c r="H785" s="122">
        <v>44518</v>
      </c>
      <c r="I785" s="68" t="s">
        <v>3441</v>
      </c>
      <c r="J785" s="68">
        <v>88.8</v>
      </c>
      <c r="K785" s="68" t="s">
        <v>3673</v>
      </c>
      <c r="L785" s="68" t="s">
        <v>3674</v>
      </c>
    </row>
    <row r="786" spans="1:12" x14ac:dyDescent="0.25">
      <c r="A786" s="68" t="s">
        <v>829</v>
      </c>
      <c r="B786" s="68" t="s">
        <v>1656</v>
      </c>
      <c r="C786" s="68" t="s">
        <v>2457</v>
      </c>
      <c r="D786" s="68" t="s">
        <v>829</v>
      </c>
      <c r="F786" s="68" t="s">
        <v>3266</v>
      </c>
      <c r="H786" s="122">
        <v>44558</v>
      </c>
      <c r="I786" s="68" t="s">
        <v>3441</v>
      </c>
      <c r="J786" s="68">
        <v>244.8</v>
      </c>
      <c r="K786" s="68" t="s">
        <v>3673</v>
      </c>
      <c r="L786" s="68" t="s">
        <v>3674</v>
      </c>
    </row>
    <row r="787" spans="1:12" x14ac:dyDescent="0.25">
      <c r="A787" s="68" t="s">
        <v>830</v>
      </c>
      <c r="B787" s="68" t="s">
        <v>1657</v>
      </c>
      <c r="C787" s="68" t="s">
        <v>2458</v>
      </c>
      <c r="D787" s="68" t="s">
        <v>830</v>
      </c>
      <c r="F787" s="68" t="s">
        <v>3267</v>
      </c>
      <c r="H787" s="122">
        <v>44553</v>
      </c>
      <c r="I787" s="68" t="s">
        <v>3503</v>
      </c>
      <c r="J787" s="68">
        <v>480</v>
      </c>
      <c r="K787" s="68" t="s">
        <v>3673</v>
      </c>
      <c r="L787" s="68" t="s">
        <v>3674</v>
      </c>
    </row>
    <row r="788" spans="1:12" x14ac:dyDescent="0.25">
      <c r="A788" s="68" t="s">
        <v>461</v>
      </c>
      <c r="B788" s="68" t="s">
        <v>1288</v>
      </c>
      <c r="C788" s="68" t="s">
        <v>2101</v>
      </c>
      <c r="D788" s="68" t="s">
        <v>461</v>
      </c>
      <c r="F788" s="68" t="s">
        <v>2897</v>
      </c>
      <c r="H788" s="122">
        <v>44593</v>
      </c>
      <c r="I788" s="68" t="s">
        <v>3486</v>
      </c>
      <c r="J788" s="68">
        <v>498</v>
      </c>
      <c r="K788" s="68" t="s">
        <v>3673</v>
      </c>
      <c r="L788" s="68" t="s">
        <v>3674</v>
      </c>
    </row>
    <row r="789" spans="1:12" x14ac:dyDescent="0.25">
      <c r="A789" s="68" t="s">
        <v>831</v>
      </c>
      <c r="B789" s="68" t="s">
        <v>1658</v>
      </c>
      <c r="C789" s="68" t="s">
        <v>2459</v>
      </c>
      <c r="D789" s="68" t="s">
        <v>831</v>
      </c>
      <c r="F789" s="68" t="s">
        <v>3268</v>
      </c>
      <c r="H789" s="122">
        <v>44589</v>
      </c>
      <c r="I789" s="68" t="s">
        <v>3489</v>
      </c>
      <c r="J789" s="68">
        <v>88.8</v>
      </c>
      <c r="K789" s="68" t="s">
        <v>3673</v>
      </c>
      <c r="L789" s="68" t="s">
        <v>3674</v>
      </c>
    </row>
    <row r="790" spans="1:12" x14ac:dyDescent="0.25">
      <c r="A790" s="68" t="s">
        <v>832</v>
      </c>
      <c r="B790" s="68" t="s">
        <v>1659</v>
      </c>
      <c r="C790" s="68" t="s">
        <v>2460</v>
      </c>
      <c r="D790" s="68" t="s">
        <v>832</v>
      </c>
      <c r="F790" s="68" t="s">
        <v>3269</v>
      </c>
      <c r="H790" s="122">
        <v>44575</v>
      </c>
      <c r="I790" s="68" t="s">
        <v>3450</v>
      </c>
      <c r="J790" s="68">
        <v>1516.8</v>
      </c>
      <c r="K790" s="68" t="s">
        <v>3673</v>
      </c>
      <c r="L790" s="68" t="s">
        <v>3674</v>
      </c>
    </row>
    <row r="791" spans="1:12" x14ac:dyDescent="0.25">
      <c r="A791" s="68" t="s">
        <v>833</v>
      </c>
      <c r="B791" s="68" t="s">
        <v>1660</v>
      </c>
      <c r="C791" s="68" t="s">
        <v>2461</v>
      </c>
      <c r="D791" s="68" t="s">
        <v>833</v>
      </c>
      <c r="F791" s="68" t="s">
        <v>3270</v>
      </c>
      <c r="H791" s="122">
        <v>44574</v>
      </c>
      <c r="I791" s="68" t="s">
        <v>3490</v>
      </c>
      <c r="J791" s="68">
        <v>2794.8</v>
      </c>
      <c r="K791" s="68" t="s">
        <v>3673</v>
      </c>
      <c r="L791" s="68" t="s">
        <v>3674</v>
      </c>
    </row>
    <row r="792" spans="1:12" x14ac:dyDescent="0.25">
      <c r="A792" s="68" t="s">
        <v>834</v>
      </c>
      <c r="B792" s="68" t="s">
        <v>1661</v>
      </c>
      <c r="C792" s="68" t="s">
        <v>2462</v>
      </c>
      <c r="D792" s="68" t="s">
        <v>834</v>
      </c>
      <c r="F792" s="68" t="s">
        <v>3271</v>
      </c>
      <c r="H792" s="122">
        <v>44540</v>
      </c>
      <c r="I792" s="68" t="s">
        <v>3531</v>
      </c>
      <c r="J792" s="68">
        <v>414</v>
      </c>
      <c r="K792" s="68" t="s">
        <v>3673</v>
      </c>
      <c r="L792" s="68" t="s">
        <v>3674</v>
      </c>
    </row>
    <row r="793" spans="1:12" x14ac:dyDescent="0.25">
      <c r="A793" s="68" t="s">
        <v>835</v>
      </c>
      <c r="B793" s="68" t="s">
        <v>1662</v>
      </c>
      <c r="C793" s="68" t="s">
        <v>2463</v>
      </c>
      <c r="D793" s="68" t="s">
        <v>835</v>
      </c>
      <c r="F793" s="68" t="s">
        <v>3272</v>
      </c>
      <c r="H793" s="122">
        <v>44518</v>
      </c>
      <c r="I793" s="68" t="s">
        <v>3455</v>
      </c>
      <c r="J793" s="68">
        <v>84</v>
      </c>
      <c r="K793" s="68" t="s">
        <v>3673</v>
      </c>
      <c r="L793" s="68" t="s">
        <v>3674</v>
      </c>
    </row>
    <row r="794" spans="1:12" x14ac:dyDescent="0.25">
      <c r="A794" s="68" t="s">
        <v>835</v>
      </c>
      <c r="B794" s="68" t="s">
        <v>1662</v>
      </c>
      <c r="C794" s="68" t="s">
        <v>2463</v>
      </c>
      <c r="D794" s="68" t="s">
        <v>835</v>
      </c>
      <c r="F794" s="68" t="s">
        <v>3272</v>
      </c>
      <c r="H794" s="122">
        <v>44512</v>
      </c>
      <c r="I794" s="68" t="s">
        <v>3455</v>
      </c>
      <c r="J794" s="68">
        <v>244.8</v>
      </c>
      <c r="K794" s="68" t="s">
        <v>3673</v>
      </c>
      <c r="L794" s="68" t="s">
        <v>3674</v>
      </c>
    </row>
    <row r="795" spans="1:12" x14ac:dyDescent="0.25">
      <c r="A795" s="68" t="s">
        <v>836</v>
      </c>
      <c r="B795" s="68" t="s">
        <v>1663</v>
      </c>
      <c r="C795" s="68" t="s">
        <v>2464</v>
      </c>
      <c r="D795" s="68" t="s">
        <v>836</v>
      </c>
      <c r="F795" s="68" t="s">
        <v>3273</v>
      </c>
      <c r="H795" s="122">
        <v>44529</v>
      </c>
      <c r="I795" s="68" t="s">
        <v>3465</v>
      </c>
      <c r="J795" s="68">
        <v>690</v>
      </c>
      <c r="K795" s="68" t="s">
        <v>3673</v>
      </c>
      <c r="L795" s="68" t="s">
        <v>3674</v>
      </c>
    </row>
    <row r="796" spans="1:12" x14ac:dyDescent="0.25">
      <c r="A796" s="68" t="s">
        <v>837</v>
      </c>
      <c r="B796" s="68" t="s">
        <v>1664</v>
      </c>
      <c r="C796" s="68" t="s">
        <v>2037</v>
      </c>
      <c r="D796" s="68" t="s">
        <v>837</v>
      </c>
      <c r="F796" s="68" t="s">
        <v>3274</v>
      </c>
      <c r="H796" s="122">
        <v>44515</v>
      </c>
      <c r="I796" s="68" t="s">
        <v>3475</v>
      </c>
      <c r="J796" s="68">
        <v>702</v>
      </c>
      <c r="K796" s="68" t="s">
        <v>3673</v>
      </c>
      <c r="L796" s="68" t="s">
        <v>3674</v>
      </c>
    </row>
    <row r="797" spans="1:12" x14ac:dyDescent="0.25">
      <c r="A797" s="68" t="s">
        <v>838</v>
      </c>
      <c r="B797" s="68" t="s">
        <v>1665</v>
      </c>
      <c r="C797" s="68" t="s">
        <v>2465</v>
      </c>
      <c r="D797" s="68" t="s">
        <v>838</v>
      </c>
      <c r="F797" s="68" t="s">
        <v>3275</v>
      </c>
      <c r="H797" s="122">
        <v>44511</v>
      </c>
      <c r="I797" s="68" t="s">
        <v>3495</v>
      </c>
      <c r="J797" s="68">
        <v>138</v>
      </c>
      <c r="K797" s="68" t="s">
        <v>3673</v>
      </c>
      <c r="L797" s="68" t="s">
        <v>3674</v>
      </c>
    </row>
    <row r="798" spans="1:12" x14ac:dyDescent="0.25">
      <c r="A798" s="68" t="s">
        <v>839</v>
      </c>
      <c r="B798" s="68" t="s">
        <v>1666</v>
      </c>
      <c r="C798" s="68" t="s">
        <v>2466</v>
      </c>
      <c r="D798" s="68" t="s">
        <v>839</v>
      </c>
      <c r="F798" s="68" t="s">
        <v>3276</v>
      </c>
      <c r="H798" s="122">
        <v>44511</v>
      </c>
      <c r="I798" s="68" t="s">
        <v>3495</v>
      </c>
      <c r="J798" s="68">
        <v>227.6</v>
      </c>
      <c r="K798" s="68" t="s">
        <v>3673</v>
      </c>
      <c r="L798" s="68" t="s">
        <v>3674</v>
      </c>
    </row>
    <row r="799" spans="1:12" x14ac:dyDescent="0.25">
      <c r="A799" s="68" t="s">
        <v>793</v>
      </c>
      <c r="B799" s="68" t="s">
        <v>1620</v>
      </c>
      <c r="C799" s="68" t="s">
        <v>2424</v>
      </c>
      <c r="D799" s="68" t="s">
        <v>793</v>
      </c>
      <c r="F799" s="68" t="s">
        <v>3230</v>
      </c>
      <c r="H799" s="122">
        <v>44510</v>
      </c>
      <c r="I799" s="68" t="s">
        <v>3495</v>
      </c>
      <c r="J799" s="68">
        <v>82.8</v>
      </c>
      <c r="K799" s="68" t="s">
        <v>3673</v>
      </c>
      <c r="L799" s="68" t="s">
        <v>3674</v>
      </c>
    </row>
    <row r="800" spans="1:12" x14ac:dyDescent="0.25">
      <c r="A800" s="68" t="s">
        <v>840</v>
      </c>
      <c r="B800" s="68" t="s">
        <v>1667</v>
      </c>
      <c r="C800" s="68" t="s">
        <v>2467</v>
      </c>
      <c r="D800" s="68" t="s">
        <v>840</v>
      </c>
      <c r="F800" s="68" t="s">
        <v>3277</v>
      </c>
      <c r="H800" s="122">
        <v>44510</v>
      </c>
      <c r="I800" s="68" t="s">
        <v>3495</v>
      </c>
      <c r="J800" s="68">
        <v>1046</v>
      </c>
      <c r="K800" s="68" t="s">
        <v>3673</v>
      </c>
      <c r="L800" s="68" t="s">
        <v>3674</v>
      </c>
    </row>
    <row r="801" spans="1:12" x14ac:dyDescent="0.25">
      <c r="A801" s="68" t="s">
        <v>841</v>
      </c>
      <c r="B801" s="68" t="s">
        <v>1668</v>
      </c>
      <c r="C801" s="68" t="s">
        <v>2468</v>
      </c>
      <c r="D801" s="68" t="s">
        <v>841</v>
      </c>
      <c r="F801" s="68" t="s">
        <v>3278</v>
      </c>
      <c r="H801" s="122">
        <v>44510</v>
      </c>
      <c r="I801" s="68" t="s">
        <v>3495</v>
      </c>
      <c r="J801" s="68">
        <v>797.6</v>
      </c>
      <c r="K801" s="68" t="s">
        <v>3673</v>
      </c>
      <c r="L801" s="68" t="s">
        <v>3674</v>
      </c>
    </row>
    <row r="802" spans="1:12" x14ac:dyDescent="0.25">
      <c r="A802" s="68" t="s">
        <v>842</v>
      </c>
      <c r="B802" s="68" t="s">
        <v>1669</v>
      </c>
      <c r="C802" s="68" t="s">
        <v>2425</v>
      </c>
      <c r="D802" s="68" t="s">
        <v>842</v>
      </c>
      <c r="F802" s="68" t="s">
        <v>3279</v>
      </c>
      <c r="H802" s="122">
        <v>44510</v>
      </c>
      <c r="I802" s="68" t="s">
        <v>3495</v>
      </c>
      <c r="J802" s="68">
        <v>654.79999999999995</v>
      </c>
      <c r="K802" s="68" t="s">
        <v>3673</v>
      </c>
      <c r="L802" s="68" t="s">
        <v>3674</v>
      </c>
    </row>
    <row r="803" spans="1:12" x14ac:dyDescent="0.25">
      <c r="A803" s="68" t="s">
        <v>843</v>
      </c>
      <c r="B803" s="68" t="s">
        <v>1670</v>
      </c>
      <c r="C803" s="68" t="s">
        <v>2469</v>
      </c>
      <c r="D803" s="68" t="s">
        <v>843</v>
      </c>
      <c r="F803" s="68" t="s">
        <v>3280</v>
      </c>
      <c r="H803" s="122">
        <v>44509</v>
      </c>
      <c r="I803" s="68" t="s">
        <v>3495</v>
      </c>
      <c r="J803" s="68">
        <v>480</v>
      </c>
      <c r="K803" s="68" t="s">
        <v>3673</v>
      </c>
      <c r="L803" s="68" t="s">
        <v>3674</v>
      </c>
    </row>
    <row r="804" spans="1:12" x14ac:dyDescent="0.25">
      <c r="A804" s="68" t="s">
        <v>844</v>
      </c>
      <c r="B804" s="68" t="s">
        <v>1671</v>
      </c>
      <c r="C804" s="68" t="s">
        <v>2470</v>
      </c>
      <c r="D804" s="68" t="s">
        <v>844</v>
      </c>
      <c r="F804" s="68" t="s">
        <v>3281</v>
      </c>
      <c r="H804" s="122">
        <v>44509</v>
      </c>
      <c r="I804" s="68" t="s">
        <v>3495</v>
      </c>
      <c r="J804" s="68">
        <v>332.4</v>
      </c>
      <c r="K804" s="68" t="s">
        <v>3673</v>
      </c>
      <c r="L804" s="68" t="s">
        <v>3674</v>
      </c>
    </row>
    <row r="805" spans="1:12" x14ac:dyDescent="0.25">
      <c r="A805" s="68" t="s">
        <v>845</v>
      </c>
      <c r="B805" s="68" t="s">
        <v>1672</v>
      </c>
      <c r="C805" s="68" t="s">
        <v>2471</v>
      </c>
      <c r="D805" s="68" t="s">
        <v>845</v>
      </c>
      <c r="F805" s="68" t="s">
        <v>3282</v>
      </c>
      <c r="H805" s="122">
        <v>44509</v>
      </c>
      <c r="I805" s="68" t="s">
        <v>3495</v>
      </c>
      <c r="J805" s="68">
        <v>378</v>
      </c>
      <c r="K805" s="68" t="s">
        <v>3673</v>
      </c>
      <c r="L805" s="68" t="s">
        <v>3674</v>
      </c>
    </row>
    <row r="806" spans="1:12" x14ac:dyDescent="0.25">
      <c r="A806" s="68" t="s">
        <v>846</v>
      </c>
      <c r="B806" s="68" t="s">
        <v>1673</v>
      </c>
      <c r="C806" s="68" t="s">
        <v>2472</v>
      </c>
      <c r="D806" s="68" t="s">
        <v>846</v>
      </c>
      <c r="F806" s="68" t="s">
        <v>3283</v>
      </c>
      <c r="H806" s="122">
        <v>44509</v>
      </c>
      <c r="I806" s="68" t="s">
        <v>3495</v>
      </c>
      <c r="J806" s="68">
        <v>266</v>
      </c>
      <c r="K806" s="68" t="s">
        <v>3673</v>
      </c>
      <c r="L806" s="68" t="s">
        <v>3674</v>
      </c>
    </row>
    <row r="807" spans="1:12" x14ac:dyDescent="0.25">
      <c r="A807" s="68" t="s">
        <v>847</v>
      </c>
      <c r="B807" s="68" t="s">
        <v>1674</v>
      </c>
      <c r="C807" s="68" t="s">
        <v>2473</v>
      </c>
      <c r="D807" s="68" t="s">
        <v>847</v>
      </c>
      <c r="F807" s="68" t="s">
        <v>3284</v>
      </c>
      <c r="H807" s="122">
        <v>44371</v>
      </c>
      <c r="I807" s="68" t="s">
        <v>3495</v>
      </c>
      <c r="J807" s="68">
        <v>61.2</v>
      </c>
      <c r="K807" s="68" t="s">
        <v>3673</v>
      </c>
      <c r="L807" s="68" t="s">
        <v>3674</v>
      </c>
    </row>
    <row r="808" spans="1:12" x14ac:dyDescent="0.25">
      <c r="A808" s="68" t="s">
        <v>847</v>
      </c>
      <c r="B808" s="68" t="s">
        <v>1674</v>
      </c>
      <c r="C808" s="68" t="s">
        <v>2473</v>
      </c>
      <c r="D808" s="68" t="s">
        <v>847</v>
      </c>
      <c r="F808" s="68" t="s">
        <v>3284</v>
      </c>
      <c r="H808" s="122">
        <v>44392</v>
      </c>
      <c r="I808" s="68" t="s">
        <v>3495</v>
      </c>
      <c r="J808" s="68">
        <v>268.8</v>
      </c>
      <c r="K808" s="68" t="s">
        <v>3673</v>
      </c>
      <c r="L808" s="68" t="s">
        <v>3674</v>
      </c>
    </row>
    <row r="809" spans="1:12" x14ac:dyDescent="0.25">
      <c r="A809" s="68" t="s">
        <v>848</v>
      </c>
      <c r="B809" s="68" t="s">
        <v>1675</v>
      </c>
      <c r="C809" s="68" t="s">
        <v>2474</v>
      </c>
      <c r="D809" s="68" t="s">
        <v>848</v>
      </c>
      <c r="F809" s="68" t="s">
        <v>3285</v>
      </c>
      <c r="H809" s="122">
        <v>44411</v>
      </c>
      <c r="I809" s="68" t="s">
        <v>3508</v>
      </c>
      <c r="J809" s="68">
        <v>148.80000000000001</v>
      </c>
      <c r="K809" s="68" t="s">
        <v>3673</v>
      </c>
      <c r="L809" s="68" t="s">
        <v>3674</v>
      </c>
    </row>
    <row r="810" spans="1:12" x14ac:dyDescent="0.25">
      <c r="A810" s="68" t="s">
        <v>849</v>
      </c>
      <c r="B810" s="68" t="s">
        <v>1676</v>
      </c>
      <c r="C810" s="68" t="s">
        <v>2475</v>
      </c>
      <c r="D810" s="68" t="s">
        <v>849</v>
      </c>
      <c r="F810" s="68" t="s">
        <v>3286</v>
      </c>
      <c r="H810" s="122">
        <v>44461</v>
      </c>
      <c r="I810" s="68" t="s">
        <v>3508</v>
      </c>
      <c r="J810" s="68">
        <v>266</v>
      </c>
      <c r="K810" s="68" t="s">
        <v>3673</v>
      </c>
      <c r="L810" s="68" t="s">
        <v>3674</v>
      </c>
    </row>
    <row r="811" spans="1:12" x14ac:dyDescent="0.25">
      <c r="A811" s="68" t="s">
        <v>850</v>
      </c>
      <c r="B811" s="68" t="s">
        <v>1677</v>
      </c>
      <c r="C811" s="68" t="s">
        <v>2476</v>
      </c>
      <c r="D811" s="68" t="s">
        <v>850</v>
      </c>
      <c r="F811" s="68" t="s">
        <v>3287</v>
      </c>
      <c r="H811" s="122">
        <v>44497</v>
      </c>
      <c r="I811" s="68" t="s">
        <v>3512</v>
      </c>
      <c r="J811" s="68">
        <v>27.6</v>
      </c>
      <c r="K811" s="68" t="s">
        <v>3673</v>
      </c>
      <c r="L811" s="68" t="s">
        <v>3674</v>
      </c>
    </row>
    <row r="812" spans="1:12" x14ac:dyDescent="0.25">
      <c r="A812" s="68" t="s">
        <v>851</v>
      </c>
      <c r="B812" s="68" t="s">
        <v>1678</v>
      </c>
      <c r="C812" s="68" t="s">
        <v>2477</v>
      </c>
      <c r="D812" s="68" t="s">
        <v>851</v>
      </c>
      <c r="F812" s="68" t="s">
        <v>3288</v>
      </c>
      <c r="H812" s="122">
        <v>44490</v>
      </c>
      <c r="I812" s="68" t="s">
        <v>3514</v>
      </c>
      <c r="J812" s="68">
        <v>61.2</v>
      </c>
      <c r="K812" s="68" t="s">
        <v>3673</v>
      </c>
      <c r="L812" s="68" t="s">
        <v>3674</v>
      </c>
    </row>
    <row r="813" spans="1:12" x14ac:dyDescent="0.25">
      <c r="A813" s="68" t="s">
        <v>852</v>
      </c>
      <c r="B813" s="68" t="s">
        <v>1679</v>
      </c>
      <c r="C813" s="68" t="s">
        <v>2478</v>
      </c>
      <c r="D813" s="68" t="s">
        <v>852</v>
      </c>
      <c r="F813" s="68" t="s">
        <v>3289</v>
      </c>
      <c r="H813" s="122">
        <v>44477</v>
      </c>
      <c r="I813" s="68" t="s">
        <v>3444</v>
      </c>
      <c r="J813" s="68">
        <v>294.8</v>
      </c>
      <c r="K813" s="68" t="s">
        <v>3673</v>
      </c>
      <c r="L813" s="68" t="s">
        <v>3674</v>
      </c>
    </row>
    <row r="814" spans="1:12" x14ac:dyDescent="0.25">
      <c r="A814" s="68" t="s">
        <v>853</v>
      </c>
      <c r="B814" s="68" t="s">
        <v>1680</v>
      </c>
      <c r="C814" s="68" t="s">
        <v>2479</v>
      </c>
      <c r="D814" s="68" t="s">
        <v>853</v>
      </c>
      <c r="F814" s="68" t="s">
        <v>3290</v>
      </c>
      <c r="H814" s="122">
        <v>44476</v>
      </c>
      <c r="I814" s="68" t="s">
        <v>3444</v>
      </c>
      <c r="J814" s="68">
        <v>102</v>
      </c>
      <c r="K814" s="68" t="s">
        <v>3673</v>
      </c>
      <c r="L814" s="68" t="s">
        <v>3674</v>
      </c>
    </row>
    <row r="815" spans="1:12" x14ac:dyDescent="0.25">
      <c r="A815" s="68" t="s">
        <v>835</v>
      </c>
      <c r="B815" s="68" t="s">
        <v>1662</v>
      </c>
      <c r="C815" s="68" t="s">
        <v>2463</v>
      </c>
      <c r="D815" s="68" t="s">
        <v>835</v>
      </c>
      <c r="F815" s="68" t="s">
        <v>3272</v>
      </c>
      <c r="H815" s="122">
        <v>44348</v>
      </c>
      <c r="I815" s="68" t="s">
        <v>3518</v>
      </c>
      <c r="J815" s="68">
        <v>391.2</v>
      </c>
      <c r="K815" s="68" t="s">
        <v>3673</v>
      </c>
      <c r="L815" s="68" t="s">
        <v>3674</v>
      </c>
    </row>
    <row r="816" spans="1:12" x14ac:dyDescent="0.25">
      <c r="A816" s="68" t="s">
        <v>854</v>
      </c>
      <c r="B816" s="68" t="s">
        <v>1681</v>
      </c>
      <c r="C816" s="68" t="s">
        <v>2480</v>
      </c>
      <c r="D816" s="68" t="s">
        <v>854</v>
      </c>
      <c r="F816" s="68" t="s">
        <v>3291</v>
      </c>
      <c r="H816" s="122">
        <v>44361</v>
      </c>
      <c r="I816" s="68" t="s">
        <v>3548</v>
      </c>
      <c r="J816" s="68">
        <v>244.4</v>
      </c>
      <c r="K816" s="68" t="s">
        <v>3673</v>
      </c>
      <c r="L816" s="68" t="s">
        <v>3674</v>
      </c>
    </row>
    <row r="817" spans="1:12" x14ac:dyDescent="0.25">
      <c r="A817" s="68" t="s">
        <v>854</v>
      </c>
      <c r="B817" s="68" t="s">
        <v>1681</v>
      </c>
      <c r="C817" s="68" t="s">
        <v>2480</v>
      </c>
      <c r="D817" s="68" t="s">
        <v>854</v>
      </c>
      <c r="F817" s="68" t="s">
        <v>3291</v>
      </c>
      <c r="H817" s="122">
        <v>44393</v>
      </c>
      <c r="I817" s="68" t="s">
        <v>3548</v>
      </c>
      <c r="J817" s="68">
        <v>216</v>
      </c>
      <c r="K817" s="68" t="s">
        <v>3673</v>
      </c>
      <c r="L817" s="68" t="s">
        <v>3674</v>
      </c>
    </row>
    <row r="818" spans="1:12" x14ac:dyDescent="0.25">
      <c r="A818" s="68" t="s">
        <v>855</v>
      </c>
      <c r="B818" s="68" t="s">
        <v>1682</v>
      </c>
      <c r="C818" s="68" t="s">
        <v>2481</v>
      </c>
      <c r="D818" s="68" t="s">
        <v>855</v>
      </c>
      <c r="F818" s="68" t="s">
        <v>3292</v>
      </c>
      <c r="H818" s="122">
        <v>44369</v>
      </c>
      <c r="I818" s="68" t="s">
        <v>3550</v>
      </c>
      <c r="J818" s="68">
        <v>673.6</v>
      </c>
      <c r="K818" s="68" t="s">
        <v>3673</v>
      </c>
      <c r="L818" s="68" t="s">
        <v>3674</v>
      </c>
    </row>
    <row r="819" spans="1:12" x14ac:dyDescent="0.25">
      <c r="A819" s="68" t="s">
        <v>856</v>
      </c>
      <c r="B819" s="68" t="s">
        <v>1683</v>
      </c>
      <c r="C819" s="68" t="s">
        <v>2481</v>
      </c>
      <c r="D819" s="68" t="s">
        <v>856</v>
      </c>
      <c r="F819" s="68" t="s">
        <v>3293</v>
      </c>
      <c r="H819" s="122">
        <v>44363</v>
      </c>
      <c r="I819" s="68" t="s">
        <v>3552</v>
      </c>
      <c r="J819" s="68">
        <v>404.8</v>
      </c>
      <c r="K819" s="68" t="s">
        <v>3673</v>
      </c>
      <c r="L819" s="68" t="s">
        <v>3674</v>
      </c>
    </row>
    <row r="820" spans="1:12" x14ac:dyDescent="0.25">
      <c r="A820" s="68" t="s">
        <v>857</v>
      </c>
      <c r="B820" s="68" t="s">
        <v>1684</v>
      </c>
      <c r="C820" s="68" t="s">
        <v>2482</v>
      </c>
      <c r="D820" s="68" t="s">
        <v>857</v>
      </c>
      <c r="F820" s="68" t="s">
        <v>3294</v>
      </c>
      <c r="H820" s="122">
        <v>44361</v>
      </c>
      <c r="I820" s="68" t="s">
        <v>3552</v>
      </c>
      <c r="J820" s="68">
        <v>532</v>
      </c>
      <c r="K820" s="68" t="s">
        <v>3673</v>
      </c>
      <c r="L820" s="68" t="s">
        <v>3674</v>
      </c>
    </row>
    <row r="821" spans="1:12" x14ac:dyDescent="0.25">
      <c r="A821" s="68" t="s">
        <v>858</v>
      </c>
      <c r="B821" s="68" t="s">
        <v>1685</v>
      </c>
      <c r="C821" s="68" t="s">
        <v>2483</v>
      </c>
      <c r="D821" s="68" t="s">
        <v>858</v>
      </c>
      <c r="F821" s="68" t="s">
        <v>3295</v>
      </c>
      <c r="H821" s="122">
        <v>44350</v>
      </c>
      <c r="I821" s="68" t="s">
        <v>3556</v>
      </c>
      <c r="J821" s="68">
        <v>450.4</v>
      </c>
      <c r="K821" s="68" t="s">
        <v>3673</v>
      </c>
      <c r="L821" s="68" t="s">
        <v>3674</v>
      </c>
    </row>
    <row r="822" spans="1:12" x14ac:dyDescent="0.25">
      <c r="A822" s="68" t="s">
        <v>859</v>
      </c>
      <c r="B822" s="68" t="s">
        <v>1686</v>
      </c>
      <c r="C822" s="68" t="s">
        <v>2484</v>
      </c>
      <c r="D822" s="68" t="s">
        <v>859</v>
      </c>
      <c r="F822" s="68" t="s">
        <v>3296</v>
      </c>
      <c r="H822" s="122">
        <v>44349</v>
      </c>
      <c r="I822" s="68" t="s">
        <v>3556</v>
      </c>
      <c r="J822" s="68">
        <v>161.19999999999999</v>
      </c>
      <c r="K822" s="68" t="s">
        <v>3673</v>
      </c>
      <c r="L822" s="68" t="s">
        <v>3674</v>
      </c>
    </row>
    <row r="823" spans="1:12" x14ac:dyDescent="0.25">
      <c r="A823" s="68" t="s">
        <v>858</v>
      </c>
      <c r="B823" s="68" t="s">
        <v>1685</v>
      </c>
      <c r="C823" s="68" t="s">
        <v>2483</v>
      </c>
      <c r="D823" s="68" t="s">
        <v>858</v>
      </c>
      <c r="F823" s="68" t="s">
        <v>3295</v>
      </c>
      <c r="H823" s="122">
        <v>44326</v>
      </c>
      <c r="I823" s="68" t="s">
        <v>3558</v>
      </c>
      <c r="J823" s="68">
        <v>496</v>
      </c>
      <c r="K823" s="68" t="s">
        <v>3673</v>
      </c>
      <c r="L823" s="68" t="s">
        <v>3674</v>
      </c>
    </row>
    <row r="824" spans="1:12" x14ac:dyDescent="0.25">
      <c r="A824" s="68" t="s">
        <v>860</v>
      </c>
      <c r="B824" s="68" t="s">
        <v>1687</v>
      </c>
      <c r="C824" s="68" t="s">
        <v>2485</v>
      </c>
      <c r="D824" s="68" t="s">
        <v>860</v>
      </c>
      <c r="F824" s="68" t="s">
        <v>3297</v>
      </c>
      <c r="H824" s="122">
        <v>44335</v>
      </c>
      <c r="I824" s="68" t="s">
        <v>3497</v>
      </c>
      <c r="J824" s="68">
        <v>61.2</v>
      </c>
      <c r="K824" s="68" t="s">
        <v>3675</v>
      </c>
      <c r="L824" s="68" t="s">
        <v>3662</v>
      </c>
    </row>
    <row r="825" spans="1:12" x14ac:dyDescent="0.25">
      <c r="A825" s="68" t="s">
        <v>705</v>
      </c>
      <c r="B825" s="68" t="s">
        <v>1532</v>
      </c>
      <c r="C825" s="68" t="s">
        <v>2486</v>
      </c>
      <c r="D825" s="68" t="s">
        <v>705</v>
      </c>
      <c r="F825" s="68" t="s">
        <v>3298</v>
      </c>
      <c r="H825" s="122">
        <v>44327</v>
      </c>
      <c r="I825" s="68" t="s">
        <v>3558</v>
      </c>
      <c r="J825" s="68">
        <v>61.2</v>
      </c>
      <c r="K825" s="68" t="s">
        <v>3675</v>
      </c>
      <c r="L825" s="68" t="s">
        <v>3662</v>
      </c>
    </row>
    <row r="826" spans="1:12" x14ac:dyDescent="0.25">
      <c r="A826" s="68" t="s">
        <v>861</v>
      </c>
      <c r="B826" s="68" t="s">
        <v>1688</v>
      </c>
      <c r="C826" s="68" t="s">
        <v>2487</v>
      </c>
      <c r="D826" s="68" t="s">
        <v>861</v>
      </c>
      <c r="F826" s="68" t="s">
        <v>3299</v>
      </c>
      <c r="H826" s="122">
        <v>44428</v>
      </c>
      <c r="I826" s="68" t="s">
        <v>3518</v>
      </c>
      <c r="J826" s="68">
        <v>227.6</v>
      </c>
      <c r="K826" s="68" t="s">
        <v>3676</v>
      </c>
      <c r="L826" s="68" t="s">
        <v>3677</v>
      </c>
    </row>
    <row r="827" spans="1:12" x14ac:dyDescent="0.25">
      <c r="A827" s="68" t="s">
        <v>846</v>
      </c>
      <c r="B827" s="68" t="s">
        <v>1673</v>
      </c>
      <c r="C827" s="68" t="s">
        <v>2472</v>
      </c>
      <c r="D827" s="68" t="s">
        <v>846</v>
      </c>
      <c r="F827" s="68" t="s">
        <v>3300</v>
      </c>
      <c r="H827" s="122">
        <v>44608</v>
      </c>
      <c r="I827" s="68" t="s">
        <v>3485</v>
      </c>
      <c r="J827" s="68">
        <v>82.8</v>
      </c>
      <c r="K827" s="68" t="s">
        <v>3678</v>
      </c>
      <c r="L827" s="68" t="s">
        <v>3679</v>
      </c>
    </row>
    <row r="828" spans="1:12" x14ac:dyDescent="0.25">
      <c r="A828" s="68" t="s">
        <v>862</v>
      </c>
      <c r="B828" s="68" t="s">
        <v>1689</v>
      </c>
      <c r="C828" s="68" t="s">
        <v>2488</v>
      </c>
      <c r="D828" s="68" t="s">
        <v>862</v>
      </c>
      <c r="F828" s="68" t="s">
        <v>3301</v>
      </c>
      <c r="H828" s="122">
        <v>44632</v>
      </c>
      <c r="I828" s="68" t="s">
        <v>3500</v>
      </c>
      <c r="J828" s="68">
        <v>871.2</v>
      </c>
      <c r="K828" s="68" t="s">
        <v>3680</v>
      </c>
      <c r="L828" s="68" t="s">
        <v>3681</v>
      </c>
    </row>
    <row r="829" spans="1:12" x14ac:dyDescent="0.25">
      <c r="A829" s="68" t="s">
        <v>863</v>
      </c>
      <c r="B829" s="68" t="s">
        <v>1690</v>
      </c>
      <c r="C829" s="68" t="s">
        <v>2489</v>
      </c>
      <c r="D829" s="68" t="s">
        <v>863</v>
      </c>
      <c r="F829" s="68" t="s">
        <v>3302</v>
      </c>
      <c r="H829" s="122">
        <v>44551</v>
      </c>
      <c r="I829" s="68" t="s">
        <v>3474</v>
      </c>
      <c r="J829" s="68">
        <v>1168</v>
      </c>
      <c r="K829" s="68" t="s">
        <v>3680</v>
      </c>
      <c r="L829" s="68" t="s">
        <v>3681</v>
      </c>
    </row>
    <row r="830" spans="1:12" x14ac:dyDescent="0.25">
      <c r="A830" s="68" t="s">
        <v>864</v>
      </c>
      <c r="B830" s="68" t="s">
        <v>1691</v>
      </c>
      <c r="C830" s="68" t="s">
        <v>2490</v>
      </c>
      <c r="D830" s="68" t="s">
        <v>864</v>
      </c>
      <c r="F830" s="68" t="s">
        <v>3303</v>
      </c>
      <c r="H830" s="122">
        <v>44544</v>
      </c>
      <c r="I830" s="68" t="s">
        <v>3474</v>
      </c>
      <c r="J830" s="68">
        <v>1012.8</v>
      </c>
      <c r="K830" s="68" t="s">
        <v>3680</v>
      </c>
      <c r="L830" s="68" t="s">
        <v>3681</v>
      </c>
    </row>
    <row r="831" spans="1:12" x14ac:dyDescent="0.25">
      <c r="A831" s="68" t="s">
        <v>864</v>
      </c>
      <c r="B831" s="68" t="s">
        <v>1691</v>
      </c>
      <c r="C831" s="68" t="s">
        <v>2490</v>
      </c>
      <c r="D831" s="68" t="s">
        <v>864</v>
      </c>
      <c r="F831" s="68" t="s">
        <v>3303</v>
      </c>
      <c r="H831" s="122">
        <v>44540</v>
      </c>
      <c r="I831" s="68" t="s">
        <v>3474</v>
      </c>
      <c r="J831" s="68">
        <v>372.8</v>
      </c>
      <c r="K831" s="68" t="s">
        <v>3680</v>
      </c>
      <c r="L831" s="68" t="s">
        <v>3681</v>
      </c>
    </row>
    <row r="832" spans="1:12" x14ac:dyDescent="0.25">
      <c r="A832" s="68" t="s">
        <v>863</v>
      </c>
      <c r="B832" s="68" t="s">
        <v>1690</v>
      </c>
      <c r="C832" s="68" t="s">
        <v>2489</v>
      </c>
      <c r="D832" s="68" t="s">
        <v>863</v>
      </c>
      <c r="F832" s="68" t="s">
        <v>3302</v>
      </c>
      <c r="H832" s="122">
        <v>44538</v>
      </c>
      <c r="I832" s="68" t="s">
        <v>3474</v>
      </c>
      <c r="J832" s="68">
        <v>61.2</v>
      </c>
      <c r="K832" s="68" t="s">
        <v>3680</v>
      </c>
      <c r="L832" s="68" t="s">
        <v>3681</v>
      </c>
    </row>
    <row r="833" spans="1:12" x14ac:dyDescent="0.25">
      <c r="A833" s="68" t="s">
        <v>865</v>
      </c>
      <c r="B833" s="68" t="s">
        <v>1692</v>
      </c>
      <c r="C833" s="68" t="s">
        <v>2491</v>
      </c>
      <c r="D833" s="68" t="s">
        <v>865</v>
      </c>
      <c r="F833" s="68" t="s">
        <v>3304</v>
      </c>
      <c r="H833" s="122">
        <v>44537</v>
      </c>
      <c r="I833" s="68" t="s">
        <v>3474</v>
      </c>
      <c r="J833" s="68">
        <v>108.8</v>
      </c>
      <c r="K833" s="68" t="s">
        <v>3680</v>
      </c>
      <c r="L833" s="68" t="s">
        <v>3681</v>
      </c>
    </row>
    <row r="834" spans="1:12" x14ac:dyDescent="0.25">
      <c r="A834" s="68" t="s">
        <v>866</v>
      </c>
      <c r="B834" s="68" t="s">
        <v>1693</v>
      </c>
      <c r="C834" s="68" t="s">
        <v>2492</v>
      </c>
      <c r="D834" s="68" t="s">
        <v>866</v>
      </c>
      <c r="F834" s="68" t="s">
        <v>3305</v>
      </c>
      <c r="H834" s="122">
        <v>44513</v>
      </c>
      <c r="I834" s="68" t="s">
        <v>3459</v>
      </c>
      <c r="J834" s="68">
        <v>915.2</v>
      </c>
      <c r="K834" s="68" t="s">
        <v>3680</v>
      </c>
      <c r="L834" s="68" t="s">
        <v>3681</v>
      </c>
    </row>
    <row r="835" spans="1:12" x14ac:dyDescent="0.25">
      <c r="A835" s="68" t="s">
        <v>867</v>
      </c>
      <c r="B835" s="68" t="s">
        <v>1694</v>
      </c>
      <c r="C835" s="68" t="s">
        <v>2493</v>
      </c>
      <c r="D835" s="68" t="s">
        <v>867</v>
      </c>
      <c r="F835" s="68" t="s">
        <v>3306</v>
      </c>
      <c r="H835" s="122">
        <v>44467</v>
      </c>
      <c r="I835" s="68" t="s">
        <v>3465</v>
      </c>
      <c r="J835" s="68">
        <v>452.4</v>
      </c>
      <c r="K835" s="68" t="s">
        <v>3680</v>
      </c>
      <c r="L835" s="68" t="s">
        <v>3681</v>
      </c>
    </row>
    <row r="836" spans="1:12" x14ac:dyDescent="0.25">
      <c r="A836" s="68" t="s">
        <v>868</v>
      </c>
      <c r="B836" s="68" t="s">
        <v>1695</v>
      </c>
      <c r="C836" s="68" t="s">
        <v>2494</v>
      </c>
      <c r="D836" s="68" t="s">
        <v>868</v>
      </c>
      <c r="F836" s="68" t="s">
        <v>3307</v>
      </c>
      <c r="H836" s="122">
        <v>43979</v>
      </c>
      <c r="I836" s="68" t="s">
        <v>3603</v>
      </c>
      <c r="J836" s="68">
        <v>957.6</v>
      </c>
      <c r="K836" s="68" t="s">
        <v>3680</v>
      </c>
      <c r="L836" s="68" t="s">
        <v>3681</v>
      </c>
    </row>
    <row r="837" spans="1:12" x14ac:dyDescent="0.25">
      <c r="A837" s="68" t="s">
        <v>869</v>
      </c>
      <c r="B837" s="68" t="s">
        <v>1696</v>
      </c>
      <c r="C837" s="68" t="s">
        <v>2495</v>
      </c>
      <c r="D837" s="68" t="s">
        <v>869</v>
      </c>
      <c r="F837" s="68" t="s">
        <v>3308</v>
      </c>
      <c r="H837" s="122">
        <v>44440</v>
      </c>
      <c r="I837" s="68" t="s">
        <v>3604</v>
      </c>
      <c r="J837" s="68">
        <v>208.8</v>
      </c>
      <c r="K837" s="68" t="s">
        <v>3680</v>
      </c>
      <c r="L837" s="68" t="s">
        <v>3681</v>
      </c>
    </row>
    <row r="838" spans="1:12" x14ac:dyDescent="0.25">
      <c r="A838" s="68" t="s">
        <v>870</v>
      </c>
      <c r="B838" s="68" t="s">
        <v>1697</v>
      </c>
      <c r="C838" s="68" t="s">
        <v>2495</v>
      </c>
      <c r="D838" s="68" t="s">
        <v>870</v>
      </c>
      <c r="F838" s="68" t="s">
        <v>3308</v>
      </c>
      <c r="H838" s="122">
        <v>44440</v>
      </c>
      <c r="I838" s="68" t="s">
        <v>3604</v>
      </c>
      <c r="J838" s="68">
        <v>650</v>
      </c>
      <c r="K838" s="68" t="s">
        <v>3680</v>
      </c>
      <c r="L838" s="68" t="s">
        <v>3681</v>
      </c>
    </row>
    <row r="839" spans="1:12" x14ac:dyDescent="0.25">
      <c r="A839" s="68" t="s">
        <v>871</v>
      </c>
      <c r="B839" s="68" t="s">
        <v>1698</v>
      </c>
      <c r="C839" s="68" t="s">
        <v>2496</v>
      </c>
      <c r="D839" s="68" t="s">
        <v>871</v>
      </c>
      <c r="F839" s="68" t="s">
        <v>3306</v>
      </c>
      <c r="H839" s="122">
        <v>44369</v>
      </c>
      <c r="I839" s="68" t="s">
        <v>3521</v>
      </c>
      <c r="J839" s="68">
        <v>804.8</v>
      </c>
      <c r="K839" s="68" t="s">
        <v>3680</v>
      </c>
      <c r="L839" s="68" t="s">
        <v>3681</v>
      </c>
    </row>
    <row r="840" spans="1:12" x14ac:dyDescent="0.25">
      <c r="A840" s="68" t="s">
        <v>872</v>
      </c>
      <c r="B840" s="68" t="s">
        <v>1699</v>
      </c>
      <c r="C840" s="68" t="s">
        <v>2497</v>
      </c>
      <c r="D840" s="68" t="s">
        <v>872</v>
      </c>
      <c r="F840" s="68" t="s">
        <v>3309</v>
      </c>
      <c r="H840" s="122">
        <v>44326</v>
      </c>
      <c r="I840" s="68" t="s">
        <v>3558</v>
      </c>
      <c r="J840" s="68">
        <v>292.39999999999998</v>
      </c>
      <c r="K840" s="68" t="s">
        <v>3680</v>
      </c>
      <c r="L840" s="68" t="s">
        <v>3681</v>
      </c>
    </row>
    <row r="841" spans="1:12" x14ac:dyDescent="0.25">
      <c r="A841" s="68" t="s">
        <v>873</v>
      </c>
      <c r="B841" s="68" t="s">
        <v>1700</v>
      </c>
      <c r="C841" s="68" t="s">
        <v>2498</v>
      </c>
      <c r="D841" s="68" t="s">
        <v>873</v>
      </c>
      <c r="F841" s="68" t="s">
        <v>3310</v>
      </c>
      <c r="H841" s="122">
        <v>44236</v>
      </c>
      <c r="I841" s="68" t="s">
        <v>3498</v>
      </c>
      <c r="J841" s="68">
        <v>258.8</v>
      </c>
      <c r="K841" s="68" t="s">
        <v>3680</v>
      </c>
      <c r="L841" s="68" t="s">
        <v>3681</v>
      </c>
    </row>
    <row r="842" spans="1:12" x14ac:dyDescent="0.25">
      <c r="A842" s="68" t="s">
        <v>874</v>
      </c>
      <c r="B842" s="68" t="s">
        <v>1701</v>
      </c>
      <c r="C842" s="68" t="s">
        <v>2499</v>
      </c>
      <c r="D842" s="68" t="s">
        <v>874</v>
      </c>
      <c r="F842" s="68" t="s">
        <v>3311</v>
      </c>
      <c r="H842" s="122">
        <v>44634</v>
      </c>
      <c r="I842" s="68" t="s">
        <v>3500</v>
      </c>
      <c r="J842" s="68">
        <v>0</v>
      </c>
      <c r="K842" s="68" t="s">
        <v>3682</v>
      </c>
      <c r="L842" s="68" t="s">
        <v>3683</v>
      </c>
    </row>
    <row r="843" spans="1:12" x14ac:dyDescent="0.25">
      <c r="A843" s="68" t="s">
        <v>875</v>
      </c>
      <c r="B843" s="68" t="s">
        <v>1702</v>
      </c>
      <c r="C843" s="68" t="s">
        <v>2500</v>
      </c>
      <c r="D843" s="68" t="s">
        <v>875</v>
      </c>
      <c r="F843" s="68" t="s">
        <v>3312</v>
      </c>
      <c r="H843" s="122">
        <v>44491</v>
      </c>
      <c r="I843" s="68" t="s">
        <v>3501</v>
      </c>
      <c r="J843" s="68">
        <v>1174</v>
      </c>
      <c r="K843" s="68" t="s">
        <v>3682</v>
      </c>
      <c r="L843" s="68" t="s">
        <v>3683</v>
      </c>
    </row>
    <row r="844" spans="1:12" x14ac:dyDescent="0.25">
      <c r="A844" s="68" t="s">
        <v>875</v>
      </c>
      <c r="B844" s="68" t="s">
        <v>1702</v>
      </c>
      <c r="C844" s="68" t="s">
        <v>2500</v>
      </c>
      <c r="D844" s="68" t="s">
        <v>875</v>
      </c>
      <c r="F844" s="68" t="s">
        <v>3312</v>
      </c>
      <c r="H844" s="122">
        <v>44459</v>
      </c>
      <c r="I844" s="68" t="s">
        <v>3500</v>
      </c>
      <c r="J844" s="68">
        <v>264</v>
      </c>
      <c r="K844" s="68" t="s">
        <v>3682</v>
      </c>
      <c r="L844" s="68" t="s">
        <v>3683</v>
      </c>
    </row>
    <row r="845" spans="1:12" x14ac:dyDescent="0.25">
      <c r="A845" s="68" t="s">
        <v>875</v>
      </c>
      <c r="B845" s="68" t="s">
        <v>1702</v>
      </c>
      <c r="C845" s="68" t="s">
        <v>2500</v>
      </c>
      <c r="D845" s="68" t="s">
        <v>875</v>
      </c>
      <c r="F845" s="68" t="s">
        <v>3312</v>
      </c>
      <c r="H845" s="122">
        <v>44509</v>
      </c>
      <c r="I845" s="68" t="s">
        <v>3500</v>
      </c>
      <c r="J845" s="68">
        <v>1126</v>
      </c>
      <c r="K845" s="68" t="s">
        <v>3682</v>
      </c>
      <c r="L845" s="68" t="s">
        <v>3683</v>
      </c>
    </row>
    <row r="846" spans="1:12" x14ac:dyDescent="0.25">
      <c r="A846" s="68" t="s">
        <v>876</v>
      </c>
      <c r="B846" s="68" t="s">
        <v>1703</v>
      </c>
      <c r="C846" s="68" t="s">
        <v>2501</v>
      </c>
      <c r="D846" s="68" t="s">
        <v>876</v>
      </c>
      <c r="F846" s="68" t="s">
        <v>3313</v>
      </c>
      <c r="H846" s="122">
        <v>44628</v>
      </c>
      <c r="I846" s="68" t="s">
        <v>3502</v>
      </c>
      <c r="J846" s="68">
        <v>253.2</v>
      </c>
      <c r="K846" s="68" t="s">
        <v>3682</v>
      </c>
      <c r="L846" s="68" t="s">
        <v>3683</v>
      </c>
    </row>
    <row r="847" spans="1:12" x14ac:dyDescent="0.25">
      <c r="A847" s="68" t="s">
        <v>877</v>
      </c>
      <c r="B847" s="68" t="s">
        <v>1704</v>
      </c>
      <c r="C847" s="68" t="s">
        <v>2502</v>
      </c>
      <c r="D847" s="68" t="s">
        <v>877</v>
      </c>
      <c r="F847" s="68" t="s">
        <v>3314</v>
      </c>
      <c r="H847" s="122">
        <v>44599</v>
      </c>
      <c r="I847" s="68" t="s">
        <v>3605</v>
      </c>
      <c r="J847" s="68">
        <v>1068</v>
      </c>
      <c r="K847" s="68" t="s">
        <v>3682</v>
      </c>
      <c r="L847" s="68" t="s">
        <v>3683</v>
      </c>
    </row>
    <row r="848" spans="1:12" x14ac:dyDescent="0.25">
      <c r="A848" s="68" t="s">
        <v>878</v>
      </c>
      <c r="B848" s="68" t="s">
        <v>1705</v>
      </c>
      <c r="C848" s="68" t="s">
        <v>2503</v>
      </c>
      <c r="D848" s="68" t="s">
        <v>878</v>
      </c>
      <c r="F848" s="68" t="s">
        <v>3315</v>
      </c>
      <c r="H848" s="122">
        <v>44558</v>
      </c>
      <c r="I848" s="68" t="s">
        <v>3492</v>
      </c>
      <c r="J848" s="68">
        <v>1062</v>
      </c>
      <c r="K848" s="68" t="s">
        <v>3682</v>
      </c>
      <c r="L848" s="68" t="s">
        <v>3683</v>
      </c>
    </row>
    <row r="849" spans="1:12" x14ac:dyDescent="0.25">
      <c r="A849" s="68" t="s">
        <v>879</v>
      </c>
      <c r="B849" s="68" t="s">
        <v>1706</v>
      </c>
      <c r="C849" s="68" t="s">
        <v>2504</v>
      </c>
      <c r="D849" s="68" t="s">
        <v>879</v>
      </c>
      <c r="F849" s="68" t="s">
        <v>3316</v>
      </c>
      <c r="H849" s="122">
        <v>44545</v>
      </c>
      <c r="I849" s="68" t="s">
        <v>3474</v>
      </c>
      <c r="J849" s="68">
        <v>43.2</v>
      </c>
      <c r="K849" s="68" t="s">
        <v>3682</v>
      </c>
      <c r="L849" s="68" t="s">
        <v>3683</v>
      </c>
    </row>
    <row r="850" spans="1:12" x14ac:dyDescent="0.25">
      <c r="A850" s="68" t="s">
        <v>879</v>
      </c>
      <c r="B850" s="68" t="s">
        <v>1706</v>
      </c>
      <c r="C850" s="68" t="s">
        <v>2504</v>
      </c>
      <c r="D850" s="68" t="s">
        <v>879</v>
      </c>
      <c r="F850" s="68" t="s">
        <v>3316</v>
      </c>
      <c r="H850" s="122">
        <v>44545</v>
      </c>
      <c r="I850" s="68" t="s">
        <v>3474</v>
      </c>
      <c r="J850" s="68">
        <v>566.79999999999995</v>
      </c>
      <c r="K850" s="68" t="s">
        <v>3682</v>
      </c>
      <c r="L850" s="68" t="s">
        <v>3683</v>
      </c>
    </row>
    <row r="851" spans="1:12" x14ac:dyDescent="0.25">
      <c r="A851" s="68" t="s">
        <v>880</v>
      </c>
      <c r="B851" s="68" t="s">
        <v>1707</v>
      </c>
      <c r="C851" s="68" t="s">
        <v>2505</v>
      </c>
      <c r="D851" s="68" t="s">
        <v>880</v>
      </c>
      <c r="F851" s="68" t="s">
        <v>3317</v>
      </c>
      <c r="H851" s="122">
        <v>44536</v>
      </c>
      <c r="I851" s="68" t="s">
        <v>3494</v>
      </c>
      <c r="J851" s="68">
        <v>480</v>
      </c>
      <c r="K851" s="68" t="s">
        <v>3682</v>
      </c>
      <c r="L851" s="68" t="s">
        <v>3683</v>
      </c>
    </row>
    <row r="852" spans="1:12" x14ac:dyDescent="0.25">
      <c r="A852" s="68" t="s">
        <v>881</v>
      </c>
      <c r="B852" s="68" t="s">
        <v>1708</v>
      </c>
      <c r="C852" s="68" t="s">
        <v>2506</v>
      </c>
      <c r="D852" s="68" t="s">
        <v>881</v>
      </c>
      <c r="F852" s="68" t="s">
        <v>3318</v>
      </c>
      <c r="H852" s="122">
        <v>44537</v>
      </c>
      <c r="I852" s="68" t="s">
        <v>3450</v>
      </c>
      <c r="J852" s="68">
        <v>504</v>
      </c>
      <c r="K852" s="68" t="s">
        <v>3682</v>
      </c>
      <c r="L852" s="68" t="s">
        <v>3683</v>
      </c>
    </row>
    <row r="853" spans="1:12" x14ac:dyDescent="0.25">
      <c r="A853" s="68" t="s">
        <v>882</v>
      </c>
      <c r="B853" s="68" t="s">
        <v>1709</v>
      </c>
      <c r="C853" s="68" t="s">
        <v>2507</v>
      </c>
      <c r="D853" s="68" t="s">
        <v>882</v>
      </c>
      <c r="F853" s="68" t="s">
        <v>3319</v>
      </c>
      <c r="H853" s="122">
        <v>44529</v>
      </c>
      <c r="I853" s="68" t="s">
        <v>3465</v>
      </c>
      <c r="J853" s="68">
        <v>100</v>
      </c>
      <c r="K853" s="68" t="s">
        <v>3682</v>
      </c>
      <c r="L853" s="68" t="s">
        <v>3683</v>
      </c>
    </row>
    <row r="854" spans="1:12" x14ac:dyDescent="0.25">
      <c r="A854" s="68" t="s">
        <v>883</v>
      </c>
      <c r="B854" s="68" t="s">
        <v>1710</v>
      </c>
      <c r="C854" s="68" t="s">
        <v>2508</v>
      </c>
      <c r="D854" s="68" t="s">
        <v>883</v>
      </c>
      <c r="F854" s="68" t="s">
        <v>3320</v>
      </c>
      <c r="H854" s="122">
        <v>44524</v>
      </c>
      <c r="I854" s="68" t="s">
        <v>3465</v>
      </c>
      <c r="J854" s="68">
        <v>27.6</v>
      </c>
      <c r="K854" s="68" t="s">
        <v>3682</v>
      </c>
      <c r="L854" s="68" t="s">
        <v>3683</v>
      </c>
    </row>
    <row r="855" spans="1:12" x14ac:dyDescent="0.25">
      <c r="A855" s="68" t="s">
        <v>884</v>
      </c>
      <c r="B855" s="68" t="s">
        <v>1711</v>
      </c>
      <c r="C855" s="68" t="s">
        <v>2509</v>
      </c>
      <c r="D855" s="68" t="s">
        <v>884</v>
      </c>
      <c r="F855" s="68" t="s">
        <v>3321</v>
      </c>
      <c r="H855" s="122">
        <v>44508</v>
      </c>
      <c r="I855" s="68" t="s">
        <v>3452</v>
      </c>
      <c r="J855" s="68">
        <v>1011.2</v>
      </c>
      <c r="K855" s="68" t="s">
        <v>3682</v>
      </c>
      <c r="L855" s="68" t="s">
        <v>3683</v>
      </c>
    </row>
    <row r="856" spans="1:12" x14ac:dyDescent="0.25">
      <c r="A856" s="68" t="s">
        <v>885</v>
      </c>
      <c r="B856" s="68" t="s">
        <v>1712</v>
      </c>
      <c r="C856" s="68" t="s">
        <v>2510</v>
      </c>
      <c r="D856" s="68" t="s">
        <v>885</v>
      </c>
      <c r="F856" s="68" t="s">
        <v>3322</v>
      </c>
      <c r="H856" s="122">
        <v>44502</v>
      </c>
      <c r="I856" s="68" t="s">
        <v>3510</v>
      </c>
      <c r="J856" s="68">
        <v>326.8</v>
      </c>
      <c r="K856" s="68" t="s">
        <v>3682</v>
      </c>
      <c r="L856" s="68" t="s">
        <v>3683</v>
      </c>
    </row>
    <row r="857" spans="1:12" x14ac:dyDescent="0.25">
      <c r="A857" s="68" t="s">
        <v>886</v>
      </c>
      <c r="B857" s="68" t="s">
        <v>1713</v>
      </c>
      <c r="C857" s="68" t="s">
        <v>2511</v>
      </c>
      <c r="D857" s="68" t="s">
        <v>886</v>
      </c>
      <c r="F857" s="68" t="s">
        <v>3323</v>
      </c>
      <c r="H857" s="122">
        <v>44504</v>
      </c>
      <c r="I857" s="68" t="s">
        <v>3496</v>
      </c>
      <c r="J857" s="68">
        <v>244.4</v>
      </c>
      <c r="K857" s="68" t="s">
        <v>3682</v>
      </c>
      <c r="L857" s="68" t="s">
        <v>3683</v>
      </c>
    </row>
    <row r="858" spans="1:12" x14ac:dyDescent="0.25">
      <c r="A858" s="68" t="s">
        <v>887</v>
      </c>
      <c r="B858" s="68" t="s">
        <v>1714</v>
      </c>
      <c r="C858" s="68" t="s">
        <v>2512</v>
      </c>
      <c r="D858" s="68" t="s">
        <v>887</v>
      </c>
      <c r="F858" s="68" t="s">
        <v>3324</v>
      </c>
      <c r="H858" s="122">
        <v>44483</v>
      </c>
      <c r="I858" s="68" t="s">
        <v>3541</v>
      </c>
      <c r="J858" s="68">
        <v>88.8</v>
      </c>
      <c r="K858" s="68" t="s">
        <v>3682</v>
      </c>
      <c r="L858" s="68" t="s">
        <v>3683</v>
      </c>
    </row>
    <row r="859" spans="1:12" x14ac:dyDescent="0.25">
      <c r="A859" s="68" t="s">
        <v>888</v>
      </c>
      <c r="B859" s="68" t="s">
        <v>1715</v>
      </c>
      <c r="C859" s="68" t="s">
        <v>2513</v>
      </c>
      <c r="D859" s="68" t="s">
        <v>888</v>
      </c>
      <c r="F859" s="68" t="s">
        <v>3325</v>
      </c>
      <c r="H859" s="122">
        <v>44482</v>
      </c>
      <c r="I859" s="68" t="s">
        <v>3538</v>
      </c>
      <c r="J859" s="68">
        <v>182.8</v>
      </c>
      <c r="K859" s="68" t="s">
        <v>3682</v>
      </c>
      <c r="L859" s="68" t="s">
        <v>3683</v>
      </c>
    </row>
    <row r="860" spans="1:12" x14ac:dyDescent="0.25">
      <c r="A860" s="68" t="s">
        <v>889</v>
      </c>
      <c r="B860" s="68" t="s">
        <v>1716</v>
      </c>
      <c r="C860" s="68" t="s">
        <v>2514</v>
      </c>
      <c r="D860" s="68" t="s">
        <v>889</v>
      </c>
      <c r="F860" s="68" t="s">
        <v>3326</v>
      </c>
      <c r="H860" s="122">
        <v>44424</v>
      </c>
      <c r="I860" s="68" t="s">
        <v>3477</v>
      </c>
      <c r="J860" s="68">
        <v>58.8</v>
      </c>
      <c r="K860" s="68" t="s">
        <v>3682</v>
      </c>
      <c r="L860" s="68" t="s">
        <v>3683</v>
      </c>
    </row>
    <row r="861" spans="1:12" x14ac:dyDescent="0.25">
      <c r="A861" s="68" t="s">
        <v>890</v>
      </c>
      <c r="B861" s="68" t="s">
        <v>1717</v>
      </c>
      <c r="C861" s="68" t="s">
        <v>2515</v>
      </c>
      <c r="D861" s="68" t="s">
        <v>890</v>
      </c>
      <c r="F861" s="68" t="s">
        <v>3327</v>
      </c>
      <c r="H861" s="122">
        <v>44354</v>
      </c>
      <c r="I861" s="68" t="s">
        <v>3547</v>
      </c>
      <c r="J861" s="68">
        <v>432</v>
      </c>
      <c r="K861" s="68" t="s">
        <v>3682</v>
      </c>
      <c r="L861" s="68" t="s">
        <v>3683</v>
      </c>
    </row>
    <row r="862" spans="1:12" x14ac:dyDescent="0.25">
      <c r="A862" s="68" t="s">
        <v>885</v>
      </c>
      <c r="B862" s="68" t="s">
        <v>1712</v>
      </c>
      <c r="C862" s="68" t="s">
        <v>2510</v>
      </c>
      <c r="D862" s="68" t="s">
        <v>885</v>
      </c>
      <c r="F862" s="68" t="s">
        <v>3322</v>
      </c>
      <c r="H862" s="122">
        <v>44431</v>
      </c>
      <c r="I862" s="68" t="s">
        <v>3477</v>
      </c>
      <c r="J862" s="68">
        <v>72</v>
      </c>
      <c r="K862" s="68" t="s">
        <v>3682</v>
      </c>
      <c r="L862" s="68" t="s">
        <v>3683</v>
      </c>
    </row>
    <row r="863" spans="1:12" x14ac:dyDescent="0.25">
      <c r="A863" s="68" t="s">
        <v>891</v>
      </c>
      <c r="B863" s="68" t="s">
        <v>1718</v>
      </c>
      <c r="C863" s="68" t="s">
        <v>2516</v>
      </c>
      <c r="D863" s="68" t="s">
        <v>891</v>
      </c>
      <c r="F863" s="68" t="s">
        <v>3328</v>
      </c>
      <c r="H863" s="122">
        <v>44412</v>
      </c>
      <c r="I863" s="68" t="s">
        <v>3453</v>
      </c>
      <c r="J863" s="68">
        <v>684.4</v>
      </c>
      <c r="K863" s="68" t="s">
        <v>3682</v>
      </c>
      <c r="L863" s="68" t="s">
        <v>3683</v>
      </c>
    </row>
    <row r="864" spans="1:12" x14ac:dyDescent="0.25">
      <c r="A864" s="68" t="s">
        <v>892</v>
      </c>
      <c r="B864" s="68" t="s">
        <v>1719</v>
      </c>
      <c r="C864" s="68" t="s">
        <v>2517</v>
      </c>
      <c r="D864" s="68" t="s">
        <v>892</v>
      </c>
      <c r="F864" s="68" t="s">
        <v>3329</v>
      </c>
      <c r="H864" s="122">
        <v>44410</v>
      </c>
      <c r="I864" s="68" t="s">
        <v>3519</v>
      </c>
      <c r="J864" s="68">
        <v>175.2</v>
      </c>
      <c r="K864" s="68" t="s">
        <v>3682</v>
      </c>
      <c r="L864" s="68" t="s">
        <v>3683</v>
      </c>
    </row>
    <row r="865" spans="1:12" x14ac:dyDescent="0.25">
      <c r="A865" s="68" t="s">
        <v>893</v>
      </c>
      <c r="B865" s="68" t="s">
        <v>1720</v>
      </c>
      <c r="C865" s="68" t="s">
        <v>2518</v>
      </c>
      <c r="D865" s="68" t="s">
        <v>893</v>
      </c>
      <c r="F865" s="68" t="s">
        <v>3330</v>
      </c>
      <c r="H865" s="122">
        <v>44404</v>
      </c>
      <c r="I865" s="68" t="s">
        <v>3520</v>
      </c>
      <c r="J865" s="68">
        <v>253.2</v>
      </c>
      <c r="K865" s="68" t="s">
        <v>3682</v>
      </c>
      <c r="L865" s="68" t="s">
        <v>3683</v>
      </c>
    </row>
    <row r="866" spans="1:12" x14ac:dyDescent="0.25">
      <c r="A866" s="68" t="s">
        <v>894</v>
      </c>
      <c r="B866" s="68" t="s">
        <v>1721</v>
      </c>
      <c r="C866" s="68" t="s">
        <v>2519</v>
      </c>
      <c r="D866" s="68" t="s">
        <v>894</v>
      </c>
      <c r="F866" s="68" t="s">
        <v>3331</v>
      </c>
      <c r="H866" s="122">
        <v>44396</v>
      </c>
      <c r="I866" s="68" t="s">
        <v>3606</v>
      </c>
      <c r="J866" s="68">
        <v>106.4</v>
      </c>
      <c r="K866" s="68" t="s">
        <v>3682</v>
      </c>
      <c r="L866" s="68" t="s">
        <v>3683</v>
      </c>
    </row>
    <row r="867" spans="1:12" x14ac:dyDescent="0.25">
      <c r="A867" s="68" t="s">
        <v>895</v>
      </c>
      <c r="B867" s="68" t="s">
        <v>1722</v>
      </c>
      <c r="C867" s="68" t="s">
        <v>2520</v>
      </c>
      <c r="D867" s="68" t="s">
        <v>895</v>
      </c>
      <c r="F867" s="68" t="s">
        <v>3332</v>
      </c>
      <c r="H867" s="122">
        <v>44399</v>
      </c>
      <c r="I867" s="68" t="s">
        <v>3606</v>
      </c>
      <c r="J867" s="68">
        <v>106.4</v>
      </c>
      <c r="K867" s="68" t="s">
        <v>3682</v>
      </c>
      <c r="L867" s="68" t="s">
        <v>3683</v>
      </c>
    </row>
    <row r="868" spans="1:12" x14ac:dyDescent="0.25">
      <c r="A868" s="68" t="s">
        <v>896</v>
      </c>
      <c r="B868" s="68" t="s">
        <v>1723</v>
      </c>
      <c r="C868" s="68" t="s">
        <v>2521</v>
      </c>
      <c r="D868" s="68" t="s">
        <v>896</v>
      </c>
      <c r="F868" s="68" t="s">
        <v>3333</v>
      </c>
      <c r="H868" s="122">
        <v>44397</v>
      </c>
      <c r="I868" s="68" t="s">
        <v>3548</v>
      </c>
      <c r="J868" s="68">
        <v>149.6</v>
      </c>
      <c r="K868" s="68" t="s">
        <v>3682</v>
      </c>
      <c r="L868" s="68" t="s">
        <v>3683</v>
      </c>
    </row>
    <row r="869" spans="1:12" x14ac:dyDescent="0.25">
      <c r="A869" s="68" t="s">
        <v>897</v>
      </c>
      <c r="B869" s="68" t="s">
        <v>1724</v>
      </c>
      <c r="C869" s="68" t="s">
        <v>2522</v>
      </c>
      <c r="D869" s="68" t="s">
        <v>897</v>
      </c>
      <c r="F869" s="68" t="s">
        <v>3334</v>
      </c>
      <c r="H869" s="122">
        <v>44392</v>
      </c>
      <c r="I869" s="68" t="s">
        <v>3548</v>
      </c>
      <c r="J869" s="68">
        <v>333.6</v>
      </c>
      <c r="K869" s="68" t="s">
        <v>3682</v>
      </c>
      <c r="L869" s="68" t="s">
        <v>3683</v>
      </c>
    </row>
    <row r="870" spans="1:12" x14ac:dyDescent="0.25">
      <c r="A870" s="68" t="s">
        <v>898</v>
      </c>
      <c r="B870" s="68" t="s">
        <v>1725</v>
      </c>
      <c r="C870" s="68" t="s">
        <v>2523</v>
      </c>
      <c r="D870" s="68" t="s">
        <v>898</v>
      </c>
      <c r="F870" s="68" t="s">
        <v>3335</v>
      </c>
      <c r="H870" s="122">
        <v>44386</v>
      </c>
      <c r="I870" s="68" t="s">
        <v>3548</v>
      </c>
      <c r="J870" s="68">
        <v>230</v>
      </c>
      <c r="K870" s="68" t="s">
        <v>3682</v>
      </c>
      <c r="L870" s="68" t="s">
        <v>3683</v>
      </c>
    </row>
    <row r="871" spans="1:12" x14ac:dyDescent="0.25">
      <c r="A871" s="68" t="s">
        <v>899</v>
      </c>
      <c r="B871" s="68" t="s">
        <v>1726</v>
      </c>
      <c r="C871" s="68" t="s">
        <v>2524</v>
      </c>
      <c r="D871" s="68" t="s">
        <v>899</v>
      </c>
      <c r="F871" s="68" t="s">
        <v>3336</v>
      </c>
      <c r="H871" s="122">
        <v>44386</v>
      </c>
      <c r="I871" s="68" t="s">
        <v>3548</v>
      </c>
      <c r="J871" s="68">
        <v>244.4</v>
      </c>
      <c r="K871" s="68" t="s">
        <v>3682</v>
      </c>
      <c r="L871" s="68" t="s">
        <v>3683</v>
      </c>
    </row>
    <row r="872" spans="1:12" x14ac:dyDescent="0.25">
      <c r="A872" s="68" t="s">
        <v>900</v>
      </c>
      <c r="B872" s="68" t="s">
        <v>1727</v>
      </c>
      <c r="C872" s="68" t="s">
        <v>2525</v>
      </c>
      <c r="D872" s="68" t="s">
        <v>900</v>
      </c>
      <c r="F872" s="68" t="s">
        <v>3337</v>
      </c>
      <c r="H872" s="122">
        <v>44371</v>
      </c>
      <c r="I872" s="68" t="s">
        <v>3607</v>
      </c>
      <c r="J872" s="68">
        <v>218</v>
      </c>
      <c r="K872" s="68" t="s">
        <v>3682</v>
      </c>
      <c r="L872" s="68" t="s">
        <v>3683</v>
      </c>
    </row>
    <row r="873" spans="1:12" x14ac:dyDescent="0.25">
      <c r="A873" s="68" t="s">
        <v>901</v>
      </c>
      <c r="B873" s="68" t="s">
        <v>1728</v>
      </c>
      <c r="C873" s="68" t="s">
        <v>2526</v>
      </c>
      <c r="D873" s="68" t="s">
        <v>901</v>
      </c>
      <c r="F873" s="68" t="s">
        <v>3338</v>
      </c>
      <c r="H873" s="122">
        <v>44363</v>
      </c>
      <c r="I873" s="68" t="s">
        <v>3552</v>
      </c>
      <c r="J873" s="68">
        <v>266</v>
      </c>
      <c r="K873" s="68" t="s">
        <v>3682</v>
      </c>
      <c r="L873" s="68" t="s">
        <v>3683</v>
      </c>
    </row>
    <row r="874" spans="1:12" x14ac:dyDescent="0.25">
      <c r="A874" s="68" t="s">
        <v>902</v>
      </c>
      <c r="B874" s="68" t="s">
        <v>1729</v>
      </c>
      <c r="C874" s="68" t="s">
        <v>2416</v>
      </c>
      <c r="D874" s="68" t="s">
        <v>902</v>
      </c>
      <c r="F874" s="68" t="s">
        <v>3339</v>
      </c>
      <c r="H874" s="122">
        <v>44326</v>
      </c>
      <c r="I874" s="68" t="s">
        <v>3608</v>
      </c>
      <c r="J874" s="68">
        <v>106.4</v>
      </c>
      <c r="K874" s="68" t="s">
        <v>3682</v>
      </c>
      <c r="L874" s="68" t="s">
        <v>3683</v>
      </c>
    </row>
    <row r="875" spans="1:12" x14ac:dyDescent="0.25">
      <c r="A875" s="68" t="s">
        <v>903</v>
      </c>
      <c r="B875" s="68" t="s">
        <v>1730</v>
      </c>
      <c r="C875" s="68" t="s">
        <v>2222</v>
      </c>
      <c r="D875" s="68" t="s">
        <v>903</v>
      </c>
      <c r="F875" s="68" t="s">
        <v>3340</v>
      </c>
      <c r="H875" s="122">
        <v>44329</v>
      </c>
      <c r="I875" s="68" t="s">
        <v>3558</v>
      </c>
      <c r="J875" s="68">
        <v>20</v>
      </c>
      <c r="K875" s="68" t="s">
        <v>3682</v>
      </c>
      <c r="L875" s="68" t="s">
        <v>3683</v>
      </c>
    </row>
    <row r="876" spans="1:12" x14ac:dyDescent="0.25">
      <c r="A876" s="68" t="s">
        <v>904</v>
      </c>
      <c r="B876" s="68" t="s">
        <v>1731</v>
      </c>
      <c r="C876" s="68" t="s">
        <v>2527</v>
      </c>
      <c r="D876" s="68" t="s">
        <v>904</v>
      </c>
      <c r="F876" s="68" t="s">
        <v>3341</v>
      </c>
      <c r="H876" s="122">
        <v>44328</v>
      </c>
      <c r="I876" s="68" t="s">
        <v>3558</v>
      </c>
      <c r="J876" s="68">
        <v>432</v>
      </c>
      <c r="K876" s="68" t="s">
        <v>3682</v>
      </c>
      <c r="L876" s="68" t="s">
        <v>3683</v>
      </c>
    </row>
    <row r="877" spans="1:12" x14ac:dyDescent="0.25">
      <c r="A877" s="68" t="s">
        <v>905</v>
      </c>
      <c r="B877" s="68" t="s">
        <v>1732</v>
      </c>
      <c r="C877" s="68" t="s">
        <v>2528</v>
      </c>
      <c r="D877" s="68" t="s">
        <v>905</v>
      </c>
      <c r="F877" s="68" t="s">
        <v>3342</v>
      </c>
      <c r="H877" s="122">
        <v>44294</v>
      </c>
      <c r="I877" s="68" t="s">
        <v>3609</v>
      </c>
      <c r="J877" s="68">
        <v>1062</v>
      </c>
      <c r="K877" s="68" t="s">
        <v>3682</v>
      </c>
      <c r="L877" s="68" t="s">
        <v>3683</v>
      </c>
    </row>
    <row r="878" spans="1:12" x14ac:dyDescent="0.25">
      <c r="A878" s="68" t="s">
        <v>906</v>
      </c>
      <c r="B878" s="68" t="s">
        <v>1733</v>
      </c>
      <c r="C878" s="68" t="s">
        <v>2529</v>
      </c>
      <c r="D878" s="68" t="s">
        <v>906</v>
      </c>
      <c r="F878" s="68" t="s">
        <v>3343</v>
      </c>
      <c r="H878" s="122">
        <v>44655</v>
      </c>
      <c r="I878" s="68" t="s">
        <v>3478</v>
      </c>
      <c r="J878" s="68">
        <v>61.2</v>
      </c>
      <c r="K878" s="68" t="s">
        <v>3684</v>
      </c>
    </row>
    <row r="879" spans="1:12" x14ac:dyDescent="0.25">
      <c r="A879" s="68" t="s">
        <v>907</v>
      </c>
      <c r="B879" s="68" t="s">
        <v>1734</v>
      </c>
      <c r="C879" s="68" t="s">
        <v>2530</v>
      </c>
      <c r="D879" s="68" t="s">
        <v>907</v>
      </c>
      <c r="F879" s="68" t="s">
        <v>3343</v>
      </c>
      <c r="H879" s="122">
        <v>44639</v>
      </c>
      <c r="I879" s="68" t="s">
        <v>3610</v>
      </c>
      <c r="J879" s="68">
        <v>72</v>
      </c>
      <c r="K879" s="68" t="s">
        <v>3684</v>
      </c>
    </row>
    <row r="880" spans="1:12" x14ac:dyDescent="0.25">
      <c r="A880" s="68" t="s">
        <v>908</v>
      </c>
      <c r="B880" s="68" t="s">
        <v>1735</v>
      </c>
      <c r="C880" s="68" t="s">
        <v>2531</v>
      </c>
      <c r="D880" s="68" t="s">
        <v>908</v>
      </c>
      <c r="F880" s="68" t="s">
        <v>3344</v>
      </c>
      <c r="H880" s="122">
        <v>44635</v>
      </c>
      <c r="I880" s="68" t="s">
        <v>3524</v>
      </c>
      <c r="J880" s="68">
        <v>314.39999999999998</v>
      </c>
      <c r="K880" s="68" t="s">
        <v>3684</v>
      </c>
    </row>
    <row r="881" spans="1:11" x14ac:dyDescent="0.25">
      <c r="A881" s="68" t="s">
        <v>909</v>
      </c>
      <c r="B881" s="68" t="s">
        <v>1736</v>
      </c>
      <c r="C881" s="68" t="s">
        <v>2532</v>
      </c>
      <c r="D881" s="68" t="s">
        <v>909</v>
      </c>
      <c r="F881" s="68" t="s">
        <v>3345</v>
      </c>
      <c r="H881" s="122">
        <v>44632</v>
      </c>
      <c r="I881" s="68" t="s">
        <v>3611</v>
      </c>
      <c r="J881" s="68">
        <v>72</v>
      </c>
      <c r="K881" s="68" t="s">
        <v>3684</v>
      </c>
    </row>
    <row r="882" spans="1:11" x14ac:dyDescent="0.25">
      <c r="A882" s="68" t="s">
        <v>910</v>
      </c>
      <c r="B882" s="68" t="s">
        <v>1737</v>
      </c>
      <c r="C882" s="68" t="s">
        <v>2533</v>
      </c>
      <c r="D882" s="68" t="s">
        <v>910</v>
      </c>
      <c r="F882" s="68" t="s">
        <v>3346</v>
      </c>
      <c r="H882" s="122">
        <v>44632</v>
      </c>
      <c r="I882" s="68" t="s">
        <v>3611</v>
      </c>
      <c r="J882" s="68">
        <v>486</v>
      </c>
      <c r="K882" s="68" t="s">
        <v>3684</v>
      </c>
    </row>
    <row r="883" spans="1:11" x14ac:dyDescent="0.25">
      <c r="A883" s="68" t="s">
        <v>911</v>
      </c>
      <c r="B883" s="68" t="s">
        <v>1738</v>
      </c>
      <c r="C883" s="68" t="s">
        <v>2534</v>
      </c>
      <c r="D883" s="68" t="s">
        <v>911</v>
      </c>
      <c r="F883" s="68" t="s">
        <v>3343</v>
      </c>
      <c r="H883" s="122">
        <v>44622</v>
      </c>
      <c r="I883" s="68" t="s">
        <v>3462</v>
      </c>
      <c r="J883" s="68">
        <v>199.2</v>
      </c>
      <c r="K883" s="68" t="s">
        <v>3684</v>
      </c>
    </row>
    <row r="884" spans="1:11" x14ac:dyDescent="0.25">
      <c r="A884" s="68" t="s">
        <v>912</v>
      </c>
      <c r="B884" s="68" t="s">
        <v>1739</v>
      </c>
      <c r="C884" s="68" t="s">
        <v>2535</v>
      </c>
      <c r="D884" s="68" t="s">
        <v>912</v>
      </c>
      <c r="F884" s="68" t="s">
        <v>3343</v>
      </c>
      <c r="H884" s="122">
        <v>44617</v>
      </c>
      <c r="I884" s="68" t="s">
        <v>3456</v>
      </c>
      <c r="J884" s="68">
        <v>325.2</v>
      </c>
      <c r="K884" s="68" t="s">
        <v>3684</v>
      </c>
    </row>
    <row r="885" spans="1:11" x14ac:dyDescent="0.25">
      <c r="A885" s="68" t="s">
        <v>913</v>
      </c>
      <c r="B885" s="68" t="s">
        <v>1740</v>
      </c>
      <c r="C885" s="68" t="s">
        <v>2536</v>
      </c>
      <c r="D885" s="68" t="s">
        <v>913</v>
      </c>
      <c r="F885" s="68" t="s">
        <v>3346</v>
      </c>
      <c r="H885" s="122">
        <v>44608</v>
      </c>
      <c r="I885" s="68" t="s">
        <v>3489</v>
      </c>
      <c r="J885" s="68">
        <v>1023.6</v>
      </c>
      <c r="K885" s="68" t="s">
        <v>3684</v>
      </c>
    </row>
    <row r="886" spans="1:11" x14ac:dyDescent="0.25">
      <c r="A886" s="68" t="s">
        <v>914</v>
      </c>
      <c r="B886" s="68" t="s">
        <v>1741</v>
      </c>
      <c r="C886" s="68" t="s">
        <v>2537</v>
      </c>
      <c r="D886" s="68" t="s">
        <v>914</v>
      </c>
      <c r="F886" s="68" t="s">
        <v>3343</v>
      </c>
      <c r="H886" s="122">
        <v>44607</v>
      </c>
      <c r="I886" s="68" t="s">
        <v>3464</v>
      </c>
      <c r="J886" s="68">
        <v>135.6</v>
      </c>
      <c r="K886" s="68" t="s">
        <v>3684</v>
      </c>
    </row>
    <row r="887" spans="1:11" x14ac:dyDescent="0.25">
      <c r="A887" s="68" t="s">
        <v>915</v>
      </c>
      <c r="B887" s="68" t="s">
        <v>1742</v>
      </c>
      <c r="C887" s="68" t="s">
        <v>2538</v>
      </c>
      <c r="D887" s="68" t="s">
        <v>915</v>
      </c>
      <c r="F887" s="68" t="s">
        <v>3343</v>
      </c>
      <c r="H887" s="122">
        <v>44603</v>
      </c>
      <c r="I887" s="68" t="s">
        <v>3441</v>
      </c>
      <c r="J887" s="68">
        <v>360</v>
      </c>
      <c r="K887" s="68" t="s">
        <v>3684</v>
      </c>
    </row>
    <row r="888" spans="1:11" x14ac:dyDescent="0.25">
      <c r="A888" s="68" t="s">
        <v>916</v>
      </c>
      <c r="B888" s="68" t="s">
        <v>1743</v>
      </c>
      <c r="C888" s="68" t="s">
        <v>2539</v>
      </c>
      <c r="D888" s="68" t="s">
        <v>916</v>
      </c>
      <c r="F888" s="68" t="s">
        <v>3347</v>
      </c>
      <c r="H888" s="122">
        <v>44601</v>
      </c>
      <c r="I888" s="68" t="s">
        <v>3487</v>
      </c>
      <c r="J888" s="68">
        <v>152.4</v>
      </c>
      <c r="K888" s="68" t="s">
        <v>3684</v>
      </c>
    </row>
    <row r="889" spans="1:11" x14ac:dyDescent="0.25">
      <c r="A889" s="68" t="s">
        <v>915</v>
      </c>
      <c r="B889" s="68" t="s">
        <v>1742</v>
      </c>
      <c r="C889" s="68" t="s">
        <v>2538</v>
      </c>
      <c r="D889" s="68" t="s">
        <v>915</v>
      </c>
      <c r="F889" s="68" t="s">
        <v>3343</v>
      </c>
      <c r="H889" s="122">
        <v>44601</v>
      </c>
      <c r="I889" s="68" t="s">
        <v>3487</v>
      </c>
      <c r="J889" s="68">
        <v>152.4</v>
      </c>
      <c r="K889" s="68" t="s">
        <v>3684</v>
      </c>
    </row>
    <row r="890" spans="1:11" x14ac:dyDescent="0.25">
      <c r="A890" s="68" t="s">
        <v>917</v>
      </c>
      <c r="B890" s="68" t="s">
        <v>1744</v>
      </c>
      <c r="C890" s="68" t="s">
        <v>2540</v>
      </c>
      <c r="D890" s="68" t="s">
        <v>917</v>
      </c>
      <c r="F890" s="68" t="s">
        <v>3343</v>
      </c>
      <c r="H890" s="122">
        <v>44593</v>
      </c>
      <c r="I890" s="68" t="s">
        <v>3463</v>
      </c>
      <c r="J890" s="68">
        <v>61.2</v>
      </c>
      <c r="K890" s="68" t="s">
        <v>3684</v>
      </c>
    </row>
    <row r="891" spans="1:11" x14ac:dyDescent="0.25">
      <c r="A891" s="68" t="s">
        <v>918</v>
      </c>
      <c r="B891" s="68" t="s">
        <v>1745</v>
      </c>
      <c r="C891" s="68" t="s">
        <v>1959</v>
      </c>
      <c r="D891" s="68" t="s">
        <v>918</v>
      </c>
      <c r="F891" s="68" t="s">
        <v>3348</v>
      </c>
      <c r="H891" s="122">
        <v>44590</v>
      </c>
      <c r="I891" s="68" t="s">
        <v>3612</v>
      </c>
      <c r="J891" s="68">
        <v>529.20000000000005</v>
      </c>
      <c r="K891" s="68" t="s">
        <v>3684</v>
      </c>
    </row>
    <row r="892" spans="1:11" x14ac:dyDescent="0.25">
      <c r="A892" s="68" t="s">
        <v>919</v>
      </c>
      <c r="B892" s="68" t="s">
        <v>1746</v>
      </c>
      <c r="C892" s="68" t="s">
        <v>2541</v>
      </c>
      <c r="D892" s="68" t="s">
        <v>919</v>
      </c>
      <c r="F892" s="68" t="s">
        <v>3349</v>
      </c>
      <c r="H892" s="122">
        <v>44590</v>
      </c>
      <c r="I892" s="68" t="s">
        <v>3463</v>
      </c>
      <c r="J892" s="68">
        <v>3014</v>
      </c>
      <c r="K892" s="68" t="s">
        <v>3684</v>
      </c>
    </row>
    <row r="893" spans="1:11" x14ac:dyDescent="0.25">
      <c r="A893" s="68" t="s">
        <v>920</v>
      </c>
      <c r="B893" s="68" t="s">
        <v>1747</v>
      </c>
      <c r="C893" s="68" t="s">
        <v>2542</v>
      </c>
      <c r="D893" s="68" t="s">
        <v>920</v>
      </c>
      <c r="F893" s="68" t="s">
        <v>3346</v>
      </c>
      <c r="H893" s="122">
        <v>44589</v>
      </c>
      <c r="I893" s="68" t="s">
        <v>3613</v>
      </c>
      <c r="J893" s="68">
        <v>648</v>
      </c>
      <c r="K893" s="68" t="s">
        <v>3684</v>
      </c>
    </row>
    <row r="894" spans="1:11" x14ac:dyDescent="0.25">
      <c r="A894" s="68" t="s">
        <v>921</v>
      </c>
      <c r="B894" s="68" t="s">
        <v>1748</v>
      </c>
      <c r="C894" s="68" t="s">
        <v>2543</v>
      </c>
      <c r="D894" s="68" t="s">
        <v>921</v>
      </c>
      <c r="F894" s="68" t="s">
        <v>3343</v>
      </c>
      <c r="H894" s="122">
        <v>44586</v>
      </c>
      <c r="I894" s="68" t="s">
        <v>3614</v>
      </c>
      <c r="J894" s="68">
        <v>296.39999999999998</v>
      </c>
      <c r="K894" s="68" t="s">
        <v>3684</v>
      </c>
    </row>
    <row r="895" spans="1:11" x14ac:dyDescent="0.25">
      <c r="A895" s="68" t="s">
        <v>922</v>
      </c>
      <c r="B895" s="68" t="s">
        <v>1749</v>
      </c>
      <c r="C895" s="68" t="s">
        <v>2544</v>
      </c>
      <c r="D895" s="68" t="s">
        <v>922</v>
      </c>
      <c r="F895" s="68" t="s">
        <v>3350</v>
      </c>
      <c r="H895" s="122">
        <v>44583</v>
      </c>
      <c r="I895" s="68" t="s">
        <v>3614</v>
      </c>
      <c r="J895" s="68">
        <v>152.4</v>
      </c>
      <c r="K895" s="68" t="s">
        <v>3684</v>
      </c>
    </row>
    <row r="896" spans="1:11" x14ac:dyDescent="0.25">
      <c r="A896" s="68" t="s">
        <v>918</v>
      </c>
      <c r="B896" s="68" t="s">
        <v>1745</v>
      </c>
      <c r="C896" s="68" t="s">
        <v>1959</v>
      </c>
      <c r="D896" s="68" t="s">
        <v>918</v>
      </c>
      <c r="F896" s="68" t="s">
        <v>3348</v>
      </c>
      <c r="H896" s="122">
        <v>44586</v>
      </c>
      <c r="I896" s="68" t="s">
        <v>3614</v>
      </c>
      <c r="J896" s="68">
        <v>72</v>
      </c>
      <c r="K896" s="68" t="s">
        <v>3684</v>
      </c>
    </row>
    <row r="897" spans="1:11" x14ac:dyDescent="0.25">
      <c r="A897" s="68" t="s">
        <v>913</v>
      </c>
      <c r="B897" s="68" t="s">
        <v>1740</v>
      </c>
      <c r="C897" s="68" t="s">
        <v>2536</v>
      </c>
      <c r="D897" s="68" t="s">
        <v>913</v>
      </c>
      <c r="F897" s="68" t="s">
        <v>3346</v>
      </c>
      <c r="H897" s="122">
        <v>44586</v>
      </c>
      <c r="I897" s="68" t="s">
        <v>3614</v>
      </c>
      <c r="J897" s="68">
        <v>152.4</v>
      </c>
      <c r="K897" s="68" t="s">
        <v>3684</v>
      </c>
    </row>
    <row r="898" spans="1:11" x14ac:dyDescent="0.25">
      <c r="A898" s="68" t="s">
        <v>923</v>
      </c>
      <c r="B898" s="68" t="s">
        <v>1750</v>
      </c>
      <c r="C898" s="68" t="s">
        <v>2545</v>
      </c>
      <c r="D898" s="68" t="s">
        <v>923</v>
      </c>
      <c r="F898" s="68" t="s">
        <v>3345</v>
      </c>
      <c r="H898" s="122">
        <v>44574</v>
      </c>
      <c r="I898" s="68" t="s">
        <v>3450</v>
      </c>
      <c r="J898" s="68">
        <v>787.2</v>
      </c>
      <c r="K898" s="68" t="s">
        <v>3684</v>
      </c>
    </row>
    <row r="899" spans="1:11" x14ac:dyDescent="0.25">
      <c r="A899" s="68" t="s">
        <v>924</v>
      </c>
      <c r="B899" s="68" t="s">
        <v>1751</v>
      </c>
      <c r="C899" s="68" t="s">
        <v>2546</v>
      </c>
      <c r="D899" s="68" t="s">
        <v>924</v>
      </c>
      <c r="F899" s="68" t="s">
        <v>3351</v>
      </c>
      <c r="H899" s="122">
        <v>44573</v>
      </c>
      <c r="I899" s="68" t="s">
        <v>3451</v>
      </c>
      <c r="J899" s="68">
        <v>1062</v>
      </c>
      <c r="K899" s="68" t="s">
        <v>3684</v>
      </c>
    </row>
    <row r="900" spans="1:11" x14ac:dyDescent="0.25">
      <c r="A900" s="68" t="s">
        <v>925</v>
      </c>
      <c r="B900" s="68" t="s">
        <v>1752</v>
      </c>
      <c r="C900" s="68" t="s">
        <v>2547</v>
      </c>
      <c r="D900" s="68" t="s">
        <v>925</v>
      </c>
      <c r="F900" s="68" t="s">
        <v>3343</v>
      </c>
      <c r="H900" s="122">
        <v>44573</v>
      </c>
      <c r="I900" s="68" t="s">
        <v>3451</v>
      </c>
      <c r="J900" s="68">
        <v>210</v>
      </c>
      <c r="K900" s="68" t="s">
        <v>3684</v>
      </c>
    </row>
    <row r="901" spans="1:11" x14ac:dyDescent="0.25">
      <c r="A901" s="68" t="s">
        <v>926</v>
      </c>
      <c r="B901" s="68" t="s">
        <v>1753</v>
      </c>
      <c r="C901" s="68" t="s">
        <v>2548</v>
      </c>
      <c r="D901" s="68" t="s">
        <v>926</v>
      </c>
      <c r="F901" s="68" t="s">
        <v>3343</v>
      </c>
      <c r="H901" s="122">
        <v>44553</v>
      </c>
      <c r="I901" s="68" t="s">
        <v>3528</v>
      </c>
      <c r="J901" s="68">
        <v>314.39999999999998</v>
      </c>
      <c r="K901" s="68" t="s">
        <v>3684</v>
      </c>
    </row>
    <row r="902" spans="1:11" x14ac:dyDescent="0.25">
      <c r="A902" s="68" t="s">
        <v>924</v>
      </c>
      <c r="B902" s="68" t="s">
        <v>1751</v>
      </c>
      <c r="C902" s="68" t="s">
        <v>2546</v>
      </c>
      <c r="D902" s="68" t="s">
        <v>924</v>
      </c>
      <c r="F902" s="68" t="s">
        <v>3351</v>
      </c>
      <c r="H902" s="122">
        <v>44552</v>
      </c>
      <c r="I902" s="68" t="s">
        <v>3474</v>
      </c>
      <c r="J902" s="68">
        <v>253.2</v>
      </c>
      <c r="K902" s="68" t="s">
        <v>3684</v>
      </c>
    </row>
    <row r="903" spans="1:11" x14ac:dyDescent="0.25">
      <c r="A903" s="68" t="s">
        <v>927</v>
      </c>
      <c r="B903" s="68" t="s">
        <v>1754</v>
      </c>
      <c r="C903" s="68" t="s">
        <v>2549</v>
      </c>
      <c r="D903" s="68" t="s">
        <v>927</v>
      </c>
      <c r="F903" s="68" t="s">
        <v>3352</v>
      </c>
      <c r="H903" s="122">
        <v>44551</v>
      </c>
      <c r="I903" s="68" t="s">
        <v>3615</v>
      </c>
      <c r="J903" s="68">
        <v>61.2</v>
      </c>
      <c r="K903" s="68" t="s">
        <v>3684</v>
      </c>
    </row>
    <row r="904" spans="1:11" x14ac:dyDescent="0.25">
      <c r="A904" s="68" t="s">
        <v>920</v>
      </c>
      <c r="B904" s="68" t="s">
        <v>1747</v>
      </c>
      <c r="C904" s="68" t="s">
        <v>2542</v>
      </c>
      <c r="D904" s="68" t="s">
        <v>920</v>
      </c>
      <c r="F904" s="68" t="s">
        <v>3346</v>
      </c>
      <c r="H904" s="122">
        <v>44548</v>
      </c>
      <c r="I904" s="68" t="s">
        <v>3505</v>
      </c>
      <c r="J904" s="68">
        <v>72</v>
      </c>
      <c r="K904" s="68" t="s">
        <v>3684</v>
      </c>
    </row>
    <row r="905" spans="1:11" x14ac:dyDescent="0.25">
      <c r="A905" s="68" t="s">
        <v>928</v>
      </c>
      <c r="B905" s="68" t="s">
        <v>1755</v>
      </c>
      <c r="C905" s="68" t="s">
        <v>2550</v>
      </c>
      <c r="D905" s="68" t="s">
        <v>928</v>
      </c>
      <c r="F905" s="68" t="s">
        <v>3343</v>
      </c>
      <c r="H905" s="122">
        <v>44548</v>
      </c>
      <c r="I905" s="68" t="s">
        <v>3505</v>
      </c>
      <c r="J905" s="68">
        <v>405.6</v>
      </c>
      <c r="K905" s="68" t="s">
        <v>3684</v>
      </c>
    </row>
    <row r="906" spans="1:11" x14ac:dyDescent="0.25">
      <c r="A906" s="68" t="s">
        <v>929</v>
      </c>
      <c r="B906" s="68" t="s">
        <v>1756</v>
      </c>
      <c r="C906" s="68" t="s">
        <v>2551</v>
      </c>
      <c r="D906" s="68" t="s">
        <v>929</v>
      </c>
      <c r="F906" s="68" t="s">
        <v>3344</v>
      </c>
      <c r="H906" s="122">
        <v>44540</v>
      </c>
      <c r="I906" s="68" t="s">
        <v>3493</v>
      </c>
      <c r="J906" s="68">
        <v>61.2</v>
      </c>
      <c r="K906" s="68" t="s">
        <v>3684</v>
      </c>
    </row>
    <row r="907" spans="1:11" x14ac:dyDescent="0.25">
      <c r="A907" s="68" t="s">
        <v>930</v>
      </c>
      <c r="B907" s="68" t="s">
        <v>1757</v>
      </c>
      <c r="C907" s="68" t="s">
        <v>2552</v>
      </c>
      <c r="D907" s="68" t="s">
        <v>930</v>
      </c>
      <c r="F907" s="68" t="s">
        <v>3343</v>
      </c>
      <c r="H907" s="122">
        <v>44547</v>
      </c>
      <c r="I907" s="68" t="s">
        <v>3529</v>
      </c>
      <c r="J907" s="68">
        <v>1636</v>
      </c>
      <c r="K907" s="68" t="s">
        <v>3684</v>
      </c>
    </row>
    <row r="908" spans="1:11" x14ac:dyDescent="0.25">
      <c r="A908" s="68" t="s">
        <v>931</v>
      </c>
      <c r="B908" s="68" t="s">
        <v>1758</v>
      </c>
      <c r="C908" s="68" t="s">
        <v>2553</v>
      </c>
      <c r="D908" s="68" t="s">
        <v>931</v>
      </c>
      <c r="F908" s="68" t="s">
        <v>3343</v>
      </c>
      <c r="H908" s="122">
        <v>44537</v>
      </c>
      <c r="I908" s="68" t="s">
        <v>3616</v>
      </c>
      <c r="J908" s="68">
        <v>61.2</v>
      </c>
      <c r="K908" s="68" t="s">
        <v>3684</v>
      </c>
    </row>
    <row r="909" spans="1:11" x14ac:dyDescent="0.25">
      <c r="A909" s="68" t="s">
        <v>932</v>
      </c>
      <c r="B909" s="68" t="s">
        <v>1759</v>
      </c>
      <c r="C909" s="68" t="s">
        <v>2554</v>
      </c>
      <c r="D909" s="68" t="s">
        <v>932</v>
      </c>
      <c r="F909" s="68" t="s">
        <v>3343</v>
      </c>
      <c r="H909" s="122">
        <v>44532</v>
      </c>
      <c r="I909" s="68" t="s">
        <v>3532</v>
      </c>
      <c r="J909" s="68">
        <v>314.39999999999998</v>
      </c>
      <c r="K909" s="68" t="s">
        <v>3684</v>
      </c>
    </row>
    <row r="910" spans="1:11" x14ac:dyDescent="0.25">
      <c r="A910" s="68" t="s">
        <v>933</v>
      </c>
      <c r="B910" s="68" t="s">
        <v>1760</v>
      </c>
      <c r="C910" s="68" t="s">
        <v>2555</v>
      </c>
      <c r="D910" s="68" t="s">
        <v>933</v>
      </c>
      <c r="F910" s="68" t="s">
        <v>3343</v>
      </c>
      <c r="H910" s="122">
        <v>44530</v>
      </c>
      <c r="I910" s="68" t="s">
        <v>3507</v>
      </c>
      <c r="J910" s="68">
        <v>61.2</v>
      </c>
      <c r="K910" s="68" t="s">
        <v>3684</v>
      </c>
    </row>
    <row r="911" spans="1:11" x14ac:dyDescent="0.25">
      <c r="A911" s="68" t="s">
        <v>934</v>
      </c>
      <c r="B911" s="68" t="s">
        <v>1761</v>
      </c>
      <c r="C911" s="68" t="s">
        <v>2556</v>
      </c>
      <c r="D911" s="68" t="s">
        <v>934</v>
      </c>
      <c r="F911" s="68" t="s">
        <v>3347</v>
      </c>
      <c r="H911" s="122">
        <v>44529</v>
      </c>
      <c r="I911" s="68" t="s">
        <v>3459</v>
      </c>
      <c r="J911" s="68">
        <v>72</v>
      </c>
      <c r="K911" s="68" t="s">
        <v>3684</v>
      </c>
    </row>
    <row r="912" spans="1:11" x14ac:dyDescent="0.25">
      <c r="A912" s="68" t="s">
        <v>935</v>
      </c>
      <c r="B912" s="68" t="s">
        <v>1762</v>
      </c>
      <c r="C912" s="68" t="s">
        <v>2557</v>
      </c>
      <c r="D912" s="68" t="s">
        <v>935</v>
      </c>
      <c r="F912" s="68" t="s">
        <v>3353</v>
      </c>
      <c r="H912" s="122">
        <v>44513</v>
      </c>
      <c r="I912" s="68" t="s">
        <v>3617</v>
      </c>
      <c r="J912" s="68">
        <v>210</v>
      </c>
      <c r="K912" s="68" t="s">
        <v>3684</v>
      </c>
    </row>
    <row r="913" spans="1:11" x14ac:dyDescent="0.25">
      <c r="A913" s="68" t="s">
        <v>936</v>
      </c>
      <c r="B913" s="68" t="s">
        <v>1763</v>
      </c>
      <c r="C913" s="68" t="s">
        <v>2558</v>
      </c>
      <c r="D913" s="68" t="s">
        <v>936</v>
      </c>
      <c r="F913" s="68" t="s">
        <v>3343</v>
      </c>
      <c r="H913" s="122">
        <v>44512</v>
      </c>
      <c r="I913" s="68" t="s">
        <v>3495</v>
      </c>
      <c r="J913" s="68">
        <v>396</v>
      </c>
      <c r="K913" s="68" t="s">
        <v>3684</v>
      </c>
    </row>
    <row r="914" spans="1:11" x14ac:dyDescent="0.25">
      <c r="A914" s="68" t="s">
        <v>937</v>
      </c>
      <c r="B914" s="68" t="s">
        <v>1764</v>
      </c>
      <c r="C914" s="68" t="s">
        <v>2559</v>
      </c>
      <c r="D914" s="68" t="s">
        <v>937</v>
      </c>
      <c r="F914" s="68" t="s">
        <v>3343</v>
      </c>
      <c r="H914" s="122">
        <v>44511</v>
      </c>
      <c r="I914" s="68" t="s">
        <v>3508</v>
      </c>
      <c r="J914" s="68">
        <v>314.39999999999998</v>
      </c>
      <c r="K914" s="68" t="s">
        <v>3684</v>
      </c>
    </row>
    <row r="915" spans="1:11" x14ac:dyDescent="0.25">
      <c r="A915" s="68" t="s">
        <v>938</v>
      </c>
      <c r="B915" s="68" t="s">
        <v>1765</v>
      </c>
      <c r="C915" s="68" t="s">
        <v>2560</v>
      </c>
      <c r="D915" s="68" t="s">
        <v>938</v>
      </c>
      <c r="F915" s="68" t="s">
        <v>3343</v>
      </c>
      <c r="H915" s="122">
        <v>44501</v>
      </c>
      <c r="I915" s="68" t="s">
        <v>3512</v>
      </c>
      <c r="J915" s="68">
        <v>860.4</v>
      </c>
      <c r="K915" s="68" t="s">
        <v>3684</v>
      </c>
    </row>
    <row r="916" spans="1:11" x14ac:dyDescent="0.25">
      <c r="A916" s="68" t="s">
        <v>936</v>
      </c>
      <c r="B916" s="68" t="s">
        <v>1763</v>
      </c>
      <c r="C916" s="68" t="s">
        <v>2558</v>
      </c>
      <c r="D916" s="68" t="s">
        <v>936</v>
      </c>
      <c r="F916" s="68" t="s">
        <v>3343</v>
      </c>
      <c r="H916" s="122">
        <v>44498</v>
      </c>
      <c r="I916" s="68" t="s">
        <v>3535</v>
      </c>
      <c r="J916" s="68">
        <v>61.2</v>
      </c>
      <c r="K916" s="68" t="s">
        <v>3684</v>
      </c>
    </row>
    <row r="917" spans="1:11" x14ac:dyDescent="0.25">
      <c r="A917" s="68" t="s">
        <v>927</v>
      </c>
      <c r="B917" s="68" t="s">
        <v>1754</v>
      </c>
      <c r="C917" s="68" t="s">
        <v>2549</v>
      </c>
      <c r="D917" s="68" t="s">
        <v>927</v>
      </c>
      <c r="F917" s="68" t="s">
        <v>3352</v>
      </c>
      <c r="H917" s="122">
        <v>44498</v>
      </c>
      <c r="I917" s="68" t="s">
        <v>3535</v>
      </c>
      <c r="J917" s="68">
        <v>180</v>
      </c>
      <c r="K917" s="68" t="s">
        <v>3684</v>
      </c>
    </row>
    <row r="918" spans="1:11" x14ac:dyDescent="0.25">
      <c r="A918" s="68" t="s">
        <v>939</v>
      </c>
      <c r="B918" s="68" t="s">
        <v>1766</v>
      </c>
      <c r="C918" s="68" t="s">
        <v>2561</v>
      </c>
      <c r="D918" s="68" t="s">
        <v>939</v>
      </c>
      <c r="F918" s="68" t="s">
        <v>3343</v>
      </c>
      <c r="H918" s="122">
        <v>44489</v>
      </c>
      <c r="I918" s="68" t="s">
        <v>3603</v>
      </c>
      <c r="J918" s="68">
        <v>290.39999999999998</v>
      </c>
      <c r="K918" s="68" t="s">
        <v>3684</v>
      </c>
    </row>
    <row r="919" spans="1:11" x14ac:dyDescent="0.25">
      <c r="A919" s="68" t="s">
        <v>940</v>
      </c>
      <c r="B919" s="68" t="s">
        <v>1767</v>
      </c>
      <c r="C919" s="68" t="s">
        <v>2562</v>
      </c>
      <c r="D919" s="68" t="s">
        <v>940</v>
      </c>
      <c r="F919" s="68" t="s">
        <v>3343</v>
      </c>
      <c r="H919" s="122">
        <v>44489</v>
      </c>
      <c r="I919" s="68" t="s">
        <v>3603</v>
      </c>
      <c r="J919" s="68">
        <v>463.2</v>
      </c>
      <c r="K919" s="68" t="s">
        <v>3684</v>
      </c>
    </row>
    <row r="920" spans="1:11" x14ac:dyDescent="0.25">
      <c r="A920" s="68" t="s">
        <v>941</v>
      </c>
      <c r="B920" s="68" t="s">
        <v>1768</v>
      </c>
      <c r="C920" s="68" t="s">
        <v>2563</v>
      </c>
      <c r="D920" s="68" t="s">
        <v>941</v>
      </c>
      <c r="F920" s="68" t="s">
        <v>3343</v>
      </c>
      <c r="H920" s="122">
        <v>44482</v>
      </c>
      <c r="I920" s="68" t="s">
        <v>3618</v>
      </c>
      <c r="J920" s="68">
        <v>296.39999999999998</v>
      </c>
      <c r="K920" s="68" t="s">
        <v>3684</v>
      </c>
    </row>
    <row r="921" spans="1:11" x14ac:dyDescent="0.25">
      <c r="A921" s="68" t="s">
        <v>927</v>
      </c>
      <c r="B921" s="68" t="s">
        <v>1754</v>
      </c>
      <c r="C921" s="68" t="s">
        <v>2549</v>
      </c>
      <c r="D921" s="68" t="s">
        <v>927</v>
      </c>
      <c r="F921" s="68" t="s">
        <v>3352</v>
      </c>
      <c r="H921" s="122">
        <v>44478</v>
      </c>
      <c r="I921" s="68" t="s">
        <v>3619</v>
      </c>
      <c r="J921" s="68">
        <v>548.4</v>
      </c>
      <c r="K921" s="68" t="s">
        <v>3684</v>
      </c>
    </row>
    <row r="922" spans="1:11" x14ac:dyDescent="0.25">
      <c r="A922" s="68" t="s">
        <v>942</v>
      </c>
      <c r="B922" s="68" t="s">
        <v>1769</v>
      </c>
      <c r="C922" s="68" t="s">
        <v>2564</v>
      </c>
      <c r="D922" s="68" t="s">
        <v>942</v>
      </c>
      <c r="F922" s="68" t="s">
        <v>3343</v>
      </c>
      <c r="H922" s="122">
        <v>44471</v>
      </c>
      <c r="I922" s="68" t="s">
        <v>3620</v>
      </c>
      <c r="J922" s="68">
        <v>346.8</v>
      </c>
      <c r="K922" s="68" t="s">
        <v>3684</v>
      </c>
    </row>
    <row r="923" spans="1:11" x14ac:dyDescent="0.25">
      <c r="A923" s="68" t="s">
        <v>943</v>
      </c>
      <c r="B923" s="68" t="s">
        <v>1770</v>
      </c>
      <c r="C923" s="68" t="s">
        <v>2565</v>
      </c>
      <c r="D923" s="68" t="s">
        <v>943</v>
      </c>
      <c r="F923" s="68" t="s">
        <v>3354</v>
      </c>
      <c r="H923" s="122">
        <v>44470</v>
      </c>
      <c r="I923" s="68" t="s">
        <v>3621</v>
      </c>
      <c r="J923" s="68">
        <v>613.20000000000005</v>
      </c>
      <c r="K923" s="68" t="s">
        <v>3684</v>
      </c>
    </row>
    <row r="924" spans="1:11" x14ac:dyDescent="0.25">
      <c r="A924" s="68" t="s">
        <v>944</v>
      </c>
      <c r="B924" s="68" t="s">
        <v>1771</v>
      </c>
      <c r="C924" s="68" t="s">
        <v>2566</v>
      </c>
      <c r="D924" s="68" t="s">
        <v>944</v>
      </c>
      <c r="F924" s="68" t="s">
        <v>3355</v>
      </c>
      <c r="H924" s="122">
        <v>44471</v>
      </c>
      <c r="I924" s="68" t="s">
        <v>3444</v>
      </c>
      <c r="J924" s="68">
        <v>123.6</v>
      </c>
      <c r="K924" s="68" t="s">
        <v>3684</v>
      </c>
    </row>
    <row r="925" spans="1:11" x14ac:dyDescent="0.25">
      <c r="A925" s="68" t="s">
        <v>945</v>
      </c>
      <c r="B925" s="68" t="s">
        <v>1772</v>
      </c>
      <c r="C925" s="68" t="s">
        <v>2567</v>
      </c>
      <c r="D925" s="68" t="s">
        <v>945</v>
      </c>
      <c r="F925" s="68" t="s">
        <v>3343</v>
      </c>
      <c r="H925" s="122">
        <v>44467</v>
      </c>
      <c r="I925" s="68" t="s">
        <v>3622</v>
      </c>
      <c r="J925" s="68">
        <v>332.4</v>
      </c>
      <c r="K925" s="68" t="s">
        <v>3684</v>
      </c>
    </row>
    <row r="926" spans="1:11" x14ac:dyDescent="0.25">
      <c r="A926" s="68" t="s">
        <v>946</v>
      </c>
      <c r="B926" s="68" t="s">
        <v>1773</v>
      </c>
      <c r="C926" s="68" t="s">
        <v>2568</v>
      </c>
      <c r="D926" s="68" t="s">
        <v>946</v>
      </c>
      <c r="F926" s="68" t="s">
        <v>3356</v>
      </c>
      <c r="H926" s="122">
        <v>44461</v>
      </c>
      <c r="I926" s="68" t="s">
        <v>3458</v>
      </c>
      <c r="J926" s="68">
        <v>1412.4</v>
      </c>
      <c r="K926" s="68" t="s">
        <v>3684</v>
      </c>
    </row>
    <row r="927" spans="1:11" x14ac:dyDescent="0.25">
      <c r="A927" s="68" t="s">
        <v>947</v>
      </c>
      <c r="B927" s="68" t="s">
        <v>1774</v>
      </c>
      <c r="C927" s="68" t="s">
        <v>2569</v>
      </c>
      <c r="D927" s="68" t="s">
        <v>947</v>
      </c>
      <c r="F927" s="68" t="s">
        <v>3343</v>
      </c>
      <c r="H927" s="122">
        <v>44460</v>
      </c>
      <c r="I927" s="68" t="s">
        <v>3467</v>
      </c>
      <c r="J927" s="68">
        <v>644.4</v>
      </c>
      <c r="K927" s="68" t="s">
        <v>3684</v>
      </c>
    </row>
    <row r="928" spans="1:11" x14ac:dyDescent="0.25">
      <c r="A928" s="68" t="s">
        <v>938</v>
      </c>
      <c r="B928" s="68" t="s">
        <v>1765</v>
      </c>
      <c r="C928" s="68" t="s">
        <v>2560</v>
      </c>
      <c r="D928" s="68" t="s">
        <v>938</v>
      </c>
      <c r="F928" s="68" t="s">
        <v>3343</v>
      </c>
      <c r="H928" s="122">
        <v>44457</v>
      </c>
      <c r="I928" s="68" t="s">
        <v>3544</v>
      </c>
      <c r="J928" s="68">
        <v>210</v>
      </c>
      <c r="K928" s="68" t="s">
        <v>3684</v>
      </c>
    </row>
    <row r="929" spans="1:11" x14ac:dyDescent="0.25">
      <c r="A929" s="68" t="s">
        <v>947</v>
      </c>
      <c r="B929" s="68" t="s">
        <v>1774</v>
      </c>
      <c r="C929" s="68" t="s">
        <v>2569</v>
      </c>
      <c r="D929" s="68" t="s">
        <v>947</v>
      </c>
      <c r="F929" s="68" t="s">
        <v>3343</v>
      </c>
      <c r="H929" s="122">
        <v>44453</v>
      </c>
      <c r="I929" s="68" t="s">
        <v>3623</v>
      </c>
      <c r="J929" s="68">
        <v>210</v>
      </c>
      <c r="K929" s="68" t="s">
        <v>3684</v>
      </c>
    </row>
    <row r="930" spans="1:11" x14ac:dyDescent="0.25">
      <c r="A930" s="68" t="s">
        <v>946</v>
      </c>
      <c r="B930" s="68" t="s">
        <v>1773</v>
      </c>
      <c r="C930" s="68" t="s">
        <v>2568</v>
      </c>
      <c r="D930" s="68" t="s">
        <v>946</v>
      </c>
      <c r="F930" s="68" t="s">
        <v>3356</v>
      </c>
      <c r="H930" s="122">
        <v>44426</v>
      </c>
      <c r="I930" s="68" t="s">
        <v>3624</v>
      </c>
      <c r="J930" s="68">
        <v>72</v>
      </c>
      <c r="K930" s="68" t="s">
        <v>3684</v>
      </c>
    </row>
    <row r="931" spans="1:11" x14ac:dyDescent="0.25">
      <c r="A931" s="68" t="s">
        <v>948</v>
      </c>
      <c r="B931" s="68" t="s">
        <v>1775</v>
      </c>
      <c r="C931" s="68" t="s">
        <v>2570</v>
      </c>
      <c r="D931" s="68" t="s">
        <v>948</v>
      </c>
      <c r="F931" s="68" t="s">
        <v>3343</v>
      </c>
      <c r="H931" s="122">
        <v>44420</v>
      </c>
      <c r="I931" s="68" t="s">
        <v>3625</v>
      </c>
      <c r="J931" s="68">
        <v>552</v>
      </c>
      <c r="K931" s="68" t="s">
        <v>3684</v>
      </c>
    </row>
    <row r="932" spans="1:11" x14ac:dyDescent="0.25">
      <c r="A932" s="68" t="s">
        <v>920</v>
      </c>
      <c r="B932" s="68" t="s">
        <v>1747</v>
      </c>
      <c r="C932" s="68" t="s">
        <v>2542</v>
      </c>
      <c r="D932" s="68" t="s">
        <v>920</v>
      </c>
      <c r="F932" s="68" t="s">
        <v>3346</v>
      </c>
      <c r="H932" s="122">
        <v>44412</v>
      </c>
      <c r="I932" s="68" t="s">
        <v>3626</v>
      </c>
      <c r="J932" s="68">
        <v>199.2</v>
      </c>
      <c r="K932" s="68" t="s">
        <v>3684</v>
      </c>
    </row>
    <row r="933" spans="1:11" x14ac:dyDescent="0.25">
      <c r="A933" s="68" t="s">
        <v>949</v>
      </c>
      <c r="B933" s="68" t="s">
        <v>1776</v>
      </c>
      <c r="C933" s="68" t="s">
        <v>2571</v>
      </c>
      <c r="D933" s="68" t="s">
        <v>949</v>
      </c>
      <c r="F933" s="68" t="s">
        <v>3343</v>
      </c>
      <c r="H933" s="122">
        <v>44407</v>
      </c>
      <c r="I933" s="68" t="s">
        <v>3627</v>
      </c>
      <c r="J933" s="68">
        <v>199.2</v>
      </c>
      <c r="K933" s="68" t="s">
        <v>3684</v>
      </c>
    </row>
    <row r="934" spans="1:11" x14ac:dyDescent="0.25">
      <c r="A934" s="68" t="s">
        <v>950</v>
      </c>
      <c r="B934" s="68" t="s">
        <v>1777</v>
      </c>
      <c r="C934" s="68" t="s">
        <v>2572</v>
      </c>
      <c r="D934" s="68" t="s">
        <v>950</v>
      </c>
      <c r="F934" s="68" t="s">
        <v>3343</v>
      </c>
      <c r="H934" s="122">
        <v>44334</v>
      </c>
      <c r="I934" s="68" t="s">
        <v>3558</v>
      </c>
      <c r="J934" s="68">
        <v>250.8</v>
      </c>
      <c r="K934" s="68" t="s">
        <v>3684</v>
      </c>
    </row>
    <row r="935" spans="1:11" x14ac:dyDescent="0.25">
      <c r="A935" s="68" t="s">
        <v>951</v>
      </c>
      <c r="B935" s="68" t="s">
        <v>1778</v>
      </c>
      <c r="C935" s="68" t="s">
        <v>2573</v>
      </c>
      <c r="D935" s="68" t="s">
        <v>951</v>
      </c>
      <c r="F935" s="68" t="s">
        <v>3343</v>
      </c>
      <c r="H935" s="122">
        <v>44333</v>
      </c>
      <c r="I935" s="68" t="s">
        <v>3628</v>
      </c>
      <c r="J935" s="68">
        <v>480</v>
      </c>
      <c r="K935" s="68" t="s">
        <v>3684</v>
      </c>
    </row>
    <row r="936" spans="1:11" x14ac:dyDescent="0.25">
      <c r="A936" s="68" t="s">
        <v>952</v>
      </c>
      <c r="B936" s="68" t="s">
        <v>1779</v>
      </c>
      <c r="C936" s="68" t="s">
        <v>2574</v>
      </c>
      <c r="D936" s="68" t="s">
        <v>952</v>
      </c>
      <c r="F936" s="68" t="s">
        <v>3343</v>
      </c>
      <c r="H936" s="122">
        <v>44327</v>
      </c>
      <c r="I936" s="68" t="s">
        <v>3470</v>
      </c>
      <c r="J936" s="68">
        <v>425.6</v>
      </c>
      <c r="K936" s="68" t="s">
        <v>3684</v>
      </c>
    </row>
    <row r="937" spans="1:11" x14ac:dyDescent="0.25">
      <c r="A937" s="68" t="s">
        <v>953</v>
      </c>
      <c r="B937" s="68" t="s">
        <v>1780</v>
      </c>
      <c r="C937" s="68" t="s">
        <v>2575</v>
      </c>
      <c r="D937" s="68" t="s">
        <v>953</v>
      </c>
      <c r="F937" s="68" t="s">
        <v>3343</v>
      </c>
      <c r="H937" s="122">
        <v>44327</v>
      </c>
      <c r="I937" s="68" t="s">
        <v>3470</v>
      </c>
      <c r="J937" s="68">
        <v>186</v>
      </c>
      <c r="K937" s="68" t="s">
        <v>3684</v>
      </c>
    </row>
    <row r="938" spans="1:11" x14ac:dyDescent="0.25">
      <c r="A938" s="68" t="s">
        <v>919</v>
      </c>
      <c r="B938" s="68" t="s">
        <v>1746</v>
      </c>
      <c r="C938" s="68" t="s">
        <v>2541</v>
      </c>
      <c r="D938" s="68" t="s">
        <v>919</v>
      </c>
      <c r="F938" s="68" t="s">
        <v>3349</v>
      </c>
      <c r="H938" s="122">
        <v>44327</v>
      </c>
      <c r="I938" s="68" t="s">
        <v>3470</v>
      </c>
      <c r="J938" s="68">
        <v>61.2</v>
      </c>
      <c r="K938" s="68" t="s">
        <v>3684</v>
      </c>
    </row>
    <row r="939" spans="1:11" x14ac:dyDescent="0.25">
      <c r="A939" s="68" t="s">
        <v>954</v>
      </c>
      <c r="B939" s="68" t="s">
        <v>1781</v>
      </c>
      <c r="C939" s="68" t="s">
        <v>2576</v>
      </c>
      <c r="D939" s="68" t="s">
        <v>954</v>
      </c>
      <c r="F939" s="68" t="s">
        <v>3343</v>
      </c>
      <c r="H939" s="122">
        <v>44319</v>
      </c>
      <c r="I939" s="68" t="s">
        <v>3559</v>
      </c>
      <c r="J939" s="68">
        <v>414</v>
      </c>
      <c r="K939" s="68" t="s">
        <v>3684</v>
      </c>
    </row>
    <row r="940" spans="1:11" x14ac:dyDescent="0.25">
      <c r="A940" s="68" t="s">
        <v>950</v>
      </c>
      <c r="B940" s="68" t="s">
        <v>1777</v>
      </c>
      <c r="C940" s="68" t="s">
        <v>2572</v>
      </c>
      <c r="D940" s="68" t="s">
        <v>950</v>
      </c>
      <c r="F940" s="68" t="s">
        <v>3343</v>
      </c>
      <c r="H940" s="122">
        <v>44319</v>
      </c>
      <c r="I940" s="68" t="s">
        <v>3559</v>
      </c>
      <c r="J940" s="68">
        <v>138</v>
      </c>
      <c r="K940" s="68" t="s">
        <v>3684</v>
      </c>
    </row>
    <row r="941" spans="1:11" x14ac:dyDescent="0.25">
      <c r="A941" s="68" t="s">
        <v>955</v>
      </c>
      <c r="B941" s="68" t="s">
        <v>1782</v>
      </c>
      <c r="C941" s="68" t="s">
        <v>2577</v>
      </c>
      <c r="D941" s="68" t="s">
        <v>955</v>
      </c>
      <c r="F941" s="68" t="s">
        <v>3343</v>
      </c>
      <c r="H941" s="122">
        <v>44313</v>
      </c>
      <c r="I941" s="68" t="s">
        <v>3629</v>
      </c>
      <c r="J941" s="68">
        <v>199.2</v>
      </c>
      <c r="K941" s="68" t="s">
        <v>3684</v>
      </c>
    </row>
    <row r="942" spans="1:11" x14ac:dyDescent="0.25">
      <c r="A942" s="68" t="s">
        <v>931</v>
      </c>
      <c r="B942" s="68" t="s">
        <v>1758</v>
      </c>
      <c r="C942" s="68" t="s">
        <v>2553</v>
      </c>
      <c r="D942" s="68" t="s">
        <v>931</v>
      </c>
      <c r="F942" s="68" t="s">
        <v>3343</v>
      </c>
      <c r="H942" s="122">
        <v>44313</v>
      </c>
      <c r="I942" s="68" t="s">
        <v>3629</v>
      </c>
      <c r="J942" s="68">
        <v>261.60000000000002</v>
      </c>
      <c r="K942" s="68" t="s">
        <v>3684</v>
      </c>
    </row>
    <row r="943" spans="1:11" x14ac:dyDescent="0.25">
      <c r="A943" s="68" t="s">
        <v>950</v>
      </c>
      <c r="B943" s="68" t="s">
        <v>1777</v>
      </c>
      <c r="C943" s="68" t="s">
        <v>2572</v>
      </c>
      <c r="D943" s="68" t="s">
        <v>950</v>
      </c>
      <c r="F943" s="68" t="s">
        <v>3343</v>
      </c>
      <c r="H943" s="122">
        <v>44310</v>
      </c>
      <c r="I943" s="68" t="s">
        <v>3630</v>
      </c>
      <c r="J943" s="68">
        <v>88.8</v>
      </c>
      <c r="K943" s="68" t="s">
        <v>3684</v>
      </c>
    </row>
    <row r="944" spans="1:11" x14ac:dyDescent="0.25">
      <c r="A944" s="68" t="s">
        <v>951</v>
      </c>
      <c r="B944" s="68" t="s">
        <v>1778</v>
      </c>
      <c r="C944" s="68" t="s">
        <v>2573</v>
      </c>
      <c r="D944" s="68" t="s">
        <v>951</v>
      </c>
      <c r="F944" s="68" t="s">
        <v>3343</v>
      </c>
      <c r="H944" s="122">
        <v>44305</v>
      </c>
      <c r="I944" s="68" t="s">
        <v>3561</v>
      </c>
      <c r="J944" s="68">
        <v>552</v>
      </c>
      <c r="K944" s="68" t="s">
        <v>3684</v>
      </c>
    </row>
    <row r="945" spans="1:12" x14ac:dyDescent="0.25">
      <c r="A945" s="68" t="s">
        <v>956</v>
      </c>
      <c r="B945" s="68" t="s">
        <v>1783</v>
      </c>
      <c r="C945" s="68" t="s">
        <v>2578</v>
      </c>
      <c r="D945" s="68" t="s">
        <v>956</v>
      </c>
      <c r="F945" s="68" t="s">
        <v>3343</v>
      </c>
      <c r="H945" s="122">
        <v>44293</v>
      </c>
      <c r="I945" s="68" t="s">
        <v>3631</v>
      </c>
      <c r="J945" s="68">
        <v>72</v>
      </c>
      <c r="K945" s="68" t="s">
        <v>3684</v>
      </c>
    </row>
    <row r="946" spans="1:12" x14ac:dyDescent="0.25">
      <c r="A946" s="68" t="s">
        <v>957</v>
      </c>
      <c r="B946" s="68" t="s">
        <v>1784</v>
      </c>
      <c r="C946" s="68" t="s">
        <v>2579</v>
      </c>
      <c r="D946" s="68" t="s">
        <v>957</v>
      </c>
      <c r="F946" s="68" t="s">
        <v>3357</v>
      </c>
      <c r="H946" s="122">
        <v>44286</v>
      </c>
      <c r="I946" s="68" t="s">
        <v>3632</v>
      </c>
      <c r="J946" s="68">
        <v>61.2</v>
      </c>
      <c r="K946" s="68" t="s">
        <v>3684</v>
      </c>
    </row>
    <row r="947" spans="1:12" x14ac:dyDescent="0.25">
      <c r="A947" s="68" t="s">
        <v>958</v>
      </c>
      <c r="B947" s="68" t="s">
        <v>1785</v>
      </c>
      <c r="C947" s="68" t="s">
        <v>2580</v>
      </c>
      <c r="D947" s="68" t="s">
        <v>958</v>
      </c>
      <c r="F947" s="68" t="s">
        <v>3358</v>
      </c>
      <c r="H947" s="122">
        <v>44652</v>
      </c>
      <c r="I947" s="68" t="s">
        <v>3478</v>
      </c>
      <c r="J947" s="68">
        <v>430.4</v>
      </c>
      <c r="K947" s="68" t="s">
        <v>3685</v>
      </c>
      <c r="L947" s="68" t="s">
        <v>3686</v>
      </c>
    </row>
    <row r="948" spans="1:12" x14ac:dyDescent="0.25">
      <c r="A948" s="68" t="s">
        <v>959</v>
      </c>
      <c r="B948" s="68" t="s">
        <v>1786</v>
      </c>
      <c r="C948" s="68" t="s">
        <v>2581</v>
      </c>
      <c r="D948" s="68" t="s">
        <v>959</v>
      </c>
      <c r="F948" s="68" t="s">
        <v>3359</v>
      </c>
      <c r="H948" s="122">
        <v>44532</v>
      </c>
      <c r="I948" s="68" t="s">
        <v>3449</v>
      </c>
      <c r="J948" s="68">
        <v>1062</v>
      </c>
      <c r="K948" s="68" t="s">
        <v>3687</v>
      </c>
      <c r="L948" s="68" t="s">
        <v>3688</v>
      </c>
    </row>
    <row r="949" spans="1:12" x14ac:dyDescent="0.25">
      <c r="A949" s="68" t="s">
        <v>960</v>
      </c>
      <c r="B949" s="68" t="s">
        <v>1787</v>
      </c>
      <c r="C949" s="68" t="s">
        <v>2582</v>
      </c>
      <c r="D949" s="68" t="s">
        <v>960</v>
      </c>
      <c r="F949" s="68" t="s">
        <v>3360</v>
      </c>
      <c r="H949" s="122">
        <v>44589</v>
      </c>
      <c r="I949" s="68" t="s">
        <v>3612</v>
      </c>
      <c r="J949" s="68">
        <v>138</v>
      </c>
      <c r="K949" s="68" t="s">
        <v>3687</v>
      </c>
      <c r="L949" s="68" t="s">
        <v>3688</v>
      </c>
    </row>
    <row r="950" spans="1:12" x14ac:dyDescent="0.25">
      <c r="A950" s="68" t="s">
        <v>960</v>
      </c>
      <c r="B950" s="68" t="s">
        <v>1787</v>
      </c>
      <c r="C950" s="68" t="s">
        <v>2582</v>
      </c>
      <c r="D950" s="68" t="s">
        <v>960</v>
      </c>
      <c r="F950" s="68" t="s">
        <v>3360</v>
      </c>
      <c r="H950" s="122">
        <v>44586</v>
      </c>
      <c r="I950" s="68" t="s">
        <v>3614</v>
      </c>
      <c r="J950" s="68">
        <v>138</v>
      </c>
      <c r="K950" s="68" t="s">
        <v>3687</v>
      </c>
      <c r="L950" s="68" t="s">
        <v>3688</v>
      </c>
    </row>
    <row r="951" spans="1:12" x14ac:dyDescent="0.25">
      <c r="A951" s="68" t="s">
        <v>960</v>
      </c>
      <c r="B951" s="68" t="s">
        <v>1787</v>
      </c>
      <c r="C951" s="68" t="s">
        <v>2582</v>
      </c>
      <c r="D951" s="68" t="s">
        <v>960</v>
      </c>
      <c r="F951" s="68" t="s">
        <v>3360</v>
      </c>
      <c r="H951" s="122">
        <v>44575</v>
      </c>
      <c r="I951" s="68" t="s">
        <v>3450</v>
      </c>
      <c r="J951" s="68">
        <v>138</v>
      </c>
      <c r="K951" s="68" t="s">
        <v>3687</v>
      </c>
      <c r="L951" s="68" t="s">
        <v>3688</v>
      </c>
    </row>
    <row r="952" spans="1:12" x14ac:dyDescent="0.25">
      <c r="A952" s="68" t="s">
        <v>960</v>
      </c>
      <c r="B952" s="68" t="s">
        <v>1787</v>
      </c>
      <c r="C952" s="68" t="s">
        <v>2582</v>
      </c>
      <c r="D952" s="68" t="s">
        <v>960</v>
      </c>
      <c r="F952" s="68" t="s">
        <v>3360</v>
      </c>
      <c r="H952" s="122">
        <v>44561</v>
      </c>
      <c r="I952" s="68" t="s">
        <v>3491</v>
      </c>
      <c r="J952" s="68">
        <v>226.8</v>
      </c>
      <c r="K952" s="68" t="s">
        <v>3687</v>
      </c>
      <c r="L952" s="68" t="s">
        <v>3688</v>
      </c>
    </row>
    <row r="953" spans="1:12" x14ac:dyDescent="0.25">
      <c r="A953" s="68" t="s">
        <v>961</v>
      </c>
      <c r="B953" s="68" t="s">
        <v>1788</v>
      </c>
      <c r="C953" s="68" t="s">
        <v>2583</v>
      </c>
      <c r="D953" s="68" t="s">
        <v>961</v>
      </c>
      <c r="F953" s="68" t="s">
        <v>3361</v>
      </c>
      <c r="H953" s="122">
        <v>44302</v>
      </c>
      <c r="I953" s="68" t="s">
        <v>3474</v>
      </c>
      <c r="J953" s="68">
        <v>2124</v>
      </c>
      <c r="K953" s="68" t="s">
        <v>3687</v>
      </c>
      <c r="L953" s="68" t="s">
        <v>3688</v>
      </c>
    </row>
    <row r="954" spans="1:12" x14ac:dyDescent="0.25">
      <c r="A954" s="68" t="s">
        <v>962</v>
      </c>
      <c r="B954" s="68" t="s">
        <v>1789</v>
      </c>
      <c r="C954" s="68" t="s">
        <v>2584</v>
      </c>
      <c r="D954" s="68" t="s">
        <v>962</v>
      </c>
      <c r="F954" s="68" t="s">
        <v>3362</v>
      </c>
      <c r="H954" s="122">
        <v>44652</v>
      </c>
      <c r="I954" s="68" t="s">
        <v>3478</v>
      </c>
      <c r="J954" s="68">
        <v>480</v>
      </c>
      <c r="K954" s="68" t="s">
        <v>3689</v>
      </c>
      <c r="L954" s="68" t="s">
        <v>3690</v>
      </c>
    </row>
    <row r="955" spans="1:12" x14ac:dyDescent="0.25">
      <c r="A955" s="68" t="s">
        <v>963</v>
      </c>
      <c r="B955" s="68" t="s">
        <v>1790</v>
      </c>
      <c r="C955" s="68" t="s">
        <v>2585</v>
      </c>
      <c r="D955" s="68" t="s">
        <v>963</v>
      </c>
      <c r="F955" s="68" t="s">
        <v>3363</v>
      </c>
      <c r="H955" s="122">
        <v>44652</v>
      </c>
      <c r="I955" s="68" t="s">
        <v>3478</v>
      </c>
      <c r="J955" s="68">
        <v>258.8</v>
      </c>
      <c r="K955" s="68" t="s">
        <v>3689</v>
      </c>
      <c r="L955" s="68" t="s">
        <v>3690</v>
      </c>
    </row>
    <row r="956" spans="1:12" x14ac:dyDescent="0.25">
      <c r="A956" s="68" t="s">
        <v>964</v>
      </c>
      <c r="B956" s="68" t="s">
        <v>1791</v>
      </c>
      <c r="C956" s="68" t="s">
        <v>2586</v>
      </c>
      <c r="D956" s="68" t="s">
        <v>964</v>
      </c>
      <c r="F956" s="68" t="s">
        <v>3364</v>
      </c>
      <c r="H956" s="122">
        <v>44649</v>
      </c>
      <c r="I956" s="68" t="s">
        <v>3479</v>
      </c>
      <c r="J956" s="68">
        <v>230</v>
      </c>
      <c r="K956" s="68" t="s">
        <v>3689</v>
      </c>
      <c r="L956" s="68" t="s">
        <v>3690</v>
      </c>
    </row>
    <row r="957" spans="1:12" x14ac:dyDescent="0.25">
      <c r="A957" s="68" t="s">
        <v>962</v>
      </c>
      <c r="B957" s="68" t="s">
        <v>1789</v>
      </c>
      <c r="C957" s="68" t="s">
        <v>2584</v>
      </c>
      <c r="D957" s="68" t="s">
        <v>962</v>
      </c>
      <c r="F957" s="68" t="s">
        <v>3362</v>
      </c>
      <c r="H957" s="122">
        <v>44643</v>
      </c>
      <c r="I957" s="68" t="s">
        <v>3437</v>
      </c>
      <c r="J957" s="68">
        <v>272.39999999999998</v>
      </c>
      <c r="K957" s="68" t="s">
        <v>3689</v>
      </c>
      <c r="L957" s="68" t="s">
        <v>3690</v>
      </c>
    </row>
    <row r="958" spans="1:12" x14ac:dyDescent="0.25">
      <c r="A958" s="68" t="s">
        <v>965</v>
      </c>
      <c r="B958" s="68" t="s">
        <v>1792</v>
      </c>
      <c r="C958" s="68" t="s">
        <v>2587</v>
      </c>
      <c r="D958" s="68" t="s">
        <v>965</v>
      </c>
      <c r="F958" s="68" t="s">
        <v>3365</v>
      </c>
      <c r="H958" s="122">
        <v>44638</v>
      </c>
      <c r="I958" s="68" t="s">
        <v>3442</v>
      </c>
      <c r="J958" s="68">
        <v>258.8</v>
      </c>
      <c r="K958" s="68" t="s">
        <v>3689</v>
      </c>
      <c r="L958" s="68" t="s">
        <v>3690</v>
      </c>
    </row>
    <row r="959" spans="1:12" x14ac:dyDescent="0.25">
      <c r="A959" s="68" t="s">
        <v>966</v>
      </c>
      <c r="B959" s="68" t="s">
        <v>1793</v>
      </c>
      <c r="C959" s="68" t="s">
        <v>2588</v>
      </c>
      <c r="D959" s="68" t="s">
        <v>966</v>
      </c>
      <c r="F959" s="68" t="s">
        <v>3366</v>
      </c>
      <c r="H959" s="122">
        <v>44326</v>
      </c>
      <c r="I959" s="68" t="s">
        <v>3449</v>
      </c>
      <c r="J959" s="68">
        <v>61.2</v>
      </c>
      <c r="K959" s="68" t="s">
        <v>3689</v>
      </c>
      <c r="L959" s="68" t="s">
        <v>3690</v>
      </c>
    </row>
    <row r="960" spans="1:12" x14ac:dyDescent="0.25">
      <c r="A960" s="68" t="s">
        <v>967</v>
      </c>
      <c r="B960" s="68" t="s">
        <v>1794</v>
      </c>
      <c r="C960" s="68" t="s">
        <v>2589</v>
      </c>
      <c r="D960" s="68" t="s">
        <v>967</v>
      </c>
      <c r="F960" s="68" t="s">
        <v>3367</v>
      </c>
      <c r="H960" s="122">
        <v>44606</v>
      </c>
      <c r="I960" s="68" t="s">
        <v>3464</v>
      </c>
      <c r="J960" s="68">
        <v>186</v>
      </c>
      <c r="K960" s="68" t="s">
        <v>3689</v>
      </c>
      <c r="L960" s="68" t="s">
        <v>3690</v>
      </c>
    </row>
    <row r="961" spans="1:12" x14ac:dyDescent="0.25">
      <c r="A961" s="68" t="s">
        <v>968</v>
      </c>
      <c r="B961" s="68" t="s">
        <v>1795</v>
      </c>
      <c r="C961" s="68" t="s">
        <v>2590</v>
      </c>
      <c r="D961" s="68" t="s">
        <v>968</v>
      </c>
      <c r="F961" s="68" t="s">
        <v>3368</v>
      </c>
      <c r="H961" s="122">
        <v>44565</v>
      </c>
      <c r="I961" s="68" t="s">
        <v>3605</v>
      </c>
      <c r="J961" s="68">
        <v>266</v>
      </c>
      <c r="K961" s="68" t="s">
        <v>3689</v>
      </c>
      <c r="L961" s="68" t="s">
        <v>3690</v>
      </c>
    </row>
    <row r="962" spans="1:12" x14ac:dyDescent="0.25">
      <c r="A962" s="68" t="s">
        <v>969</v>
      </c>
      <c r="B962" s="68" t="s">
        <v>1796</v>
      </c>
      <c r="C962" s="68" t="s">
        <v>2591</v>
      </c>
      <c r="D962" s="68" t="s">
        <v>969</v>
      </c>
      <c r="F962" s="68" t="s">
        <v>3369</v>
      </c>
      <c r="H962" s="122">
        <v>44508</v>
      </c>
      <c r="I962" s="68" t="s">
        <v>3613</v>
      </c>
      <c r="J962" s="68">
        <v>1082</v>
      </c>
      <c r="K962" s="68" t="s">
        <v>3689</v>
      </c>
      <c r="L962" s="68" t="s">
        <v>3690</v>
      </c>
    </row>
    <row r="963" spans="1:12" x14ac:dyDescent="0.25">
      <c r="A963" s="68" t="s">
        <v>969</v>
      </c>
      <c r="B963" s="68" t="s">
        <v>1796</v>
      </c>
      <c r="C963" s="68" t="s">
        <v>2591</v>
      </c>
      <c r="D963" s="68" t="s">
        <v>969</v>
      </c>
      <c r="F963" s="68" t="s">
        <v>3369</v>
      </c>
      <c r="H963" s="122">
        <v>44587</v>
      </c>
      <c r="I963" s="68" t="s">
        <v>3488</v>
      </c>
      <c r="J963" s="68">
        <v>82.8</v>
      </c>
      <c r="K963" s="68" t="s">
        <v>3689</v>
      </c>
      <c r="L963" s="68" t="s">
        <v>3690</v>
      </c>
    </row>
    <row r="964" spans="1:12" x14ac:dyDescent="0.25">
      <c r="A964" s="68" t="s">
        <v>969</v>
      </c>
      <c r="B964" s="68" t="s">
        <v>1796</v>
      </c>
      <c r="C964" s="68" t="s">
        <v>2591</v>
      </c>
      <c r="D964" s="68" t="s">
        <v>969</v>
      </c>
      <c r="F964" s="68" t="s">
        <v>3369</v>
      </c>
      <c r="H964" s="122">
        <v>44561</v>
      </c>
      <c r="I964" s="68" t="s">
        <v>3504</v>
      </c>
      <c r="J964" s="68">
        <v>204</v>
      </c>
      <c r="K964" s="68" t="s">
        <v>3689</v>
      </c>
      <c r="L964" s="68" t="s">
        <v>3690</v>
      </c>
    </row>
    <row r="965" spans="1:12" x14ac:dyDescent="0.25">
      <c r="A965" s="68" t="s">
        <v>970</v>
      </c>
      <c r="B965" s="68" t="s">
        <v>1797</v>
      </c>
      <c r="C965" s="68" t="s">
        <v>2592</v>
      </c>
      <c r="D965" s="68" t="s">
        <v>970</v>
      </c>
      <c r="F965" s="68" t="s">
        <v>3370</v>
      </c>
      <c r="H965" s="122">
        <v>44579</v>
      </c>
      <c r="I965" s="68" t="s">
        <v>3526</v>
      </c>
      <c r="J965" s="68">
        <v>463.2</v>
      </c>
      <c r="K965" s="68" t="s">
        <v>3689</v>
      </c>
      <c r="L965" s="68" t="s">
        <v>3690</v>
      </c>
    </row>
    <row r="966" spans="1:12" x14ac:dyDescent="0.25">
      <c r="A966" s="68" t="s">
        <v>971</v>
      </c>
      <c r="B966" s="68" t="s">
        <v>1798</v>
      </c>
      <c r="C966" s="68" t="s">
        <v>2593</v>
      </c>
      <c r="D966" s="68" t="s">
        <v>971</v>
      </c>
      <c r="F966" s="68" t="s">
        <v>3371</v>
      </c>
      <c r="H966" s="122">
        <v>44575</v>
      </c>
      <c r="I966" s="68" t="s">
        <v>3450</v>
      </c>
      <c r="J966" s="68">
        <v>478.4</v>
      </c>
      <c r="K966" s="68" t="s">
        <v>3689</v>
      </c>
      <c r="L966" s="68" t="s">
        <v>3690</v>
      </c>
    </row>
    <row r="967" spans="1:12" x14ac:dyDescent="0.25">
      <c r="A967" s="68" t="s">
        <v>972</v>
      </c>
      <c r="B967" s="68" t="s">
        <v>1799</v>
      </c>
      <c r="C967" s="68" t="s">
        <v>2594</v>
      </c>
      <c r="D967" s="68" t="s">
        <v>972</v>
      </c>
      <c r="F967" s="68" t="s">
        <v>3372</v>
      </c>
      <c r="H967" s="122">
        <v>44561</v>
      </c>
      <c r="I967" s="68" t="s">
        <v>3491</v>
      </c>
      <c r="J967" s="68">
        <v>408.8</v>
      </c>
      <c r="K967" s="68" t="s">
        <v>3689</v>
      </c>
      <c r="L967" s="68" t="s">
        <v>3690</v>
      </c>
    </row>
    <row r="968" spans="1:12" x14ac:dyDescent="0.25">
      <c r="A968" s="68" t="s">
        <v>973</v>
      </c>
      <c r="B968" s="68" t="s">
        <v>1800</v>
      </c>
      <c r="C968" s="68" t="s">
        <v>2595</v>
      </c>
      <c r="D968" s="68" t="s">
        <v>973</v>
      </c>
      <c r="F968" s="68" t="s">
        <v>3373</v>
      </c>
      <c r="H968" s="122">
        <v>44558</v>
      </c>
      <c r="I968" s="68" t="s">
        <v>3492</v>
      </c>
      <c r="J968" s="68">
        <v>480</v>
      </c>
      <c r="K968" s="68" t="s">
        <v>3689</v>
      </c>
      <c r="L968" s="68" t="s">
        <v>3690</v>
      </c>
    </row>
    <row r="969" spans="1:12" x14ac:dyDescent="0.25">
      <c r="A969" s="68" t="s">
        <v>973</v>
      </c>
      <c r="B969" s="68" t="s">
        <v>1800</v>
      </c>
      <c r="C969" s="68" t="s">
        <v>2595</v>
      </c>
      <c r="D969" s="68" t="s">
        <v>973</v>
      </c>
      <c r="F969" s="68" t="s">
        <v>3373</v>
      </c>
      <c r="H969" s="122">
        <v>44558</v>
      </c>
      <c r="I969" s="68" t="s">
        <v>3492</v>
      </c>
      <c r="J969" s="68">
        <v>696</v>
      </c>
      <c r="K969" s="68" t="s">
        <v>3689</v>
      </c>
      <c r="L969" s="68" t="s">
        <v>3690</v>
      </c>
    </row>
    <row r="970" spans="1:12" x14ac:dyDescent="0.25">
      <c r="A970" s="68" t="s">
        <v>974</v>
      </c>
      <c r="B970" s="68" t="s">
        <v>1801</v>
      </c>
      <c r="C970" s="68" t="s">
        <v>2596</v>
      </c>
      <c r="D970" s="68" t="s">
        <v>974</v>
      </c>
      <c r="F970" s="68" t="s">
        <v>3374</v>
      </c>
      <c r="H970" s="122">
        <v>44547</v>
      </c>
      <c r="I970" s="68" t="s">
        <v>3493</v>
      </c>
      <c r="J970" s="68">
        <v>2600.4</v>
      </c>
      <c r="K970" s="68" t="s">
        <v>3689</v>
      </c>
      <c r="L970" s="68" t="s">
        <v>3690</v>
      </c>
    </row>
    <row r="971" spans="1:12" x14ac:dyDescent="0.25">
      <c r="A971" s="68" t="s">
        <v>973</v>
      </c>
      <c r="B971" s="68" t="s">
        <v>1800</v>
      </c>
      <c r="C971" s="68" t="s">
        <v>2595</v>
      </c>
      <c r="D971" s="68" t="s">
        <v>973</v>
      </c>
      <c r="F971" s="68" t="s">
        <v>3373</v>
      </c>
      <c r="H971" s="122">
        <v>44545</v>
      </c>
      <c r="I971" s="68" t="s">
        <v>3493</v>
      </c>
      <c r="J971" s="68">
        <v>178.4</v>
      </c>
      <c r="K971" s="68" t="s">
        <v>3689</v>
      </c>
      <c r="L971" s="68" t="s">
        <v>3690</v>
      </c>
    </row>
    <row r="972" spans="1:12" x14ac:dyDescent="0.25">
      <c r="A972" s="68" t="s">
        <v>970</v>
      </c>
      <c r="B972" s="68" t="s">
        <v>1797</v>
      </c>
      <c r="C972" s="68" t="s">
        <v>2592</v>
      </c>
      <c r="D972" s="68" t="s">
        <v>970</v>
      </c>
      <c r="F972" s="68" t="s">
        <v>3370</v>
      </c>
      <c r="H972" s="122">
        <v>44537</v>
      </c>
      <c r="I972" s="68" t="s">
        <v>3474</v>
      </c>
      <c r="J972" s="68">
        <v>82.8</v>
      </c>
      <c r="K972" s="68" t="s">
        <v>3689</v>
      </c>
      <c r="L972" s="68" t="s">
        <v>3690</v>
      </c>
    </row>
    <row r="973" spans="1:12" x14ac:dyDescent="0.25">
      <c r="A973" s="68" t="s">
        <v>975</v>
      </c>
      <c r="B973" s="68" t="s">
        <v>1802</v>
      </c>
      <c r="C973" s="68" t="s">
        <v>2597</v>
      </c>
      <c r="D973" s="68" t="s">
        <v>975</v>
      </c>
      <c r="F973" s="68" t="s">
        <v>3375</v>
      </c>
      <c r="H973" s="122">
        <v>44286</v>
      </c>
      <c r="I973" s="68" t="s">
        <v>3563</v>
      </c>
      <c r="J973" s="68">
        <v>61.2</v>
      </c>
      <c r="K973" s="68" t="s">
        <v>3689</v>
      </c>
      <c r="L973" s="68" t="s">
        <v>3690</v>
      </c>
    </row>
    <row r="974" spans="1:12" x14ac:dyDescent="0.25">
      <c r="A974" s="68" t="s">
        <v>975</v>
      </c>
      <c r="B974" s="68" t="s">
        <v>1802</v>
      </c>
      <c r="C974" s="68" t="s">
        <v>2597</v>
      </c>
      <c r="D974" s="68" t="s">
        <v>975</v>
      </c>
      <c r="F974" s="68" t="s">
        <v>3375</v>
      </c>
      <c r="H974" s="122">
        <v>44278</v>
      </c>
      <c r="I974" s="68" t="s">
        <v>3633</v>
      </c>
      <c r="J974" s="68">
        <v>253.2</v>
      </c>
      <c r="K974" s="68" t="s">
        <v>3689</v>
      </c>
      <c r="L974" s="68" t="s">
        <v>3690</v>
      </c>
    </row>
    <row r="975" spans="1:12" x14ac:dyDescent="0.25">
      <c r="A975" s="68" t="s">
        <v>975</v>
      </c>
      <c r="B975" s="68" t="s">
        <v>1802</v>
      </c>
      <c r="C975" s="68" t="s">
        <v>2597</v>
      </c>
      <c r="D975" s="68" t="s">
        <v>975</v>
      </c>
      <c r="F975" s="68" t="s">
        <v>3375</v>
      </c>
      <c r="H975" s="122">
        <v>44240</v>
      </c>
      <c r="I975" s="68" t="s">
        <v>3634</v>
      </c>
      <c r="J975" s="68">
        <v>296.39999999999998</v>
      </c>
      <c r="K975" s="68" t="s">
        <v>3689</v>
      </c>
      <c r="L975" s="68" t="s">
        <v>3690</v>
      </c>
    </row>
    <row r="976" spans="1:12" x14ac:dyDescent="0.25">
      <c r="A976" s="68" t="s">
        <v>976</v>
      </c>
      <c r="B976" s="68" t="s">
        <v>1803</v>
      </c>
      <c r="C976" s="68" t="s">
        <v>2598</v>
      </c>
      <c r="D976" s="68" t="s">
        <v>976</v>
      </c>
      <c r="F976" s="68" t="s">
        <v>3376</v>
      </c>
      <c r="H976" s="122">
        <v>44652</v>
      </c>
      <c r="I976" s="68" t="s">
        <v>3478</v>
      </c>
      <c r="J976" s="68">
        <v>1861.2</v>
      </c>
      <c r="K976" s="68" t="s">
        <v>3691</v>
      </c>
      <c r="L976" s="68" t="s">
        <v>3692</v>
      </c>
    </row>
    <row r="977" spans="1:12" x14ac:dyDescent="0.25">
      <c r="A977" s="68" t="s">
        <v>977</v>
      </c>
      <c r="B977" s="68" t="s">
        <v>1804</v>
      </c>
      <c r="C977" s="68" t="s">
        <v>2599</v>
      </c>
      <c r="D977" s="68" t="s">
        <v>977</v>
      </c>
      <c r="F977" s="68" t="s">
        <v>3377</v>
      </c>
      <c r="H977" s="122">
        <v>44649</v>
      </c>
      <c r="I977" s="68" t="s">
        <v>3479</v>
      </c>
      <c r="J977" s="68">
        <v>612</v>
      </c>
      <c r="K977" s="68" t="s">
        <v>3691</v>
      </c>
      <c r="L977" s="68" t="s">
        <v>3692</v>
      </c>
    </row>
    <row r="978" spans="1:12" x14ac:dyDescent="0.25">
      <c r="A978" s="68" t="s">
        <v>977</v>
      </c>
      <c r="B978" s="68" t="s">
        <v>1804</v>
      </c>
      <c r="C978" s="68" t="s">
        <v>2599</v>
      </c>
      <c r="D978" s="68" t="s">
        <v>977</v>
      </c>
      <c r="F978" s="68" t="s">
        <v>3377</v>
      </c>
      <c r="H978" s="122">
        <v>44642</v>
      </c>
      <c r="I978" s="68" t="s">
        <v>3481</v>
      </c>
      <c r="J978" s="68">
        <v>258.8</v>
      </c>
      <c r="K978" s="68" t="s">
        <v>3691</v>
      </c>
      <c r="L978" s="68" t="s">
        <v>3692</v>
      </c>
    </row>
    <row r="979" spans="1:12" x14ac:dyDescent="0.25">
      <c r="A979" s="68" t="s">
        <v>978</v>
      </c>
      <c r="B979" s="68" t="s">
        <v>1805</v>
      </c>
      <c r="C979" s="68" t="s">
        <v>2600</v>
      </c>
      <c r="D979" s="68" t="s">
        <v>978</v>
      </c>
      <c r="F979" s="68" t="s">
        <v>3378</v>
      </c>
      <c r="H979" s="122">
        <v>44641</v>
      </c>
      <c r="I979" s="68" t="s">
        <v>3522</v>
      </c>
      <c r="J979" s="68">
        <v>266</v>
      </c>
      <c r="K979" s="68" t="s">
        <v>3691</v>
      </c>
      <c r="L979" s="68" t="s">
        <v>3692</v>
      </c>
    </row>
    <row r="980" spans="1:12" x14ac:dyDescent="0.25">
      <c r="A980" s="68" t="s">
        <v>979</v>
      </c>
      <c r="B980" s="68" t="s">
        <v>1806</v>
      </c>
      <c r="C980" s="68" t="s">
        <v>2601</v>
      </c>
      <c r="D980" s="68" t="s">
        <v>979</v>
      </c>
      <c r="F980" s="68" t="s">
        <v>3379</v>
      </c>
      <c r="H980" s="122">
        <v>44631</v>
      </c>
      <c r="I980" s="68" t="s">
        <v>3448</v>
      </c>
      <c r="J980" s="68">
        <v>138</v>
      </c>
      <c r="K980" s="68" t="s">
        <v>3691</v>
      </c>
      <c r="L980" s="68" t="s">
        <v>3692</v>
      </c>
    </row>
    <row r="981" spans="1:12" x14ac:dyDescent="0.25">
      <c r="A981" s="68" t="s">
        <v>979</v>
      </c>
      <c r="B981" s="68" t="s">
        <v>1806</v>
      </c>
      <c r="C981" s="68" t="s">
        <v>2601</v>
      </c>
      <c r="D981" s="68" t="s">
        <v>979</v>
      </c>
      <c r="F981" s="68" t="s">
        <v>3379</v>
      </c>
      <c r="H981" s="122">
        <v>44631</v>
      </c>
      <c r="I981" s="68" t="s">
        <v>3448</v>
      </c>
      <c r="J981" s="68">
        <v>138</v>
      </c>
      <c r="K981" s="68" t="s">
        <v>3691</v>
      </c>
      <c r="L981" s="68" t="s">
        <v>3692</v>
      </c>
    </row>
    <row r="982" spans="1:12" x14ac:dyDescent="0.25">
      <c r="A982" s="68" t="s">
        <v>980</v>
      </c>
      <c r="B982" s="68" t="s">
        <v>1807</v>
      </c>
      <c r="C982" s="68" t="s">
        <v>2602</v>
      </c>
      <c r="D982" s="68" t="s">
        <v>980</v>
      </c>
      <c r="F982" s="68" t="s">
        <v>3380</v>
      </c>
      <c r="H982" s="122">
        <v>44614</v>
      </c>
      <c r="I982" s="68" t="s">
        <v>3462</v>
      </c>
      <c r="J982" s="68">
        <v>216</v>
      </c>
      <c r="K982" s="68" t="s">
        <v>3691</v>
      </c>
      <c r="L982" s="68" t="s">
        <v>3692</v>
      </c>
    </row>
    <row r="983" spans="1:12" x14ac:dyDescent="0.25">
      <c r="A983" s="68" t="s">
        <v>981</v>
      </c>
      <c r="B983" s="68" t="s">
        <v>1808</v>
      </c>
      <c r="C983" s="68" t="s">
        <v>2603</v>
      </c>
      <c r="D983" s="68" t="s">
        <v>981</v>
      </c>
      <c r="F983" s="68" t="s">
        <v>3381</v>
      </c>
      <c r="H983" s="122">
        <v>44603</v>
      </c>
      <c r="I983" s="68" t="s">
        <v>3462</v>
      </c>
      <c r="J983" s="68">
        <v>480</v>
      </c>
      <c r="K983" s="68" t="s">
        <v>3691</v>
      </c>
      <c r="L983" s="68" t="s">
        <v>3692</v>
      </c>
    </row>
    <row r="984" spans="1:12" x14ac:dyDescent="0.25">
      <c r="A984" s="68" t="s">
        <v>982</v>
      </c>
      <c r="B984" s="68" t="s">
        <v>1809</v>
      </c>
      <c r="C984" s="68" t="s">
        <v>2604</v>
      </c>
      <c r="D984" s="68" t="s">
        <v>982</v>
      </c>
      <c r="F984" s="68" t="s">
        <v>3382</v>
      </c>
      <c r="H984" s="122">
        <v>44522</v>
      </c>
      <c r="I984" s="68" t="s">
        <v>3635</v>
      </c>
      <c r="J984" s="68">
        <v>416.4</v>
      </c>
      <c r="K984" s="68" t="s">
        <v>3691</v>
      </c>
      <c r="L984" s="68" t="s">
        <v>3692</v>
      </c>
    </row>
    <row r="985" spans="1:12" x14ac:dyDescent="0.25">
      <c r="A985" s="68" t="s">
        <v>983</v>
      </c>
      <c r="B985" s="68" t="s">
        <v>1810</v>
      </c>
      <c r="C985" s="68" t="s">
        <v>2605</v>
      </c>
      <c r="D985" s="68" t="s">
        <v>983</v>
      </c>
      <c r="F985" s="68" t="s">
        <v>3383</v>
      </c>
      <c r="H985" s="122">
        <v>44263</v>
      </c>
      <c r="I985" s="68" t="s">
        <v>3456</v>
      </c>
      <c r="J985" s="68">
        <v>1213.2</v>
      </c>
      <c r="K985" s="68" t="s">
        <v>3691</v>
      </c>
      <c r="L985" s="68" t="s">
        <v>3692</v>
      </c>
    </row>
    <row r="986" spans="1:12" x14ac:dyDescent="0.25">
      <c r="A986" s="68" t="s">
        <v>984</v>
      </c>
      <c r="B986" s="68" t="s">
        <v>1811</v>
      </c>
      <c r="C986" s="68" t="s">
        <v>2606</v>
      </c>
      <c r="D986" s="68" t="s">
        <v>984</v>
      </c>
      <c r="F986" s="68" t="s">
        <v>3384</v>
      </c>
      <c r="H986" s="122">
        <v>44603</v>
      </c>
      <c r="I986" s="68" t="s">
        <v>3484</v>
      </c>
      <c r="J986" s="68">
        <v>22.8</v>
      </c>
      <c r="K986" s="68" t="s">
        <v>3691</v>
      </c>
      <c r="L986" s="68" t="s">
        <v>3692</v>
      </c>
    </row>
    <row r="987" spans="1:12" x14ac:dyDescent="0.25">
      <c r="A987" s="68" t="s">
        <v>985</v>
      </c>
      <c r="B987" s="68" t="s">
        <v>1812</v>
      </c>
      <c r="C987" s="68" t="s">
        <v>2607</v>
      </c>
      <c r="D987" s="68" t="s">
        <v>985</v>
      </c>
      <c r="F987" s="68" t="s">
        <v>3385</v>
      </c>
      <c r="H987" s="122">
        <v>44603</v>
      </c>
      <c r="I987" s="68" t="s">
        <v>3464</v>
      </c>
      <c r="J987" s="68">
        <v>294.8</v>
      </c>
      <c r="K987" s="68" t="s">
        <v>3691</v>
      </c>
      <c r="L987" s="68" t="s">
        <v>3692</v>
      </c>
    </row>
    <row r="988" spans="1:12" x14ac:dyDescent="0.25">
      <c r="A988" s="68" t="s">
        <v>983</v>
      </c>
      <c r="B988" s="68" t="s">
        <v>1810</v>
      </c>
      <c r="C988" s="68" t="s">
        <v>2605</v>
      </c>
      <c r="D988" s="68" t="s">
        <v>983</v>
      </c>
      <c r="F988" s="68" t="s">
        <v>3383</v>
      </c>
      <c r="H988" s="122">
        <v>44603</v>
      </c>
      <c r="I988" s="68" t="s">
        <v>3456</v>
      </c>
      <c r="J988" s="68">
        <v>912.8</v>
      </c>
      <c r="K988" s="68" t="s">
        <v>3691</v>
      </c>
      <c r="L988" s="68" t="s">
        <v>3692</v>
      </c>
    </row>
    <row r="989" spans="1:12" x14ac:dyDescent="0.25">
      <c r="A989" s="68" t="s">
        <v>986</v>
      </c>
      <c r="B989" s="68" t="s">
        <v>1813</v>
      </c>
      <c r="C989" s="68" t="s">
        <v>2288</v>
      </c>
      <c r="D989" s="68" t="s">
        <v>986</v>
      </c>
      <c r="F989" s="68" t="s">
        <v>3386</v>
      </c>
      <c r="H989" s="122">
        <v>44596</v>
      </c>
      <c r="I989" s="68" t="s">
        <v>3486</v>
      </c>
      <c r="J989" s="68">
        <v>612</v>
      </c>
      <c r="K989" s="68" t="s">
        <v>3691</v>
      </c>
      <c r="L989" s="68" t="s">
        <v>3692</v>
      </c>
    </row>
    <row r="990" spans="1:12" x14ac:dyDescent="0.25">
      <c r="A990" s="68" t="s">
        <v>980</v>
      </c>
      <c r="B990" s="68" t="s">
        <v>1807</v>
      </c>
      <c r="C990" s="68" t="s">
        <v>2602</v>
      </c>
      <c r="D990" s="68" t="s">
        <v>980</v>
      </c>
      <c r="F990" s="68" t="s">
        <v>3380</v>
      </c>
      <c r="H990" s="122">
        <v>44579</v>
      </c>
      <c r="I990" s="68" t="s">
        <v>3526</v>
      </c>
      <c r="J990" s="68">
        <v>432</v>
      </c>
      <c r="K990" s="68" t="s">
        <v>3691</v>
      </c>
      <c r="L990" s="68" t="s">
        <v>3692</v>
      </c>
    </row>
    <row r="991" spans="1:12" x14ac:dyDescent="0.25">
      <c r="A991" s="68" t="s">
        <v>987</v>
      </c>
      <c r="B991" s="68" t="s">
        <v>1814</v>
      </c>
      <c r="C991" s="68" t="s">
        <v>2608</v>
      </c>
      <c r="D991" s="68" t="s">
        <v>987</v>
      </c>
      <c r="F991" s="68" t="s">
        <v>3387</v>
      </c>
      <c r="H991" s="122">
        <v>44573</v>
      </c>
      <c r="I991" s="68" t="s">
        <v>3451</v>
      </c>
      <c r="J991" s="68">
        <v>253.2</v>
      </c>
      <c r="K991" s="68" t="s">
        <v>3691</v>
      </c>
      <c r="L991" s="68" t="s">
        <v>3692</v>
      </c>
    </row>
    <row r="992" spans="1:12" x14ac:dyDescent="0.25">
      <c r="A992" s="68" t="s">
        <v>988</v>
      </c>
      <c r="B992" s="68" t="s">
        <v>1815</v>
      </c>
      <c r="C992" s="68" t="s">
        <v>2609</v>
      </c>
      <c r="D992" s="68" t="s">
        <v>988</v>
      </c>
      <c r="F992" s="68" t="s">
        <v>3388</v>
      </c>
      <c r="H992" s="122">
        <v>44565</v>
      </c>
      <c r="I992" s="68" t="s">
        <v>3451</v>
      </c>
      <c r="J992" s="68">
        <v>608.4</v>
      </c>
      <c r="K992" s="68" t="s">
        <v>3691</v>
      </c>
      <c r="L992" s="68" t="s">
        <v>3692</v>
      </c>
    </row>
    <row r="993" spans="1:12" x14ac:dyDescent="0.25">
      <c r="A993" s="68" t="s">
        <v>980</v>
      </c>
      <c r="B993" s="68" t="s">
        <v>1807</v>
      </c>
      <c r="C993" s="68" t="s">
        <v>2602</v>
      </c>
      <c r="D993" s="68" t="s">
        <v>980</v>
      </c>
      <c r="F993" s="68" t="s">
        <v>3380</v>
      </c>
      <c r="H993" s="122">
        <v>44565</v>
      </c>
      <c r="I993" s="68" t="s">
        <v>3451</v>
      </c>
      <c r="J993" s="68">
        <v>585.6</v>
      </c>
      <c r="K993" s="68" t="s">
        <v>3691</v>
      </c>
      <c r="L993" s="68" t="s">
        <v>3692</v>
      </c>
    </row>
    <row r="994" spans="1:12" x14ac:dyDescent="0.25">
      <c r="A994" s="68" t="s">
        <v>989</v>
      </c>
      <c r="B994" s="68" t="s">
        <v>1816</v>
      </c>
      <c r="C994" s="68" t="s">
        <v>2610</v>
      </c>
      <c r="D994" s="68" t="s">
        <v>989</v>
      </c>
      <c r="F994" s="68" t="s">
        <v>3389</v>
      </c>
      <c r="H994" s="122">
        <v>44547</v>
      </c>
      <c r="I994" s="68" t="s">
        <v>3529</v>
      </c>
      <c r="J994" s="68">
        <v>0</v>
      </c>
      <c r="K994" s="68" t="s">
        <v>3691</v>
      </c>
      <c r="L994" s="68" t="s">
        <v>3692</v>
      </c>
    </row>
    <row r="995" spans="1:12" x14ac:dyDescent="0.25">
      <c r="A995" s="68" t="s">
        <v>990</v>
      </c>
      <c r="B995" s="68" t="s">
        <v>1817</v>
      </c>
      <c r="C995" s="68" t="s">
        <v>2611</v>
      </c>
      <c r="D995" s="68" t="s">
        <v>990</v>
      </c>
      <c r="F995" s="68" t="s">
        <v>3390</v>
      </c>
      <c r="H995" s="122">
        <v>44540</v>
      </c>
      <c r="I995" s="68" t="s">
        <v>3457</v>
      </c>
      <c r="J995" s="68">
        <v>314.39999999999998</v>
      </c>
      <c r="K995" s="68" t="s">
        <v>3691</v>
      </c>
      <c r="L995" s="68" t="s">
        <v>3692</v>
      </c>
    </row>
    <row r="996" spans="1:12" x14ac:dyDescent="0.25">
      <c r="A996" s="68" t="s">
        <v>991</v>
      </c>
      <c r="B996" s="68" t="s">
        <v>1818</v>
      </c>
      <c r="C996" s="68" t="s">
        <v>2506</v>
      </c>
      <c r="D996" s="68" t="s">
        <v>991</v>
      </c>
      <c r="F996" s="68" t="s">
        <v>3391</v>
      </c>
      <c r="H996" s="122">
        <v>44540</v>
      </c>
      <c r="I996" s="68" t="s">
        <v>3457</v>
      </c>
      <c r="J996" s="68">
        <v>332.4</v>
      </c>
      <c r="K996" s="68" t="s">
        <v>3691</v>
      </c>
      <c r="L996" s="68" t="s">
        <v>3692</v>
      </c>
    </row>
    <row r="997" spans="1:12" x14ac:dyDescent="0.25">
      <c r="A997" s="68" t="s">
        <v>992</v>
      </c>
      <c r="B997" s="68" t="s">
        <v>1819</v>
      </c>
      <c r="C997" s="68" t="s">
        <v>2612</v>
      </c>
      <c r="D997" s="68" t="s">
        <v>992</v>
      </c>
      <c r="F997" s="68" t="s">
        <v>3392</v>
      </c>
      <c r="H997" s="122">
        <v>44536</v>
      </c>
      <c r="I997" s="68" t="s">
        <v>3494</v>
      </c>
      <c r="J997" s="68">
        <v>227.6</v>
      </c>
      <c r="K997" s="68" t="s">
        <v>3691</v>
      </c>
      <c r="L997" s="68" t="s">
        <v>3692</v>
      </c>
    </row>
    <row r="998" spans="1:12" x14ac:dyDescent="0.25">
      <c r="A998" s="68" t="s">
        <v>993</v>
      </c>
      <c r="B998" s="68" t="s">
        <v>1820</v>
      </c>
      <c r="C998" s="68" t="s">
        <v>2613</v>
      </c>
      <c r="D998" s="68" t="s">
        <v>993</v>
      </c>
      <c r="F998" s="68" t="s">
        <v>3393</v>
      </c>
      <c r="H998" s="122">
        <v>44529</v>
      </c>
      <c r="I998" s="68" t="s">
        <v>3465</v>
      </c>
      <c r="J998" s="68">
        <v>226.8</v>
      </c>
      <c r="K998" s="68" t="s">
        <v>3691</v>
      </c>
      <c r="L998" s="68" t="s">
        <v>3692</v>
      </c>
    </row>
    <row r="999" spans="1:12" x14ac:dyDescent="0.25">
      <c r="A999" s="68" t="s">
        <v>994</v>
      </c>
      <c r="B999" s="68" t="s">
        <v>1821</v>
      </c>
      <c r="C999" s="68" t="s">
        <v>2614</v>
      </c>
      <c r="D999" s="68" t="s">
        <v>994</v>
      </c>
      <c r="F999" s="68" t="s">
        <v>3394</v>
      </c>
      <c r="H999" s="122">
        <v>44523</v>
      </c>
      <c r="I999" s="68" t="s">
        <v>3465</v>
      </c>
      <c r="J999" s="68">
        <v>294.8</v>
      </c>
      <c r="K999" s="68" t="s">
        <v>3691</v>
      </c>
      <c r="L999" s="68" t="s">
        <v>3692</v>
      </c>
    </row>
    <row r="1000" spans="1:12" x14ac:dyDescent="0.25">
      <c r="A1000" s="68" t="s">
        <v>995</v>
      </c>
      <c r="B1000" s="68" t="s">
        <v>1822</v>
      </c>
      <c r="C1000" s="68" t="s">
        <v>2615</v>
      </c>
      <c r="D1000" s="68" t="s">
        <v>995</v>
      </c>
      <c r="F1000" s="68" t="s">
        <v>3395</v>
      </c>
      <c r="H1000" s="122">
        <v>44512</v>
      </c>
      <c r="I1000" s="68" t="s">
        <v>3475</v>
      </c>
      <c r="J1000" s="68">
        <v>148.80000000000001</v>
      </c>
      <c r="K1000" s="68" t="s">
        <v>3691</v>
      </c>
      <c r="L1000" s="68" t="s">
        <v>3692</v>
      </c>
    </row>
    <row r="1001" spans="1:12" x14ac:dyDescent="0.25">
      <c r="A1001" s="68" t="s">
        <v>996</v>
      </c>
      <c r="B1001" s="68" t="s">
        <v>1823</v>
      </c>
      <c r="C1001" s="68" t="s">
        <v>2616</v>
      </c>
      <c r="D1001" s="68" t="s">
        <v>996</v>
      </c>
      <c r="F1001" s="68" t="s">
        <v>3396</v>
      </c>
      <c r="H1001" s="122">
        <v>44510</v>
      </c>
      <c r="I1001" s="68" t="s">
        <v>3495</v>
      </c>
      <c r="J1001" s="68">
        <v>61.2</v>
      </c>
      <c r="K1001" s="68" t="s">
        <v>3691</v>
      </c>
      <c r="L1001" s="68" t="s">
        <v>3692</v>
      </c>
    </row>
    <row r="1002" spans="1:12" x14ac:dyDescent="0.25">
      <c r="A1002" s="68" t="s">
        <v>997</v>
      </c>
      <c r="B1002" s="68" t="s">
        <v>1824</v>
      </c>
      <c r="C1002" s="68" t="s">
        <v>2617</v>
      </c>
      <c r="D1002" s="68" t="s">
        <v>997</v>
      </c>
      <c r="F1002" s="68" t="s">
        <v>3397</v>
      </c>
      <c r="H1002" s="122">
        <v>44407</v>
      </c>
      <c r="I1002" s="68" t="s">
        <v>3508</v>
      </c>
      <c r="J1002" s="68">
        <v>1515.6</v>
      </c>
      <c r="K1002" s="68" t="s">
        <v>3691</v>
      </c>
      <c r="L1002" s="68" t="s">
        <v>3692</v>
      </c>
    </row>
    <row r="1003" spans="1:12" x14ac:dyDescent="0.25">
      <c r="A1003" s="68" t="s">
        <v>998</v>
      </c>
      <c r="B1003" s="68" t="s">
        <v>1825</v>
      </c>
      <c r="C1003" s="68" t="s">
        <v>2618</v>
      </c>
      <c r="D1003" s="68" t="s">
        <v>998</v>
      </c>
      <c r="F1003" s="68" t="s">
        <v>3398</v>
      </c>
      <c r="H1003" s="122">
        <v>44453</v>
      </c>
      <c r="I1003" s="68" t="s">
        <v>3508</v>
      </c>
      <c r="J1003" s="68">
        <v>199.2</v>
      </c>
      <c r="K1003" s="68" t="s">
        <v>3691</v>
      </c>
      <c r="L1003" s="68" t="s">
        <v>3692</v>
      </c>
    </row>
    <row r="1004" spans="1:12" x14ac:dyDescent="0.25">
      <c r="A1004" s="68" t="s">
        <v>998</v>
      </c>
      <c r="B1004" s="68" t="s">
        <v>1825</v>
      </c>
      <c r="C1004" s="68" t="s">
        <v>2618</v>
      </c>
      <c r="D1004" s="68" t="s">
        <v>998</v>
      </c>
      <c r="F1004" s="68" t="s">
        <v>3398</v>
      </c>
      <c r="H1004" s="122">
        <v>44467</v>
      </c>
      <c r="I1004" s="68" t="s">
        <v>3508</v>
      </c>
      <c r="J1004" s="68">
        <v>138</v>
      </c>
      <c r="K1004" s="68" t="s">
        <v>3691</v>
      </c>
      <c r="L1004" s="68" t="s">
        <v>3692</v>
      </c>
    </row>
    <row r="1005" spans="1:12" x14ac:dyDescent="0.25">
      <c r="A1005" s="68" t="s">
        <v>998</v>
      </c>
      <c r="B1005" s="68" t="s">
        <v>1825</v>
      </c>
      <c r="C1005" s="68" t="s">
        <v>2618</v>
      </c>
      <c r="D1005" s="68" t="s">
        <v>998</v>
      </c>
      <c r="F1005" s="68" t="s">
        <v>3398</v>
      </c>
      <c r="H1005" s="122">
        <v>44480</v>
      </c>
      <c r="I1005" s="68" t="s">
        <v>3508</v>
      </c>
      <c r="J1005" s="68">
        <v>276</v>
      </c>
      <c r="K1005" s="68" t="s">
        <v>3691</v>
      </c>
      <c r="L1005" s="68" t="s">
        <v>3692</v>
      </c>
    </row>
    <row r="1006" spans="1:12" x14ac:dyDescent="0.25">
      <c r="A1006" s="68" t="s">
        <v>999</v>
      </c>
      <c r="B1006" s="68" t="s">
        <v>1826</v>
      </c>
      <c r="C1006" s="68" t="s">
        <v>2619</v>
      </c>
      <c r="D1006" s="68" t="s">
        <v>999</v>
      </c>
      <c r="F1006" s="68" t="s">
        <v>3399</v>
      </c>
      <c r="H1006" s="122">
        <v>44505</v>
      </c>
      <c r="I1006" s="68" t="s">
        <v>3509</v>
      </c>
      <c r="J1006" s="68">
        <v>480</v>
      </c>
      <c r="K1006" s="68" t="s">
        <v>3691</v>
      </c>
      <c r="L1006" s="68" t="s">
        <v>3692</v>
      </c>
    </row>
    <row r="1007" spans="1:12" x14ac:dyDescent="0.25">
      <c r="A1007" s="68" t="s">
        <v>1000</v>
      </c>
      <c r="B1007" s="68" t="s">
        <v>1827</v>
      </c>
      <c r="C1007" s="68" t="s">
        <v>2221</v>
      </c>
      <c r="D1007" s="68" t="s">
        <v>1000</v>
      </c>
      <c r="F1007" s="68" t="s">
        <v>3400</v>
      </c>
      <c r="H1007" s="122">
        <v>44502</v>
      </c>
      <c r="I1007" s="68" t="s">
        <v>3510</v>
      </c>
      <c r="J1007" s="68">
        <v>158.4</v>
      </c>
      <c r="K1007" s="68" t="s">
        <v>3691</v>
      </c>
      <c r="L1007" s="68" t="s">
        <v>3692</v>
      </c>
    </row>
    <row r="1008" spans="1:12" x14ac:dyDescent="0.25">
      <c r="A1008" s="68" t="s">
        <v>1001</v>
      </c>
      <c r="B1008" s="68" t="s">
        <v>1828</v>
      </c>
      <c r="C1008" s="68" t="s">
        <v>2620</v>
      </c>
      <c r="D1008" s="68" t="s">
        <v>1001</v>
      </c>
      <c r="F1008" s="68" t="s">
        <v>3401</v>
      </c>
      <c r="H1008" s="122">
        <v>44504</v>
      </c>
      <c r="I1008" s="68" t="s">
        <v>3534</v>
      </c>
      <c r="J1008" s="68">
        <v>816</v>
      </c>
      <c r="K1008" s="68" t="s">
        <v>3691</v>
      </c>
      <c r="L1008" s="68" t="s">
        <v>3692</v>
      </c>
    </row>
    <row r="1009" spans="1:12" x14ac:dyDescent="0.25">
      <c r="A1009" s="68" t="s">
        <v>1002</v>
      </c>
      <c r="B1009" s="68" t="s">
        <v>1829</v>
      </c>
      <c r="C1009" s="68" t="s">
        <v>2621</v>
      </c>
      <c r="D1009" s="68" t="s">
        <v>1002</v>
      </c>
      <c r="F1009" s="68" t="s">
        <v>3402</v>
      </c>
      <c r="H1009" s="122">
        <v>44504</v>
      </c>
      <c r="I1009" s="68" t="s">
        <v>3534</v>
      </c>
      <c r="J1009" s="68">
        <v>88.8</v>
      </c>
      <c r="K1009" s="68" t="s">
        <v>3691</v>
      </c>
      <c r="L1009" s="68" t="s">
        <v>3692</v>
      </c>
    </row>
    <row r="1010" spans="1:12" x14ac:dyDescent="0.25">
      <c r="A1010" s="68" t="s">
        <v>999</v>
      </c>
      <c r="B1010" s="68" t="s">
        <v>1826</v>
      </c>
      <c r="C1010" s="68" t="s">
        <v>2619</v>
      </c>
      <c r="D1010" s="68" t="s">
        <v>999</v>
      </c>
      <c r="F1010" s="68" t="s">
        <v>3399</v>
      </c>
      <c r="H1010" s="122">
        <v>44503</v>
      </c>
      <c r="I1010" s="68" t="s">
        <v>3496</v>
      </c>
      <c r="J1010" s="68">
        <v>480</v>
      </c>
      <c r="K1010" s="68" t="s">
        <v>3691</v>
      </c>
      <c r="L1010" s="68" t="s">
        <v>3692</v>
      </c>
    </row>
    <row r="1011" spans="1:12" x14ac:dyDescent="0.25">
      <c r="A1011" s="68" t="s">
        <v>1003</v>
      </c>
      <c r="B1011" s="68" t="s">
        <v>1830</v>
      </c>
      <c r="C1011" s="68" t="s">
        <v>2622</v>
      </c>
      <c r="D1011" s="68" t="s">
        <v>1003</v>
      </c>
      <c r="F1011" s="68" t="s">
        <v>3403</v>
      </c>
      <c r="H1011" s="122">
        <v>44502</v>
      </c>
      <c r="I1011" s="68" t="s">
        <v>3496</v>
      </c>
      <c r="J1011" s="68">
        <v>439.2</v>
      </c>
      <c r="K1011" s="68" t="s">
        <v>3691</v>
      </c>
      <c r="L1011" s="68" t="s">
        <v>3692</v>
      </c>
    </row>
    <row r="1012" spans="1:12" x14ac:dyDescent="0.25">
      <c r="A1012" s="68" t="s">
        <v>1004</v>
      </c>
      <c r="B1012" s="68" t="s">
        <v>1831</v>
      </c>
      <c r="C1012" s="68" t="s">
        <v>2623</v>
      </c>
      <c r="D1012" s="68" t="s">
        <v>1004</v>
      </c>
      <c r="F1012" s="68" t="s">
        <v>3404</v>
      </c>
      <c r="H1012" s="122">
        <v>44497</v>
      </c>
      <c r="I1012" s="68" t="s">
        <v>3511</v>
      </c>
      <c r="J1012" s="68">
        <v>516</v>
      </c>
      <c r="K1012" s="68" t="s">
        <v>3691</v>
      </c>
      <c r="L1012" s="68" t="s">
        <v>3692</v>
      </c>
    </row>
    <row r="1013" spans="1:12" x14ac:dyDescent="0.25">
      <c r="A1013" s="68" t="s">
        <v>1005</v>
      </c>
      <c r="B1013" s="68" t="s">
        <v>1832</v>
      </c>
      <c r="C1013" s="68" t="s">
        <v>2624</v>
      </c>
      <c r="D1013" s="68" t="s">
        <v>1005</v>
      </c>
      <c r="F1013" s="68" t="s">
        <v>3405</v>
      </c>
      <c r="H1013" s="122">
        <v>44497</v>
      </c>
      <c r="I1013" s="68" t="s">
        <v>3512</v>
      </c>
      <c r="J1013" s="68">
        <v>61.2</v>
      </c>
      <c r="K1013" s="68" t="s">
        <v>3691</v>
      </c>
      <c r="L1013" s="68" t="s">
        <v>3692</v>
      </c>
    </row>
    <row r="1014" spans="1:12" x14ac:dyDescent="0.25">
      <c r="A1014" s="68" t="s">
        <v>1006</v>
      </c>
      <c r="B1014" s="68" t="s">
        <v>1833</v>
      </c>
      <c r="C1014" s="68" t="s">
        <v>2625</v>
      </c>
      <c r="D1014" s="68" t="s">
        <v>1006</v>
      </c>
      <c r="F1014" s="68" t="s">
        <v>3406</v>
      </c>
      <c r="H1014" s="122">
        <v>44497</v>
      </c>
      <c r="I1014" s="68" t="s">
        <v>3512</v>
      </c>
      <c r="J1014" s="68">
        <v>338.4</v>
      </c>
      <c r="K1014" s="68" t="s">
        <v>3691</v>
      </c>
      <c r="L1014" s="68" t="s">
        <v>3692</v>
      </c>
    </row>
    <row r="1015" spans="1:12" x14ac:dyDescent="0.25">
      <c r="A1015" s="68" t="s">
        <v>1007</v>
      </c>
      <c r="B1015" s="68" t="s">
        <v>1834</v>
      </c>
      <c r="C1015" s="68" t="s">
        <v>2626</v>
      </c>
      <c r="D1015" s="68" t="s">
        <v>1007</v>
      </c>
      <c r="F1015" s="68" t="s">
        <v>3407</v>
      </c>
      <c r="H1015" s="122">
        <v>44495</v>
      </c>
      <c r="I1015" s="68" t="s">
        <v>3513</v>
      </c>
      <c r="J1015" s="68">
        <v>266</v>
      </c>
      <c r="K1015" s="68" t="s">
        <v>3691</v>
      </c>
      <c r="L1015" s="68" t="s">
        <v>3692</v>
      </c>
    </row>
    <row r="1016" spans="1:12" x14ac:dyDescent="0.25">
      <c r="A1016" s="68" t="s">
        <v>1008</v>
      </c>
      <c r="B1016" s="68" t="s">
        <v>1835</v>
      </c>
      <c r="C1016" s="68" t="s">
        <v>2627</v>
      </c>
      <c r="D1016" s="68" t="s">
        <v>1008</v>
      </c>
      <c r="F1016" s="68" t="s">
        <v>3408</v>
      </c>
      <c r="H1016" s="122">
        <v>44495</v>
      </c>
      <c r="I1016" s="68" t="s">
        <v>3536</v>
      </c>
      <c r="J1016" s="68">
        <v>100</v>
      </c>
      <c r="K1016" s="68" t="s">
        <v>3691</v>
      </c>
      <c r="L1016" s="68" t="s">
        <v>3692</v>
      </c>
    </row>
    <row r="1017" spans="1:12" x14ac:dyDescent="0.25">
      <c r="A1017" s="68" t="s">
        <v>1009</v>
      </c>
      <c r="B1017" s="68" t="s">
        <v>1836</v>
      </c>
      <c r="C1017" s="68" t="s">
        <v>2628</v>
      </c>
      <c r="D1017" s="68" t="s">
        <v>1009</v>
      </c>
      <c r="F1017" s="68" t="s">
        <v>3409</v>
      </c>
      <c r="H1017" s="122">
        <v>44480</v>
      </c>
      <c r="I1017" s="68" t="s">
        <v>3515</v>
      </c>
      <c r="J1017" s="68">
        <v>106.4</v>
      </c>
      <c r="K1017" s="68" t="s">
        <v>3691</v>
      </c>
      <c r="L1017" s="68" t="s">
        <v>3692</v>
      </c>
    </row>
    <row r="1018" spans="1:12" x14ac:dyDescent="0.25">
      <c r="A1018" s="68" t="s">
        <v>1010</v>
      </c>
      <c r="B1018" s="68" t="s">
        <v>1837</v>
      </c>
      <c r="C1018" s="68" t="s">
        <v>2629</v>
      </c>
      <c r="D1018" s="68" t="s">
        <v>1010</v>
      </c>
      <c r="F1018" s="68" t="s">
        <v>3410</v>
      </c>
      <c r="H1018" s="122">
        <v>44490</v>
      </c>
      <c r="I1018" s="68" t="s">
        <v>3515</v>
      </c>
      <c r="J1018" s="68">
        <v>253.2</v>
      </c>
      <c r="K1018" s="68" t="s">
        <v>3691</v>
      </c>
      <c r="L1018" s="68" t="s">
        <v>3692</v>
      </c>
    </row>
    <row r="1019" spans="1:12" x14ac:dyDescent="0.25">
      <c r="A1019" s="68" t="s">
        <v>1011</v>
      </c>
      <c r="B1019" s="68" t="s">
        <v>1838</v>
      </c>
      <c r="C1019" s="68" t="s">
        <v>2630</v>
      </c>
      <c r="D1019" s="68" t="s">
        <v>1011</v>
      </c>
      <c r="F1019" s="68" t="s">
        <v>3411</v>
      </c>
      <c r="H1019" s="122">
        <v>44487</v>
      </c>
      <c r="I1019" s="68" t="s">
        <v>3515</v>
      </c>
      <c r="J1019" s="68">
        <v>595.20000000000005</v>
      </c>
      <c r="K1019" s="68" t="s">
        <v>3691</v>
      </c>
      <c r="L1019" s="68" t="s">
        <v>3692</v>
      </c>
    </row>
    <row r="1020" spans="1:12" x14ac:dyDescent="0.25">
      <c r="A1020" s="68" t="s">
        <v>1012</v>
      </c>
      <c r="B1020" s="68" t="s">
        <v>1839</v>
      </c>
      <c r="C1020" s="68" t="s">
        <v>2631</v>
      </c>
      <c r="D1020" s="68" t="s">
        <v>1012</v>
      </c>
      <c r="F1020" s="68" t="s">
        <v>3412</v>
      </c>
      <c r="H1020" s="122">
        <v>44490</v>
      </c>
      <c r="I1020" s="68" t="s">
        <v>3541</v>
      </c>
      <c r="J1020" s="68">
        <v>253.2</v>
      </c>
      <c r="K1020" s="68" t="s">
        <v>3691</v>
      </c>
      <c r="L1020" s="68" t="s">
        <v>3692</v>
      </c>
    </row>
    <row r="1021" spans="1:12" x14ac:dyDescent="0.25">
      <c r="A1021" s="68" t="s">
        <v>1013</v>
      </c>
      <c r="B1021" s="68" t="s">
        <v>1840</v>
      </c>
      <c r="C1021" s="68" t="s">
        <v>1995</v>
      </c>
      <c r="D1021" s="68" t="s">
        <v>1013</v>
      </c>
      <c r="F1021" s="68" t="s">
        <v>3413</v>
      </c>
      <c r="H1021" s="122">
        <v>44484</v>
      </c>
      <c r="I1021" s="68" t="s">
        <v>3515</v>
      </c>
      <c r="J1021" s="68">
        <v>266</v>
      </c>
      <c r="K1021" s="68" t="s">
        <v>3691</v>
      </c>
      <c r="L1021" s="68" t="s">
        <v>3692</v>
      </c>
    </row>
    <row r="1022" spans="1:12" x14ac:dyDescent="0.25">
      <c r="A1022" s="68" t="s">
        <v>999</v>
      </c>
      <c r="B1022" s="68" t="s">
        <v>1826</v>
      </c>
      <c r="C1022" s="68" t="s">
        <v>2619</v>
      </c>
      <c r="D1022" s="68" t="s">
        <v>999</v>
      </c>
      <c r="F1022" s="68" t="s">
        <v>3399</v>
      </c>
      <c r="H1022" s="122">
        <v>44475</v>
      </c>
      <c r="I1022" s="68" t="s">
        <v>3539</v>
      </c>
      <c r="J1022" s="68">
        <v>216</v>
      </c>
      <c r="K1022" s="68" t="s">
        <v>3691</v>
      </c>
      <c r="L1022" s="68" t="s">
        <v>3692</v>
      </c>
    </row>
    <row r="1023" spans="1:12" x14ac:dyDescent="0.25">
      <c r="A1023" s="68" t="s">
        <v>1014</v>
      </c>
      <c r="B1023" s="68" t="s">
        <v>1841</v>
      </c>
      <c r="C1023" s="68" t="s">
        <v>2632</v>
      </c>
      <c r="D1023" s="68" t="s">
        <v>1014</v>
      </c>
      <c r="F1023" s="68" t="s">
        <v>3414</v>
      </c>
      <c r="H1023" s="122">
        <v>44475</v>
      </c>
      <c r="I1023" s="68" t="s">
        <v>3539</v>
      </c>
      <c r="J1023" s="68">
        <v>470</v>
      </c>
      <c r="K1023" s="68" t="s">
        <v>3691</v>
      </c>
      <c r="L1023" s="68" t="s">
        <v>3692</v>
      </c>
    </row>
    <row r="1024" spans="1:12" x14ac:dyDescent="0.25">
      <c r="A1024" s="68" t="s">
        <v>1015</v>
      </c>
      <c r="B1024" s="68" t="s">
        <v>1842</v>
      </c>
      <c r="C1024" s="68" t="s">
        <v>2633</v>
      </c>
      <c r="D1024" s="68" t="s">
        <v>1015</v>
      </c>
      <c r="F1024" s="68" t="s">
        <v>3415</v>
      </c>
      <c r="H1024" s="122">
        <v>44471</v>
      </c>
      <c r="I1024" s="68" t="s">
        <v>3438</v>
      </c>
      <c r="J1024" s="68">
        <v>182.8</v>
      </c>
      <c r="K1024" s="68" t="s">
        <v>3691</v>
      </c>
      <c r="L1024" s="68" t="s">
        <v>3692</v>
      </c>
    </row>
    <row r="1025" spans="1:12" x14ac:dyDescent="0.25">
      <c r="A1025" s="68" t="s">
        <v>990</v>
      </c>
      <c r="B1025" s="68" t="s">
        <v>1817</v>
      </c>
      <c r="C1025" s="68" t="s">
        <v>2611</v>
      </c>
      <c r="D1025" s="68" t="s">
        <v>990</v>
      </c>
      <c r="F1025" s="68" t="s">
        <v>3390</v>
      </c>
      <c r="H1025" s="122">
        <v>44468</v>
      </c>
      <c r="I1025" s="68" t="s">
        <v>3540</v>
      </c>
      <c r="J1025" s="68">
        <v>930</v>
      </c>
      <c r="K1025" s="68" t="s">
        <v>3691</v>
      </c>
      <c r="L1025" s="68" t="s">
        <v>3692</v>
      </c>
    </row>
    <row r="1026" spans="1:12" x14ac:dyDescent="0.25">
      <c r="A1026" s="68" t="s">
        <v>1016</v>
      </c>
      <c r="B1026" s="68" t="s">
        <v>1843</v>
      </c>
      <c r="C1026" s="68" t="s">
        <v>2634</v>
      </c>
      <c r="D1026" s="68" t="s">
        <v>1016</v>
      </c>
      <c r="F1026" s="68" t="s">
        <v>3416</v>
      </c>
      <c r="H1026" s="122">
        <v>44468</v>
      </c>
      <c r="I1026" s="68" t="s">
        <v>3540</v>
      </c>
      <c r="J1026" s="68">
        <v>190.8</v>
      </c>
      <c r="K1026" s="68" t="s">
        <v>3691</v>
      </c>
      <c r="L1026" s="68" t="s">
        <v>3692</v>
      </c>
    </row>
    <row r="1027" spans="1:12" x14ac:dyDescent="0.25">
      <c r="A1027" s="68" t="s">
        <v>1017</v>
      </c>
      <c r="B1027" s="68" t="s">
        <v>1844</v>
      </c>
      <c r="C1027" s="68" t="s">
        <v>2635</v>
      </c>
      <c r="D1027" s="68" t="s">
        <v>1017</v>
      </c>
      <c r="F1027" s="68" t="s">
        <v>3417</v>
      </c>
      <c r="H1027" s="122">
        <v>44468</v>
      </c>
      <c r="I1027" s="68" t="s">
        <v>3540</v>
      </c>
      <c r="J1027" s="68">
        <v>250.8</v>
      </c>
      <c r="K1027" s="68" t="s">
        <v>3691</v>
      </c>
      <c r="L1027" s="68" t="s">
        <v>3692</v>
      </c>
    </row>
    <row r="1028" spans="1:12" x14ac:dyDescent="0.25">
      <c r="A1028" s="68" t="s">
        <v>1018</v>
      </c>
      <c r="B1028" s="68" t="s">
        <v>1845</v>
      </c>
      <c r="C1028" s="68" t="s">
        <v>2636</v>
      </c>
      <c r="D1028" s="68" t="s">
        <v>1018</v>
      </c>
      <c r="F1028" s="68" t="s">
        <v>3418</v>
      </c>
      <c r="H1028" s="122">
        <v>44467</v>
      </c>
      <c r="I1028" s="68" t="s">
        <v>3621</v>
      </c>
      <c r="J1028" s="68">
        <v>2600.4</v>
      </c>
      <c r="K1028" s="68" t="s">
        <v>3691</v>
      </c>
      <c r="L1028" s="68" t="s">
        <v>3692</v>
      </c>
    </row>
    <row r="1029" spans="1:12" x14ac:dyDescent="0.25">
      <c r="A1029" s="68" t="s">
        <v>1019</v>
      </c>
      <c r="B1029" s="68" t="s">
        <v>1846</v>
      </c>
      <c r="C1029" s="68" t="s">
        <v>2637</v>
      </c>
      <c r="D1029" s="68" t="s">
        <v>1019</v>
      </c>
      <c r="F1029" s="68" t="s">
        <v>3419</v>
      </c>
      <c r="H1029" s="122">
        <v>44467</v>
      </c>
      <c r="I1029" s="68" t="s">
        <v>3466</v>
      </c>
      <c r="J1029" s="68">
        <v>88.8</v>
      </c>
      <c r="K1029" s="68" t="s">
        <v>3691</v>
      </c>
      <c r="L1029" s="68" t="s">
        <v>3692</v>
      </c>
    </row>
    <row r="1030" spans="1:12" x14ac:dyDescent="0.25">
      <c r="A1030" s="68" t="s">
        <v>1020</v>
      </c>
      <c r="B1030" s="68" t="s">
        <v>1847</v>
      </c>
      <c r="C1030" s="68" t="s">
        <v>2638</v>
      </c>
      <c r="D1030" s="68" t="s">
        <v>1020</v>
      </c>
      <c r="F1030" s="68" t="s">
        <v>3420</v>
      </c>
      <c r="H1030" s="122">
        <v>44467</v>
      </c>
      <c r="I1030" s="68" t="s">
        <v>3621</v>
      </c>
      <c r="J1030" s="68">
        <v>341.6</v>
      </c>
      <c r="K1030" s="68" t="s">
        <v>3691</v>
      </c>
      <c r="L1030" s="68" t="s">
        <v>3692</v>
      </c>
    </row>
    <row r="1031" spans="1:12" x14ac:dyDescent="0.25">
      <c r="A1031" s="68" t="s">
        <v>1021</v>
      </c>
      <c r="B1031" s="68" t="s">
        <v>1848</v>
      </c>
      <c r="C1031" s="68" t="s">
        <v>2639</v>
      </c>
      <c r="D1031" s="68" t="s">
        <v>1021</v>
      </c>
      <c r="F1031" s="68" t="s">
        <v>3421</v>
      </c>
      <c r="H1031" s="122">
        <v>44410</v>
      </c>
      <c r="I1031" s="68" t="s">
        <v>3621</v>
      </c>
      <c r="J1031" s="68">
        <v>61.2</v>
      </c>
      <c r="K1031" s="68" t="s">
        <v>3691</v>
      </c>
      <c r="L1031" s="68" t="s">
        <v>3692</v>
      </c>
    </row>
    <row r="1032" spans="1:12" x14ac:dyDescent="0.25">
      <c r="A1032" s="68" t="s">
        <v>984</v>
      </c>
      <c r="B1032" s="68" t="s">
        <v>1811</v>
      </c>
      <c r="C1032" s="68" t="s">
        <v>2606</v>
      </c>
      <c r="D1032" s="68" t="s">
        <v>984</v>
      </c>
      <c r="F1032" s="68" t="s">
        <v>3384</v>
      </c>
      <c r="H1032" s="122">
        <v>44460</v>
      </c>
      <c r="I1032" s="68" t="s">
        <v>3543</v>
      </c>
      <c r="J1032" s="68">
        <v>200.4</v>
      </c>
      <c r="K1032" s="68" t="s">
        <v>3691</v>
      </c>
      <c r="L1032" s="68" t="s">
        <v>3692</v>
      </c>
    </row>
    <row r="1033" spans="1:12" x14ac:dyDescent="0.25">
      <c r="A1033" s="68" t="s">
        <v>1022</v>
      </c>
      <c r="B1033" s="68" t="s">
        <v>1849</v>
      </c>
      <c r="C1033" s="68" t="s">
        <v>2640</v>
      </c>
      <c r="D1033" s="68" t="s">
        <v>1022</v>
      </c>
      <c r="F1033" s="68" t="s">
        <v>3422</v>
      </c>
      <c r="H1033" s="122">
        <v>44453</v>
      </c>
      <c r="I1033" s="68" t="s">
        <v>3545</v>
      </c>
      <c r="J1033" s="68">
        <v>1062</v>
      </c>
      <c r="K1033" s="68" t="s">
        <v>3691</v>
      </c>
      <c r="L1033" s="68" t="s">
        <v>3692</v>
      </c>
    </row>
    <row r="1034" spans="1:12" x14ac:dyDescent="0.25">
      <c r="A1034" s="68" t="s">
        <v>1021</v>
      </c>
      <c r="B1034" s="68" t="s">
        <v>1848</v>
      </c>
      <c r="C1034" s="68" t="s">
        <v>2639</v>
      </c>
      <c r="D1034" s="68" t="s">
        <v>1021</v>
      </c>
      <c r="F1034" s="68" t="s">
        <v>3421</v>
      </c>
      <c r="H1034" s="122">
        <v>44452</v>
      </c>
      <c r="I1034" s="68" t="s">
        <v>3486</v>
      </c>
      <c r="J1034" s="68">
        <v>138</v>
      </c>
      <c r="K1034" s="68" t="s">
        <v>3691</v>
      </c>
      <c r="L1034" s="68" t="s">
        <v>3692</v>
      </c>
    </row>
    <row r="1035" spans="1:12" x14ac:dyDescent="0.25">
      <c r="A1035" s="68" t="s">
        <v>1023</v>
      </c>
      <c r="B1035" s="68" t="s">
        <v>1850</v>
      </c>
      <c r="C1035" s="68" t="s">
        <v>2641</v>
      </c>
      <c r="D1035" s="68" t="s">
        <v>1023</v>
      </c>
      <c r="F1035" s="68" t="s">
        <v>3423</v>
      </c>
      <c r="H1035" s="122">
        <v>44441</v>
      </c>
      <c r="I1035" s="68" t="s">
        <v>3517</v>
      </c>
      <c r="J1035" s="68">
        <v>441.2</v>
      </c>
      <c r="K1035" s="68" t="s">
        <v>3691</v>
      </c>
      <c r="L1035" s="68" t="s">
        <v>3692</v>
      </c>
    </row>
    <row r="1036" spans="1:12" x14ac:dyDescent="0.25">
      <c r="A1036" s="68" t="s">
        <v>1024</v>
      </c>
      <c r="B1036" s="68" t="s">
        <v>1851</v>
      </c>
      <c r="C1036" s="68" t="s">
        <v>2642</v>
      </c>
      <c r="D1036" s="68" t="s">
        <v>1024</v>
      </c>
      <c r="F1036" s="68" t="s">
        <v>3424</v>
      </c>
      <c r="H1036" s="122">
        <v>44433</v>
      </c>
      <c r="I1036" s="68" t="s">
        <v>3477</v>
      </c>
      <c r="J1036" s="68">
        <v>2600.4</v>
      </c>
      <c r="K1036" s="68" t="s">
        <v>3691</v>
      </c>
      <c r="L1036" s="68" t="s">
        <v>3692</v>
      </c>
    </row>
    <row r="1037" spans="1:12" x14ac:dyDescent="0.25">
      <c r="A1037" s="68" t="s">
        <v>1025</v>
      </c>
      <c r="B1037" s="68" t="s">
        <v>1852</v>
      </c>
      <c r="C1037" s="68" t="s">
        <v>2643</v>
      </c>
      <c r="D1037" s="68" t="s">
        <v>1025</v>
      </c>
      <c r="F1037" s="68" t="s">
        <v>3425</v>
      </c>
      <c r="H1037" s="122">
        <v>44429</v>
      </c>
      <c r="I1037" s="68" t="s">
        <v>3518</v>
      </c>
      <c r="J1037" s="68">
        <v>2794.8</v>
      </c>
      <c r="K1037" s="68" t="s">
        <v>3691</v>
      </c>
      <c r="L1037" s="68" t="s">
        <v>3692</v>
      </c>
    </row>
    <row r="1038" spans="1:12" x14ac:dyDescent="0.25">
      <c r="A1038" s="68" t="s">
        <v>1026</v>
      </c>
      <c r="B1038" s="68" t="s">
        <v>1853</v>
      </c>
      <c r="C1038" s="68" t="s">
        <v>2644</v>
      </c>
      <c r="D1038" s="68" t="s">
        <v>1026</v>
      </c>
      <c r="F1038" s="68" t="s">
        <v>3426</v>
      </c>
      <c r="H1038" s="122">
        <v>44427</v>
      </c>
      <c r="I1038" s="68" t="s">
        <v>3518</v>
      </c>
      <c r="J1038" s="68">
        <v>337.6</v>
      </c>
      <c r="K1038" s="68" t="s">
        <v>3691</v>
      </c>
      <c r="L1038" s="68" t="s">
        <v>3692</v>
      </c>
    </row>
    <row r="1039" spans="1:12" x14ac:dyDescent="0.25">
      <c r="A1039" s="68" t="s">
        <v>1022</v>
      </c>
      <c r="B1039" s="68" t="s">
        <v>1849</v>
      </c>
      <c r="C1039" s="68" t="s">
        <v>2640</v>
      </c>
      <c r="D1039" s="68" t="s">
        <v>1022</v>
      </c>
      <c r="F1039" s="68" t="s">
        <v>3422</v>
      </c>
      <c r="H1039" s="122">
        <v>44425</v>
      </c>
      <c r="I1039" s="68" t="s">
        <v>3518</v>
      </c>
      <c r="J1039" s="68">
        <v>1009.2</v>
      </c>
      <c r="K1039" s="68" t="s">
        <v>3691</v>
      </c>
      <c r="L1039" s="68" t="s">
        <v>3692</v>
      </c>
    </row>
    <row r="1040" spans="1:12" x14ac:dyDescent="0.25">
      <c r="A1040" s="68" t="s">
        <v>1027</v>
      </c>
      <c r="B1040" s="68" t="s">
        <v>1854</v>
      </c>
      <c r="C1040" s="68" t="s">
        <v>2645</v>
      </c>
      <c r="D1040" s="68" t="s">
        <v>1027</v>
      </c>
      <c r="F1040" s="68" t="s">
        <v>3427</v>
      </c>
      <c r="H1040" s="122">
        <v>44415</v>
      </c>
      <c r="I1040" s="68" t="s">
        <v>3636</v>
      </c>
      <c r="J1040" s="68">
        <v>1142.4000000000001</v>
      </c>
      <c r="K1040" s="68" t="s">
        <v>3691</v>
      </c>
      <c r="L1040" s="68" t="s">
        <v>3692</v>
      </c>
    </row>
    <row r="1041" spans="1:12" x14ac:dyDescent="0.25">
      <c r="A1041" s="68" t="s">
        <v>983</v>
      </c>
      <c r="B1041" s="68" t="s">
        <v>1810</v>
      </c>
      <c r="C1041" s="68" t="s">
        <v>2605</v>
      </c>
      <c r="D1041" s="68" t="s">
        <v>983</v>
      </c>
      <c r="F1041" s="68" t="s">
        <v>3383</v>
      </c>
      <c r="H1041" s="122">
        <v>44401</v>
      </c>
      <c r="I1041" s="68" t="s">
        <v>3637</v>
      </c>
      <c r="J1041" s="68">
        <v>1062</v>
      </c>
      <c r="K1041" s="68" t="s">
        <v>3691</v>
      </c>
      <c r="L1041" s="68" t="s">
        <v>3692</v>
      </c>
    </row>
    <row r="1042" spans="1:12" x14ac:dyDescent="0.25">
      <c r="A1042" s="68" t="s">
        <v>1028</v>
      </c>
      <c r="B1042" s="68" t="s">
        <v>1855</v>
      </c>
      <c r="C1042" s="68" t="s">
        <v>2646</v>
      </c>
      <c r="D1042" s="68" t="s">
        <v>1028</v>
      </c>
      <c r="F1042" s="68" t="s">
        <v>3428</v>
      </c>
      <c r="H1042" s="122">
        <v>44403</v>
      </c>
      <c r="I1042" s="68" t="s">
        <v>3548</v>
      </c>
      <c r="J1042" s="68">
        <v>106.4</v>
      </c>
      <c r="K1042" s="68" t="s">
        <v>3691</v>
      </c>
      <c r="L1042" s="68" t="s">
        <v>3692</v>
      </c>
    </row>
    <row r="1043" spans="1:12" x14ac:dyDescent="0.25">
      <c r="A1043" s="68" t="s">
        <v>1029</v>
      </c>
      <c r="B1043" s="68" t="s">
        <v>1856</v>
      </c>
      <c r="C1043" s="68" t="s">
        <v>2647</v>
      </c>
      <c r="D1043" s="68" t="s">
        <v>1029</v>
      </c>
      <c r="F1043" s="68" t="s">
        <v>3429</v>
      </c>
      <c r="H1043" s="122">
        <v>44396</v>
      </c>
      <c r="I1043" s="68" t="s">
        <v>3548</v>
      </c>
      <c r="J1043" s="68">
        <v>61.2</v>
      </c>
      <c r="K1043" s="68" t="s">
        <v>3691</v>
      </c>
      <c r="L1043" s="68" t="s">
        <v>3692</v>
      </c>
    </row>
    <row r="1044" spans="1:12" x14ac:dyDescent="0.25">
      <c r="A1044" s="68" t="s">
        <v>1017</v>
      </c>
      <c r="B1044" s="68" t="s">
        <v>1844</v>
      </c>
      <c r="C1044" s="68" t="s">
        <v>2635</v>
      </c>
      <c r="D1044" s="68" t="s">
        <v>1017</v>
      </c>
      <c r="F1044" s="68" t="s">
        <v>3417</v>
      </c>
      <c r="H1044" s="122">
        <v>44333</v>
      </c>
      <c r="I1044" s="68" t="s">
        <v>3446</v>
      </c>
      <c r="J1044" s="68">
        <v>98.8</v>
      </c>
      <c r="K1044" s="68" t="s">
        <v>3691</v>
      </c>
      <c r="L1044" s="68" t="s">
        <v>3692</v>
      </c>
    </row>
    <row r="1045" spans="1:12" x14ac:dyDescent="0.25">
      <c r="A1045" s="68" t="s">
        <v>1030</v>
      </c>
      <c r="B1045" s="68" t="s">
        <v>1857</v>
      </c>
      <c r="C1045" s="68" t="s">
        <v>2648</v>
      </c>
      <c r="D1045" s="68" t="s">
        <v>1030</v>
      </c>
      <c r="F1045" s="68" t="s">
        <v>3430</v>
      </c>
      <c r="H1045" s="122">
        <v>44340</v>
      </c>
      <c r="I1045" s="68" t="s">
        <v>3638</v>
      </c>
      <c r="J1045" s="68">
        <v>960</v>
      </c>
      <c r="K1045" s="68" t="s">
        <v>3691</v>
      </c>
      <c r="L1045" s="68" t="s">
        <v>3692</v>
      </c>
    </row>
    <row r="1046" spans="1:12" x14ac:dyDescent="0.25">
      <c r="A1046" s="68" t="s">
        <v>1031</v>
      </c>
      <c r="B1046" s="68" t="s">
        <v>1858</v>
      </c>
      <c r="C1046" s="68" t="s">
        <v>2649</v>
      </c>
      <c r="D1046" s="68" t="s">
        <v>1031</v>
      </c>
      <c r="F1046" s="68" t="s">
        <v>3431</v>
      </c>
      <c r="H1046" s="122">
        <v>44327</v>
      </c>
      <c r="I1046" s="68" t="s">
        <v>3558</v>
      </c>
      <c r="J1046" s="68">
        <v>302.39999999999998</v>
      </c>
      <c r="K1046" s="68" t="s">
        <v>3691</v>
      </c>
      <c r="L1046" s="68" t="s">
        <v>3692</v>
      </c>
    </row>
    <row r="1047" spans="1:12" x14ac:dyDescent="0.25">
      <c r="A1047" s="68" t="s">
        <v>1032</v>
      </c>
      <c r="B1047" s="68" t="s">
        <v>1859</v>
      </c>
      <c r="C1047" s="68" t="s">
        <v>2650</v>
      </c>
      <c r="D1047" s="68" t="s">
        <v>1032</v>
      </c>
      <c r="F1047" s="68" t="s">
        <v>3432</v>
      </c>
      <c r="H1047" s="122">
        <v>44312</v>
      </c>
      <c r="I1047" s="68" t="s">
        <v>3639</v>
      </c>
      <c r="J1047" s="68">
        <v>1032</v>
      </c>
      <c r="K1047" s="68" t="s">
        <v>3691</v>
      </c>
      <c r="L1047" s="68" t="s">
        <v>3692</v>
      </c>
    </row>
    <row r="1048" spans="1:12" x14ac:dyDescent="0.25">
      <c r="A1048" s="68" t="s">
        <v>1032</v>
      </c>
      <c r="B1048" s="68" t="s">
        <v>1859</v>
      </c>
      <c r="C1048" s="68" t="s">
        <v>2650</v>
      </c>
      <c r="D1048" s="68" t="s">
        <v>1032</v>
      </c>
      <c r="F1048" s="68" t="s">
        <v>3433</v>
      </c>
      <c r="H1048" s="122">
        <v>44307</v>
      </c>
      <c r="I1048" s="68" t="s">
        <v>3470</v>
      </c>
      <c r="J1048" s="68">
        <v>290</v>
      </c>
      <c r="K1048" s="68" t="s">
        <v>3691</v>
      </c>
      <c r="L1048" s="68" t="s">
        <v>3692</v>
      </c>
    </row>
    <row r="1049" spans="1:12" x14ac:dyDescent="0.25">
      <c r="A1049" s="68" t="s">
        <v>1033</v>
      </c>
      <c r="B1049" s="68" t="s">
        <v>1860</v>
      </c>
      <c r="C1049" s="68" t="s">
        <v>2651</v>
      </c>
      <c r="D1049" s="68" t="s">
        <v>1033</v>
      </c>
      <c r="F1049" s="68" t="s">
        <v>3434</v>
      </c>
      <c r="H1049" s="122">
        <v>44286</v>
      </c>
      <c r="I1049" s="68" t="s">
        <v>3563</v>
      </c>
      <c r="J1049" s="68">
        <v>238</v>
      </c>
      <c r="K1049" s="68" t="s">
        <v>3691</v>
      </c>
      <c r="L1049" s="68" t="s">
        <v>3692</v>
      </c>
    </row>
    <row r="1050" spans="1:12" x14ac:dyDescent="0.25">
      <c r="A1050" s="68" t="s">
        <v>1034</v>
      </c>
      <c r="B1050" s="68" t="s">
        <v>1861</v>
      </c>
      <c r="C1050" s="68" t="s">
        <v>2652</v>
      </c>
      <c r="D1050" s="68" t="s">
        <v>1034</v>
      </c>
      <c r="F1050" s="68" t="s">
        <v>3435</v>
      </c>
      <c r="H1050" s="122">
        <v>44286</v>
      </c>
      <c r="I1050" s="68" t="s">
        <v>3563</v>
      </c>
      <c r="J1050" s="68">
        <v>178.4</v>
      </c>
      <c r="K1050" s="68" t="s">
        <v>3691</v>
      </c>
      <c r="L1050" s="68" t="s">
        <v>3692</v>
      </c>
    </row>
    <row r="1051" spans="1:12" x14ac:dyDescent="0.25">
      <c r="A1051" s="68" t="s">
        <v>1035</v>
      </c>
      <c r="B1051" s="68" t="s">
        <v>1862</v>
      </c>
      <c r="C1051" s="68" t="s">
        <v>2653</v>
      </c>
      <c r="D1051" s="68" t="s">
        <v>1035</v>
      </c>
      <c r="F1051" s="68" t="s">
        <v>3436</v>
      </c>
      <c r="H1051" s="122">
        <v>44181</v>
      </c>
      <c r="I1051" s="68" t="s">
        <v>3574</v>
      </c>
      <c r="J1051" s="68">
        <v>532</v>
      </c>
      <c r="K1051" s="68" t="s">
        <v>3691</v>
      </c>
      <c r="L1051" s="68" t="s">
        <v>3692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D11"/>
  <sheetViews>
    <sheetView showGridLines="0" workbookViewId="0">
      <selection activeCell="A2" sqref="A2:D2"/>
    </sheetView>
  </sheetViews>
  <sheetFormatPr defaultRowHeight="15" x14ac:dyDescent="0.25"/>
  <cols>
    <col min="1" max="1" width="20" bestFit="1" customWidth="1"/>
    <col min="4" max="4" width="33.42578125" customWidth="1"/>
    <col min="11" max="11" width="34" customWidth="1"/>
  </cols>
  <sheetData>
    <row r="1" spans="1:4" ht="34.5" customHeight="1" x14ac:dyDescent="0.5">
      <c r="A1" s="136" t="s">
        <v>149</v>
      </c>
      <c r="B1" s="136"/>
      <c r="C1" s="136"/>
      <c r="D1" s="136"/>
    </row>
    <row r="2" spans="1:4" ht="23.25" x14ac:dyDescent="0.35">
      <c r="A2" s="140" t="s">
        <v>170</v>
      </c>
      <c r="B2" s="141"/>
      <c r="C2" s="141"/>
      <c r="D2" s="142"/>
    </row>
    <row r="3" spans="1:4" ht="23.25" customHeight="1" x14ac:dyDescent="0.35">
      <c r="A3" s="137" t="s">
        <v>162</v>
      </c>
      <c r="B3" s="138"/>
      <c r="C3" s="138"/>
      <c r="D3" s="139"/>
    </row>
    <row r="4" spans="1:4" ht="21" x14ac:dyDescent="0.35">
      <c r="A4" s="137" t="s">
        <v>163</v>
      </c>
      <c r="B4" s="138"/>
      <c r="C4" s="138"/>
      <c r="D4" s="139"/>
    </row>
    <row r="5" spans="1:4" ht="21" x14ac:dyDescent="0.35">
      <c r="A5" s="137" t="s">
        <v>164</v>
      </c>
      <c r="B5" s="138"/>
      <c r="C5" s="138"/>
      <c r="D5" s="139"/>
    </row>
    <row r="6" spans="1:4" ht="21" x14ac:dyDescent="0.35">
      <c r="A6" s="137" t="s">
        <v>152</v>
      </c>
      <c r="B6" s="138"/>
      <c r="C6" s="138"/>
      <c r="D6" s="139"/>
    </row>
    <row r="7" spans="1:4" ht="21" x14ac:dyDescent="0.35">
      <c r="A7" s="137" t="s">
        <v>165</v>
      </c>
      <c r="B7" s="138"/>
      <c r="C7" s="138"/>
      <c r="D7" s="139"/>
    </row>
    <row r="8" spans="1:4" ht="21" x14ac:dyDescent="0.35">
      <c r="A8" s="135" t="s">
        <v>166</v>
      </c>
      <c r="B8" s="135"/>
      <c r="C8" s="135"/>
      <c r="D8" s="135"/>
    </row>
    <row r="9" spans="1:4" ht="21" x14ac:dyDescent="0.35">
      <c r="A9" s="135" t="s">
        <v>167</v>
      </c>
      <c r="B9" s="135"/>
      <c r="C9" s="135"/>
      <c r="D9" s="135"/>
    </row>
    <row r="10" spans="1:4" ht="21" x14ac:dyDescent="0.35">
      <c r="A10" s="135" t="s">
        <v>168</v>
      </c>
      <c r="B10" s="135"/>
      <c r="C10" s="135"/>
      <c r="D10" s="135"/>
    </row>
    <row r="11" spans="1:4" ht="21" x14ac:dyDescent="0.35">
      <c r="A11" s="135" t="s">
        <v>169</v>
      </c>
      <c r="B11" s="135"/>
      <c r="C11" s="135"/>
      <c r="D11" s="135"/>
    </row>
  </sheetData>
  <sheetProtection algorithmName="SHA-512" hashValue="dvrr0UQVVWwue0GLJvk/vKiEBMFxEQozZZY36oE7vUuOwNAhWu33FNtcmi+W0Oc0pxrAnphyj6UZDZssEEMZTw==" saltValue="6QDQW5kxwinLKiHUO63xhA==" spinCount="100000" sheet="1" objects="1" scenarios="1"/>
  <mergeCells count="11">
    <mergeCell ref="A10:D10"/>
    <mergeCell ref="A11:D11"/>
    <mergeCell ref="A1:D1"/>
    <mergeCell ref="A3:D3"/>
    <mergeCell ref="A7:D7"/>
    <mergeCell ref="A8:D8"/>
    <mergeCell ref="A9:D9"/>
    <mergeCell ref="A2:D2"/>
    <mergeCell ref="A4:D4"/>
    <mergeCell ref="A5:D5"/>
    <mergeCell ref="A6:D6"/>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E23"/>
  <sheetViews>
    <sheetView workbookViewId="0">
      <selection activeCell="E10" sqref="E10"/>
    </sheetView>
  </sheetViews>
  <sheetFormatPr defaultRowHeight="15" x14ac:dyDescent="0.25"/>
  <cols>
    <col min="1" max="1" width="31.5703125" bestFit="1" customWidth="1"/>
    <col min="2" max="2" width="44.140625" customWidth="1"/>
    <col min="3" max="3" width="79" bestFit="1" customWidth="1"/>
    <col min="5" max="5" width="24.140625" customWidth="1"/>
  </cols>
  <sheetData>
    <row r="1" spans="1:5" ht="27" customHeight="1" x14ac:dyDescent="0.4">
      <c r="A1" s="143" t="s">
        <v>90</v>
      </c>
      <c r="B1" s="144"/>
      <c r="C1" s="144"/>
      <c r="E1" s="18" t="s">
        <v>191</v>
      </c>
    </row>
    <row r="2" spans="1:5" ht="15" customHeight="1" x14ac:dyDescent="0.25">
      <c r="A2" s="143"/>
      <c r="B2" s="144"/>
      <c r="C2" s="144"/>
      <c r="E2" t="s">
        <v>199</v>
      </c>
    </row>
    <row r="3" spans="1:5" x14ac:dyDescent="0.25">
      <c r="A3" s="14" t="s">
        <v>25</v>
      </c>
      <c r="B3" s="14" t="s">
        <v>51</v>
      </c>
      <c r="C3" s="14" t="s">
        <v>105</v>
      </c>
      <c r="E3" t="s">
        <v>113</v>
      </c>
    </row>
    <row r="4" spans="1:5" x14ac:dyDescent="0.25">
      <c r="A4" s="10" t="s">
        <v>6</v>
      </c>
      <c r="B4" s="10" t="s">
        <v>71</v>
      </c>
      <c r="C4" s="10" t="s">
        <v>107</v>
      </c>
      <c r="E4" t="s">
        <v>100</v>
      </c>
    </row>
    <row r="5" spans="1:5" x14ac:dyDescent="0.25">
      <c r="A5" s="12" t="s">
        <v>8</v>
      </c>
      <c r="B5" s="11" t="s">
        <v>72</v>
      </c>
      <c r="C5" s="11" t="s">
        <v>103</v>
      </c>
      <c r="E5" t="s">
        <v>193</v>
      </c>
    </row>
    <row r="6" spans="1:5" x14ac:dyDescent="0.25">
      <c r="A6" s="10" t="s">
        <v>10</v>
      </c>
      <c r="B6" s="10" t="s">
        <v>73</v>
      </c>
      <c r="C6" s="10" t="s">
        <v>107</v>
      </c>
      <c r="E6" t="s">
        <v>192</v>
      </c>
    </row>
    <row r="7" spans="1:5" x14ac:dyDescent="0.25">
      <c r="A7" s="11" t="s">
        <v>6</v>
      </c>
      <c r="B7" s="11" t="s">
        <v>74</v>
      </c>
      <c r="C7" s="11" t="s">
        <v>107</v>
      </c>
      <c r="E7" t="s">
        <v>194</v>
      </c>
    </row>
    <row r="8" spans="1:5" x14ac:dyDescent="0.25">
      <c r="A8" s="10" t="s">
        <v>6</v>
      </c>
      <c r="B8" s="10" t="s">
        <v>75</v>
      </c>
      <c r="C8" s="10" t="s">
        <v>107</v>
      </c>
      <c r="E8" t="s">
        <v>195</v>
      </c>
    </row>
    <row r="9" spans="1:5" x14ac:dyDescent="0.25">
      <c r="A9" s="12" t="s">
        <v>28</v>
      </c>
      <c r="B9" s="11" t="s">
        <v>76</v>
      </c>
      <c r="C9" s="11" t="s">
        <v>112</v>
      </c>
    </row>
    <row r="10" spans="1:5" x14ac:dyDescent="0.25">
      <c r="A10" s="10" t="s">
        <v>6</v>
      </c>
      <c r="B10" s="10" t="s">
        <v>77</v>
      </c>
      <c r="C10" s="10" t="s">
        <v>107</v>
      </c>
    </row>
    <row r="11" spans="1:5" x14ac:dyDescent="0.25">
      <c r="A11" s="11" t="s">
        <v>10</v>
      </c>
      <c r="B11" s="11" t="s">
        <v>78</v>
      </c>
      <c r="C11" s="11" t="s">
        <v>107</v>
      </c>
    </row>
    <row r="12" spans="1:5" x14ac:dyDescent="0.25">
      <c r="A12" s="10" t="s">
        <v>6</v>
      </c>
      <c r="B12" s="10" t="s">
        <v>79</v>
      </c>
      <c r="C12" s="10" t="s">
        <v>107</v>
      </c>
    </row>
    <row r="13" spans="1:5" x14ac:dyDescent="0.25">
      <c r="A13" s="11" t="s">
        <v>6</v>
      </c>
      <c r="B13" s="11" t="s">
        <v>80</v>
      </c>
      <c r="C13" s="11" t="s">
        <v>107</v>
      </c>
    </row>
    <row r="14" spans="1:5" x14ac:dyDescent="0.25">
      <c r="A14" s="10" t="s">
        <v>29</v>
      </c>
      <c r="B14" s="10" t="s">
        <v>81</v>
      </c>
      <c r="C14" s="10" t="s">
        <v>107</v>
      </c>
    </row>
    <row r="15" spans="1:5" x14ac:dyDescent="0.25">
      <c r="A15" s="11" t="s">
        <v>6</v>
      </c>
      <c r="B15" s="11" t="s">
        <v>82</v>
      </c>
      <c r="C15" s="11" t="s">
        <v>107</v>
      </c>
    </row>
    <row r="16" spans="1:5" x14ac:dyDescent="0.25">
      <c r="A16" s="10" t="s">
        <v>29</v>
      </c>
      <c r="B16" s="10" t="s">
        <v>83</v>
      </c>
      <c r="C16" s="10" t="s">
        <v>107</v>
      </c>
    </row>
    <row r="17" spans="1:3" x14ac:dyDescent="0.25">
      <c r="A17" s="11" t="s">
        <v>16</v>
      </c>
      <c r="B17" s="11" t="s">
        <v>84</v>
      </c>
      <c r="C17" s="11" t="s">
        <v>107</v>
      </c>
    </row>
    <row r="18" spans="1:3" x14ac:dyDescent="0.25">
      <c r="A18" s="10" t="s">
        <v>6</v>
      </c>
      <c r="B18" s="10" t="s">
        <v>85</v>
      </c>
      <c r="C18" s="10" t="s">
        <v>107</v>
      </c>
    </row>
    <row r="19" spans="1:3" x14ac:dyDescent="0.25">
      <c r="A19" s="11" t="s">
        <v>19</v>
      </c>
      <c r="B19" s="11" t="s">
        <v>86</v>
      </c>
      <c r="C19" s="11" t="s">
        <v>107</v>
      </c>
    </row>
    <row r="20" spans="1:3" x14ac:dyDescent="0.25">
      <c r="A20" s="10" t="s">
        <v>19</v>
      </c>
      <c r="B20" s="10" t="s">
        <v>87</v>
      </c>
      <c r="C20" s="10" t="s">
        <v>107</v>
      </c>
    </row>
    <row r="21" spans="1:3" x14ac:dyDescent="0.25">
      <c r="A21" s="11" t="s">
        <v>29</v>
      </c>
      <c r="B21" s="11" t="s">
        <v>88</v>
      </c>
      <c r="C21" s="11" t="s">
        <v>107</v>
      </c>
    </row>
    <row r="22" spans="1:3" x14ac:dyDescent="0.25">
      <c r="A22" s="13" t="s">
        <v>32</v>
      </c>
      <c r="B22" s="10" t="s">
        <v>89</v>
      </c>
      <c r="C22" s="10" t="s">
        <v>104</v>
      </c>
    </row>
    <row r="23" spans="1:3" x14ac:dyDescent="0.25">
      <c r="A23" s="15" t="s">
        <v>96</v>
      </c>
      <c r="B23" s="15"/>
      <c r="C23" s="15" t="s">
        <v>107</v>
      </c>
    </row>
  </sheetData>
  <sheetProtection algorithmName="SHA-512" hashValue="RH4WlQKaKfcxu4aoV1mjb7vfTmIVzXuH/+pTbe5Gox1ENdL7k52DfJQtvY2VzWkkbuVJPQb9OXRBFgiOvdo5VQ==" saltValue="zXni4+RABOeq5OwS/XUwWg==" spinCount="100000" sheet="1" objects="1" scenarios="1"/>
  <mergeCells count="1">
    <mergeCell ref="A1:C2"/>
  </mergeCells>
  <pageMargins left="0.7" right="0.7" top="0.75" bottom="0.75" header="0.3" footer="0.3"/>
  <pageSetup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P25"/>
  <sheetViews>
    <sheetView zoomScaleNormal="100" workbookViewId="0">
      <selection activeCell="C28" sqref="C28"/>
    </sheetView>
  </sheetViews>
  <sheetFormatPr defaultRowHeight="15" x14ac:dyDescent="0.25"/>
  <cols>
    <col min="1" max="1" width="22.85546875" customWidth="1"/>
    <col min="2" max="3" width="30.28515625" customWidth="1"/>
    <col min="4" max="4" width="24.85546875" customWidth="1"/>
    <col min="5" max="5" width="20.85546875" customWidth="1"/>
    <col min="6" max="6" width="11.7109375" customWidth="1"/>
    <col min="7" max="7" width="11.28515625" customWidth="1"/>
    <col min="8" max="8" width="9.28515625" bestFit="1" customWidth="1"/>
    <col min="9" max="9" width="16.85546875" bestFit="1" customWidth="1"/>
    <col min="11" max="11" width="22.85546875" bestFit="1" customWidth="1"/>
    <col min="13" max="13" width="19.85546875" customWidth="1"/>
    <col min="15" max="15" width="17.85546875" customWidth="1"/>
  </cols>
  <sheetData>
    <row r="1" spans="1:16" ht="28.5" x14ac:dyDescent="0.45">
      <c r="A1" s="3" t="s">
        <v>3</v>
      </c>
      <c r="B1" s="3" t="s">
        <v>4</v>
      </c>
      <c r="C1" s="145" t="s">
        <v>24</v>
      </c>
      <c r="D1" s="145"/>
      <c r="E1" s="145"/>
      <c r="F1" s="145"/>
      <c r="G1" s="145"/>
      <c r="H1" s="145"/>
      <c r="I1" s="145"/>
      <c r="K1" s="16" t="s">
        <v>102</v>
      </c>
      <c r="M1" s="83" t="s">
        <v>175</v>
      </c>
      <c r="O1" s="88" t="s">
        <v>184</v>
      </c>
      <c r="P1" s="89"/>
    </row>
    <row r="2" spans="1:16" x14ac:dyDescent="0.25">
      <c r="A2" t="s">
        <v>26</v>
      </c>
      <c r="B2" t="s">
        <v>25</v>
      </c>
      <c r="C2" t="s">
        <v>51</v>
      </c>
      <c r="D2" t="s">
        <v>38</v>
      </c>
      <c r="E2" t="s">
        <v>33</v>
      </c>
      <c r="F2" t="s">
        <v>34</v>
      </c>
      <c r="G2" t="s">
        <v>35</v>
      </c>
      <c r="H2" t="s">
        <v>36</v>
      </c>
      <c r="I2" t="s">
        <v>94</v>
      </c>
      <c r="K2" s="17" t="s">
        <v>91</v>
      </c>
      <c r="M2" s="17" t="s">
        <v>91</v>
      </c>
      <c r="O2" s="17" t="s">
        <v>91</v>
      </c>
    </row>
    <row r="3" spans="1:16" x14ac:dyDescent="0.25">
      <c r="A3" t="s">
        <v>5</v>
      </c>
      <c r="B3" t="s">
        <v>6</v>
      </c>
      <c r="C3" t="s">
        <v>71</v>
      </c>
      <c r="D3" t="s">
        <v>39</v>
      </c>
      <c r="E3" t="s">
        <v>110</v>
      </c>
      <c r="F3" t="s">
        <v>61</v>
      </c>
      <c r="G3" t="s">
        <v>42</v>
      </c>
      <c r="H3" t="s">
        <v>37</v>
      </c>
      <c r="I3" t="s">
        <v>94</v>
      </c>
      <c r="K3" s="17" t="s">
        <v>97</v>
      </c>
      <c r="M3" s="17" t="s">
        <v>176</v>
      </c>
      <c r="O3" s="17" t="s">
        <v>115</v>
      </c>
    </row>
    <row r="4" spans="1:16" x14ac:dyDescent="0.25">
      <c r="A4" t="s">
        <v>7</v>
      </c>
      <c r="B4" s="8" t="s">
        <v>8</v>
      </c>
      <c r="C4" t="s">
        <v>72</v>
      </c>
      <c r="D4" t="s">
        <v>39</v>
      </c>
      <c r="E4" t="s">
        <v>109</v>
      </c>
      <c r="F4" t="s">
        <v>61</v>
      </c>
      <c r="G4" t="s">
        <v>42</v>
      </c>
      <c r="H4" t="s">
        <v>37</v>
      </c>
      <c r="I4" t="s">
        <v>94</v>
      </c>
      <c r="K4" s="17" t="s">
        <v>98</v>
      </c>
      <c r="M4" s="17" t="s">
        <v>177</v>
      </c>
      <c r="O4" s="17" t="s">
        <v>185</v>
      </c>
    </row>
    <row r="5" spans="1:16" x14ac:dyDescent="0.25">
      <c r="A5" t="s">
        <v>9</v>
      </c>
      <c r="B5" t="s">
        <v>10</v>
      </c>
      <c r="C5" t="s">
        <v>73</v>
      </c>
      <c r="D5" t="s">
        <v>42</v>
      </c>
      <c r="E5" t="s">
        <v>37</v>
      </c>
      <c r="F5" s="5"/>
      <c r="G5" s="5"/>
      <c r="H5" s="5"/>
      <c r="I5" t="s">
        <v>94</v>
      </c>
      <c r="K5" s="17" t="s">
        <v>99</v>
      </c>
      <c r="O5" s="17" t="s">
        <v>186</v>
      </c>
    </row>
    <row r="6" spans="1:16" x14ac:dyDescent="0.25">
      <c r="A6" t="s">
        <v>11</v>
      </c>
      <c r="B6" t="s">
        <v>6</v>
      </c>
      <c r="C6" t="s">
        <v>74</v>
      </c>
      <c r="D6" t="s">
        <v>41</v>
      </c>
      <c r="E6" t="s">
        <v>40</v>
      </c>
      <c r="F6" t="s">
        <v>42</v>
      </c>
      <c r="G6" t="s">
        <v>37</v>
      </c>
      <c r="H6" s="5"/>
      <c r="I6" t="s">
        <v>94</v>
      </c>
      <c r="K6" s="17" t="s">
        <v>100</v>
      </c>
      <c r="O6" s="17" t="s">
        <v>187</v>
      </c>
    </row>
    <row r="7" spans="1:16" x14ac:dyDescent="0.25">
      <c r="A7" t="s">
        <v>12</v>
      </c>
      <c r="B7" t="s">
        <v>6</v>
      </c>
      <c r="C7" t="s">
        <v>75</v>
      </c>
      <c r="D7" t="s">
        <v>27</v>
      </c>
      <c r="E7" t="s">
        <v>42</v>
      </c>
      <c r="F7" t="s">
        <v>37</v>
      </c>
      <c r="G7" s="5"/>
      <c r="H7" s="5"/>
      <c r="I7" t="s">
        <v>94</v>
      </c>
      <c r="K7" s="17" t="s">
        <v>101</v>
      </c>
    </row>
    <row r="8" spans="1:16" x14ac:dyDescent="0.25">
      <c r="A8" t="s">
        <v>45</v>
      </c>
      <c r="B8" s="8" t="s">
        <v>28</v>
      </c>
      <c r="C8" t="s">
        <v>76</v>
      </c>
      <c r="D8" t="s">
        <v>52</v>
      </c>
      <c r="E8" t="s">
        <v>42</v>
      </c>
      <c r="F8" t="s">
        <v>37</v>
      </c>
      <c r="G8" s="5"/>
      <c r="H8" s="5"/>
      <c r="I8" t="s">
        <v>94</v>
      </c>
      <c r="K8" s="84" t="s">
        <v>182</v>
      </c>
    </row>
    <row r="9" spans="1:16" x14ac:dyDescent="0.25">
      <c r="A9" t="s">
        <v>13</v>
      </c>
      <c r="B9" t="s">
        <v>6</v>
      </c>
      <c r="C9" t="s">
        <v>77</v>
      </c>
      <c r="D9" t="s">
        <v>42</v>
      </c>
      <c r="E9" t="s">
        <v>37</v>
      </c>
      <c r="F9" s="5"/>
      <c r="G9" s="5"/>
      <c r="H9" s="5"/>
      <c r="I9" t="s">
        <v>94</v>
      </c>
    </row>
    <row r="10" spans="1:16" x14ac:dyDescent="0.25">
      <c r="A10" t="s">
        <v>46</v>
      </c>
      <c r="B10" t="s">
        <v>10</v>
      </c>
      <c r="C10" t="s">
        <v>78</v>
      </c>
      <c r="D10" t="s">
        <v>69</v>
      </c>
      <c r="E10" t="s">
        <v>43</v>
      </c>
      <c r="F10" t="s">
        <v>42</v>
      </c>
      <c r="G10" t="s">
        <v>37</v>
      </c>
      <c r="H10" s="5"/>
      <c r="I10" t="s">
        <v>94</v>
      </c>
      <c r="K10" t="s">
        <v>150</v>
      </c>
    </row>
    <row r="11" spans="1:16" x14ac:dyDescent="0.25">
      <c r="A11" t="s">
        <v>47</v>
      </c>
      <c r="B11" t="s">
        <v>6</v>
      </c>
      <c r="C11" t="s">
        <v>79</v>
      </c>
      <c r="D11" t="s">
        <v>70</v>
      </c>
      <c r="E11" t="s">
        <v>44</v>
      </c>
      <c r="F11" t="s">
        <v>42</v>
      </c>
      <c r="G11" t="s">
        <v>37</v>
      </c>
      <c r="H11" s="5"/>
      <c r="I11" t="s">
        <v>94</v>
      </c>
    </row>
    <row r="12" spans="1:16" x14ac:dyDescent="0.25">
      <c r="A12" t="s">
        <v>48</v>
      </c>
      <c r="B12" t="s">
        <v>6</v>
      </c>
      <c r="C12" t="s">
        <v>80</v>
      </c>
      <c r="D12" t="s">
        <v>42</v>
      </c>
      <c r="E12" t="s">
        <v>37</v>
      </c>
      <c r="F12" s="5"/>
      <c r="G12" s="5"/>
      <c r="H12" s="5"/>
      <c r="I12" t="s">
        <v>94</v>
      </c>
    </row>
    <row r="13" spans="1:16" x14ac:dyDescent="0.25">
      <c r="A13" t="s">
        <v>49</v>
      </c>
      <c r="B13" t="s">
        <v>29</v>
      </c>
      <c r="C13" t="s">
        <v>81</v>
      </c>
      <c r="D13" s="5" t="s">
        <v>53</v>
      </c>
      <c r="E13" t="s">
        <v>42</v>
      </c>
      <c r="F13" t="s">
        <v>37</v>
      </c>
      <c r="H13" s="5"/>
      <c r="I13" t="s">
        <v>94</v>
      </c>
    </row>
    <row r="14" spans="1:16" x14ac:dyDescent="0.25">
      <c r="A14" t="s">
        <v>14</v>
      </c>
      <c r="B14" t="s">
        <v>6</v>
      </c>
      <c r="C14" t="s">
        <v>82</v>
      </c>
      <c r="D14" t="s">
        <v>42</v>
      </c>
      <c r="E14" t="s">
        <v>37</v>
      </c>
      <c r="F14" s="5"/>
      <c r="G14" s="5"/>
      <c r="H14" s="5"/>
      <c r="I14" t="s">
        <v>94</v>
      </c>
    </row>
    <row r="15" spans="1:16" x14ac:dyDescent="0.25">
      <c r="A15" t="s">
        <v>50</v>
      </c>
      <c r="B15" t="s">
        <v>29</v>
      </c>
      <c r="C15" t="s">
        <v>83</v>
      </c>
      <c r="D15" t="s">
        <v>42</v>
      </c>
      <c r="E15" t="s">
        <v>37</v>
      </c>
      <c r="F15" s="9"/>
      <c r="G15" s="9"/>
      <c r="H15" s="9"/>
      <c r="I15" t="s">
        <v>94</v>
      </c>
    </row>
    <row r="16" spans="1:16" x14ac:dyDescent="0.25">
      <c r="A16" t="s">
        <v>15</v>
      </c>
      <c r="B16" t="s">
        <v>16</v>
      </c>
      <c r="C16" t="s">
        <v>84</v>
      </c>
      <c r="D16" t="s">
        <v>56</v>
      </c>
      <c r="E16" s="5" t="s">
        <v>54</v>
      </c>
      <c r="F16" t="s">
        <v>42</v>
      </c>
      <c r="G16" t="s">
        <v>37</v>
      </c>
      <c r="H16" s="5"/>
      <c r="I16" t="s">
        <v>94</v>
      </c>
    </row>
    <row r="17" spans="1:9" x14ac:dyDescent="0.25">
      <c r="A17" t="s">
        <v>17</v>
      </c>
      <c r="B17" t="s">
        <v>6</v>
      </c>
      <c r="C17" t="s">
        <v>85</v>
      </c>
      <c r="D17" t="s">
        <v>55</v>
      </c>
      <c r="E17" t="s">
        <v>42</v>
      </c>
      <c r="F17" t="s">
        <v>37</v>
      </c>
      <c r="G17" s="5"/>
      <c r="H17" s="5"/>
      <c r="I17" t="s">
        <v>94</v>
      </c>
    </row>
    <row r="18" spans="1:9" x14ac:dyDescent="0.25">
      <c r="A18" t="s">
        <v>18</v>
      </c>
      <c r="B18" t="s">
        <v>19</v>
      </c>
      <c r="C18" t="s">
        <v>86</v>
      </c>
      <c r="D18" t="s">
        <v>57</v>
      </c>
      <c r="E18" s="5" t="s">
        <v>60</v>
      </c>
      <c r="F18" t="s">
        <v>42</v>
      </c>
      <c r="G18" t="s">
        <v>37</v>
      </c>
      <c r="H18" s="5"/>
      <c r="I18" t="s">
        <v>94</v>
      </c>
    </row>
    <row r="19" spans="1:9" x14ac:dyDescent="0.25">
      <c r="A19" t="s">
        <v>20</v>
      </c>
      <c r="B19" t="s">
        <v>19</v>
      </c>
      <c r="C19" t="s">
        <v>87</v>
      </c>
      <c r="D19" t="s">
        <v>57</v>
      </c>
      <c r="E19" s="5" t="s">
        <v>60</v>
      </c>
      <c r="F19" t="s">
        <v>42</v>
      </c>
      <c r="G19" t="s">
        <v>37</v>
      </c>
      <c r="H19" s="5"/>
      <c r="I19" t="s">
        <v>94</v>
      </c>
    </row>
    <row r="20" spans="1:9" x14ac:dyDescent="0.25">
      <c r="A20" t="s">
        <v>30</v>
      </c>
      <c r="B20" t="s">
        <v>29</v>
      </c>
      <c r="C20" t="s">
        <v>88</v>
      </c>
      <c r="D20" t="s">
        <v>59</v>
      </c>
      <c r="E20" s="5" t="s">
        <v>60</v>
      </c>
      <c r="F20" s="5" t="s">
        <v>62</v>
      </c>
      <c r="G20" t="s">
        <v>42</v>
      </c>
      <c r="H20" t="s">
        <v>37</v>
      </c>
      <c r="I20" t="s">
        <v>94</v>
      </c>
    </row>
    <row r="21" spans="1:9" x14ac:dyDescent="0.25">
      <c r="A21" s="1" t="s">
        <v>31</v>
      </c>
      <c r="B21" s="8" t="s">
        <v>32</v>
      </c>
      <c r="C21" t="s">
        <v>89</v>
      </c>
      <c r="D21" t="s">
        <v>58</v>
      </c>
      <c r="E21" t="s">
        <v>42</v>
      </c>
      <c r="F21" t="s">
        <v>37</v>
      </c>
      <c r="I21" t="s">
        <v>94</v>
      </c>
    </row>
    <row r="22" spans="1:9" x14ac:dyDescent="0.25">
      <c r="A22" s="1" t="s">
        <v>171</v>
      </c>
      <c r="B22" t="s">
        <v>6</v>
      </c>
      <c r="C22" t="s">
        <v>181</v>
      </c>
      <c r="D22" t="s">
        <v>39</v>
      </c>
      <c r="E22" t="s">
        <v>110</v>
      </c>
      <c r="F22" t="s">
        <v>61</v>
      </c>
      <c r="G22" t="s">
        <v>42</v>
      </c>
      <c r="H22" t="s">
        <v>37</v>
      </c>
      <c r="I22" t="s">
        <v>94</v>
      </c>
    </row>
    <row r="23" spans="1:9" x14ac:dyDescent="0.25">
      <c r="A23" s="1" t="s">
        <v>172</v>
      </c>
      <c r="B23" s="8" t="s">
        <v>8</v>
      </c>
      <c r="C23" t="s">
        <v>180</v>
      </c>
      <c r="D23" t="s">
        <v>39</v>
      </c>
      <c r="E23" t="s">
        <v>109</v>
      </c>
      <c r="F23" t="s">
        <v>61</v>
      </c>
      <c r="G23" t="s">
        <v>42</v>
      </c>
      <c r="H23" t="s">
        <v>37</v>
      </c>
      <c r="I23" t="s">
        <v>94</v>
      </c>
    </row>
    <row r="24" spans="1:9" x14ac:dyDescent="0.25">
      <c r="A24" s="1" t="s">
        <v>173</v>
      </c>
      <c r="B24" s="8" t="s">
        <v>28</v>
      </c>
      <c r="C24" t="s">
        <v>174</v>
      </c>
      <c r="D24" t="s">
        <v>42</v>
      </c>
      <c r="E24" t="s">
        <v>37</v>
      </c>
      <c r="I24" t="s">
        <v>94</v>
      </c>
    </row>
    <row r="25" spans="1:9" x14ac:dyDescent="0.25">
      <c r="A25" s="1" t="s">
        <v>95</v>
      </c>
      <c r="B25" t="s">
        <v>178</v>
      </c>
      <c r="C25" t="s">
        <v>179</v>
      </c>
      <c r="D25" t="s">
        <v>42</v>
      </c>
      <c r="E25" t="s">
        <v>37</v>
      </c>
      <c r="G25" t="s">
        <v>150</v>
      </c>
      <c r="H25" t="s">
        <v>150</v>
      </c>
      <c r="I25" t="s">
        <v>94</v>
      </c>
    </row>
  </sheetData>
  <sheetProtection algorithmName="SHA-512" hashValue="H/0nHaI0nBafNM/iui/jVH6ki0jIvruATKQhkJUdwePANK+udZCH0hgM52hihbgyh5VYnbo3vEuiwzSysUjHMg==" saltValue="2rXifjtCPNm2Y/VcRvn9Gw==" spinCount="100000" sheet="1" objects="1" scenarios="1"/>
  <mergeCells count="1">
    <mergeCell ref="C1:I1"/>
  </mergeCells>
  <phoneticPr fontId="1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 </vt:lpstr>
      <vt:lpstr>Level 1</vt:lpstr>
      <vt:lpstr>Level 2</vt:lpstr>
      <vt:lpstr>Data</vt:lpstr>
      <vt:lpstr>Provider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Dell12-03</dc:creator>
  <cp:lastModifiedBy>DELL</cp:lastModifiedBy>
  <cp:lastPrinted>2021-03-12T01:04:18Z</cp:lastPrinted>
  <dcterms:created xsi:type="dcterms:W3CDTF">2021-02-01T21:38:25Z</dcterms:created>
  <dcterms:modified xsi:type="dcterms:W3CDTF">2022-05-18T23:02:56Z</dcterms:modified>
</cp:coreProperties>
</file>